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C0F04606-6B46-464D-A5E0-1C5FF856DC4F}" xr6:coauthVersionLast="47" xr6:coauthVersionMax="47" xr10:uidLastSave="{00000000-0000-0000-0000-000000000000}"/>
  <bookViews>
    <workbookView xWindow="1060" yWindow="760" windowWidth="32380" windowHeight="18880" xr2:uid="{B2F629C4-F532-0048-94B5-6129BC4B4200}"/>
  </bookViews>
  <sheets>
    <sheet name="Overview" sheetId="34" r:id="rId1"/>
    <sheet name="Q #1" sheetId="17" r:id="rId2"/>
    <sheet name="Q #2" sheetId="18" r:id="rId3"/>
    <sheet name="Q #3" sheetId="19" r:id="rId4"/>
    <sheet name="Q #4" sheetId="20" r:id="rId5"/>
    <sheet name="Q #5" sheetId="21" r:id="rId6"/>
    <sheet name="Q #6" sheetId="31" r:id="rId7"/>
    <sheet name="Q #7" sheetId="23" r:id="rId8"/>
    <sheet name="Q #8" sheetId="24" r:id="rId9"/>
    <sheet name="Q #9" sheetId="32" r:id="rId10"/>
    <sheet name="Q #10" sheetId="26" r:id="rId11"/>
    <sheet name="Q #11" sheetId="33" r:id="rId12"/>
    <sheet name="Q #12" sheetId="28" r:id="rId13"/>
    <sheet name="Q #13" sheetId="35" r:id="rId14"/>
    <sheet name="Q #14" sheetId="36" r:id="rId15"/>
    <sheet name="Q #15" sheetId="37" r:id="rId16"/>
    <sheet name="Q #16" sheetId="38" r:id="rId17"/>
    <sheet name="Q #17" sheetId="40" r:id="rId18"/>
    <sheet name="Q #18" sheetId="41" r:id="rId19"/>
    <sheet name="Essay Problems" sheetId="42" r:id="rId20"/>
  </sheets>
  <definedNames>
    <definedName name="_xlnm.Print_Area" localSheetId="11">'Q #11'!$A$1:$J$43</definedName>
    <definedName name="_xlnm.Print_Area" localSheetId="2">'Q #2'!$A$1:$J$12</definedName>
    <definedName name="_xlnm.Print_Area" localSheetId="3">'Q #3'!$A$2:$J$7</definedName>
    <definedName name="_xlnm.Print_Area" localSheetId="4">'Q #4'!$A$1:$J$32</definedName>
    <definedName name="_xlnm.Print_Area" localSheetId="5">'Q #5'!$A$1:$J$43</definedName>
    <definedName name="_xlnm.Print_Area" localSheetId="8">'Q #8'!$A$1:$J$23</definedName>
    <definedName name="_xlnm.Print_Area" localSheetId="9">'Q #9'!$A$1:$J$48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0" i="20" l="1"/>
  <c r="O10" i="20"/>
  <c r="S9" i="20"/>
  <c r="Q9" i="20"/>
  <c r="O9" i="20"/>
  <c r="N16" i="28"/>
  <c r="N15" i="28"/>
  <c r="N14" i="28"/>
  <c r="N13" i="28"/>
  <c r="N12" i="28"/>
  <c r="N9" i="28"/>
  <c r="N10" i="28"/>
  <c r="N7" i="28"/>
  <c r="N13" i="41"/>
  <c r="O13" i="41"/>
  <c r="O21" i="41" s="1"/>
  <c r="P13" i="41"/>
  <c r="P21" i="41" s="1"/>
  <c r="Q13" i="41"/>
  <c r="Q21" i="41" s="1"/>
  <c r="R13" i="41"/>
  <c r="R21" i="41" s="1"/>
  <c r="N14" i="41"/>
  <c r="N22" i="41" s="1"/>
  <c r="O14" i="41"/>
  <c r="O22" i="41" s="1"/>
  <c r="P14" i="41"/>
  <c r="P22" i="41" s="1"/>
  <c r="Q14" i="41"/>
  <c r="N15" i="41"/>
  <c r="N23" i="41" s="1"/>
  <c r="O15" i="41"/>
  <c r="O23" i="41" s="1"/>
  <c r="P15" i="41"/>
  <c r="P23" i="41" s="1"/>
  <c r="N16" i="41"/>
  <c r="N24" i="41" s="1"/>
  <c r="O16" i="41"/>
  <c r="O24" i="41" s="1"/>
  <c r="N17" i="41"/>
  <c r="N25" i="41" s="1"/>
  <c r="N21" i="41"/>
  <c r="Q22" i="41"/>
  <c r="N6" i="40"/>
  <c r="N7" i="40"/>
  <c r="N9" i="40"/>
  <c r="N11" i="40"/>
  <c r="N16" i="40"/>
  <c r="N17" i="40"/>
  <c r="N18" i="40"/>
  <c r="N22" i="40" s="1"/>
  <c r="N20" i="40"/>
  <c r="N30" i="40"/>
  <c r="N31" i="40"/>
  <c r="N33" i="40"/>
  <c r="N38" i="40"/>
  <c r="N39" i="40"/>
  <c r="N40" i="40"/>
  <c r="N42" i="40"/>
  <c r="M6" i="38"/>
  <c r="N6" i="38"/>
  <c r="O6" i="38" s="1"/>
  <c r="N17" i="38" s="1"/>
  <c r="Q17" i="38" s="1"/>
  <c r="N27" i="38" s="1"/>
  <c r="M7" i="38"/>
  <c r="M18" i="38" s="1"/>
  <c r="M28" i="38" s="1"/>
  <c r="M38" i="38" s="1"/>
  <c r="N7" i="38"/>
  <c r="O7" i="38" s="1"/>
  <c r="N18" i="38" s="1"/>
  <c r="M8" i="38"/>
  <c r="M19" i="38" s="1"/>
  <c r="M29" i="38" s="1"/>
  <c r="M39" i="38" s="1"/>
  <c r="N8" i="38"/>
  <c r="O8" i="38" s="1"/>
  <c r="N19" i="38" s="1"/>
  <c r="Q19" i="38" s="1"/>
  <c r="N29" i="38" s="1"/>
  <c r="M9" i="38"/>
  <c r="M20" i="38" s="1"/>
  <c r="M30" i="38" s="1"/>
  <c r="M40" i="38" s="1"/>
  <c r="N9" i="38"/>
  <c r="O9" i="38"/>
  <c r="M10" i="38"/>
  <c r="N10" i="38"/>
  <c r="O10" i="38" s="1"/>
  <c r="N21" i="38" s="1"/>
  <c r="Q21" i="38" s="1"/>
  <c r="N31" i="38" s="1"/>
  <c r="M16" i="38"/>
  <c r="M26" i="38" s="1"/>
  <c r="M36" i="38" s="1"/>
  <c r="M17" i="38"/>
  <c r="M27" i="38" s="1"/>
  <c r="M37" i="38" s="1"/>
  <c r="O18" i="38"/>
  <c r="P18" i="38"/>
  <c r="N20" i="38"/>
  <c r="Q20" i="38" s="1"/>
  <c r="N30" i="38" s="1"/>
  <c r="M21" i="38"/>
  <c r="M31" i="38" s="1"/>
  <c r="M41" i="38" s="1"/>
  <c r="N37" i="38"/>
  <c r="N38" i="38" s="1"/>
  <c r="N39" i="38" s="1"/>
  <c r="N40" i="38" s="1"/>
  <c r="N41" i="38" s="1"/>
  <c r="O6" i="37"/>
  <c r="Q6" i="37" s="1"/>
  <c r="P6" i="37"/>
  <c r="O7" i="37"/>
  <c r="P7" i="37"/>
  <c r="Q7" i="37"/>
  <c r="R7" i="37"/>
  <c r="O8" i="37"/>
  <c r="Q8" i="37" s="1"/>
  <c r="R8" i="37" s="1"/>
  <c r="P8" i="37"/>
  <c r="O9" i="37"/>
  <c r="P9" i="37"/>
  <c r="Q9" i="37"/>
  <c r="R9" i="37"/>
  <c r="O16" i="37"/>
  <c r="P16" i="37"/>
  <c r="O17" i="37"/>
  <c r="P17" i="37"/>
  <c r="O18" i="37"/>
  <c r="P18" i="37"/>
  <c r="O19" i="37"/>
  <c r="N21" i="37"/>
  <c r="M9" i="36"/>
  <c r="O9" i="36" s="1"/>
  <c r="N9" i="36"/>
  <c r="M10" i="36"/>
  <c r="P10" i="36" s="1"/>
  <c r="N10" i="36"/>
  <c r="M11" i="36"/>
  <c r="O11" i="36" s="1"/>
  <c r="N11" i="36"/>
  <c r="M12" i="36"/>
  <c r="N12" i="36"/>
  <c r="O12" i="36"/>
  <c r="P12" i="36"/>
  <c r="N6" i="35"/>
  <c r="N10" i="35"/>
  <c r="Q10" i="35" s="1"/>
  <c r="R10" i="35" s="1"/>
  <c r="O10" i="35"/>
  <c r="P10" i="35"/>
  <c r="N11" i="35"/>
  <c r="O11" i="35"/>
  <c r="P11" i="35"/>
  <c r="Q11" i="35"/>
  <c r="S11" i="35" s="1"/>
  <c r="R11" i="35"/>
  <c r="N12" i="35"/>
  <c r="Q12" i="35" s="1"/>
  <c r="O12" i="35"/>
  <c r="O16" i="35" s="1"/>
  <c r="P12" i="35"/>
  <c r="N13" i="35"/>
  <c r="Q13" i="35" s="1"/>
  <c r="O13" i="35"/>
  <c r="P13" i="35"/>
  <c r="N14" i="35"/>
  <c r="O14" i="35"/>
  <c r="P14" i="35"/>
  <c r="S14" i="35" s="1"/>
  <c r="Q14" i="35"/>
  <c r="R14" i="35" s="1"/>
  <c r="N15" i="35"/>
  <c r="Q15" i="35" s="1"/>
  <c r="O15" i="35"/>
  <c r="P15" i="35"/>
  <c r="O26" i="35"/>
  <c r="O32" i="35" s="1"/>
  <c r="N27" i="35"/>
  <c r="O27" i="35"/>
  <c r="N28" i="35"/>
  <c r="O28" i="35"/>
  <c r="N29" i="35"/>
  <c r="O29" i="35"/>
  <c r="N30" i="35"/>
  <c r="N31" i="35" s="1"/>
  <c r="O31" i="35" s="1"/>
  <c r="O30" i="35"/>
  <c r="O30" i="38" l="1"/>
  <c r="P30" i="38" s="1"/>
  <c r="O40" i="38" s="1"/>
  <c r="P40" i="38" s="1"/>
  <c r="Q18" i="38"/>
  <c r="N28" i="38" s="1"/>
  <c r="O29" i="38"/>
  <c r="P29" i="38"/>
  <c r="O39" i="38" s="1"/>
  <c r="P39" i="38" s="1"/>
  <c r="O28" i="38"/>
  <c r="P28" i="38"/>
  <c r="O38" i="38" s="1"/>
  <c r="P38" i="38" s="1"/>
  <c r="O31" i="38"/>
  <c r="P31" i="38" s="1"/>
  <c r="O41" i="38" s="1"/>
  <c r="P41" i="38" s="1"/>
  <c r="O27" i="38"/>
  <c r="P27" i="38"/>
  <c r="O37" i="38" s="1"/>
  <c r="P37" i="38" s="1"/>
  <c r="R6" i="37"/>
  <c r="N11" i="37"/>
  <c r="O18" i="36"/>
  <c r="O10" i="36"/>
  <c r="P11" i="36"/>
  <c r="O14" i="36" s="1"/>
  <c r="R12" i="35"/>
  <c r="S12" i="35"/>
  <c r="R16" i="35"/>
  <c r="N18" i="35" s="1"/>
  <c r="S13" i="35"/>
  <c r="R13" i="35"/>
  <c r="S15" i="35"/>
  <c r="R15" i="35"/>
  <c r="S10" i="35"/>
  <c r="S16" i="35" s="1"/>
  <c r="N34" i="35" s="1"/>
  <c r="P16" i="35"/>
  <c r="O43" i="38" l="1"/>
  <c r="O19" i="36"/>
  <c r="N19" i="35"/>
  <c r="N20" i="35" s="1"/>
  <c r="O20" i="36" l="1"/>
  <c r="N24" i="36"/>
  <c r="U32" i="32" l="1"/>
  <c r="U31" i="32"/>
  <c r="U30" i="32"/>
  <c r="U29" i="32"/>
  <c r="U28" i="32"/>
  <c r="U27" i="32"/>
  <c r="U26" i="32"/>
  <c r="U33" i="32"/>
  <c r="N8" i="28"/>
  <c r="O19" i="32" l="1"/>
  <c r="O20" i="32"/>
  <c r="N20" i="32"/>
  <c r="N19" i="32"/>
  <c r="P19" i="32" s="1"/>
  <c r="P7" i="32"/>
  <c r="P9" i="32"/>
  <c r="N9" i="32"/>
  <c r="O9" i="32"/>
  <c r="R10" i="33" l="1"/>
  <c r="R14" i="33"/>
  <c r="O14" i="33"/>
  <c r="T8" i="33"/>
  <c r="T13" i="33"/>
  <c r="T10" i="33"/>
  <c r="N7" i="32"/>
  <c r="O26" i="32" s="1"/>
  <c r="N8" i="32"/>
  <c r="O27" i="32" s="1"/>
  <c r="O28" i="32"/>
  <c r="N10" i="32"/>
  <c r="O29" i="32" s="1"/>
  <c r="N11" i="32"/>
  <c r="O30" i="32" s="1"/>
  <c r="N12" i="32"/>
  <c r="N13" i="32"/>
  <c r="Q20" i="32"/>
  <c r="Q19" i="32"/>
  <c r="O13" i="32"/>
  <c r="O12" i="32"/>
  <c r="P31" i="32" s="1"/>
  <c r="O11" i="32"/>
  <c r="P30" i="32" s="1"/>
  <c r="O10" i="32"/>
  <c r="P29" i="32" s="1"/>
  <c r="O8" i="32"/>
  <c r="P27" i="32" s="1"/>
  <c r="Q32" i="32"/>
  <c r="Q31" i="32"/>
  <c r="Q30" i="32"/>
  <c r="Q29" i="32"/>
  <c r="Q28" i="32"/>
  <c r="Q27" i="32"/>
  <c r="Q26" i="32"/>
  <c r="P20" i="32"/>
  <c r="R20" i="32" s="1"/>
  <c r="R19" i="32"/>
  <c r="P13" i="32"/>
  <c r="Q13" i="32" s="1"/>
  <c r="P12" i="32"/>
  <c r="Q12" i="32" s="1"/>
  <c r="N31" i="32" s="1"/>
  <c r="P11" i="32"/>
  <c r="Q11" i="32" s="1"/>
  <c r="N30" i="32" s="1"/>
  <c r="P10" i="32"/>
  <c r="Q10" i="32" s="1"/>
  <c r="N29" i="32" s="1"/>
  <c r="Q9" i="32"/>
  <c r="N28" i="32" s="1"/>
  <c r="P8" i="32"/>
  <c r="Q8" i="32" s="1"/>
  <c r="N27" i="32" s="1"/>
  <c r="Q7" i="32"/>
  <c r="N26" i="32" s="1"/>
  <c r="T14" i="33"/>
  <c r="T12" i="33"/>
  <c r="S8" i="33"/>
  <c r="S14" i="33"/>
  <c r="S13" i="33"/>
  <c r="S12" i="33"/>
  <c r="S11" i="33"/>
  <c r="S10" i="33"/>
  <c r="S9" i="33"/>
  <c r="Q14" i="33"/>
  <c r="P14" i="33"/>
  <c r="Q10" i="33"/>
  <c r="P10" i="33"/>
  <c r="N14" i="33"/>
  <c r="N12" i="33"/>
  <c r="N11" i="33"/>
  <c r="N10" i="33"/>
  <c r="N9" i="33"/>
  <c r="N8" i="33"/>
  <c r="O10" i="33"/>
  <c r="O8" i="33"/>
  <c r="O13" i="33"/>
  <c r="O12" i="33"/>
  <c r="O9" i="33"/>
  <c r="N26" i="28"/>
  <c r="N25" i="28"/>
  <c r="N24" i="28"/>
  <c r="Q19" i="24"/>
  <c r="S19" i="24" s="1"/>
  <c r="P19" i="24"/>
  <c r="R19" i="24" s="1"/>
  <c r="O20" i="24"/>
  <c r="O21" i="24"/>
  <c r="O19" i="24"/>
  <c r="M20" i="24"/>
  <c r="M21" i="24"/>
  <c r="M19" i="24"/>
  <c r="L20" i="24"/>
  <c r="L21" i="24"/>
  <c r="L19" i="24"/>
  <c r="Q9" i="24"/>
  <c r="P9" i="24"/>
  <c r="R9" i="24" s="1"/>
  <c r="P21" i="24" s="1"/>
  <c r="O9" i="24"/>
  <c r="Q8" i="24"/>
  <c r="P8" i="24"/>
  <c r="R8" i="24" s="1"/>
  <c r="O8" i="24"/>
  <c r="Q7" i="24"/>
  <c r="P7" i="24"/>
  <c r="O7" i="24"/>
  <c r="M9" i="24"/>
  <c r="L9" i="24"/>
  <c r="M8" i="24"/>
  <c r="L8" i="24"/>
  <c r="M7" i="24"/>
  <c r="L7" i="24"/>
  <c r="P23" i="20"/>
  <c r="O23" i="20"/>
  <c r="P22" i="20"/>
  <c r="O22" i="20"/>
  <c r="P21" i="20"/>
  <c r="O21" i="20"/>
  <c r="P20" i="20"/>
  <c r="O20" i="20"/>
  <c r="P19" i="20"/>
  <c r="O19" i="20"/>
  <c r="N23" i="20"/>
  <c r="N22" i="20"/>
  <c r="N21" i="20"/>
  <c r="N20" i="20"/>
  <c r="N19" i="20"/>
  <c r="P13" i="20"/>
  <c r="O13" i="20"/>
  <c r="P12" i="20"/>
  <c r="O12" i="20"/>
  <c r="P11" i="20"/>
  <c r="O11" i="20"/>
  <c r="P10" i="20"/>
  <c r="P9" i="20"/>
  <c r="O5" i="20"/>
  <c r="N13" i="20" s="1"/>
  <c r="Q21" i="20" l="1"/>
  <c r="U9" i="33"/>
  <c r="P10" i="24"/>
  <c r="Q10" i="24"/>
  <c r="N27" i="28"/>
  <c r="R10" i="24"/>
  <c r="N32" i="32"/>
  <c r="N33" i="32" s="1"/>
  <c r="T27" i="32"/>
  <c r="P42" i="32" s="1"/>
  <c r="R28" i="32"/>
  <c r="N43" i="32" s="1"/>
  <c r="S28" i="32"/>
  <c r="O43" i="32" s="1"/>
  <c r="T31" i="32"/>
  <c r="P46" i="32" s="1"/>
  <c r="S29" i="32"/>
  <c r="O44" i="32" s="1"/>
  <c r="S26" i="32"/>
  <c r="O41" i="32" s="1"/>
  <c r="V14" i="33"/>
  <c r="U10" i="33"/>
  <c r="O11" i="33"/>
  <c r="O15" i="33" s="1"/>
  <c r="N13" i="33"/>
  <c r="U13" i="33" s="1"/>
  <c r="T9" i="33"/>
  <c r="V9" i="33" s="1"/>
  <c r="T11" i="33"/>
  <c r="V8" i="33"/>
  <c r="T30" i="32"/>
  <c r="P45" i="32" s="1"/>
  <c r="S27" i="32"/>
  <c r="O42" i="32" s="1"/>
  <c r="S30" i="32"/>
  <c r="R26" i="32"/>
  <c r="O32" i="32"/>
  <c r="P32" i="32"/>
  <c r="T29" i="32"/>
  <c r="P28" i="32"/>
  <c r="O31" i="32"/>
  <c r="S20" i="32"/>
  <c r="U12" i="33"/>
  <c r="P15" i="33"/>
  <c r="V13" i="33"/>
  <c r="U11" i="33"/>
  <c r="U8" i="33"/>
  <c r="Q15" i="33"/>
  <c r="V12" i="33"/>
  <c r="U14" i="33"/>
  <c r="V10" i="33"/>
  <c r="R15" i="33"/>
  <c r="N29" i="28"/>
  <c r="P20" i="24"/>
  <c r="S8" i="24"/>
  <c r="S9" i="24"/>
  <c r="Q21" i="24" s="1"/>
  <c r="R21" i="20"/>
  <c r="Q22" i="20"/>
  <c r="S22" i="20" s="1"/>
  <c r="Q23" i="20"/>
  <c r="S23" i="20" s="1"/>
  <c r="O14" i="20"/>
  <c r="Q13" i="20"/>
  <c r="S13" i="20" s="1"/>
  <c r="R13" i="20"/>
  <c r="T13" i="20" s="1"/>
  <c r="N9" i="20"/>
  <c r="P14" i="20"/>
  <c r="N10" i="20"/>
  <c r="S10" i="20" s="1"/>
  <c r="N11" i="20"/>
  <c r="Q11" i="20" s="1"/>
  <c r="S11" i="20" s="1"/>
  <c r="N12" i="20"/>
  <c r="Q20" i="20"/>
  <c r="S20" i="20" s="1"/>
  <c r="Q19" i="20"/>
  <c r="S19" i="20" s="1"/>
  <c r="R23" i="20"/>
  <c r="T23" i="20" s="1"/>
  <c r="S21" i="20"/>
  <c r="O24" i="20"/>
  <c r="R19" i="20"/>
  <c r="T19" i="20" s="1"/>
  <c r="T21" i="20"/>
  <c r="P24" i="20"/>
  <c r="R22" i="20"/>
  <c r="T22" i="20" s="1"/>
  <c r="R20" i="20"/>
  <c r="T20" i="20" s="1"/>
  <c r="R32" i="32" l="1"/>
  <c r="N15" i="33"/>
  <c r="V11" i="33"/>
  <c r="O27" i="24"/>
  <c r="N30" i="28"/>
  <c r="N31" i="28" s="1"/>
  <c r="N33" i="28" s="1"/>
  <c r="O33" i="32"/>
  <c r="R20" i="24"/>
  <c r="R22" i="24" s="1"/>
  <c r="P22" i="24"/>
  <c r="Q20" i="24"/>
  <c r="S10" i="24"/>
  <c r="O28" i="24" s="1"/>
  <c r="R10" i="20"/>
  <c r="T10" i="20" s="1"/>
  <c r="O57" i="32"/>
  <c r="R42" i="32"/>
  <c r="O56" i="32"/>
  <c r="R41" i="32"/>
  <c r="P60" i="32"/>
  <c r="S45" i="32"/>
  <c r="O59" i="32"/>
  <c r="R44" i="32"/>
  <c r="P61" i="32"/>
  <c r="S46" i="32"/>
  <c r="R43" i="32"/>
  <c r="O58" i="32"/>
  <c r="Q43" i="32"/>
  <c r="N58" i="32"/>
  <c r="P57" i="32"/>
  <c r="S42" i="32"/>
  <c r="T28" i="32"/>
  <c r="P43" i="32" s="1"/>
  <c r="U15" i="33"/>
  <c r="O45" i="32"/>
  <c r="N47" i="32"/>
  <c r="P44" i="32"/>
  <c r="N41" i="32"/>
  <c r="T32" i="32"/>
  <c r="P47" i="32" s="1"/>
  <c r="S32" i="32"/>
  <c r="S31" i="32"/>
  <c r="O46" i="32" s="1"/>
  <c r="S19" i="32"/>
  <c r="V15" i="33"/>
  <c r="Q24" i="20"/>
  <c r="R11" i="20"/>
  <c r="T11" i="20" s="1"/>
  <c r="R9" i="20"/>
  <c r="R12" i="20"/>
  <c r="T12" i="20" s="1"/>
  <c r="Q12" i="20"/>
  <c r="S12" i="20" s="1"/>
  <c r="T24" i="20"/>
  <c r="R24" i="20"/>
  <c r="S24" i="20"/>
  <c r="N32" i="28" l="1"/>
  <c r="S20" i="24"/>
  <c r="S22" i="24" s="1"/>
  <c r="O29" i="24" s="1"/>
  <c r="O30" i="24" s="1"/>
  <c r="Q22" i="24"/>
  <c r="T42" i="32"/>
  <c r="S33" i="32"/>
  <c r="S47" i="32"/>
  <c r="P62" i="32"/>
  <c r="N56" i="32"/>
  <c r="Q41" i="32"/>
  <c r="Q47" i="32"/>
  <c r="N62" i="32"/>
  <c r="O60" i="32"/>
  <c r="R45" i="32"/>
  <c r="T45" i="32" s="1"/>
  <c r="O61" i="32"/>
  <c r="R46" i="32"/>
  <c r="T46" i="32" s="1"/>
  <c r="S43" i="32"/>
  <c r="T43" i="32" s="1"/>
  <c r="P58" i="32"/>
  <c r="S44" i="32"/>
  <c r="T44" i="32" s="1"/>
  <c r="P59" i="32"/>
  <c r="O47" i="32"/>
  <c r="O48" i="32" s="1"/>
  <c r="R29" i="32"/>
  <c r="N44" i="32" s="1"/>
  <c r="R31" i="32"/>
  <c r="N46" i="32" s="1"/>
  <c r="R27" i="32"/>
  <c r="R30" i="32"/>
  <c r="N45" i="32" s="1"/>
  <c r="Q14" i="20"/>
  <c r="S14" i="20"/>
  <c r="R14" i="20"/>
  <c r="T9" i="20"/>
  <c r="T14" i="20" s="1"/>
  <c r="R33" i="32" l="1"/>
  <c r="N60" i="32"/>
  <c r="Q45" i="32"/>
  <c r="Q46" i="32"/>
  <c r="N61" i="32"/>
  <c r="Q44" i="32"/>
  <c r="N59" i="32"/>
  <c r="R47" i="32"/>
  <c r="R48" i="32" s="1"/>
  <c r="O62" i="32"/>
  <c r="O63" i="32" s="1"/>
  <c r="U41" i="32"/>
  <c r="N42" i="32"/>
  <c r="N48" i="32" s="1"/>
  <c r="T47" i="32" l="1"/>
  <c r="Q42" i="32"/>
  <c r="Q48" i="32" s="1"/>
  <c r="N57" i="32"/>
  <c r="N63" i="32" s="1"/>
  <c r="U47" i="32"/>
  <c r="U44" i="32"/>
  <c r="U45" i="32"/>
  <c r="U42" i="32" l="1"/>
  <c r="U46" i="32"/>
  <c r="U43" i="32"/>
  <c r="U48" i="32" l="1"/>
  <c r="P18" i="21"/>
  <c r="P25" i="21" l="1"/>
  <c r="O10" i="21"/>
  <c r="P10" i="21" s="1"/>
  <c r="Q10" i="21" s="1"/>
  <c r="O11" i="21"/>
  <c r="P11" i="21" s="1"/>
  <c r="Q11" i="21" s="1"/>
  <c r="O12" i="21"/>
  <c r="P12" i="21" s="1"/>
  <c r="O13" i="21"/>
  <c r="P13" i="21" s="1"/>
  <c r="O9" i="21"/>
  <c r="N9" i="21"/>
  <c r="P27" i="21" l="1"/>
  <c r="P28" i="21" s="1"/>
  <c r="O14" i="21"/>
  <c r="Q13" i="21"/>
  <c r="Q12" i="21"/>
  <c r="P9" i="21"/>
  <c r="P14" i="21" s="1"/>
  <c r="P19" i="21" l="1"/>
  <c r="P20" i="21" s="1"/>
  <c r="P21" i="21" s="1"/>
  <c r="P22" i="21" s="1"/>
  <c r="P26" i="21"/>
  <c r="P29" i="21" s="1"/>
  <c r="Q9" i="21"/>
  <c r="Q14" i="21" s="1"/>
  <c r="O7" i="32" l="1"/>
  <c r="P26" i="32" s="1"/>
  <c r="P33" i="32" s="1"/>
  <c r="T26" i="32" l="1"/>
  <c r="P41" i="32" l="1"/>
  <c r="P48" i="32" s="1"/>
  <c r="T33" i="32"/>
  <c r="S41" i="32"/>
  <c r="S48" i="32" s="1"/>
  <c r="P56" i="32" l="1"/>
  <c r="P63" i="32" s="1"/>
  <c r="T41" i="32"/>
  <c r="T48"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tc={4D7C6922-D834-1A47-ADE4-8E55F68CE5D0}</author>
    <author>tc={5FAFA94F-E5CA-C647-B8CE-5F5F3EB01F23}</author>
    <author>tc={33DE1402-D9CB-EB42-B428-07227B20D966}</author>
    <author>tc={DF0A2190-0A8D-FA45-8F8A-BB3BA1A2B4EC}</author>
  </authors>
  <commentList>
    <comment ref="N7" authorId="0" shapeId="0" xr:uid="{4D7C6922-D834-1A47-ADE4-8E55F68CE5D0}">
      <text>
        <t>[Threaded comment]
Your version of Excel allows you to read this threaded comment; however, any edits to it will get removed if the file is opened in a newer version of Excel. Learn more: https://go.microsoft.com/fwlink/?linkid=870924
Comment:
    Policy A has an effective date before the inception date of the Risks-Attaching Excess-per-Risk treaty, so it doesn’t get any coverage from this treaty.</t>
      </text>
    </comment>
    <comment ref="S8" authorId="1" shapeId="0" xr:uid="{5FAFA94F-E5CA-C647-B8CE-5F5F3EB01F23}">
      <text>
        <t>[Threaded comment]
Your version of Excel allows you to read this threaded comment; however, any edits to it will get removed if the file is opened in a newer version of Excel. Learn more: https://go.microsoft.com/fwlink/?linkid=870924
Comment:
    ALAE is ceded pro-rata (Friedland pg. 32)</t>
      </text>
    </comment>
    <comment ref="N21" authorId="2" shapeId="0" xr:uid="{33DE1402-D9CB-EB42-B428-07227B20D966}">
      <text>
        <t>[Threaded comment]
Your version of Excel allows you to read this threaded comment; however, any edits to it will get removed if the file is opened in a newer version of Excel. Learn more: https://go.microsoft.com/fwlink/?linkid=870924
Comment:
    Policy C has a loss date outside the effective dates of the Quota Share Losses-Occuring basis treaty, so it is not reinsured by this treaty.</t>
      </text>
    </comment>
    <comment ref="R21" authorId="3" shapeId="0" xr:uid="{DF0A2190-0A8D-FA45-8F8A-BB3BA1A2B4EC}">
      <text>
        <t>[Threaded comment]
Your version of Excel allows you to read this threaded comment; however, any edits to it will get removed if the file is opened in a newer version of Excel. Learn more: https://go.microsoft.com/fwlink/?linkid=870924
Comment:
    Policy C has a loss date outside the effective dates of the Quota Share Losses-Occuring basis treaty, so it is not reinsured by this treaty.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tc={BB85E25B-0AD4-B645-9A5C-4758B350F710}</author>
    <author>tc={F80EF387-318B-0B46-846F-17F925DF2FE7}</author>
  </authors>
  <commentList>
    <comment ref="R10" authorId="0" shapeId="0" xr:uid="{BB85E25B-0AD4-B645-9A5C-4758B350F710}">
      <text>
        <t>[Threaded comment]
Your version of Excel allows you to read this threaded comment; however, any edits to it will get removed if the file is opened in a newer version of Excel. Learn more: https://go.microsoft.com/fwlink/?linkid=870924
Comment:
    See discussion of this selection in part b</t>
      </text>
    </comment>
    <comment ref="R14" authorId="1" shapeId="0" xr:uid="{F80EF387-318B-0B46-846F-17F925DF2FE7}">
      <text>
        <t>[Threaded comment]
Your version of Excel allows you to read this threaded comment; however, any edits to it will get removed if the file is opened in a newer version of Excel. Learn more: https://go.microsoft.com/fwlink/?linkid=870924
Comment:
    See discussion of this selection in part b</t>
      </text>
    </comment>
  </commentList>
</comments>
</file>

<file path=xl/sharedStrings.xml><?xml version="1.0" encoding="utf-8"?>
<sst xmlns="http://schemas.openxmlformats.org/spreadsheetml/2006/main" count="1218" uniqueCount="742">
  <si>
    <t>a.</t>
  </si>
  <si>
    <t>b.</t>
  </si>
  <si>
    <t>c.</t>
  </si>
  <si>
    <t>Part a</t>
  </si>
  <si>
    <t>Part b</t>
  </si>
  <si>
    <t>Part c</t>
  </si>
  <si>
    <t>Solution &gt;</t>
  </si>
  <si>
    <t>SHOW ALL WORK.</t>
  </si>
  <si>
    <t>Discussion</t>
  </si>
  <si>
    <t xml:space="preserve"> </t>
  </si>
  <si>
    <t>A primary insurer is approached to write a commercial property policy with a policy limit and total insured value of $250M.</t>
  </si>
  <si>
    <t>$10M</t>
  </si>
  <si>
    <t xml:space="preserve">• The primary insurer has established a risk appetite net retention of: </t>
  </si>
  <si>
    <t>The primary insurer is concerned about reinsurer credit risk.</t>
  </si>
  <si>
    <t>Fully propose an option for how the primary insurer could underwrite the risk using reinsurance.</t>
  </si>
  <si>
    <t>Identify and briefly describe the main function reinsurance is serving in part a.</t>
  </si>
  <si>
    <t>The primary insurer maintains an excess per risk reinsurance treaty for policies with a Total Insured Value of $25M and below of $20M excess of $5M.</t>
  </si>
  <si>
    <t>The commercial property policy limit is well above the insurer's risk appetite, so the insurer can't write the risk on its own. Furthermore, the current excess per risk reinsurance treaty won't help because the treaty is only for policies with a TIV of $25M and below.
I propose that the ceding insurer get property per risk excess of loss reinsurance through the facultative market for the commercial property policy with a retention of $10M and reinsurance limit of $240M. 
The ceding insurer should look into having the reinsurance contract be a subscription policy with multiple reinsurers subscribing in order to reduce reinsurer credit risk and to only look at reinsurers with high credit ratings.</t>
  </si>
  <si>
    <t>Increasing Capacity - The reinsurance expands the ceding company's ability to write more business and at higher limits.</t>
  </si>
  <si>
    <t>Source</t>
  </si>
  <si>
    <t>Friedland - Pg. 6 and 8-9</t>
  </si>
  <si>
    <t>A small, rapidly growing insurer is concerned about its growing premium-to-surplus ratio. The insurer primarily writes personal Home and Auto insurance</t>
  </si>
  <si>
    <t>Propose a reinsurance solution that will address the insurer's problem and how it will improve the situation.</t>
  </si>
  <si>
    <t>Policy Limit</t>
  </si>
  <si>
    <t># Policies</t>
  </si>
  <si>
    <t>The primary insurer is deciding between two reinsurance options for the upcoming year:</t>
  </si>
  <si>
    <t>Treaty</t>
  </si>
  <si>
    <t>loss reserving purposes.</t>
  </si>
  <si>
    <t>Fully discuss the considerations the actuary should take to appropriately partition the book of business for</t>
  </si>
  <si>
    <t>but ABC also writes quota share, catastrophe treaties and facultative property.</t>
  </si>
  <si>
    <t>Most contracts are treaty contracts and cover excess-per-occurrence losses at various attachment points,</t>
  </si>
  <si>
    <t>and General Liability lines of business.</t>
  </si>
  <si>
    <t>Reinsurer ABC, founded in 1970, writes a diverse mix of contracts for Property, Workers Compensation,</t>
  </si>
  <si>
    <t>Insured</t>
  </si>
  <si>
    <t>Effective Date</t>
  </si>
  <si>
    <t>Loss Occurrence Date</t>
  </si>
  <si>
    <t>Insured Loss</t>
  </si>
  <si>
    <t>Terms</t>
  </si>
  <si>
    <t>30% Ceded</t>
  </si>
  <si>
    <t>Quota Share</t>
  </si>
  <si>
    <t>Expiration Date</t>
  </si>
  <si>
    <t>Fully discuss the following challenges with data for reinsurers including how these challenges impact the actuarial work of estimating unpaid losses for a homogeneous risk group of reinsurance contracts:</t>
  </si>
  <si>
    <t>• Influence of change in operations and environment</t>
  </si>
  <si>
    <t>• Other experience typically excluded from development analyses</t>
  </si>
  <si>
    <t>• Reporting Lags</t>
  </si>
  <si>
    <t>• Heterogeneity of contract wordings</t>
  </si>
  <si>
    <t>Retention</t>
  </si>
  <si>
    <t>Reinsurance Limit</t>
  </si>
  <si>
    <t>• All treaties are written on a risks-attaching basis.</t>
  </si>
  <si>
    <t>Treaty #1</t>
  </si>
  <si>
    <t>Treaty #2</t>
  </si>
  <si>
    <t>Treaty #3</t>
  </si>
  <si>
    <t>Policy Effective Date</t>
  </si>
  <si>
    <t>• Recoveries apply to the subject loss before cession to reinsurance</t>
  </si>
  <si>
    <t>Gross Insured Loss</t>
  </si>
  <si>
    <t>Salvage</t>
  </si>
  <si>
    <t>Expected Subrogation</t>
  </si>
  <si>
    <t>Company ABC</t>
  </si>
  <si>
    <t>ALAE</t>
  </si>
  <si>
    <t>Calculate the net and ceded reported loss &amp; ALAE for year-end 2021.</t>
  </si>
  <si>
    <t>Calculate the net and ceded reported loss &amp; ALAE for year-end 2022.</t>
  </si>
  <si>
    <t>The insurer sets carried reserves net of deductible, salvage, and expected subrogation.</t>
  </si>
  <si>
    <t>Deductible</t>
  </si>
  <si>
    <t>Accident Year</t>
  </si>
  <si>
    <t>Earned Premium</t>
  </si>
  <si>
    <t>A ceding company writes business casualty insurance. It has the following experience gross of reinsurance as of 12/31/22:</t>
  </si>
  <si>
    <t>Reported Loss &amp; ALAE</t>
  </si>
  <si>
    <t>Period</t>
  </si>
  <si>
    <t>Expected Loss Ratio</t>
  </si>
  <si>
    <t>The ceding company has the following reinsurance treaties over the experience period:</t>
  </si>
  <si>
    <t>• Written on a losses-occurring basis</t>
  </si>
  <si>
    <t>Excess of Loss per Occurrence Treaty:</t>
  </si>
  <si>
    <t>Quota Share Treaty:</t>
  </si>
  <si>
    <t>• Reinsurance limit</t>
  </si>
  <si>
    <t>• Retention</t>
  </si>
  <si>
    <t>• Ceded percentage (2016 - 2019)</t>
  </si>
  <si>
    <t>• Losses-occuring basis</t>
  </si>
  <si>
    <t>• ALAE included with loss</t>
  </si>
  <si>
    <t>• Inures to the benefit of the Quota Share treaty</t>
  </si>
  <si>
    <t>• Applies after all other reinsurances</t>
  </si>
  <si>
    <t>The ceding company experienced the following large loss occurrences (&gt;$1M):</t>
  </si>
  <si>
    <t>Loss Date</t>
  </si>
  <si>
    <t>Gross Loss</t>
  </si>
  <si>
    <t>Gross ALAE</t>
  </si>
  <si>
    <t>Paid Loss &amp; ALAE</t>
  </si>
  <si>
    <t>84-Ult</t>
  </si>
  <si>
    <t>12-Ult</t>
  </si>
  <si>
    <t>24-Ult</t>
  </si>
  <si>
    <t>36-Ult</t>
  </si>
  <si>
    <t>48-Ult</t>
  </si>
  <si>
    <t>60-Ult</t>
  </si>
  <si>
    <t>72-Ult</t>
  </si>
  <si>
    <t>All-Years</t>
  </si>
  <si>
    <t>Ultimate Loss Estimates</t>
  </si>
  <si>
    <t>Claims Team</t>
  </si>
  <si>
    <t>Catastrophe Model</t>
  </si>
  <si>
    <t xml:space="preserve">Estimate the ultimate loss projections based on paid and reported loss data using the development method. </t>
  </si>
  <si>
    <t>I propose the insurer use proportional reinsurance such as a quota share treaty to manage its capital and solvency margin as it grows. By ceding a portion of its premium (and loss) to the reinsurer, it will improve the solvency margin until the insurer's surplus is large enough to support the greater business volume on its own.</t>
  </si>
  <si>
    <r>
      <t>Part a</t>
    </r>
    <r>
      <rPr>
        <sz val="12"/>
        <color theme="1"/>
        <rFont val="Calibri"/>
        <family val="2"/>
      </rPr>
      <t xml:space="preserve"> (Any four of the following)</t>
    </r>
  </si>
  <si>
    <t>Friedland - pg. 5-7</t>
  </si>
  <si>
    <r>
      <rPr>
        <b/>
        <sz val="12"/>
        <color theme="1"/>
        <rFont val="Calibri"/>
        <family val="2"/>
      </rPr>
      <t>Promote Stability</t>
    </r>
    <r>
      <rPr>
        <sz val="12"/>
        <color theme="1"/>
        <rFont val="Calibri"/>
        <family val="2"/>
      </rPr>
      <t xml:space="preserve"> – Reinsurance can help stabilize loss experience and protect the ceding company from large, unforeseeable losses. This can decrease the probability of ruin. An example is a casualty excess of loss treaty limiting the impact of large losses.
</t>
    </r>
    <r>
      <rPr>
        <b/>
        <sz val="12"/>
        <color theme="1"/>
        <rFont val="Calibri"/>
        <family val="2"/>
      </rPr>
      <t>Increase Capacity</t>
    </r>
    <r>
      <rPr>
        <sz val="12"/>
        <color theme="1"/>
        <rFont val="Calibri"/>
        <family val="2"/>
      </rPr>
      <t xml:space="preserve"> – Reinsurance can allow the ceding company to increase its capacity to write more business, particularly at higher policy limits. An example is a facultative commercial property contract that allows a ceding company to write larger risks than its risk appetite.
</t>
    </r>
    <r>
      <rPr>
        <b/>
        <sz val="12"/>
        <color theme="1"/>
        <rFont val="Calibri"/>
        <family val="2"/>
      </rPr>
      <t>Protect against Catastrophes</t>
    </r>
    <r>
      <rPr>
        <sz val="12"/>
        <color theme="1"/>
        <rFont val="Calibri"/>
        <family val="2"/>
      </rPr>
      <t xml:space="preserve"> – Reinsurance can protect ceding companies from catastrophic loss events. An example is a property catastrophe treaty to protect against hurricane risk.
</t>
    </r>
    <r>
      <rPr>
        <b/>
        <sz val="12"/>
        <color theme="1"/>
        <rFont val="Calibri"/>
        <family val="2"/>
      </rPr>
      <t>Manage Capital and Solvency Margin</t>
    </r>
    <r>
      <rPr>
        <sz val="12"/>
        <color theme="1"/>
        <rFont val="Calibri"/>
        <family val="2"/>
      </rPr>
      <t xml:space="preserve"> – Reinsurance can help a ceding company pass the risk of large losses to the reinsurer which frees up capital. Premium ceded also reduces the cedent’s net premium-to-surplus ratio (solvency margin). An example is a quota share treaty to provide surplus relief by ceding a portion of business.
</t>
    </r>
    <r>
      <rPr>
        <b/>
        <sz val="12"/>
        <color theme="1"/>
        <rFont val="Calibri"/>
        <family val="2"/>
      </rPr>
      <t>Access Technical Expertise</t>
    </r>
    <r>
      <rPr>
        <sz val="12"/>
        <color theme="1"/>
        <rFont val="Calibri"/>
        <family val="2"/>
      </rPr>
      <t xml:space="preserve"> – Reinsurers have technical expertise in underwriting, marketing, claims, loss prevention, pricing and entering new lines/regions that can help small insurers. An example is a small insurer using a reinsurer's expertise to help it expand from personal lines to commercial lines. </t>
    </r>
  </si>
  <si>
    <t>Identify, describe and give an example of four functions of reinsurance.</t>
  </si>
  <si>
    <t>Fully discuss and contrast treaty and facultative reinsurance and give an example of how a primary insurer might use both types for its commercial property book of business.</t>
  </si>
  <si>
    <r>
      <t xml:space="preserve">Treaty Reinsurance:
</t>
    </r>
    <r>
      <rPr>
        <sz val="12"/>
        <color theme="1"/>
        <rFont val="Calibri"/>
        <family val="2"/>
      </rPr>
      <t xml:space="preserve">• The ceding company enters into a contractual agreement to cede </t>
    </r>
    <r>
      <rPr>
        <i/>
        <u/>
        <sz val="12"/>
        <color theme="1"/>
        <rFont val="Calibri"/>
        <family val="2"/>
      </rPr>
      <t>all business</t>
    </r>
    <r>
      <rPr>
        <sz val="12"/>
        <color theme="1"/>
        <rFont val="Calibri"/>
        <family val="2"/>
      </rPr>
      <t xml:space="preserve"> from certain lines of business specified and the reinsurer agrees to accept the ceded business.
• No individual underwriting of risks by the reinsurer and underwriting risk transfers from the ceding insurer to the reinsurer.</t>
    </r>
    <r>
      <rPr>
        <b/>
        <sz val="12"/>
        <color theme="1"/>
        <rFont val="Calibri"/>
        <family val="2"/>
      </rPr>
      <t xml:space="preserve">
Facultative Reinsurance:
</t>
    </r>
    <r>
      <rPr>
        <sz val="12"/>
        <color theme="1"/>
        <rFont val="Calibri"/>
        <family val="2"/>
      </rPr>
      <t xml:space="preserve">• Risks are </t>
    </r>
    <r>
      <rPr>
        <i/>
        <u/>
        <sz val="12"/>
        <color theme="1"/>
        <rFont val="Calibri"/>
        <family val="2"/>
      </rPr>
      <t>not</t>
    </r>
    <r>
      <rPr>
        <sz val="12"/>
        <color theme="1"/>
        <rFont val="Calibri"/>
        <family val="2"/>
      </rPr>
      <t xml:space="preserve"> automatically ceded
• A reinsurance submission is required for </t>
    </r>
    <r>
      <rPr>
        <i/>
        <u/>
        <sz val="12"/>
        <color theme="1"/>
        <rFont val="Calibri"/>
        <family val="2"/>
      </rPr>
      <t>each risk</t>
    </r>
    <r>
      <rPr>
        <sz val="12"/>
        <color theme="1"/>
        <rFont val="Calibri"/>
        <family val="2"/>
      </rPr>
      <t xml:space="preserve">
• The ceding company can choose whether or not to cede and the reinsurer can choose whether or not to accept a risk and a reinsurance agreement is negotiated for each risk
• Primarily used to increase capacity and for high-value and hazardous commercial risks</t>
    </r>
    <r>
      <rPr>
        <b/>
        <sz val="12"/>
        <color theme="1"/>
        <rFont val="Calibri"/>
        <family val="2"/>
      </rPr>
      <t xml:space="preserve">
Example:</t>
    </r>
    <r>
      <rPr>
        <sz val="12"/>
        <color theme="1"/>
        <rFont val="Calibri"/>
        <family val="2"/>
      </rPr>
      <t xml:space="preserve">
A primary insurer may have a property per risk treaty for medium-sized commercial properties and use facultative reinsurance for larger and more complex property risks to increase capacity.</t>
    </r>
  </si>
  <si>
    <t>Friedland pg. 8-10</t>
  </si>
  <si>
    <t>See the examples in Friedland and note that there are hybrid arrangements (Facultative Automatic and Facultative Obligatory Treaty) that are between facultative and treaty.</t>
  </si>
  <si>
    <t>The actuary at a primary insurer is reviewing its exposure to a recent tornado catastrophe that hit a suburban area on 8/13/22. The insurer has the following book of Homeowners policies in the affected region:</t>
  </si>
  <si>
    <t>Number of Policies</t>
  </si>
  <si>
    <t>Reported Total Insured Loss - 8/13/22 Tornado Event</t>
  </si>
  <si>
    <t># Insureds Suffering Losses</t>
  </si>
  <si>
    <t>The insurer has the following reinsurance treaties covering property insurance:</t>
  </si>
  <si>
    <t>Excess per Risk Treaty</t>
  </si>
  <si>
    <t>Property Catastrophe Treaty</t>
  </si>
  <si>
    <t>The Excess per Risk treaty inures to the benefit of the Property Catastrophe treaty.</t>
  </si>
  <si>
    <t>Calculate the reported loss for the tornado catastrophe ceded to each treaty and net of reinsurance.</t>
  </si>
  <si>
    <t>Below are the broken out individulal major losses (Insured Loss &gt; $1M) attributed to the tornado:</t>
  </si>
  <si>
    <t>Ceded Loss</t>
  </si>
  <si>
    <t>Net Loss</t>
  </si>
  <si>
    <t xml:space="preserve">Total </t>
  </si>
  <si>
    <t>The excess per risk treaty inures to the benefit of the Property CAT treaty, so apply that first to the large losses above the retention:</t>
  </si>
  <si>
    <t>Ceded to Excess per Risk</t>
  </si>
  <si>
    <t>&lt;- Includes the $17.45M of individual major losses</t>
  </si>
  <si>
    <t>- Ceded to Excess per Risk</t>
  </si>
  <si>
    <t>- Ceded to Property CAT</t>
  </si>
  <si>
    <t>Calculate the loss ceded to the Property CAT treaty and the net reported loss:</t>
  </si>
  <si>
    <t>Calculate the reported loss for the tornado catastrophe ceded to each treaty and net of reinsurance if the Excess per Risk treaty instead inured to the benefit of the reinsured.</t>
  </si>
  <si>
    <t>Subject Loss (Property CAT)</t>
  </si>
  <si>
    <t>= Subject Loss (Property CAT)</t>
  </si>
  <si>
    <t>Compared to Property non-Catastrophe reinsurance losses, Property Catastrophe reinsurance losses have much greater volatility, so methods using age-to-age factors are often not appropriate. The actuary should consider developing ultimate loss for the book excluding the catastrophe and using catastrophe models and claims professionals to help estimate ultimate loss for the Tornado catastrophe event.</t>
  </si>
  <si>
    <t>Discuss any adjustments the actuary should consider when estimating the ultimate ceded loss for the Homeowner's book of business for 2022.</t>
  </si>
  <si>
    <t>Friedland pg. 14-16</t>
  </si>
  <si>
    <t>The goal is to partition the book into reasonably homogenous risk groups with consistent mixes of business.
First, groups should be split out by line of business since property, WC, and GL will all have very different development patterns.
If asbestos/pollution is covered under some of the old treaties, those exposures should be split out.
The book should be split out by type of contract (treaty vs. facultative) and cover (quota share vs. excess vs. catastrophe). Casualty excess contracts should be partitioned by attachment point because treaties with a 200k retention will develop very differently than treaties with a 1M or higher retention.</t>
  </si>
  <si>
    <t>The first step for reinsurance loss reserving is to partition the reinsurance portfolio into reasonably homogenous risk groups. The level of partitioning will depend on how big the book is because it’s important that each partition has enough experience and exposures to be credible.
According to Patrik (Friedland pg. 27), the most important variables are:
•	Line of business
•	Type of contract
•	Type of reinsurance cover
•	Primary line of business (for casualty)
•	Attachment point (for casualty)
Less important variables:
•	Contract terms
•	Type of cedant
•	Intermediary</t>
  </si>
  <si>
    <t>Influence of change in operations and environment</t>
  </si>
  <si>
    <t>Other experience typically excluded from development analyses</t>
  </si>
  <si>
    <t>Reporting Lags</t>
  </si>
  <si>
    <t>Heterogeneity of contract wordings</t>
  </si>
  <si>
    <t xml:space="preserve">The reinsurer may exclude discontinued business (run-off) from the analysis because it can distort historical loss patterns and discontinued business might not be representative of ongoing business. This is particularly true for discontinued business like asbestos, envoronmental liability, etc. Development patterns and loss ratios should be selected to reflect ongoing business. </t>
  </si>
  <si>
    <t>Friedland pg. 35-36, 24</t>
  </si>
  <si>
    <t>Claims must first be reported to the ceding company before it can be reported to the reinsurer. This results in a lag in loss data for the reinsurer that can be significant. This is especially true for excess of loss reinsurance because claims often take time before the insurer sees that it may exceed the reinsurance retention. Bordereau reporting also means losses are only reported infrequently.</t>
  </si>
  <si>
    <t>Reinsurance contracts have wording, so terms and conditions can vary widely among contracts and over time. This makes it challenging to ensure that loss data for a homogenized risk group is reasonably similar in terms of coverage and losses in order to estimate unpaid losses appropriately.</t>
  </si>
  <si>
    <t>Operational changes can take place both at the reinsurer level as well as at ceding companies. Both  can affect estimating unpaid losses. Operational changes can include modernizing policy administration and claims systems as well as the increased use of analytics and big data. These changes can impact reporting and payment patterns of ceded losses that are used to estimate unpaid losses.
Changes in the legal/economic environments of ceding companies (e.g. tort reform) can impact losses ceded to reinsurers and future loss development might not look like historical loss development.</t>
  </si>
  <si>
    <t>Total Insured Loss ($000)</t>
  </si>
  <si>
    <t>Data are sufficient if they included all information needed for the actuarial work.</t>
  </si>
  <si>
    <t>The manuscript nature of reinsurance where terms and coverages can vary widely means it's more challenging to have loss data that will develop similarly in the future. Also, changes at the ceding company level can violate the assumption of consistency in mix of business, attachment points, limits, claims processing, etc.</t>
  </si>
  <si>
    <t>Data are reliable if they are sufficiently complete, consistent and accurate for the purposes of the work.</t>
  </si>
  <si>
    <t>Challenges for a reinsurer include:</t>
  </si>
  <si>
    <t>• Each ceding company/broker has different IT systems, terminology, etc.
• Bordereau reporting can differ (types of data, labeling, frequency)
• Reporting lags (Claims are reported to ceding company first and then to the reinsurer)
• Gaps in reporting of critical claims information by the ceding company
• Manuscript nature of reinsurance policies</t>
  </si>
  <si>
    <t>Depending on the point value of part b, you probably only need to report a few of the particular challenges. A good rule of thumb is 0.25 points per piece of information.</t>
  </si>
  <si>
    <t>Friedland - pg. 22-24</t>
  </si>
  <si>
    <t>Earned Prem ($000)</t>
  </si>
  <si>
    <t>Expected Ult Loss ($000)</t>
  </si>
  <si>
    <t>The insurer projects the following gross experience for commercial auto policies written in the upcoming year:</t>
  </si>
  <si>
    <t xml:space="preserve">Retained Line = </t>
  </si>
  <si>
    <t>Number of Lines =</t>
  </si>
  <si>
    <t>A primary insurer writes personal and commercial auto insurance. It has a risk appetite framework of $5M net retention per policy. The insurer would like to write commercial auto policies up to a $20M limit.</t>
  </si>
  <si>
    <t>• Option 1: A three-line surplus share treaty with a $5M retained line</t>
  </si>
  <si>
    <t>The insurer would like to retain as much business as possible subject to its risk appetite per policy.</t>
  </si>
  <si>
    <t xml:space="preserve">Maximum Retained = </t>
  </si>
  <si>
    <t>% Ceded</t>
  </si>
  <si>
    <t>Gross</t>
  </si>
  <si>
    <t>Ceded</t>
  </si>
  <si>
    <t>Net</t>
  </si>
  <si>
    <t>Total</t>
  </si>
  <si>
    <t>• Option 2: A quota share treaty with fixed cession percentage =</t>
  </si>
  <si>
    <t>Calculate the ceded and net earned premium and expected ultimate loss for Option 1, the surplus share treaty.</t>
  </si>
  <si>
    <t>Calculate the ceded and net earned premium and expected ultimate loss for Option 2, the quota share treaty.</t>
  </si>
  <si>
    <t>Both the treaties are proportional reinsurance, so premiums and losses are shared between the primary insurer and reinsurer ground-up according to the cession percentage. For policies with a 20M policy limit, the cession percentage is 75% for both treaties, so we can see that the ceded and net numbers are the same for that row.
Unlike the quota share treaty which has a fixed 75% cession percentage, the cession percentage for a surplus share treaty vary for different policy limits. For policy limits at or below the retained line ($5M here), 0% is ceded. The primary insurer retains a fixed maximum amount for each risk of $5M.
The goal of the insurer is to increase capacity while retaining as much business as possible, but no more than $5M per policy. The surplus share is a much better option because it allows the insurer to retain the majority of the business and stay within its risk appetite.</t>
  </si>
  <si>
    <t>Fully compare and contrast the two reinsurance options and decide which option the insurer should select based on the insurer's goals.</t>
  </si>
  <si>
    <t>Friedland - pg. 10-13</t>
  </si>
  <si>
    <t>Note that the 3-line surplus share means a maximum amount of $15M can be ceded ( = 3 * $5M ). If a policy limit were $25M, then the ceded percentage would be 15M / 25M = 60%.</t>
  </si>
  <si>
    <t>A</t>
  </si>
  <si>
    <t>B</t>
  </si>
  <si>
    <t>C</t>
  </si>
  <si>
    <t>The primary insurer has the following reinsurance treaties covering commercial casualty:</t>
  </si>
  <si>
    <t>Excess per Risk</t>
  </si>
  <si>
    <t>Business Covered Clause</t>
  </si>
  <si>
    <t>ALAE Treatment</t>
  </si>
  <si>
    <t>Risks-Attaching Basis</t>
  </si>
  <si>
    <t>Losses-Occurring Basis</t>
  </si>
  <si>
    <t>Pro-Rata</t>
  </si>
  <si>
    <t>7.5M excess of 2.5M</t>
  </si>
  <si>
    <t>The Excess per Risk treaty inures to the benefit of the Quota Share Treaty.</t>
  </si>
  <si>
    <t>Calculate the net Loss &amp; ALAE retained by the primary insurer and the Loss &amp; ALAE ceded to each reinsurance contract.</t>
  </si>
  <si>
    <t>Policy</t>
  </si>
  <si>
    <t>No</t>
  </si>
  <si>
    <t>Attaches to Excess per Risk?</t>
  </si>
  <si>
    <t>Yes</t>
  </si>
  <si>
    <t>A primary insurer has the following insured losses for a subset of commercial casualty policies with significant losses in 2021:</t>
  </si>
  <si>
    <t xml:space="preserve">Reinsurance Limit = </t>
  </si>
  <si>
    <t xml:space="preserve">Retention = </t>
  </si>
  <si>
    <t>Ceded ALAE</t>
  </si>
  <si>
    <t>Next, we apply the Quota Share treaty after subtracting out the ceded losses from the Excess per Risk treaty. This is a Losses-Occuring basis treaty, so only losses with a loss occurrence date between 1/1/21 and 12/31/21 are reinsured:</t>
  </si>
  <si>
    <t>Subject Loss</t>
  </si>
  <si>
    <t>Subject ALAE</t>
  </si>
  <si>
    <t xml:space="preserve">Cession percentage = </t>
  </si>
  <si>
    <t>Reinsured by Quota Share?</t>
  </si>
  <si>
    <t>Gross Loss &amp; ALAE</t>
  </si>
  <si>
    <t>Loss &amp; ALAE Summary:</t>
  </si>
  <si>
    <t>Ceded to Quota Share</t>
  </si>
  <si>
    <t>Net Loss &amp; ALAE</t>
  </si>
  <si>
    <t>The insurer has the following Property Excess per Risk reinsurance treaties:</t>
  </si>
  <si>
    <t>Treaty #1 applies because the treaties are risks-attaching and the policy effective date is 4/15/20.</t>
  </si>
  <si>
    <t>Gross Loss =</t>
  </si>
  <si>
    <t>Gross ALAE =</t>
  </si>
  <si>
    <t>Recoveries =</t>
  </si>
  <si>
    <t>Rept Loss &amp; ALAE =</t>
  </si>
  <si>
    <t xml:space="preserve">Subject Loss = </t>
  </si>
  <si>
    <t xml:space="preserve">Ceded Loss = </t>
  </si>
  <si>
    <t xml:space="preserve">Net Loss = </t>
  </si>
  <si>
    <t xml:space="preserve">Ceded ALAE = </t>
  </si>
  <si>
    <t xml:space="preserve">Net ALAE = </t>
  </si>
  <si>
    <t>In 2022, the subrogation amount increases to :</t>
  </si>
  <si>
    <t>Discuss how the $2M subrogation recovery is split between the insured, primary insurer or reinsurer.</t>
  </si>
  <si>
    <r>
      <t xml:space="preserve">The insured doesn't benefit from the subrogation. Because recoveries apply to the subject loss </t>
    </r>
    <r>
      <rPr>
        <i/>
        <u/>
        <sz val="12"/>
        <color theme="1"/>
        <rFont val="Calibri"/>
        <family val="2"/>
      </rPr>
      <t>before</t>
    </r>
    <r>
      <rPr>
        <sz val="12"/>
        <color theme="1"/>
        <rFont val="Calibri"/>
        <family val="2"/>
      </rPr>
      <t xml:space="preserve"> cession to the reinsurer, the additional subrogation benefits the reinsurer first. The $740,000 ceded will be reduced to zero because the subject loss is now less than the retention. Because the ALAE is treated pro-rata, the ceded ALAE will also drop to zero now that no loss is ceded. The reinsurer benefits $740,000 + $92,500 = $832,500. The remaining amount of the extra $1M subrogation will benefit the insurer.</t>
    </r>
  </si>
  <si>
    <t>• ALAE is included on a pro rata basis (using the ratio of Ceded Loss to Gross Insured Loss)</t>
  </si>
  <si>
    <t>Friedland - pg. 32-34</t>
  </si>
  <si>
    <t>Reported Loss &amp; ALAE for Year-End 2021:</t>
  </si>
  <si>
    <t>Reported Loss &amp; ALAE for Year-End 2022:</t>
  </si>
  <si>
    <t>Reported</t>
  </si>
  <si>
    <t>Paid</t>
  </si>
  <si>
    <t>Reported Loss</t>
  </si>
  <si>
    <t>Paid Loss</t>
  </si>
  <si>
    <t>Hurricane</t>
  </si>
  <si>
    <t>Wildfire</t>
  </si>
  <si>
    <t>Reported Loss ($000)</t>
  </si>
  <si>
    <t>Paid Loss
($000)</t>
  </si>
  <si>
    <t>Gross Premium and Loss Experience ($000)</t>
  </si>
  <si>
    <t>Case Outstanding</t>
  </si>
  <si>
    <t>Paid ALAE</t>
  </si>
  <si>
    <t>• Ceded percentage (2020 - 2022)</t>
  </si>
  <si>
    <t>Estimated Ultimate</t>
  </si>
  <si>
    <t>Projected Ultimate with CAT Adjustment</t>
  </si>
  <si>
    <t>Briefly discuss the implications of volatility in age-to-age factors for property reinsurance catastrophe compared to property reinsurance.</t>
  </si>
  <si>
    <t>Reported Cumulative Development Factors - Net</t>
  </si>
  <si>
    <t>Paid Cumulative Development Factors - Net</t>
  </si>
  <si>
    <t>The volatility for property reinsurance catastrophe is significantly higher than for property reinsurance excluding catastrophe. The greater volatility can lead to greater uncertainty in the projection of ultimate losses for both the development method and other methods like the BF method.</t>
  </si>
  <si>
    <t>Friedland - pg. 55-59</t>
  </si>
  <si>
    <t>Cumulative Development Factors - Gross Loss &amp; ALAE</t>
  </si>
  <si>
    <t>% Unreported</t>
  </si>
  <si>
    <t>AY</t>
  </si>
  <si>
    <t>QS % Ceded</t>
  </si>
  <si>
    <t>IBNR</t>
  </si>
  <si>
    <t>Ceded Loss &amp; ALAE</t>
  </si>
  <si>
    <t>First, calculate the gross selected ultimate loss:</t>
  </si>
  <si>
    <t>Apply the Excess of Loss per Occurrence Treaty first since it inures to the benefit of the quota share:</t>
  </si>
  <si>
    <t>Ultimate</t>
  </si>
  <si>
    <t>Ceded to Quota Share Reinsurance</t>
  </si>
  <si>
    <t>Gross of Stop Loss Reinsurance</t>
  </si>
  <si>
    <t>Ceded to Stop Loss Reinsurance</t>
  </si>
  <si>
    <t>Net of ALL Reinsurance</t>
  </si>
  <si>
    <t>Calculate the retained Ultimate, Reported, Paid and IBNR Loss &amp; ALAE after all reinsurance using the reported Bornhuetter-Furgeson method.</t>
  </si>
  <si>
    <t>Gross Selected Ultimate</t>
  </si>
  <si>
    <t>Ultimate Loss</t>
  </si>
  <si>
    <t>Gross of Quota Share Reinsurance 
(Net of Excess per Occurrence)</t>
  </si>
  <si>
    <t>Then, apply the Quota Share Treaty after subtracting the losses ceded to the Excess per Occurrence treaty:</t>
  </si>
  <si>
    <t>• The large losses aren't expected to develop further beyond current case reserves</t>
  </si>
  <si>
    <t>Case O/S</t>
  </si>
  <si>
    <t>Annual Aggregate Excess of Loss Treaty:</t>
  </si>
  <si>
    <t>Finally, apply the Stop Loss treaty (Annual Aggregate Excess of Loss):</t>
  </si>
  <si>
    <t>Retention ($000)</t>
  </si>
  <si>
    <t>Below is a table of the losses ceded to the aggregate excess of loss treaty. Note that if you change the reinsurance limit for the stop loss to $4M (cell I29), the ultimate Loss &amp; ALAE amount ceded in AY 2018 is capped would be capped at 4M.</t>
  </si>
  <si>
    <t>Friedland - pg. 16, 61-64</t>
  </si>
  <si>
    <t xml:space="preserve">In 2020, a primary insurer wrote annual commercial property policies with policy limits between $5M and $10M. An insured had a major fire loss due to an equipment failure. </t>
  </si>
  <si>
    <r>
      <t xml:space="preserve">Briefly describe the requirement of </t>
    </r>
    <r>
      <rPr>
        <i/>
        <u/>
        <sz val="12"/>
        <color theme="1"/>
        <rFont val="Calibri"/>
        <family val="2"/>
      </rPr>
      <t>sufficiency</t>
    </r>
    <r>
      <rPr>
        <sz val="12"/>
        <color theme="1"/>
        <rFont val="Calibri"/>
        <family val="2"/>
      </rPr>
      <t xml:space="preserve"> of data for actuarial work and discuss the challenges for reinsurers compared to primary insurers.</t>
    </r>
  </si>
  <si>
    <r>
      <t xml:space="preserve">Briefly describe the requirement of </t>
    </r>
    <r>
      <rPr>
        <i/>
        <u/>
        <sz val="12"/>
        <color theme="1"/>
        <rFont val="Calibri"/>
        <family val="2"/>
      </rPr>
      <t>reliablility</t>
    </r>
    <r>
      <rPr>
        <sz val="12"/>
        <color theme="1"/>
        <rFont val="Calibri"/>
        <family val="2"/>
      </rPr>
      <t xml:space="preserve"> of data for actuarial work and discuss the challenges for reinsurers compared to primary insurers.</t>
    </r>
  </si>
  <si>
    <t>Briefly describe the importance of homogeneity and credibility of data for estimating unpaid losses and discuss the differences in considerations for reinsurers compared to primary insurers.</t>
  </si>
  <si>
    <t xml:space="preserve">It's important to segment data into homogeneous risk groups with similar risk characteristics without compromising credibility to estimate reserves appropriately. This ensures the risks develop similarly and that there's enough data to do a good analysis. 
Reinsurers segment data differently. Primary insurance actuaries may aggregate data by line or sub-line of business, but a reinsurer should also segment based on the type of reinsurance contract (treaty vs. facultative, proportional vs. non-proportional, and at different limits). Reinsurers often don't segment by sub-coverage or jursidiction. </t>
  </si>
  <si>
    <t>Calculate the retained Ultimate Loss &amp; ALAE after the Quota Share and Excess of Loss per Occurrence treaties using the reported Bornhuetter-Furgeson method.</t>
  </si>
  <si>
    <t>This is a trickier problem than it first appears because you need to pay close attention to the various terms and conditions of each treaty as well as how they interact. Most importantly, pay attention to the following:
• Loss-Occuring Basis vs. Risks-Attaching Basis (determines if a loss is covered or not)
• ALAE treatment
• Terms of the treaty (ceded %, retentions, reinsurance limit, etc.)
• Inuring reinsurance
For reinsurance that inures to other reinsurance (not the reinsured), the most important thing is to figure out the order in which reinsurance contracts apply.</t>
  </si>
  <si>
    <t>RF Friedland - 1</t>
  </si>
  <si>
    <t>RF Friedland - 2</t>
  </si>
  <si>
    <t>RF Friedland - 3</t>
  </si>
  <si>
    <t>RF Friedland - 4</t>
  </si>
  <si>
    <t>RF Friedland - 5</t>
  </si>
  <si>
    <t>RF Friedland - 6</t>
  </si>
  <si>
    <t>RF Friedland - 7</t>
  </si>
  <si>
    <t>RF Friedland - 8</t>
  </si>
  <si>
    <t>RF Friedland - 9</t>
  </si>
  <si>
    <t>RF Friedland - 10</t>
  </si>
  <si>
    <t>RF Friedland - 11</t>
  </si>
  <si>
    <t>RF Friedland - 12</t>
  </si>
  <si>
    <t>Apply the Excess per Risk treaty first since it inures to the benefit of the Quota Share treaty. It's on a Risks-Attaching Basis, so only Policies B and C attach to the Excess per Risk treaty because their effective date is during the effective period of the treaty (1/1/21 - 12/31/21).</t>
  </si>
  <si>
    <t>Net Ultimate Loss &amp; ALAE</t>
  </si>
  <si>
    <t>Friedland - Proportional Reinsurance</t>
  </si>
  <si>
    <t>Friedland - Excess Per Risk Reinsurance</t>
  </si>
  <si>
    <t>Friedland - Excess per Occurrence and Catastrophe Reinsurance</t>
  </si>
  <si>
    <t>Friedland - Annual Aggregate Excess of Loss (Stop Loss)</t>
  </si>
  <si>
    <t>Friedland - Projected Ultimate Loss with Catastrophe Adjustment</t>
  </si>
  <si>
    <t>Friedland - Projecting Ultimate Loss</t>
  </si>
  <si>
    <t>Recipe</t>
  </si>
  <si>
    <t>Note that many different examples are possible. Compare your answer to the examples in Friedland. On the exam, this might show up as a multiple selection problem.</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</si>
  <si>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</si>
  <si>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</si>
  <si>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</si>
  <si>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</si>
  <si>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</si>
  <si>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t>If You Get Stuck Or Have Questions</t>
  </si>
  <si>
    <t>Difference</t>
  </si>
  <si>
    <t>#6</t>
  </si>
  <si>
    <t>#5</t>
  </si>
  <si>
    <t>#4</t>
  </si>
  <si>
    <t>#3</t>
  </si>
  <si>
    <t>#2</t>
  </si>
  <si>
    <t>#1</t>
  </si>
  <si>
    <t>Percentage</t>
  </si>
  <si>
    <t>Ultimate Losses ($000)</t>
  </si>
  <si>
    <t>Instead of the surplus share treaty, suppose the insurer enters into a quota share treaty with a fixed cession percentage of 65%. Calculate the difference in ceded ultimate losses between the surplus share treaty and the quota share treaty.</t>
  </si>
  <si>
    <t>Part b:</t>
  </si>
  <si>
    <t>Net Ult. Loss Ratio =</t>
  </si>
  <si>
    <t>Calculate the total ultimate net loss ratio for the insurer under the surplus share treaty.</t>
  </si>
  <si>
    <t>Net Ult. Loss =</t>
  </si>
  <si>
    <t>Net EP =</t>
  </si>
  <si>
    <t>Policy Limit ($M)</t>
  </si>
  <si>
    <t>Ultimate Loss ($000)</t>
  </si>
  <si>
    <t>Earned Premium ($000)</t>
  </si>
  <si>
    <t>Maximum Ceded</t>
  </si>
  <si>
    <t>Retained Line</t>
  </si>
  <si>
    <t>Part a:</t>
  </si>
  <si>
    <t>An insurer wants to write commercial auto policies with a maximum limit of $25 million per policy. The insurer's retained line is $5 million per policy. To increase its capacity, the insurer purchases a four-line surplus share treaty. There are six underlying policies written by the cedant. The gross losses and premiums for each policy are as follows:</t>
  </si>
  <si>
    <t>Solution -&gt;</t>
  </si>
  <si>
    <t>RF Friedland - 13</t>
  </si>
  <si>
    <t>Calculate the net reported loss for the insured.</t>
  </si>
  <si>
    <t>Calculate the reported wildfire losses ceded to each treaty.</t>
  </si>
  <si>
    <t>• No loss breached the policy limit of the underlying personal property policy</t>
  </si>
  <si>
    <t>Net Reported Loss =</t>
  </si>
  <si>
    <t>Individual Losses Per Policy</t>
  </si>
  <si>
    <t>A wildfire occurs with the following reported losses:</t>
  </si>
  <si>
    <t>Ceded to CAT Treaty =</t>
  </si>
  <si>
    <t>Amount Subject to CAT Treaty =</t>
  </si>
  <si>
    <t>The Excess Per Risk Treaty inures to the benefit of the Property Catastrophe Treaty.</t>
  </si>
  <si>
    <t>Total Insured Losses =</t>
  </si>
  <si>
    <t>Limit</t>
  </si>
  <si>
    <t>Next, let's calculate the amount ceded to the Property CAT treaty:</t>
  </si>
  <si>
    <t>Excess Per Risk Treaty</t>
  </si>
  <si>
    <t>Ceded to Excess Per Risk =</t>
  </si>
  <si>
    <t>To cover losses from these policies, the insurer purchases two reinsurance contracts:</t>
  </si>
  <si>
    <t>Losses Ceded to Excess Per Risk</t>
  </si>
  <si>
    <t>Total Insured Losses</t>
  </si>
  <si>
    <t>Since the excess per risk treaty inures to the benefit of the property CAT treaty, we apply it first:</t>
  </si>
  <si>
    <t>An insured writes 250 personal property policies with the following distribution by policy limit:</t>
  </si>
  <si>
    <t>Suppose that the Business Covered Clause was on a Losses-Occurring Basis and that ALAE was combined with losses when determining the reinsurance recovery. Calculate the ceded loss and ALAE to the treaty from the losses and ALAE above.</t>
  </si>
  <si>
    <t>Calculate the ceded loss and ALAE to the treaty from the losses and ALAE above.</t>
  </si>
  <si>
    <t>Ceded Loss and ALAE =</t>
  </si>
  <si>
    <t>• ALAE Treatment = Pro-Rata</t>
  </si>
  <si>
    <t>&lt;-Policy does not attach since loss occurs after treaty effective date</t>
  </si>
  <si>
    <t>• Business Covered Clause = Risks-Attaching Basis</t>
  </si>
  <si>
    <t>• Limit =</t>
  </si>
  <si>
    <t>• Retention =</t>
  </si>
  <si>
    <t>&lt;-Policy does not attach since loss occurs before treaty effective date</t>
  </si>
  <si>
    <t>• Expiration Date =</t>
  </si>
  <si>
    <t>Attaches?</t>
  </si>
  <si>
    <t xml:space="preserve">• Effective Date = </t>
  </si>
  <si>
    <t>The insurer has an Excess Per Risk reinsurance treaty to cover excess losses for the policies above. The treaty has the following characteristics:</t>
  </si>
  <si>
    <t>&lt;-Policy does not attach since written before treaty effective date</t>
  </si>
  <si>
    <t>Loss</t>
  </si>
  <si>
    <t>An insurer writes four commercial property policies with the following losses and ALAE:</t>
  </si>
  <si>
    <t>Retained Ult Loss &amp; ALAE =</t>
  </si>
  <si>
    <t>Calculate the retained ultimate loss &amp; ALAE after all reinsurance as of December 31, 2022 using the reported development method.</t>
  </si>
  <si>
    <t>• Applies after all other reinsurance treaties</t>
  </si>
  <si>
    <t>• Limit for each AY =</t>
  </si>
  <si>
    <t>Annual Aggregate Stop-Loss Treaty</t>
  </si>
  <si>
    <t>SL Limit</t>
  </si>
  <si>
    <t>• Inures to the benefit of the quota share treaty</t>
  </si>
  <si>
    <t>Retained Ult After QS, EPO, and SL</t>
  </si>
  <si>
    <t>Ult Net of Excess Per Occ &amp; QS</t>
  </si>
  <si>
    <t>Included with Loss</t>
  </si>
  <si>
    <t xml:space="preserve">• ALAE Treatment = </t>
  </si>
  <si>
    <t>Apply the Aggregate Stop-Loss</t>
  </si>
  <si>
    <t xml:space="preserve">• Limit = </t>
  </si>
  <si>
    <t xml:space="preserve">• Retention = </t>
  </si>
  <si>
    <t>Losses-Occuring Basis</t>
  </si>
  <si>
    <t xml:space="preserve">• Business Covered Clause = </t>
  </si>
  <si>
    <t>Excess Per Occurrence Treaty</t>
  </si>
  <si>
    <t xml:space="preserve">• Fixed Cession Percentage = </t>
  </si>
  <si>
    <t>Quota Share Treaty</t>
  </si>
  <si>
    <t>Ceded to QS</t>
  </si>
  <si>
    <t>Ult Net of Excess Per Occ</t>
  </si>
  <si>
    <t>Each treaty begins on January 1 of each year and expires on December 31 of each year:</t>
  </si>
  <si>
    <t>Apply the Quota Share Treaty:</t>
  </si>
  <si>
    <t>The insurer has the following reinsurance treaties that apply to all losses that have occurred since 1/1/2018.</t>
  </si>
  <si>
    <t xml:space="preserve">• Estimated Ultimate Loss &amp; ALAE = </t>
  </si>
  <si>
    <t>March 15, 2019 and had the following loss chracteristics:</t>
  </si>
  <si>
    <t>Over the past five years, there has been one large loss greater than $1,000,000. The loss occurred on</t>
  </si>
  <si>
    <t>LDF</t>
  </si>
  <si>
    <t>48-60</t>
  </si>
  <si>
    <t>36-48</t>
  </si>
  <si>
    <t>24-36</t>
  </si>
  <si>
    <t>12-24</t>
  </si>
  <si>
    <t>Interval</t>
  </si>
  <si>
    <t>Ceded to Excess Per Occ</t>
  </si>
  <si>
    <t>Large Loss &amp; ALAE Ult.</t>
  </si>
  <si>
    <t>Gross Ult Loss &amp; ALAE</t>
  </si>
  <si>
    <t>development factors (LDFs):</t>
  </si>
  <si>
    <t>Apply the Excess Per Occurrence Treaty first since it inures to the benefit of the quota share treaty:</t>
  </si>
  <si>
    <t>An analysis of the gross reported loss and ALAE triangles resulted in the following selected loss</t>
  </si>
  <si>
    <t>Ultimate Loss &amp; ALAE</t>
  </si>
  <si>
    <t>Paid Loss &amp; ALAE ($)</t>
  </si>
  <si>
    <t>Reported Loss &amp; ALAE ($)</t>
  </si>
  <si>
    <t>Calculate the gross ultimate losses and ALAE:</t>
  </si>
  <si>
    <t>An insurer has the following experience gross of reinsurance as of December 31, 2022:</t>
  </si>
  <si>
    <t>In 2022, the insurer cedes 50,000 to the reinsurer. In 2023, the insurer should no longer be ceding losses &amp; ALAE to the reinsurer since the unexpected subrogation dropped the loss &amp; ALAE below the retention of $1,000,000. The insurer should return $50,000 in loss &amp; ALAE payments to the reinsurer.</t>
  </si>
  <si>
    <t>Loss &amp; ALAE Net of Salvage =</t>
  </si>
  <si>
    <t>Received Subrogation =</t>
  </si>
  <si>
    <t>Received Salvage =</t>
  </si>
  <si>
    <t>Gross Loss &amp; ALAE =</t>
  </si>
  <si>
    <t>Ceded Loss &amp; ALAE =</t>
  </si>
  <si>
    <t>Suppose the original gross loss and ALAE amount was $1,800,000 instead of $3,000,000. Further suppose that the salvage and subrogation events occur exactly as described above. Explain whether or not the reinsurer should expect return payments in 2023.</t>
  </si>
  <si>
    <t>On May 15, 2023, the insurer received an unexpected subrogation amount of $100,000. All other loss characteristics remain unchanged. For year-end 2023, calculate the losses net of salvage and subrogation and reinsurance associated with this treaty.</t>
  </si>
  <si>
    <t>Part c:</t>
  </si>
  <si>
    <t>Net Loss &amp; ALAE =</t>
  </si>
  <si>
    <t>For year-end 2022, calculate the reported losses net of salvage and subrogation and reinsurance associated with this treaty.</t>
  </si>
  <si>
    <t>No other losses occurred in 2022.</t>
  </si>
  <si>
    <t>On October 31, 2022, the insurer received salvage recoveries of $750,000. No other salvage or subrogation recoveries were expected after this.</t>
  </si>
  <si>
    <t>On February 25, 2022, an insured experienced loss &amp; ALAE gross of salvage &amp; subrogation equal to $3,000,000.</t>
  </si>
  <si>
    <t>Losses-occurring basis</t>
  </si>
  <si>
    <t>• Business covered clause =</t>
  </si>
  <si>
    <t>• Treaty expiration date =</t>
  </si>
  <si>
    <t>• Treaty effective date =</t>
  </si>
  <si>
    <t>In 2022, an insurer wrote $5 million limit commercial property policies and maintained commercial property excess per risk reinsurance with the following characteristics:</t>
  </si>
  <si>
    <t>Friedland - Currency Exchange Rate Changes</t>
  </si>
  <si>
    <t>Create an aggregate loss triangle in USD. Justify your approach.</t>
  </si>
  <si>
    <t>When creating an aggregate currency triangle, it's best to use a single point-in-time exchange rate to ensure that the underlying reporting pattern is maintained. Thus, I converted all Euro losses to USD using the 12/31/22 exchange rate.</t>
  </si>
  <si>
    <t>USD-Euro Exchange Rate as of xx months:</t>
  </si>
  <si>
    <t>Aggregate Losses in USD as of xx months (000):</t>
  </si>
  <si>
    <t>Euro Losses as of xx months (000):</t>
  </si>
  <si>
    <t>Euro Losses Converted to USD as of xx months (000):</t>
  </si>
  <si>
    <t>USD Losses as of xx months (000):</t>
  </si>
  <si>
    <t>Given the following USD reported loss triangle, Euro reported loss triangle, and USD-Euro exchange rate triangles for a reinsurer as of December 31, 2022:</t>
  </si>
  <si>
    <t>It is common for the reinsurer to increase the price or the attachment point of the stop-loss coverage. Furthermore, multiple breaches of a stop-loss limit may make it difficult for a ceding company to secure
stop-loss coverage in the future</t>
  </si>
  <si>
    <t>Question #37</t>
  </si>
  <si>
    <t>Changes in settlement practices (captured by the numerator) might offset changes in case outstanding</t>
  </si>
  <si>
    <t>Question #36</t>
  </si>
  <si>
    <t>3. Add the catastrophe reserves to the non-catastrophic reserves to obtain the total reserves</t>
  </si>
  <si>
    <t>2. Project non-catastrophic losses using traditional methods such as the loss development method</t>
  </si>
  <si>
    <t>1. Set reserves for each individual catastrophe event based on ground-up assessments from the claims team or a catastrophe model</t>
  </si>
  <si>
    <t>Part e:</t>
  </si>
  <si>
    <t>There are typically delays associated with non-proportional reinsurance. For example, the claim will not be reported to the reinsurer until the it exceeds the primary reinsurer's retention.</t>
  </si>
  <si>
    <t>Part d:</t>
  </si>
  <si>
    <t>Proportional reinsurance attaches on a ground-up basis, whereas non-proportional reinsurance is excess of loss coverage. Ground-up losses are more stable than excess losses</t>
  </si>
  <si>
    <t>Due to the longer time frame for claims settlement, which in turn produces lower paid loss volume at early maturities</t>
  </si>
  <si>
    <t>Expect to see greater volatility in age-to-age factors and projected IBNR losses for property reinsurance catastrophe than for property reinsurance excluding catastrophe</t>
  </si>
  <si>
    <t>Property reinsurance excluding catastrophe and property reinsurance catastrophe</t>
  </si>
  <si>
    <t>Expect to see greater volatility in age-to-age factors and projected IBNR losses for non-proportional than for proportional insurance</t>
  </si>
  <si>
    <t>Proportional and non-proportional reinsurance for the same line of business</t>
  </si>
  <si>
    <t>Expect to see greater volatility in age-to-age factors and projected IBNR losses for reinsurance than for primary insurance</t>
  </si>
  <si>
    <t>Primary insurance and reinsurance for a similar type of business</t>
  </si>
  <si>
    <t>Question #35:</t>
  </si>
  <si>
    <t>4. Premium on-level factors - Less precisions for reinsurance since detailed rate change information is often difficult to obtain for reinsurers due to the unique nature of reinsurance arrangements</t>
  </si>
  <si>
    <t>3. Loss trend factors - Tend to be higher for excess of loss reinsurance than primary insurance</t>
  </si>
  <si>
    <t>2. Tail factors - For a similar LOB, tail factors are often higher due to reporting lags and the nature of large claims associated with excess of loss reinsurance</t>
  </si>
  <si>
    <t>1. Loss development factors - For a similar LOB, loss development factors in the earlier maturity age intervals are often higher for reinsurance than for primary insurance due to reporting lags</t>
  </si>
  <si>
    <t>Question #34</t>
  </si>
  <si>
    <t>Multiply an expected loss ratio by earned premium</t>
  </si>
  <si>
    <t>Question #33</t>
  </si>
  <si>
    <t>4. Changes in patterns and applicability of the historical experience</t>
  </si>
  <si>
    <t>3. Credibility of the experience</t>
  </si>
  <si>
    <t>2. Stability of age-to-age factors for the same development period</t>
  </si>
  <si>
    <t>1. Smooth progression of individual age-to-age factors and average factors across development periods</t>
  </si>
  <si>
    <t>Question #32</t>
  </si>
  <si>
    <t>Reinsurance data tends to be far less credible due to volume, volatility, and heterogeneity of the data</t>
  </si>
  <si>
    <t>Question #31</t>
  </si>
  <si>
    <t>4. Underwriting processes</t>
  </si>
  <si>
    <t>3. Types of reinsurance</t>
  </si>
  <si>
    <t>2. Mix of assumed business</t>
  </si>
  <si>
    <t>1. Reinsurance contract terms and conditions</t>
  </si>
  <si>
    <t>External data may not be useful for a reinsurer due to differences in the following:</t>
  </si>
  <si>
    <t>Question #30</t>
  </si>
  <si>
    <t>Internet searches typically provides highly aggregated data which is unlikely to be sufficient for estimating unpaid losses for a single reinsurer</t>
  </si>
  <si>
    <t>• The combined experience may not reflect the experience of an individual reinsurer</t>
  </si>
  <si>
    <t>• The segmentation is not granular enough</t>
  </si>
  <si>
    <t>• An experience period of ten year, which is not typically long enough for excess of loss reinsurance</t>
  </si>
  <si>
    <t>Based on the non-proportional loss data found in Schedule P. It has the following limitations:</t>
  </si>
  <si>
    <t>• Discusses how loss development has varied depending on the business being considered</t>
  </si>
  <si>
    <t>• Discusses how loss development patterns have changed over the last few years and provides possible reasons for those changes</t>
  </si>
  <si>
    <t>• Organizes patterns separately by treaty and facultative business and five ranges of attachment points</t>
  </si>
  <si>
    <t>• Includes historical loss development patterns by accident year for reinsurers writing casualty excess reinsurance for auto liability, general liability, and medical malpractice</t>
  </si>
  <si>
    <t>Question #29</t>
  </si>
  <si>
    <t>3. Acquisitions and divestitures made by ceding companies</t>
  </si>
  <si>
    <t>2. The increased use of analytics and big data to influence pricing, marketing, and underwriting</t>
  </si>
  <si>
    <t>1. Systems modernization efforts such as the implementation of new policy administration systems and claims administration systems</t>
  </si>
  <si>
    <t>Question #28</t>
  </si>
  <si>
    <t>Exclude the large losses from the initial ultimate loss projection. Once the initial projection is complete, add a case-specific projection for the reported portion of large losses and smoothed provision for the IBNR portion of large losses</t>
  </si>
  <si>
    <t>Question #27</t>
  </si>
  <si>
    <t>It avoids the influence of changes in exchange rates over time</t>
  </si>
  <si>
    <t>2. Aggregate losses based on the cedant's currency of origin (used when writing catastrophe reinsurance in a region with numerous countries and currencies)</t>
  </si>
  <si>
    <t>1. Separate the data by currency, covert each current to a common currency using ``point-in-time" exchanges rates, and then combine the common currency data</t>
  </si>
  <si>
    <t>Question #26</t>
  </si>
  <si>
    <t>3. Not included in the reinsurance coverage</t>
  </si>
  <si>
    <t>2. Included on a pro-rata basis. The ratio of the excess portion of the loss to the total loss is used to determine the reinsurance coverage for ALAE</t>
  </si>
  <si>
    <t>1. Included with the claim amount when determining excess of loss coverage</t>
  </si>
  <si>
    <t>Question #25</t>
  </si>
  <si>
    <t>4. The loss detail on a bordereau is not nearly as detailed as the claim files of the cedant</t>
  </si>
  <si>
    <t>3. The creation of a bordereau is often manual and time intensive</t>
  </si>
  <si>
    <t>2. Potential infrequency of bordereau reporting. The more infrequent the reporting, the greater the lag in reporting and the longer the payment pattern</t>
  </si>
  <si>
    <t>1. How data are cumulated by the cedant and absorbed by the reinsurer</t>
  </si>
  <si>
    <t>Detailed claim count and exposure information is often not available</t>
  </si>
  <si>
    <t>Question #24</t>
  </si>
  <si>
    <t>2. When the reinsurer receives detailed loss data including loss dates and policy effective dates, the reinsurer can allocate underwriting year results to accident year more precisely than using earned premium</t>
  </si>
  <si>
    <t>1. Based on how premium is earned over the contract period</t>
  </si>
  <si>
    <t>Question #23</t>
  </si>
  <si>
    <t>2. Can be difficult to isolate the effect of a single large event</t>
  </si>
  <si>
    <t>1. Takes longer for data to mature</t>
  </si>
  <si>
    <t>Exact match of losses and premiums</t>
  </si>
  <si>
    <t>The underlying primary policies can have losses occurring from 1/1/20 - 12/29/22, which is effectively three years</t>
  </si>
  <si>
    <t>12/31/20 - 12/29/22</t>
  </si>
  <si>
    <t>12/31/20 - 12/30/21</t>
  </si>
  <si>
    <t>1/1/20 - 12/30/21</t>
  </si>
  <si>
    <t>1/1/20 - 12/31/20</t>
  </si>
  <si>
    <t>Loss Dates</t>
  </si>
  <si>
    <t>Effective Dates</t>
  </si>
  <si>
    <t>Primary Policy</t>
  </si>
  <si>
    <t>Reinsurance Treaty</t>
  </si>
  <si>
    <t>Suppose a reinsurer writes annual risks-attaching reinsurance contracts with effective dates between 1/1/20 and 12/31/20. Then, we have the following table:</t>
  </si>
  <si>
    <t>Losses &amp; Premiums - Grouped according to the data in which the reinsurance contract was incepted</t>
  </si>
  <si>
    <t>Question #22</t>
  </si>
  <si>
    <t>Potential mismatch between losses and premiums (the matching of calendar year earned premiums and accident year losses is only approximate)</t>
  </si>
  <si>
    <t>3. Become reliably estimable sooner than underwriting year data since accident year data represents losses occurring over a shorter time frame</t>
  </si>
  <si>
    <t>2. Easy to understand</t>
  </si>
  <si>
    <t>1. Easy to achieve</t>
  </si>
  <si>
    <t>Premiums - Calendar year earned premiums are used</t>
  </si>
  <si>
    <t>Losses - Grouped according to the date of occurrence</t>
  </si>
  <si>
    <t>Question #21</t>
  </si>
  <si>
    <t>Actuaries can increase homogeneity by dividing data into smaller and smaller groups. However, credibility decreases as data volume decreases. The goal is to divide the data into homogeneous groupings without compromising credibility</t>
  </si>
  <si>
    <t>A measure of the predictive value in a given application that the actuary attaches to a particular set of data</t>
  </si>
  <si>
    <t>Question #20</t>
  </si>
  <si>
    <t>8. Broker</t>
  </si>
  <si>
    <t>7. Type of cedant: small, larger, or excess and surplus</t>
  </si>
  <si>
    <t>6. Contract terms: flat-rated, retro-rated, sunset clause, etc.</t>
  </si>
  <si>
    <t>5. Attachment point for casualty</t>
  </si>
  <si>
    <t>4. Primary line of business for casualty</t>
  </si>
  <si>
    <t>3. Type of reinsurance cover: quota share, surplus share, excess per risk, excess per occurrence, aggregate excess, etc.</t>
  </si>
  <si>
    <t>2. Type of contract: facultative, treaty, finite</t>
  </si>
  <si>
    <t>1. Line of business: property, casualty, ocean marine, etc.</t>
  </si>
  <si>
    <t>Obligations that are managed together and have similar risk characteristics such as underwriting policies, claims settlement patterns, product features, etc.</t>
  </si>
  <si>
    <t>Question #19</t>
  </si>
  <si>
    <t>3. The use of bordereau reporting, where losses are only reported on a quarterly or more infrequent basis</t>
  </si>
  <si>
    <t>2. The long-tailed nature of certain types of reinsurance</t>
  </si>
  <si>
    <t>1. Claims must first be reported to the primary insurer before being reported to the reinsurer</t>
  </si>
  <si>
    <t>6. There may be issues related to data coding for the reinsurer</t>
  </si>
  <si>
    <t>Briefly describe what typically happens from a market perspective once a company breaches a stop-loss limit.</t>
  </si>
  <si>
    <t>5. The unique nature of reinsurance policies can lead to different coverage for similar loss events with different cedants</t>
  </si>
  <si>
    <t>4. There may be gaps in reporting critical claims information from the cedants (ex. loss payments, case reserves, etc.)</t>
  </si>
  <si>
    <t>3. There may be lags in reporting to the reinsurer</t>
  </si>
  <si>
    <t>Briefly describe why a constant paid-to-reported ratio in an age-to-age interval does not necessarily mean that there are no changes in claims operations.</t>
  </si>
  <si>
    <t>2. Bordereau reporting may differ by cedant and broker in the types of data reported, data labels, and the frequency of submission to the reinsurer</t>
  </si>
  <si>
    <t>1. For each cedant and broker, different IT systems capture different types of data and use different terms for similar types of data</t>
  </si>
  <si>
    <t>Provide an approach for developing reserves for total Property losses, assuming the losses include catastrophes.</t>
  </si>
  <si>
    <t>e.</t>
  </si>
  <si>
    <t>4. Compare the data to those for a prior period or periods</t>
  </si>
  <si>
    <t>3. Test the data for internal consistency and consistency with other relevant information</t>
  </si>
  <si>
    <t>Explain why cumulative development factors are typically greater for non-proportional reinsurance than for proportional reinsurance.</t>
  </si>
  <si>
    <t>2. Test the data for reasonableness against external or independent data</t>
  </si>
  <si>
    <t>d.</t>
  </si>
  <si>
    <t>1. Reconcile data against audited financial statements, trial balances, or other relevant records (if available)</t>
  </si>
  <si>
    <t>Explain why non-proportional reinsurance typically experiences greater volatility in age-to-age factors than proportional reinsurance.</t>
  </si>
  <si>
    <t>Data are reliable if they are sufficiently complete, consistent, and accurate for the purposes of the work</t>
  </si>
  <si>
    <t>Explain why paid loss age-to-age factors often experience greater volatility than reported age-to-age factors at early maturities.</t>
  </si>
  <si>
    <t>• Property reinsurance excluding catastrophe and property reinsurance catastrophe</t>
  </si>
  <si>
    <t>Question #18</t>
  </si>
  <si>
    <t>• Proportional and non-proportional reinsurance for the same line of business</t>
  </si>
  <si>
    <t>• Primary insurance and reinsurance for a similar type of business</t>
  </si>
  <si>
    <t>2. Operational and strategic changes implemented at the cedant and the reinsurer can cause significant changes in mix of business, attachment points, policy limits, and claims processing</t>
  </si>
  <si>
    <t>Contrast the volatility one might expect to see in age-to-age factors and projected IBNR losses in the following situations:</t>
  </si>
  <si>
    <t>1. Contract terms can differ from one cedant to another and from year to year</t>
  </si>
  <si>
    <t>Question #35</t>
  </si>
  <si>
    <t>When projecting ultimate losses using the development method, consistent historical data is key. Consistency might not be present for the following reasons:</t>
  </si>
  <si>
    <t>• Premium on-level factors</t>
  </si>
  <si>
    <t>• Loss trend factors</t>
  </si>
  <si>
    <t>• Tail factors</t>
  </si>
  <si>
    <t>Data are sufficient if they include the needed information for the work</t>
  </si>
  <si>
    <t>• Loss development factors</t>
  </si>
  <si>
    <t>Contrast the following items between reinsurance and primary insurance:</t>
  </si>
  <si>
    <t>Question #17</t>
  </si>
  <si>
    <t>Identify the most common expected method used to project ultimate losses for a reinsurer.</t>
  </si>
  <si>
    <t>4. Loss development patterns for commuted contracts could be different from contracts that remain in-force</t>
  </si>
  <si>
    <t>3. Commutations eliminate the corresponding liability to the reinsurer. Thus, a reinsurer's actuary should also be aware of commuted contracts</t>
  </si>
  <si>
    <t>Identify four considerations when selecting age-to-age factors.</t>
  </si>
  <si>
    <t>2. Commutations affect the estimation of unpaid ceded losses. Thus, a ceding company's actuary should be aware of commuted contracts</t>
  </si>
  <si>
    <t>1. Actuaries are often involved in the analysis of reinsurance contracts that are subject to commutation</t>
  </si>
  <si>
    <t>Provide a major difference in projecting ultimate losses for primary insurance and reinsurance.</t>
  </si>
  <si>
    <t>3. To avoid disputes when there are significant differences of opinion with respect to future loss development of subject losses</t>
  </si>
  <si>
    <t>Provide four general reasons external data may not be useful for a reinsurer.</t>
  </si>
  <si>
    <t>2. To protect itself from the potential insolvency of the cedant</t>
  </si>
  <si>
    <t>Describe an issue with external reinsurance data found using internet searches.</t>
  </si>
  <si>
    <t>1. To end a relationship with a cedant that is in run-off or one with which it no longer conducts business</t>
  </si>
  <si>
    <t>Describe the external reinsurance data provided by Best's Aggregates &amp; Averages.</t>
  </si>
  <si>
    <t>4. To better manage claims and claims-related expenses</t>
  </si>
  <si>
    <t>Describe the Reinsurance Association of America's (RAA) biannual loss study.</t>
  </si>
  <si>
    <t>3. To avoid the credit risk associated with its reinsurer, especially if the reinsurer has experienced a ratings downgrade</t>
  </si>
  <si>
    <t>2. To manage reserves for transfer or sale</t>
  </si>
  <si>
    <t>1. To exit a line of business or geographic region</t>
  </si>
  <si>
    <t>Identify three potential operational changes for a reinsurer that are important for the reserving actuary to understand.</t>
  </si>
  <si>
    <t>Question #16</t>
  </si>
  <si>
    <t>Provide one approach for dealing with large losses when projecting ultimate losses for reinsurers.</t>
  </si>
  <si>
    <t>2. Commutation clause - lays out the terms and conditions for the estimation, payment, and discharge of all obligations of the parties to a reinsurance contract for the purposes of a commutation</t>
  </si>
  <si>
    <t>1. Commutation - The reinsurer pays the present value of reinsurance recoveries not yet due to the cedant in exchange for full termination of all future obligations related to the reinsurance contract</t>
  </si>
  <si>
    <t>Explain why it is advantageous to use a single "point-in-time" exchange rate when converting data to a single currency.</t>
  </si>
  <si>
    <t>Provide two approaches for dealing with multiple currencies.</t>
  </si>
  <si>
    <t>Policies in which multiple reinsurers share a risk subject to corresponding subscription percentages</t>
  </si>
  <si>
    <t>Briefly describe three approaches for dealing with ALAE in terms of reinsurance coverage.</t>
  </si>
  <si>
    <t>2. Risks-attaching coverage - provides reinsurance coverage only for those policies that began during the reinsurance contract effective period</t>
  </si>
  <si>
    <t>Identify four issues associated with bordereau reporting.</t>
  </si>
  <si>
    <t>1. Losses-occurring-during coverage - provides reinsurance coverage for all losses that occur between the contract inception and expiration date regardless of when the cedant issued the underlying policy that resulted in the loss</t>
  </si>
  <si>
    <t>Explain why reserving actuaries working with reinsurers are often unable to calculate triangles of average claim values or count-based ratio triangles.</t>
  </si>
  <si>
    <t>Question #15</t>
  </si>
  <si>
    <t>Provide two ways in which underwriting year results are allocated to accident year.</t>
  </si>
  <si>
    <t>This is an alternative to an LPT where the cedant receives reimbursement from the reinsurer for losses in excess of a pre-agreed retention level. Reserves are not transferred under these covers. These covers are often used for Mergers &amp; Acquisitions to transfer the risks of timing and adverse reserve development</t>
  </si>
  <si>
    <t>Provide two disadvantages to using underwriting year data for estimating unpaid losses.</t>
  </si>
  <si>
    <t xml:space="preserve">d. </t>
  </si>
  <si>
    <t>Provide one advantage to using underwriting year data for estimating unpaid losses.</t>
  </si>
  <si>
    <t xml:space="preserve">c. </t>
  </si>
  <si>
    <t>An LPT is a form of reinsurance that transfers all or a portion of a cedant's loss reserves present at a specific accounting date to a reinsurer. LPTs are often used by cedants to withdraw from a specific line of business while meeting their obligations to policies they already wrote</t>
  </si>
  <si>
    <t>Provide an example that shows underwriting year losses extending over three calendar years (before considering development).</t>
  </si>
  <si>
    <t xml:space="preserve">b. </t>
  </si>
  <si>
    <t>4. Sharing of the results with the cedant</t>
  </si>
  <si>
    <t>3. Limited assumption of risk by the reinsurer</t>
  </si>
  <si>
    <t>Describe the losses and premiums used under underwriting year aggregation for estimating unpaid losses.</t>
  </si>
  <si>
    <t xml:space="preserve">a. </t>
  </si>
  <si>
    <t>2. Emphasis on the time value of money with investment income explicitly included in the contract</t>
  </si>
  <si>
    <t>1. Risk transfer and risk financing combined in a multi-year contract</t>
  </si>
  <si>
    <t>Provide one disadvantage to using accident year data for estimating unpaid losses.</t>
  </si>
  <si>
    <t>Multi-year contracts that spread risk over time and take into account the investment income generated over the period</t>
  </si>
  <si>
    <t>Provide three advantages to using accident year data for estimating unpaid losses.</t>
  </si>
  <si>
    <t>Describe the losses and premiums used under accident year aggregation for estimating unpaid losses.</t>
  </si>
  <si>
    <t>Question #14</t>
  </si>
  <si>
    <t>3. The event must take place in its entirety within a specific timeframe</t>
  </si>
  <si>
    <t>2. All damages must be traceable to a specific event</t>
  </si>
  <si>
    <t>Briefly describe the balance between homogeneity and credibility.</t>
  </si>
  <si>
    <t>1. The loss must arise out of multiple policies held by one insured or similar policies held by multiple insureds</t>
  </si>
  <si>
    <t>Briefly describe "credibility."</t>
  </si>
  <si>
    <t>Question #13</t>
  </si>
  <si>
    <t>It is often unavailable or very expensive</t>
  </si>
  <si>
    <t>Provide eight variables that might affect the pattern of claim report lags to the reinsurer and the development of individual case amounts.</t>
  </si>
  <si>
    <t>To protect net results and an insurer's capital base</t>
  </si>
  <si>
    <t>Briefly describe a "homogeneous risk group (HRG)."</t>
  </si>
  <si>
    <t>To protect property exposures and increase capacity</t>
  </si>
  <si>
    <t>Provide three reasons for reporting lags to reinsurers.</t>
  </si>
  <si>
    <t>Question #12</t>
  </si>
  <si>
    <t>Provide six reasons why data validation might be more difficult for actuaries working for reinsurers than for actuaries working for primary insurers.</t>
  </si>
  <si>
    <t>In this case, reinsurance contract A is applied first and reduces the loss subject to reinsurance contract B.</t>
  </si>
  <si>
    <t>Question #11</t>
  </si>
  <si>
    <t>Provide four steps for "data validation."</t>
  </si>
  <si>
    <t>Reinstatement premium - If a restatement requires an additional premium to be paid by the cedant to the reinsurer, it is known as a reinstatement premium</t>
  </si>
  <si>
    <t>Explain what is meant by "reliable" data.</t>
  </si>
  <si>
    <t>Question #10</t>
  </si>
  <si>
    <t>Explain why ensuring "sufficient" data for projecting ultimate losses using the development method can be challenging for reinsurers.</t>
  </si>
  <si>
    <t>Ceding commissions are stated as a percentage of premium. It's often the case that non-proportional reinsurance premiums are less than proportional reinsurance premiums. The ceding commissions are smaller as a result.</t>
  </si>
  <si>
    <t>Explain what is meant by "sufficient" data.</t>
  </si>
  <si>
    <t>Question #9</t>
  </si>
  <si>
    <t>3. To protect against catastrophes</t>
  </si>
  <si>
    <t>2. To increase capacity</t>
  </si>
  <si>
    <t>1. To manage capital and solvency margins</t>
  </si>
  <si>
    <t>Provide four reasons why understanding commutations is important for the reserving actuary.</t>
  </si>
  <si>
    <t>Question #8</t>
  </si>
  <si>
    <t>Provide three reasons why a reinsurer might pursue a commutation.</t>
  </si>
  <si>
    <t>5. Clash reinsurance - Attaches above all other policy limits and is meant to cover exceptional events where traditional reinsurance contracts will not fully reimburse a cedant's claims. This can occur when a cedant receives multiple claims from multiple insureds arising out of the same catastrophe</t>
  </si>
  <si>
    <t>Provide four reasons why a cedant might pursue a commutation.</t>
  </si>
  <si>
    <t>4. Annual aggregate excess of loss reinsurance - The total losses to the cedant cannot exceed a specified annual threshold (expressed as either a percent of premium or fixed dollar amount)</t>
  </si>
  <si>
    <t>Briefly describe a "commutation" and a "commutation clause."</t>
  </si>
  <si>
    <t>3. Catastrophe reinsurance - Indemnifies the cedant for the accumulation of losses in excess of a specified retention arising from a single catastrophic event or a series of events, subject to a specified limit</t>
  </si>
  <si>
    <t>Briefly describe a "subscription policy."</t>
  </si>
  <si>
    <t>Briefly describe two ways in which reinsurance covers claims.</t>
  </si>
  <si>
    <t>2. Excess per occurrence reinsurance - Protects a cedant from an accumulation of losses due to a single occurrence. The subject loss under excess per occurrence reinsurance is the sum of all losses arising from an insured event for all subject policies</t>
  </si>
  <si>
    <t>1. Excess per risk reinsurance - Indemnifies the cedant against the amount of loss in excess of a specified retention subject to specified limits on a per risk basis</t>
  </si>
  <si>
    <t>Describe an "adverse development cover."</t>
  </si>
  <si>
    <t>Describe a "loss portfolio transfer."</t>
  </si>
  <si>
    <t>2. Surplus share - Surplus share does not have a uniform cession percentage across risks. Instead, the cedant cedes the surplus amount of risk above its retained line subject to a maximum ceded percentage and limit</t>
  </si>
  <si>
    <t>Describe four features of "finite risk reinsurance."</t>
  </si>
  <si>
    <t>1. Quota share - The gross premiums and losses of the cedant are ceded to reinsurer uniformly based on a cession percentage</t>
  </si>
  <si>
    <t>Briefly describe "finite risk reinsurance."</t>
  </si>
  <si>
    <t>In order for clash coverage to kick in, a clash event must occur. Describe three components of a clash event.</t>
  </si>
  <si>
    <t>Briefly describe an issue with securing aggregate excess of loss reinsurance.</t>
  </si>
  <si>
    <t>Explain when a cedant might want to purchase annual aggregate excess of loss reinsurance.</t>
  </si>
  <si>
    <t>Question #7</t>
  </si>
  <si>
    <t>Explain when a cedant might want to purchase excess per risk reinsurance.</t>
  </si>
  <si>
    <t>2. Facultative obligatory treaty - a treaty under which the cedant has the option to cede or not cede individual risks. The reinsurer must accept any risks that are ceded</t>
  </si>
  <si>
    <t>1. Facultative automatic - a bordereau of risks ceded is submitted to the reinsurer, which has limited rights to decline individual risks</t>
  </si>
  <si>
    <t>Explain what is meant by "reinsurance contract A inures to the benefit of reinsurance contract B."</t>
  </si>
  <si>
    <t>Question #6</t>
  </si>
  <si>
    <t>Underwriting risk is reduced for the reinsurer under facultative reinsurance vs. treaty reinsurance (all else being equal) since the reinsurer can conduct its own underwriting</t>
  </si>
  <si>
    <t>Explain why ceding commissions might provide less surplus relief for non-proportional reinsurance vs. proportional reinsurance.</t>
  </si>
  <si>
    <t>Facultative reinsurance - A submission, acceptance, and agreement are required for each individual risk or group of risks that the cedant wants to reinsure. Facultative reinsurance is meant to increase a cedant's capacity by ceding large risks</t>
  </si>
  <si>
    <t>Treaty reinsurance - Cedant enters into a contract with one or more reinsurers to cede all business from certain lines of business, subject to the retentions and attachment points specified in the treaty</t>
  </si>
  <si>
    <t>Provide three reasons why a cedant might purchase proportional reinsurance.</t>
  </si>
  <si>
    <t>Question #5</t>
  </si>
  <si>
    <t>Briefly describe five types of "non-proportional reinsurance."</t>
  </si>
  <si>
    <t>2. Ceded premium - This reduces the cedant's net premium-to-surplus ratio, lowering its risk level and and allowing it to write more business</t>
  </si>
  <si>
    <t>Briefly describe two types of "proportional reinsurance."</t>
  </si>
  <si>
    <t>1. Ceding commission - This is paid by the reinsurer to the cedant. It effectively transfers surplus from the reinsurer to the cedant, which lowers risk</t>
  </si>
  <si>
    <t>Briefly describe "proportional reinsurance" and "non-proportional reinsurance."</t>
  </si>
  <si>
    <t>Question #4</t>
  </si>
  <si>
    <t>5. Access technical expertise - Reinsurers can lend their expertise in the areas of underwriting, marketing, claims, and pricing to insurers seeking to enter new lines of business or new regions</t>
  </si>
  <si>
    <t>Briefly describe two types of hybrid contracts.</t>
  </si>
  <si>
    <t xml:space="preserve">4. Manage capital and solvency margin - Reinsurance passes risk from the cedant to the reinsurer. With less risk is present, less capital is needed </t>
  </si>
  <si>
    <t>Contrast "treaty reinsurance" and "facultative reinsurance" in terms of the reinsurer's underwriting risk.</t>
  </si>
  <si>
    <t>3. Protect against catastrophe - Reinsurance protects ceding companies from a single catastrophic loss event (ex. single hurricane) as well as multiple large loss events (ex. multiple hurricanes within a single year)</t>
  </si>
  <si>
    <t>Briefly describe "treaty reinsurance" and "facultative reinsurance."</t>
  </si>
  <si>
    <t>2. Increase capacity - Reinsurance allows ceding companies to assume more risk by ceding a portion of all of their policies or by ceding their larger policies</t>
  </si>
  <si>
    <t>• Ceded premium</t>
  </si>
  <si>
    <t>1. Promote stability - Reinsurance stabilizes the loss experience of ceding companies from year to year by retaining smaller, more predictable claims and ceding larger, more unpredictable claims</t>
  </si>
  <si>
    <t>• Ceding commission</t>
  </si>
  <si>
    <t>Question #3</t>
  </si>
  <si>
    <t>Explain (in financial terms) how the following two items reduce a cedant's risk level.</t>
  </si>
  <si>
    <t>A detailed report of insurance premiums or losses affected by reinsurance. Reinsurers often receive data by bordereau from cedants or the brokers of their cedants</t>
  </si>
  <si>
    <t>Briefly describe five reasons that cedants purchase reinsurance.</t>
  </si>
  <si>
    <t>Question #2</t>
  </si>
  <si>
    <t>Describe a "bordereau."</t>
  </si>
  <si>
    <t>Rating agencies - require sound reserves in order to issue strong financial ratings. If a reinsurer experiences significant adverse development, it risks a rating downgrade. This may make the reinsurer look less attractive to primary insurers</t>
  </si>
  <si>
    <t>Regulators - require sound reserves in order to appropriately evaluate a reinsurer's financial health when supervising the reinsurance market</t>
  </si>
  <si>
    <t>• Rating agencies</t>
  </si>
  <si>
    <t>• Regulators</t>
  </si>
  <si>
    <t>• Investors</t>
  </si>
  <si>
    <t>Investors - require sound reserves in order to appropriately evaluate a reinsurer's balance sheet and income statement when making investment decisions</t>
  </si>
  <si>
    <t>• Reinsurer internal management</t>
  </si>
  <si>
    <t>stakeholders:</t>
  </si>
  <si>
    <t>Reinsurer internal management - requires sound reserves because they impact pricing, underwriting, strategic planning, and financial decision making</t>
  </si>
  <si>
    <t>Explain why sound estimates unpaid losses are important for the following reinsurer</t>
  </si>
  <si>
    <t>Question #1</t>
  </si>
  <si>
    <t>Solutions -&gt;</t>
  </si>
  <si>
    <t>RF Friedland - Essay Problems</t>
  </si>
  <si>
    <t>RF Friedland - 14</t>
  </si>
  <si>
    <t>RF Friedland - 15</t>
  </si>
  <si>
    <t>RF Friedland - 16</t>
  </si>
  <si>
    <t>RF Friedland - 18</t>
  </si>
  <si>
    <t>RF Friedland - 19</t>
  </si>
  <si>
    <t>There are no released CAS problems for Friedland.</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</si>
  <si>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</si>
  <si>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r>
      <rPr>
        <b/>
        <sz val="12"/>
        <color theme="1"/>
        <rFont val="Calibri"/>
        <family val="2"/>
        <scheme val="minor"/>
      </rPr>
      <t>Proportional reinsurance</t>
    </r>
    <r>
      <rPr>
        <sz val="12"/>
        <color theme="1"/>
        <rFont val="Calibri"/>
        <family val="2"/>
        <scheme val="minor"/>
      </rPr>
      <t xml:space="preserve"> - Premiums and losses are shared between the cedant and reinsurers based on a cession percentage. Also, the reinsurer typically pays a ceding commission to the cedant to reimburse for acquisition and underwriting expenses associated with issuing the underlying policies.</t>
    </r>
  </si>
  <si>
    <r>
      <rPr>
        <b/>
        <sz val="12"/>
        <color theme="1"/>
        <rFont val="Calibri"/>
        <family val="2"/>
        <scheme val="minor"/>
      </rPr>
      <t>Non-proportional reinsurance</t>
    </r>
    <r>
      <rPr>
        <sz val="12"/>
        <color theme="1"/>
        <rFont val="Calibri"/>
        <family val="2"/>
        <scheme val="minor"/>
      </rPr>
      <t xml:space="preserve"> - The reinsurer or reinsurers pay for all losses above a specified retention, subject to any specified limits. The premium paid to the reinsurer is not proportional to the limits of coverage</t>
    </r>
  </si>
  <si>
    <t>Briefly describe "policy limit reinstatements" and "reinstatement premiums."</t>
  </si>
  <si>
    <t>Reinstatement - In the event of a full limit loss or some other amount specified in the reinsurance contract, cedants can obtain a reinstatement of the reinsurance policy limit</t>
  </si>
  <si>
    <t>A reinsurer following net reported losses after retrocessions for losses associated with catastrophe events for a homogenized risk group of property catastrophe reinsurance treaties as of 12/31/2022:</t>
  </si>
  <si>
    <t>The actuary selected the following sets of Cumulative Development Factors for catastrophe losses based on all years of data:</t>
  </si>
  <si>
    <t>The actuary identified the following specific, large catastrophic loss occurrence and obtained the following estimations of ultimate loss from claims professionals and catastrophe models. All numbers in ($000):</t>
  </si>
  <si>
    <t>Large Catastrophe</t>
  </si>
  <si>
    <t>To avoid distortions from the two large CATs, I used the CAT adjustment approach and developed losses without the large CATs and added a selected ultimate for each catastrophe:
• The Hurricane event is over 4 years old, so I will select the Claims Team estimated ultimate loss 
• The Wildfire event is only a month and a half old, so the claims adjusters may not have had much time on the ground. This close to the evaluation date, the catastrophe model estimate may be a better selection until the claims team has had more time to process claims.</t>
  </si>
  <si>
    <t>Justify your approach for part a when dealing with the large catastrophic loss occurrences.</t>
  </si>
  <si>
    <t xml:space="preserve">Large Catastrophe Losses </t>
  </si>
  <si>
    <t>CDFs</t>
  </si>
  <si>
    <t>Project ultimate losses with catastrophe adjustment by subtracting out the paid/reported large catastrophe losses, the projecting ultimat losses and adding in the estimated ultimate for the catastrophe losses:</t>
  </si>
  <si>
    <t>On 8/10/22, the primary insurer received a subrogation recovery of $2,000,000 from the equipment manufacturer, larger than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</si>
</sst>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00"/>
    <numFmt numFmtId="166" formatCode="0.0%"/>
    <numFmt numFmtId="167" formatCode="0.0"/>
    <numFmt numFmtId="168" formatCode="_(* #,##0_);_(* \(#,##0\);_(* &quot;-&quot;??_);_(@_)"/>
    <numFmt numFmtId="169" formatCode="0.0000"/>
  </numFmts>
  <fonts count="25"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2"/>
      <color rgb="FFFF0000"/>
      <name val="Calibri"/>
      <family val="2"/>
    </font>
    <font>
      <u/>
      <sz val="12"/>
      <color theme="1"/>
      <name val="Calibri"/>
      <family val="2"/>
    </font>
    <font>
      <b/>
      <sz val="12"/>
      <color theme="1"/>
      <name val="Calibri"/>
      <family val="2"/>
    </font>
    <font>
      <sz val="8"/>
      <name val="Calibri"/>
      <family val="2"/>
      <scheme val="minor"/>
    </font>
    <font>
      <u/>
      <sz val="12"/>
      <color rgb="FFFF0000"/>
      <name val="Calibri"/>
      <family val="2"/>
    </font>
    <font>
      <i/>
      <u/>
      <sz val="12"/>
      <color theme="1"/>
      <name val="Calibri"/>
      <family val="2"/>
    </font>
    <font>
      <sz val="11"/>
      <color theme="1"/>
      <name val="Calibri"/>
      <family val="2"/>
      <scheme val="minor"/>
    </font>
    <font>
      <u/>
      <sz val="12"/>
      <color theme="10"/>
      <name val="Calibri"/>
      <family val="2"/>
    </font>
    <font>
      <b/>
      <sz val="16"/>
      <color theme="1"/>
      <name val="Calibri"/>
      <family val="2"/>
    </font>
    <font>
      <b/>
      <sz val="14"/>
      <color theme="1"/>
      <name val="Calibri"/>
      <family val="2"/>
      <scheme val="minor"/>
    </font>
    <font>
      <b/>
      <sz val="12"/>
      <color theme="1"/>
      <name val="Calibri"/>
      <family val="2"/>
      <scheme val="minor"/>
    </font>
    <font>
      <u/>
      <sz val="12"/>
      <color theme="1"/>
      <name val="Calibri"/>
      <family val="2"/>
      <scheme val="minor"/>
    </font>
    <font>
      <sz val="12"/>
      <color rgb="FF000000"/>
      <name val="Calibri"/>
      <family val="2"/>
      <scheme val="minor"/>
    </font>
    <font>
      <b/>
      <sz val="12"/>
      <color rgb="FF00000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s>
  <borders count="3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44" fontId="8" fillId="0" borderId="0" applyFont="0" applyFill="0" applyBorder="0" applyAlignment="0" applyProtection="0"/>
    <xf numFmtId="9" fontId="8" fillId="0" borderId="0" applyFont="0" applyFill="0" applyBorder="0" applyAlignment="0" applyProtection="0"/>
    <xf numFmtId="0" fontId="17" fillId="0" borderId="0"/>
    <xf numFmtId="0" fontId="4" fillId="0" borderId="0"/>
    <xf numFmtId="0" fontId="18" fillId="0" borderId="0" applyNumberFormat="0" applyFill="0" applyBorder="0" applyAlignment="0" applyProtection="0"/>
    <xf numFmtId="43" fontId="8" fillId="0" borderId="0" applyFont="0" applyFill="0" applyBorder="0" applyAlignment="0" applyProtection="0"/>
  </cellStyleXfs>
  <cellXfs count="451">
    <xf numFmtId="0" fontId="0" fillId="0" borderId="0" xfId="0"/>
    <xf numFmtId="0" fontId="9" fillId="2" borderId="1" xfId="0" applyFont="1" applyFill="1" applyBorder="1"/>
    <xf numFmtId="0" fontId="9" fillId="0" borderId="0" xfId="0" applyFont="1"/>
    <xf numFmtId="0" fontId="13" fillId="2" borderId="12" xfId="0" applyFont="1" applyFill="1" applyBorder="1" applyAlignment="1">
      <alignment horizontal="center" vertical="center"/>
    </xf>
    <xf numFmtId="0" fontId="13" fillId="0" borderId="0" xfId="0" applyFont="1" applyAlignment="1">
      <alignment vertical="top" wrapText="1"/>
    </xf>
    <xf numFmtId="0" fontId="9" fillId="0" borderId="0" xfId="0" applyFont="1" applyAlignment="1">
      <alignment vertical="center"/>
    </xf>
    <xf numFmtId="0" fontId="10" fillId="0" borderId="0" xfId="0" applyFont="1" applyAlignment="1">
      <alignment vertical="center"/>
    </xf>
    <xf numFmtId="0" fontId="13" fillId="0" borderId="7" xfId="0" applyFont="1" applyBorder="1" applyAlignment="1">
      <alignment horizontal="center" vertical="center"/>
    </xf>
    <xf numFmtId="9" fontId="13" fillId="0" borderId="7" xfId="2" applyFont="1" applyFill="1" applyBorder="1" applyAlignment="1">
      <alignment horizontal="center" vertical="center"/>
    </xf>
    <xf numFmtId="3" fontId="13" fillId="0" borderId="0" xfId="0" applyNumberFormat="1" applyFont="1" applyAlignment="1">
      <alignment horizontal="center" vertical="center"/>
    </xf>
    <xf numFmtId="3" fontId="13" fillId="0" borderId="7" xfId="0" applyNumberFormat="1" applyFont="1" applyBorder="1" applyAlignment="1">
      <alignment horizontal="center" vertical="center"/>
    </xf>
    <xf numFmtId="0" fontId="10" fillId="0" borderId="0" xfId="0" applyFont="1" applyAlignment="1">
      <alignment horizontal="center" vertical="center"/>
    </xf>
    <xf numFmtId="0" fontId="13" fillId="0" borderId="0" xfId="0" applyFont="1" applyAlignment="1">
      <alignment vertical="center"/>
    </xf>
    <xf numFmtId="0" fontId="12" fillId="0" borderId="0" xfId="0" applyFont="1" applyAlignment="1">
      <alignment vertical="center"/>
    </xf>
    <xf numFmtId="0" fontId="12" fillId="2" borderId="0" xfId="0" applyFont="1" applyFill="1" applyAlignment="1">
      <alignment vertical="center"/>
    </xf>
    <xf numFmtId="0" fontId="13" fillId="0" borderId="6" xfId="0" quotePrefix="1" applyFont="1" applyBorder="1" applyAlignment="1">
      <alignment vertical="center"/>
    </xf>
    <xf numFmtId="0" fontId="13" fillId="0" borderId="6" xfId="0" applyFont="1" applyBorder="1" applyAlignment="1">
      <alignment vertical="center"/>
    </xf>
    <xf numFmtId="3" fontId="13" fillId="0" borderId="6" xfId="0" applyNumberFormat="1" applyFont="1" applyBorder="1" applyAlignment="1">
      <alignment vertical="center"/>
    </xf>
    <xf numFmtId="3" fontId="13" fillId="0" borderId="0" xfId="0" applyNumberFormat="1" applyFont="1" applyAlignment="1">
      <alignment vertical="center"/>
    </xf>
    <xf numFmtId="0" fontId="13" fillId="0" borderId="0" xfId="0" quotePrefix="1" applyFont="1" applyAlignment="1">
      <alignment vertical="center"/>
    </xf>
    <xf numFmtId="0" fontId="13" fillId="2" borderId="0" xfId="0" quotePrefix="1" applyFont="1" applyFill="1" applyAlignment="1">
      <alignment vertical="center"/>
    </xf>
    <xf numFmtId="0" fontId="13" fillId="2" borderId="0" xfId="0" applyFont="1" applyFill="1" applyAlignment="1">
      <alignment vertical="center"/>
    </xf>
    <xf numFmtId="0" fontId="13" fillId="0" borderId="0" xfId="0" applyFont="1" applyAlignment="1">
      <alignment horizontal="left" vertical="center"/>
    </xf>
    <xf numFmtId="0" fontId="11" fillId="2" borderId="0" xfId="0" applyFont="1" applyFill="1" applyAlignment="1">
      <alignment vertical="center"/>
    </xf>
    <xf numFmtId="0" fontId="15" fillId="2" borderId="0" xfId="0" applyFont="1" applyFill="1" applyAlignment="1">
      <alignment horizontal="center" vertical="center"/>
    </xf>
    <xf numFmtId="0" fontId="13" fillId="0" borderId="0" xfId="0" applyFont="1"/>
    <xf numFmtId="0" fontId="7" fillId="2" borderId="12" xfId="0" applyFont="1" applyFill="1" applyBorder="1" applyAlignment="1">
      <alignment horizontal="center" vertical="center"/>
    </xf>
    <xf numFmtId="0" fontId="7" fillId="2" borderId="0" xfId="0" applyFont="1" applyFill="1"/>
    <xf numFmtId="0" fontId="7" fillId="2" borderId="2" xfId="0" applyFont="1" applyFill="1" applyBorder="1"/>
    <xf numFmtId="0" fontId="7" fillId="0" borderId="0" xfId="0" applyFont="1"/>
    <xf numFmtId="2" fontId="7" fillId="2" borderId="1" xfId="0" applyNumberFormat="1" applyFont="1" applyFill="1" applyBorder="1" applyAlignment="1">
      <alignment horizontal="left"/>
    </xf>
    <xf numFmtId="165" fontId="7" fillId="0" borderId="0" xfId="0" applyNumberFormat="1" applyFont="1"/>
    <xf numFmtId="0" fontId="7" fillId="0" borderId="0" xfId="0" applyFont="1" applyAlignment="1">
      <alignment horizontal="left" vertical="center" wrapText="1"/>
    </xf>
    <xf numFmtId="0" fontId="7" fillId="0" borderId="0" xfId="0" applyFont="1" applyAlignment="1">
      <alignment wrapText="1"/>
    </xf>
    <xf numFmtId="0" fontId="7" fillId="2" borderId="0" xfId="0" applyFont="1" applyFill="1" applyAlignment="1">
      <alignment horizontal="left" indent="2"/>
    </xf>
    <xf numFmtId="0" fontId="7" fillId="2" borderId="0" xfId="0" applyFont="1" applyFill="1" applyAlignment="1">
      <alignment vertical="center"/>
    </xf>
    <xf numFmtId="0" fontId="7" fillId="2" borderId="2" xfId="0" applyFont="1" applyFill="1" applyBorder="1" applyAlignment="1">
      <alignment vertical="center"/>
    </xf>
    <xf numFmtId="0" fontId="7" fillId="0" borderId="0" xfId="0" applyFont="1" applyAlignment="1">
      <alignment vertical="center"/>
    </xf>
    <xf numFmtId="2" fontId="7" fillId="2" borderId="1" xfId="0" applyNumberFormat="1" applyFont="1" applyFill="1" applyBorder="1" applyAlignment="1">
      <alignment horizontal="left" vertical="center"/>
    </xf>
    <xf numFmtId="165" fontId="7" fillId="0" borderId="0" xfId="0" applyNumberFormat="1" applyFont="1" applyAlignment="1">
      <alignment vertical="center"/>
    </xf>
    <xf numFmtId="0" fontId="7" fillId="2" borderId="0" xfId="0" applyFont="1" applyFill="1" applyAlignment="1">
      <alignment horizontal="left" vertical="center" wrapText="1"/>
    </xf>
    <xf numFmtId="14" fontId="7" fillId="2" borderId="0" xfId="0" applyNumberFormat="1" applyFont="1" applyFill="1" applyAlignment="1">
      <alignment vertical="center"/>
    </xf>
    <xf numFmtId="6" fontId="7" fillId="0" borderId="0" xfId="0" applyNumberFormat="1" applyFont="1" applyAlignment="1">
      <alignment vertical="center"/>
    </xf>
    <xf numFmtId="6" fontId="7" fillId="2" borderId="0" xfId="0" applyNumberFormat="1" applyFont="1" applyFill="1" applyAlignment="1">
      <alignment vertical="center"/>
    </xf>
    <xf numFmtId="0" fontId="7" fillId="0" borderId="6" xfId="0" applyFont="1" applyBorder="1" applyAlignment="1">
      <alignment vertical="center"/>
    </xf>
    <xf numFmtId="6" fontId="7" fillId="0" borderId="6" xfId="0" applyNumberFormat="1" applyFont="1" applyBorder="1" applyAlignment="1">
      <alignment vertical="center"/>
    </xf>
    <xf numFmtId="0" fontId="7" fillId="0" borderId="11" xfId="0" applyFont="1" applyBorder="1" applyAlignment="1">
      <alignment vertical="center"/>
    </xf>
    <xf numFmtId="6" fontId="7" fillId="0" borderId="13" xfId="0" applyNumberFormat="1" applyFont="1" applyBorder="1" applyAlignment="1">
      <alignment vertical="center"/>
    </xf>
    <xf numFmtId="0" fontId="7" fillId="0" borderId="1" xfId="0" applyFont="1" applyBorder="1" applyAlignment="1">
      <alignment vertical="center"/>
    </xf>
    <xf numFmtId="6" fontId="7" fillId="0" borderId="2" xfId="0" applyNumberFormat="1" applyFont="1" applyBorder="1" applyAlignment="1">
      <alignment vertical="center"/>
    </xf>
    <xf numFmtId="0" fontId="7" fillId="0" borderId="3" xfId="0" applyFont="1" applyBorder="1" applyAlignment="1">
      <alignment vertical="center"/>
    </xf>
    <xf numFmtId="6" fontId="7" fillId="0" borderId="5" xfId="0" applyNumberFormat="1" applyFont="1" applyBorder="1" applyAlignment="1">
      <alignment vertical="center"/>
    </xf>
    <xf numFmtId="3" fontId="7" fillId="0" borderId="0" xfId="0" applyNumberFormat="1" applyFont="1" applyAlignment="1">
      <alignment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vertical="center"/>
    </xf>
    <xf numFmtId="0" fontId="7" fillId="2" borderId="0" xfId="0" applyFont="1" applyFill="1" applyAlignment="1">
      <alignment horizontal="left" vertical="center"/>
    </xf>
    <xf numFmtId="0" fontId="7" fillId="2" borderId="12" xfId="0" applyFont="1" applyFill="1" applyBorder="1" applyAlignment="1">
      <alignment vertical="center"/>
    </xf>
    <xf numFmtId="0" fontId="7" fillId="2" borderId="13" xfId="0" applyFont="1" applyFill="1" applyBorder="1" applyAlignment="1">
      <alignment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2" borderId="7" xfId="0" applyFont="1" applyFill="1" applyBorder="1" applyAlignment="1">
      <alignment horizontal="center" vertical="center"/>
    </xf>
    <xf numFmtId="3" fontId="7" fillId="2" borderId="0" xfId="0" applyNumberFormat="1" applyFont="1" applyFill="1" applyAlignment="1">
      <alignment vertical="center"/>
    </xf>
    <xf numFmtId="3" fontId="7" fillId="2" borderId="0" xfId="0" applyNumberFormat="1" applyFont="1" applyFill="1" applyAlignment="1">
      <alignment vertical="center" wrapText="1"/>
    </xf>
    <xf numFmtId="0" fontId="7" fillId="0" borderId="7" xfId="0" applyFont="1" applyBorder="1" applyAlignment="1">
      <alignment horizontal="center" vertical="center"/>
    </xf>
    <xf numFmtId="3" fontId="7" fillId="0" borderId="7" xfId="0" applyNumberFormat="1" applyFont="1" applyBorder="1" applyAlignment="1">
      <alignment vertical="center"/>
    </xf>
    <xf numFmtId="0" fontId="7" fillId="0" borderId="7" xfId="0" applyFont="1" applyBorder="1" applyAlignment="1">
      <alignment vertical="center"/>
    </xf>
    <xf numFmtId="165" fontId="7" fillId="0" borderId="7" xfId="0" applyNumberFormat="1" applyFont="1" applyBorder="1" applyAlignment="1">
      <alignment vertical="center"/>
    </xf>
    <xf numFmtId="0" fontId="7" fillId="0" borderId="8" xfId="0" applyFont="1" applyBorder="1" applyAlignment="1">
      <alignment horizontal="center" vertical="center"/>
    </xf>
    <xf numFmtId="3" fontId="7" fillId="0" borderId="6" xfId="0" applyNumberFormat="1" applyFont="1" applyBorder="1" applyAlignment="1">
      <alignment vertical="center"/>
    </xf>
    <xf numFmtId="3" fontId="7" fillId="0" borderId="8" xfId="0" applyNumberFormat="1" applyFont="1" applyBorder="1" applyAlignment="1">
      <alignment vertical="center"/>
    </xf>
    <xf numFmtId="165" fontId="7" fillId="0" borderId="6" xfId="0" applyNumberFormat="1" applyFont="1" applyBorder="1" applyAlignment="1">
      <alignment vertical="center"/>
    </xf>
    <xf numFmtId="165" fontId="7" fillId="0" borderId="8" xfId="0" applyNumberFormat="1" applyFont="1" applyBorder="1" applyAlignment="1">
      <alignment vertical="center"/>
    </xf>
    <xf numFmtId="0" fontId="7" fillId="2" borderId="0" xfId="0" applyFont="1" applyFill="1" applyAlignment="1">
      <alignment horizontal="center" vertical="center"/>
    </xf>
    <xf numFmtId="0" fontId="7" fillId="0" borderId="0" xfId="0" applyFont="1" applyAlignment="1">
      <alignment horizontal="center" vertical="center"/>
    </xf>
    <xf numFmtId="16" fontId="7" fillId="2" borderId="6" xfId="0" quotePrefix="1" applyNumberFormat="1" applyFont="1" applyFill="1" applyBorder="1" applyAlignment="1">
      <alignment horizontal="center" vertical="center" wrapText="1"/>
    </xf>
    <xf numFmtId="165" fontId="7" fillId="2" borderId="0" xfId="0" applyNumberFormat="1" applyFont="1" applyFill="1" applyAlignment="1">
      <alignment horizontal="center" vertical="center"/>
    </xf>
    <xf numFmtId="0" fontId="7" fillId="2" borderId="7" xfId="0" applyFont="1" applyFill="1" applyBorder="1" applyAlignment="1">
      <alignment horizontal="right" vertical="center"/>
    </xf>
    <xf numFmtId="0" fontId="7" fillId="2" borderId="8" xfId="0" applyFont="1" applyFill="1" applyBorder="1" applyAlignment="1">
      <alignment vertical="center"/>
    </xf>
    <xf numFmtId="0" fontId="7" fillId="2" borderId="6" xfId="0" applyFont="1" applyFill="1" applyBorder="1" applyAlignment="1">
      <alignment horizontal="center" vertical="center"/>
    </xf>
    <xf numFmtId="165" fontId="7" fillId="2" borderId="6" xfId="0" applyNumberFormat="1" applyFont="1" applyFill="1" applyBorder="1" applyAlignment="1">
      <alignment horizontal="center" vertical="center" wrapText="1"/>
    </xf>
    <xf numFmtId="0" fontId="7" fillId="2" borderId="1" xfId="0" applyFont="1" applyFill="1" applyBorder="1" applyAlignment="1">
      <alignment vertical="center"/>
    </xf>
    <xf numFmtId="0" fontId="7" fillId="2" borderId="2" xfId="0" applyFont="1" applyFill="1" applyBorder="1" applyAlignment="1">
      <alignment wrapText="1"/>
    </xf>
    <xf numFmtId="0" fontId="7" fillId="2" borderId="0" xfId="0" applyFont="1" applyFill="1" applyAlignment="1">
      <alignment horizontal="left"/>
    </xf>
    <xf numFmtId="0" fontId="7" fillId="2" borderId="0" xfId="0" applyFont="1" applyFill="1" applyAlignment="1">
      <alignment wrapText="1"/>
    </xf>
    <xf numFmtId="0" fontId="7" fillId="2" borderId="3" xfId="0" applyFont="1" applyFill="1" applyBorder="1"/>
    <xf numFmtId="0" fontId="7" fillId="2" borderId="4" xfId="0" applyFont="1" applyFill="1" applyBorder="1"/>
    <xf numFmtId="164" fontId="7" fillId="2" borderId="4" xfId="1" applyNumberFormat="1" applyFont="1" applyFill="1" applyBorder="1"/>
    <xf numFmtId="0" fontId="7" fillId="2" borderId="5" xfId="0" applyFont="1" applyFill="1" applyBorder="1"/>
    <xf numFmtId="0" fontId="7" fillId="2" borderId="0" xfId="0" applyFont="1" applyFill="1" applyAlignment="1">
      <alignment vertical="center" wrapText="1"/>
    </xf>
    <xf numFmtId="0" fontId="7" fillId="0" borderId="16" xfId="0" applyFont="1" applyBorder="1" applyAlignment="1">
      <alignment horizontal="center" vertical="center" wrapText="1"/>
    </xf>
    <xf numFmtId="9" fontId="7" fillId="2" borderId="0" xfId="2" applyFont="1" applyFill="1" applyAlignment="1">
      <alignment horizontal="center" vertical="center"/>
    </xf>
    <xf numFmtId="2" fontId="7" fillId="2" borderId="0" xfId="0" applyNumberFormat="1" applyFont="1" applyFill="1" applyAlignment="1">
      <alignment vertical="center"/>
    </xf>
    <xf numFmtId="3" fontId="7" fillId="0" borderId="0" xfId="0" applyNumberFormat="1" applyFont="1" applyAlignment="1">
      <alignment horizontal="center" vertical="center"/>
    </xf>
    <xf numFmtId="3" fontId="7" fillId="0" borderId="9" xfId="0" applyNumberFormat="1" applyFont="1" applyBorder="1" applyAlignment="1">
      <alignment horizontal="center" vertical="center"/>
    </xf>
    <xf numFmtId="166" fontId="7" fillId="0" borderId="0" xfId="2" applyNumberFormat="1" applyFont="1" applyFill="1" applyAlignment="1">
      <alignment vertical="center"/>
    </xf>
    <xf numFmtId="3" fontId="7" fillId="0" borderId="7" xfId="0" applyNumberFormat="1" applyFont="1" applyBorder="1" applyAlignment="1">
      <alignment horizontal="center" vertical="center"/>
    </xf>
    <xf numFmtId="2" fontId="7" fillId="2" borderId="0" xfId="0" applyNumberFormat="1" applyFont="1" applyFill="1" applyAlignment="1">
      <alignment horizontal="left" vertical="center"/>
    </xf>
    <xf numFmtId="0" fontId="7" fillId="0" borderId="6" xfId="0" applyFont="1" applyBorder="1" applyAlignment="1">
      <alignment horizontal="center" vertical="center"/>
    </xf>
    <xf numFmtId="14" fontId="7" fillId="0" borderId="7" xfId="0" applyNumberFormat="1" applyFont="1" applyBorder="1" applyAlignment="1">
      <alignment horizontal="center" vertical="center"/>
    </xf>
    <xf numFmtId="3" fontId="7" fillId="0" borderId="0" xfId="0" applyNumberFormat="1" applyFont="1" applyAlignment="1">
      <alignment vertical="center" wrapText="1"/>
    </xf>
    <xf numFmtId="3" fontId="7" fillId="0" borderId="9" xfId="0" applyNumberFormat="1" applyFont="1" applyBorder="1" applyAlignment="1">
      <alignment vertical="center"/>
    </xf>
    <xf numFmtId="0" fontId="7" fillId="2" borderId="8" xfId="0" applyFont="1" applyFill="1" applyBorder="1" applyAlignment="1">
      <alignment horizontal="center" vertical="center"/>
    </xf>
    <xf numFmtId="14" fontId="7" fillId="2" borderId="7" xfId="0" applyNumberFormat="1" applyFont="1" applyFill="1" applyBorder="1" applyAlignment="1">
      <alignment horizontal="center" vertical="center"/>
    </xf>
    <xf numFmtId="9" fontId="7" fillId="0" borderId="0" xfId="0" applyNumberFormat="1" applyFont="1" applyAlignment="1">
      <alignment vertical="center"/>
    </xf>
    <xf numFmtId="3" fontId="7" fillId="0" borderId="23" xfId="0" applyNumberFormat="1" applyFont="1" applyBorder="1" applyAlignment="1">
      <alignment vertical="center"/>
    </xf>
    <xf numFmtId="3" fontId="7" fillId="3" borderId="0" xfId="0" applyNumberFormat="1" applyFont="1" applyFill="1" applyAlignment="1">
      <alignment vertical="center"/>
    </xf>
    <xf numFmtId="9" fontId="7" fillId="2" borderId="0" xfId="0" applyNumberFormat="1" applyFont="1" applyFill="1" applyAlignment="1">
      <alignment horizontal="center" vertical="center"/>
    </xf>
    <xf numFmtId="3" fontId="7" fillId="3" borderId="6" xfId="0" applyNumberFormat="1" applyFont="1" applyFill="1" applyBorder="1" applyAlignment="1">
      <alignment vertical="center"/>
    </xf>
    <xf numFmtId="9" fontId="7" fillId="0" borderId="6" xfId="0" applyNumberFormat="1" applyFont="1" applyBorder="1" applyAlignment="1">
      <alignment vertical="center"/>
    </xf>
    <xf numFmtId="3" fontId="7" fillId="0" borderId="22" xfId="0" applyNumberFormat="1" applyFont="1" applyBorder="1" applyAlignment="1">
      <alignment vertical="center"/>
    </xf>
    <xf numFmtId="3" fontId="7" fillId="2" borderId="0" xfId="0" applyNumberFormat="1" applyFont="1" applyFill="1" applyAlignment="1">
      <alignment horizontal="center" vertical="center" wrapText="1"/>
    </xf>
    <xf numFmtId="3" fontId="7" fillId="0" borderId="24" xfId="0" applyNumberFormat="1" applyFont="1" applyBorder="1" applyAlignment="1">
      <alignment vertical="center"/>
    </xf>
    <xf numFmtId="3" fontId="7" fillId="0" borderId="2" xfId="0" applyNumberFormat="1" applyFont="1" applyBorder="1" applyAlignment="1">
      <alignment vertical="center"/>
    </xf>
    <xf numFmtId="0" fontId="7" fillId="2" borderId="3" xfId="0" applyFont="1" applyFill="1" applyBorder="1" applyAlignment="1">
      <alignment vertical="center"/>
    </xf>
    <xf numFmtId="0" fontId="7" fillId="2" borderId="4" xfId="0" applyFont="1" applyFill="1" applyBorder="1" applyAlignment="1">
      <alignment vertical="center"/>
    </xf>
    <xf numFmtId="164" fontId="7" fillId="2" borderId="4" xfId="1" applyNumberFormat="1" applyFont="1" applyFill="1" applyBorder="1" applyAlignment="1">
      <alignment vertical="center"/>
    </xf>
    <xf numFmtId="0" fontId="7" fillId="2" borderId="5" xfId="0" applyFont="1" applyFill="1" applyBorder="1" applyAlignment="1">
      <alignment vertical="center"/>
    </xf>
    <xf numFmtId="3" fontId="7" fillId="0" borderId="15" xfId="0" applyNumberFormat="1" applyFont="1" applyBorder="1" applyAlignment="1">
      <alignment vertical="center"/>
    </xf>
    <xf numFmtId="3" fontId="7" fillId="0" borderId="5" xfId="0" applyNumberFormat="1" applyFont="1" applyBorder="1" applyAlignment="1">
      <alignment vertical="center"/>
    </xf>
    <xf numFmtId="0" fontId="7" fillId="0" borderId="0" xfId="0" applyFont="1" applyAlignment="1">
      <alignment vertical="center" wrapText="1"/>
    </xf>
    <xf numFmtId="14" fontId="7" fillId="0" borderId="0" xfId="0" applyNumberFormat="1" applyFont="1" applyAlignment="1">
      <alignment vertical="center"/>
    </xf>
    <xf numFmtId="14" fontId="7" fillId="0" borderId="0" xfId="0" applyNumberFormat="1" applyFont="1" applyAlignment="1">
      <alignment horizontal="center" vertical="center"/>
    </xf>
    <xf numFmtId="14" fontId="7" fillId="0" borderId="6" xfId="0" applyNumberFormat="1" applyFont="1" applyBorder="1" applyAlignment="1">
      <alignment vertical="center"/>
    </xf>
    <xf numFmtId="14" fontId="7" fillId="0" borderId="6" xfId="0" applyNumberFormat="1" applyFont="1" applyBorder="1" applyAlignment="1">
      <alignment horizontal="center" vertical="center"/>
    </xf>
    <xf numFmtId="0" fontId="7" fillId="2" borderId="0" xfId="0" applyFont="1" applyFill="1" applyAlignment="1">
      <alignment horizontal="center" vertical="center" wrapText="1"/>
    </xf>
    <xf numFmtId="9" fontId="7" fillId="0" borderId="0" xfId="0" applyNumberFormat="1" applyFont="1" applyAlignment="1">
      <alignment horizontal="center" vertical="center"/>
    </xf>
    <xf numFmtId="0" fontId="7" fillId="0" borderId="12" xfId="0" applyFont="1" applyBorder="1" applyAlignment="1">
      <alignment vertical="center"/>
    </xf>
    <xf numFmtId="3" fontId="7" fillId="0" borderId="13" xfId="0" applyNumberFormat="1" applyFont="1" applyBorder="1" applyAlignment="1">
      <alignment vertical="center"/>
    </xf>
    <xf numFmtId="0" fontId="7" fillId="0" borderId="14" xfId="0" applyFont="1" applyBorder="1" applyAlignment="1">
      <alignment vertical="center"/>
    </xf>
    <xf numFmtId="0" fontId="7" fillId="0" borderId="4" xfId="0" applyFont="1" applyBorder="1" applyAlignment="1">
      <alignment vertical="center"/>
    </xf>
    <xf numFmtId="0" fontId="7" fillId="0" borderId="8" xfId="0" applyFont="1" applyBorder="1" applyAlignment="1">
      <alignment horizontal="center"/>
    </xf>
    <xf numFmtId="0" fontId="7" fillId="0" borderId="6" xfId="0" applyFont="1" applyBorder="1" applyAlignment="1">
      <alignment horizontal="center"/>
    </xf>
    <xf numFmtId="3" fontId="7" fillId="2" borderId="7" xfId="0" applyNumberFormat="1" applyFont="1" applyFill="1" applyBorder="1" applyAlignment="1">
      <alignment vertical="center"/>
    </xf>
    <xf numFmtId="3" fontId="7" fillId="2" borderId="0" xfId="0" applyNumberFormat="1" applyFont="1" applyFill="1" applyAlignment="1">
      <alignment horizontal="center" vertical="center"/>
    </xf>
    <xf numFmtId="0" fontId="7" fillId="2" borderId="0" xfId="0" quotePrefix="1" applyFont="1" applyFill="1" applyAlignment="1">
      <alignment vertical="center"/>
    </xf>
    <xf numFmtId="14" fontId="7" fillId="0" borderId="8" xfId="0" applyNumberFormat="1" applyFont="1" applyBorder="1" applyAlignment="1">
      <alignment horizontal="center" vertical="center"/>
    </xf>
    <xf numFmtId="0" fontId="7" fillId="2" borderId="6" xfId="0" applyFont="1" applyFill="1" applyBorder="1" applyAlignment="1">
      <alignment vertical="center"/>
    </xf>
    <xf numFmtId="14" fontId="7" fillId="2" borderId="7" xfId="0" applyNumberFormat="1" applyFont="1" applyFill="1" applyBorder="1" applyAlignment="1">
      <alignment vertical="center"/>
    </xf>
    <xf numFmtId="0" fontId="7" fillId="0" borderId="0" xfId="0" quotePrefix="1" applyFont="1" applyAlignment="1">
      <alignment vertical="center"/>
    </xf>
    <xf numFmtId="0" fontId="7" fillId="2" borderId="2" xfId="0" applyFont="1" applyFill="1" applyBorder="1" applyAlignment="1">
      <alignment vertical="center" wrapText="1"/>
    </xf>
    <xf numFmtId="38" fontId="7" fillId="0" borderId="0" xfId="0" applyNumberFormat="1" applyFont="1" applyAlignment="1">
      <alignment vertical="center"/>
    </xf>
    <xf numFmtId="9" fontId="7" fillId="0" borderId="7" xfId="2" applyFont="1" applyFill="1" applyBorder="1" applyAlignment="1">
      <alignment horizontal="center" vertical="center"/>
    </xf>
    <xf numFmtId="9" fontId="7" fillId="0" borderId="8" xfId="2" applyFont="1" applyFill="1" applyBorder="1" applyAlignment="1">
      <alignment horizontal="center" vertical="center"/>
    </xf>
    <xf numFmtId="3" fontId="7" fillId="0" borderId="6" xfId="0" applyNumberFormat="1" applyFont="1" applyBorder="1" applyAlignment="1">
      <alignment horizontal="center" vertical="center"/>
    </xf>
    <xf numFmtId="3" fontId="7" fillId="0" borderId="8" xfId="0" applyNumberFormat="1" applyFont="1" applyBorder="1" applyAlignment="1">
      <alignment horizontal="center" vertical="center"/>
    </xf>
    <xf numFmtId="10" fontId="7" fillId="0" borderId="0" xfId="2" applyNumberFormat="1" applyFont="1" applyFill="1" applyAlignment="1">
      <alignment horizontal="center" vertical="center"/>
    </xf>
    <xf numFmtId="0" fontId="7" fillId="0" borderId="0" xfId="0" applyFont="1" applyAlignment="1">
      <alignment horizontal="left" vertical="top" wrapText="1"/>
    </xf>
    <xf numFmtId="0" fontId="7" fillId="0" borderId="0" xfId="0" applyFont="1" applyAlignment="1">
      <alignment vertical="top" wrapText="1"/>
    </xf>
    <xf numFmtId="2" fontId="6" fillId="2" borderId="1" xfId="0" applyNumberFormat="1" applyFont="1" applyFill="1" applyBorder="1" applyAlignment="1">
      <alignment horizontal="left" vertical="center"/>
    </xf>
    <xf numFmtId="0" fontId="6" fillId="2" borderId="0" xfId="0" applyFont="1" applyFill="1" applyAlignment="1">
      <alignment vertical="center"/>
    </xf>
    <xf numFmtId="0" fontId="6" fillId="2" borderId="2" xfId="0" applyFont="1" applyFill="1" applyBorder="1" applyAlignment="1">
      <alignment vertical="center"/>
    </xf>
    <xf numFmtId="0" fontId="6" fillId="0" borderId="0" xfId="0" applyFont="1" applyAlignment="1">
      <alignment vertical="center"/>
    </xf>
    <xf numFmtId="0" fontId="6" fillId="2" borderId="18" xfId="0" applyFont="1" applyFill="1" applyBorder="1" applyAlignment="1">
      <alignment vertical="center"/>
    </xf>
    <xf numFmtId="0" fontId="6" fillId="2" borderId="19" xfId="0" applyFont="1" applyFill="1" applyBorder="1" applyAlignment="1">
      <alignment vertical="center"/>
    </xf>
    <xf numFmtId="164" fontId="6" fillId="2" borderId="19" xfId="1" applyNumberFormat="1" applyFont="1" applyFill="1" applyBorder="1" applyAlignment="1">
      <alignment vertical="center"/>
    </xf>
    <xf numFmtId="0" fontId="6" fillId="2" borderId="20" xfId="0" applyFont="1" applyFill="1" applyBorder="1" applyAlignment="1">
      <alignment vertical="center"/>
    </xf>
    <xf numFmtId="165" fontId="6" fillId="0" borderId="0" xfId="0" applyNumberFormat="1" applyFont="1" applyAlignment="1">
      <alignment vertical="center"/>
    </xf>
    <xf numFmtId="0" fontId="6" fillId="2" borderId="7" xfId="0" applyFont="1" applyFill="1" applyBorder="1" applyAlignment="1">
      <alignment horizontal="center" vertical="center"/>
    </xf>
    <xf numFmtId="14" fontId="6" fillId="2" borderId="0" xfId="0" applyNumberFormat="1" applyFont="1" applyFill="1" applyAlignment="1">
      <alignment vertical="center"/>
    </xf>
    <xf numFmtId="3" fontId="6" fillId="2" borderId="0" xfId="0" applyNumberFormat="1" applyFont="1" applyFill="1" applyAlignment="1">
      <alignment vertical="center" wrapText="1"/>
    </xf>
    <xf numFmtId="3" fontId="6" fillId="2" borderId="7" xfId="0" applyNumberFormat="1" applyFont="1" applyFill="1" applyBorder="1" applyAlignment="1">
      <alignment vertical="center" wrapText="1"/>
    </xf>
    <xf numFmtId="165" fontId="6" fillId="2" borderId="0" xfId="0" applyNumberFormat="1" applyFont="1" applyFill="1" applyAlignment="1">
      <alignment horizontal="center" vertical="center"/>
    </xf>
    <xf numFmtId="0" fontId="6" fillId="2" borderId="1" xfId="0" applyFont="1" applyFill="1" applyBorder="1" applyAlignment="1">
      <alignment vertical="center"/>
    </xf>
    <xf numFmtId="0" fontId="6" fillId="2" borderId="0" xfId="0" applyFont="1" applyFill="1" applyAlignment="1">
      <alignment horizontal="left" vertical="center" wrapText="1"/>
    </xf>
    <xf numFmtId="0" fontId="6" fillId="2" borderId="2" xfId="0" applyFont="1" applyFill="1" applyBorder="1" applyAlignment="1">
      <alignment horizontal="left" vertical="center" wrapText="1"/>
    </xf>
    <xf numFmtId="3" fontId="6" fillId="0" borderId="0" xfId="0" applyNumberFormat="1" applyFont="1" applyAlignment="1">
      <alignment vertical="center"/>
    </xf>
    <xf numFmtId="0" fontId="6" fillId="0" borderId="0" xfId="0" applyFont="1"/>
    <xf numFmtId="165" fontId="6" fillId="0" borderId="0" xfId="0" applyNumberFormat="1" applyFont="1"/>
    <xf numFmtId="0" fontId="6" fillId="2" borderId="0" xfId="0" applyFont="1" applyFill="1" applyAlignment="1">
      <alignment horizontal="left" vertical="center"/>
    </xf>
    <xf numFmtId="6" fontId="6" fillId="2" borderId="0" xfId="0" applyNumberFormat="1" applyFont="1" applyFill="1" applyAlignment="1">
      <alignment vertical="center"/>
    </xf>
    <xf numFmtId="3" fontId="6" fillId="2" borderId="0" xfId="0" applyNumberFormat="1" applyFont="1" applyFill="1" applyAlignment="1">
      <alignment horizontal="center" vertical="center" wrapText="1"/>
    </xf>
    <xf numFmtId="0" fontId="6" fillId="0" borderId="0" xfId="0" applyFont="1" applyAlignment="1">
      <alignment horizontal="center" vertical="center"/>
    </xf>
    <xf numFmtId="9" fontId="6" fillId="0" borderId="0" xfId="0" applyNumberFormat="1" applyFont="1" applyAlignment="1">
      <alignment vertical="center"/>
    </xf>
    <xf numFmtId="0" fontId="6" fillId="0" borderId="8" xfId="0" applyFont="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vertical="center"/>
    </xf>
    <xf numFmtId="0" fontId="6" fillId="0" borderId="14" xfId="0" applyFont="1" applyBorder="1" applyAlignment="1">
      <alignment horizontal="center" vertical="center" wrapText="1"/>
    </xf>
    <xf numFmtId="0" fontId="6" fillId="0" borderId="8" xfId="0" applyFont="1" applyBorder="1" applyAlignment="1">
      <alignment vertical="center"/>
    </xf>
    <xf numFmtId="0" fontId="6" fillId="0" borderId="15" xfId="0" applyFont="1" applyBorder="1" applyAlignment="1">
      <alignment vertical="center"/>
    </xf>
    <xf numFmtId="0" fontId="6" fillId="0" borderId="7" xfId="0" applyFont="1" applyBorder="1" applyAlignment="1">
      <alignment horizontal="center" vertical="center"/>
    </xf>
    <xf numFmtId="3" fontId="6" fillId="0" borderId="1" xfId="0" applyNumberFormat="1" applyFont="1" applyBorder="1" applyAlignment="1">
      <alignment vertical="center"/>
    </xf>
    <xf numFmtId="3" fontId="6" fillId="0" borderId="7" xfId="0" applyNumberFormat="1" applyFont="1" applyBorder="1" applyAlignment="1">
      <alignment vertical="center"/>
    </xf>
    <xf numFmtId="3" fontId="6" fillId="0" borderId="2" xfId="0" applyNumberFormat="1" applyFont="1" applyBorder="1" applyAlignment="1">
      <alignment vertical="center"/>
    </xf>
    <xf numFmtId="0" fontId="6" fillId="2" borderId="0" xfId="0" applyFont="1" applyFill="1" applyAlignment="1">
      <alignment vertical="center" wrapText="1"/>
    </xf>
    <xf numFmtId="0" fontId="6" fillId="2" borderId="3" xfId="0" applyFont="1" applyFill="1" applyBorder="1" applyAlignment="1">
      <alignment vertical="center"/>
    </xf>
    <xf numFmtId="0" fontId="6" fillId="2" borderId="4" xfId="0" applyFont="1" applyFill="1" applyBorder="1" applyAlignment="1">
      <alignment vertical="center"/>
    </xf>
    <xf numFmtId="164" fontId="6" fillId="2" borderId="4" xfId="1" applyNumberFormat="1" applyFont="1" applyFill="1" applyBorder="1" applyAlignment="1">
      <alignment vertical="center"/>
    </xf>
    <xf numFmtId="0" fontId="6" fillId="2" borderId="5" xfId="0" applyFont="1" applyFill="1" applyBorder="1" applyAlignment="1">
      <alignment vertical="center"/>
    </xf>
    <xf numFmtId="0" fontId="6" fillId="0" borderId="8" xfId="0" applyFont="1" applyBorder="1" applyAlignment="1">
      <alignment horizontal="center" vertical="center"/>
    </xf>
    <xf numFmtId="3" fontId="6" fillId="0" borderId="6" xfId="0" applyNumberFormat="1" applyFont="1" applyBorder="1" applyAlignment="1">
      <alignment vertical="center"/>
    </xf>
    <xf numFmtId="3" fontId="6" fillId="0" borderId="14" xfId="0" applyNumberFormat="1" applyFont="1" applyBorder="1" applyAlignment="1">
      <alignment vertical="center"/>
    </xf>
    <xf numFmtId="3" fontId="6" fillId="0" borderId="8" xfId="0" applyNumberFormat="1" applyFont="1" applyBorder="1" applyAlignment="1">
      <alignment vertical="center"/>
    </xf>
    <xf numFmtId="3" fontId="6" fillId="0" borderId="15" xfId="0" applyNumberFormat="1" applyFont="1" applyBorder="1" applyAlignment="1">
      <alignment vertical="center"/>
    </xf>
    <xf numFmtId="3" fontId="6" fillId="0" borderId="3" xfId="0" applyNumberFormat="1" applyFont="1" applyBorder="1" applyAlignment="1">
      <alignment vertical="center"/>
    </xf>
    <xf numFmtId="3" fontId="6" fillId="0" borderId="4" xfId="0" applyNumberFormat="1" applyFont="1" applyBorder="1" applyAlignment="1">
      <alignment vertical="center"/>
    </xf>
    <xf numFmtId="3" fontId="6" fillId="0" borderId="25" xfId="0" applyNumberFormat="1" applyFont="1" applyBorder="1" applyAlignment="1">
      <alignment vertical="center"/>
    </xf>
    <xf numFmtId="3" fontId="6" fillId="0" borderId="5" xfId="0" applyNumberFormat="1" applyFont="1" applyBorder="1" applyAlignment="1">
      <alignment vertical="center"/>
    </xf>
    <xf numFmtId="0" fontId="6" fillId="0" borderId="0" xfId="0" applyFont="1" applyAlignment="1">
      <alignment vertical="center" wrapText="1"/>
    </xf>
    <xf numFmtId="3" fontId="6" fillId="0" borderId="16" xfId="0" applyNumberFormat="1" applyFont="1" applyBorder="1" applyAlignment="1">
      <alignment vertical="center"/>
    </xf>
    <xf numFmtId="0" fontId="6" fillId="2" borderId="2" xfId="0" applyFont="1" applyFill="1" applyBorder="1" applyAlignment="1">
      <alignment vertical="center" wrapText="1"/>
    </xf>
    <xf numFmtId="0" fontId="12" fillId="2" borderId="7" xfId="0" applyFont="1" applyFill="1" applyBorder="1" applyAlignment="1">
      <alignment vertical="center"/>
    </xf>
    <xf numFmtId="0" fontId="4" fillId="0" borderId="11" xfId="3" applyFont="1" applyBorder="1" applyAlignment="1">
      <alignment horizontal="center" vertical="center"/>
    </xf>
    <xf numFmtId="0" fontId="4" fillId="0" borderId="12" xfId="3" applyFont="1" applyBorder="1" applyAlignment="1">
      <alignment vertical="center" wrapText="1"/>
    </xf>
    <xf numFmtId="0" fontId="13" fillId="0" borderId="12" xfId="3" applyFont="1" applyBorder="1" applyAlignment="1">
      <alignment horizontal="center" vertical="center"/>
    </xf>
    <xf numFmtId="0" fontId="4" fillId="0" borderId="13" xfId="3" applyFont="1" applyBorder="1" applyAlignment="1">
      <alignment horizontal="center" vertical="center"/>
    </xf>
    <xf numFmtId="0" fontId="4" fillId="0" borderId="0" xfId="3" applyFont="1" applyAlignment="1">
      <alignment horizontal="center" vertical="center"/>
    </xf>
    <xf numFmtId="0" fontId="4" fillId="0" borderId="1" xfId="4" applyBorder="1"/>
    <xf numFmtId="0" fontId="4" fillId="0" borderId="0" xfId="4"/>
    <xf numFmtId="0" fontId="4" fillId="0" borderId="2" xfId="4" applyBorder="1"/>
    <xf numFmtId="0" fontId="18" fillId="0" borderId="0" xfId="5" applyBorder="1"/>
    <xf numFmtId="0" fontId="19" fillId="0" borderId="0" xfId="4" applyFont="1"/>
    <xf numFmtId="0" fontId="11" fillId="0" borderId="0" xfId="4" applyFont="1" applyAlignment="1">
      <alignment horizontal="left" vertical="top"/>
    </xf>
    <xf numFmtId="0" fontId="4" fillId="0" borderId="3" xfId="3" applyFont="1" applyBorder="1" applyAlignment="1">
      <alignment horizontal="center" vertical="center"/>
    </xf>
    <xf numFmtId="0" fontId="4" fillId="0" borderId="4" xfId="3" applyFont="1" applyBorder="1" applyAlignment="1">
      <alignment horizontal="center" vertical="center"/>
    </xf>
    <xf numFmtId="0" fontId="4" fillId="0" borderId="5" xfId="3" applyFont="1" applyBorder="1" applyAlignment="1">
      <alignment horizontal="center" vertical="center"/>
    </xf>
    <xf numFmtId="0" fontId="20" fillId="0" borderId="0" xfId="0" applyFont="1" applyAlignment="1">
      <alignment horizontal="left"/>
    </xf>
    <xf numFmtId="3" fontId="8" fillId="0" borderId="20" xfId="6" applyNumberFormat="1" applyFont="1" applyBorder="1" applyAlignment="1">
      <alignment horizontal="center"/>
    </xf>
    <xf numFmtId="0" fontId="0" fillId="0" borderId="18" xfId="0" applyBorder="1" applyAlignment="1">
      <alignment horizontal="center"/>
    </xf>
    <xf numFmtId="3" fontId="0" fillId="0" borderId="0" xfId="0" applyNumberFormat="1" applyAlignment="1">
      <alignment horizontal="center"/>
    </xf>
    <xf numFmtId="9" fontId="0" fillId="0" borderId="0" xfId="2" applyFont="1" applyAlignment="1">
      <alignment horizontal="center"/>
    </xf>
    <xf numFmtId="0" fontId="0" fillId="0" borderId="7" xfId="0" applyBorder="1" applyAlignment="1">
      <alignment horizontal="center"/>
    </xf>
    <xf numFmtId="3" fontId="0" fillId="0" borderId="6" xfId="0" applyNumberFormat="1" applyBorder="1" applyAlignment="1">
      <alignment horizontal="center"/>
    </xf>
    <xf numFmtId="9" fontId="0" fillId="0" borderId="6" xfId="2" applyFont="1" applyBorder="1" applyAlignment="1">
      <alignment horizontal="center"/>
    </xf>
    <xf numFmtId="0" fontId="0" fillId="0" borderId="8" xfId="0" applyBorder="1" applyAlignment="1">
      <alignment horizontal="center"/>
    </xf>
    <xf numFmtId="0" fontId="0" fillId="2" borderId="20" xfId="0" applyFill="1" applyBorder="1"/>
    <xf numFmtId="0" fontId="0" fillId="2" borderId="19" xfId="0" applyFill="1" applyBorder="1"/>
    <xf numFmtId="0" fontId="0" fillId="2" borderId="18" xfId="0" applyFill="1" applyBorder="1"/>
    <xf numFmtId="0" fontId="0" fillId="2" borderId="2" xfId="0" applyFill="1" applyBorder="1"/>
    <xf numFmtId="0" fontId="0" fillId="2" borderId="0" xfId="0" applyFill="1"/>
    <xf numFmtId="0" fontId="0" fillId="2" borderId="1" xfId="0" applyFill="1" applyBorder="1"/>
    <xf numFmtId="0" fontId="0" fillId="0" borderId="6" xfId="0" applyBorder="1" applyAlignment="1">
      <alignment horizontal="center" wrapText="1"/>
    </xf>
    <xf numFmtId="0" fontId="0" fillId="0" borderId="7" xfId="0" applyBorder="1"/>
    <xf numFmtId="0" fontId="0" fillId="0" borderId="0" xfId="0" applyAlignment="1">
      <alignment horizontal="center"/>
    </xf>
    <xf numFmtId="0" fontId="21" fillId="0" borderId="0" xfId="0" applyFont="1" applyAlignment="1">
      <alignment horizontal="center"/>
    </xf>
    <xf numFmtId="0" fontId="0" fillId="2" borderId="0" xfId="0" applyFill="1" applyAlignment="1">
      <alignment horizontal="left"/>
    </xf>
    <xf numFmtId="166" fontId="8" fillId="0" borderId="20" xfId="2" applyNumberFormat="1" applyFont="1" applyBorder="1" applyAlignment="1">
      <alignment horizontal="center"/>
    </xf>
    <xf numFmtId="0" fontId="0" fillId="0" borderId="18" xfId="0" applyBorder="1" applyAlignment="1">
      <alignment horizontal="left"/>
    </xf>
    <xf numFmtId="0" fontId="0" fillId="0" borderId="0" xfId="0" applyAlignment="1">
      <alignment horizontal="left"/>
    </xf>
    <xf numFmtId="3" fontId="0" fillId="0" borderId="7" xfId="0" applyNumberFormat="1" applyBorder="1" applyAlignment="1">
      <alignment horizontal="center"/>
    </xf>
    <xf numFmtId="0" fontId="0" fillId="0" borderId="0" xfId="0" quotePrefix="1" applyAlignment="1">
      <alignment horizontal="center"/>
    </xf>
    <xf numFmtId="3" fontId="0" fillId="2" borderId="8" xfId="0" applyNumberFormat="1" applyFill="1" applyBorder="1" applyAlignment="1">
      <alignment horizontal="center"/>
    </xf>
    <xf numFmtId="3" fontId="0" fillId="2" borderId="6" xfId="0" applyNumberFormat="1" applyFill="1" applyBorder="1" applyAlignment="1">
      <alignment horizontal="center"/>
    </xf>
    <xf numFmtId="167" fontId="0" fillId="2" borderId="6" xfId="0" applyNumberFormat="1" applyFill="1" applyBorder="1" applyAlignment="1">
      <alignment horizontal="center"/>
    </xf>
    <xf numFmtId="0" fontId="0" fillId="2" borderId="26" xfId="0" applyFill="1" applyBorder="1" applyAlignment="1">
      <alignment horizontal="center"/>
    </xf>
    <xf numFmtId="9" fontId="0" fillId="0" borderId="16" xfId="2" applyFont="1" applyBorder="1" applyAlignment="1">
      <alignment horizontal="center"/>
    </xf>
    <xf numFmtId="3" fontId="0" fillId="0" borderId="8" xfId="0" applyNumberFormat="1" applyBorder="1" applyAlignment="1">
      <alignment horizontal="center"/>
    </xf>
    <xf numFmtId="167" fontId="0" fillId="0" borderId="6" xfId="0" applyNumberFormat="1" applyBorder="1" applyAlignment="1">
      <alignment horizontal="center"/>
    </xf>
    <xf numFmtId="3" fontId="0" fillId="2" borderId="7" xfId="0" applyNumberFormat="1" applyFill="1" applyBorder="1" applyAlignment="1">
      <alignment horizontal="center"/>
    </xf>
    <xf numFmtId="3" fontId="0" fillId="2" borderId="0" xfId="0" applyNumberFormat="1" applyFill="1" applyAlignment="1">
      <alignment horizontal="center"/>
    </xf>
    <xf numFmtId="167" fontId="0" fillId="2" borderId="0" xfId="0" applyNumberFormat="1" applyFill="1" applyAlignment="1">
      <alignment horizontal="center"/>
    </xf>
    <xf numFmtId="0" fontId="0" fillId="2" borderId="27" xfId="0" applyFill="1" applyBorder="1" applyAlignment="1">
      <alignment horizontal="center"/>
    </xf>
    <xf numFmtId="167" fontId="0" fillId="0" borderId="0" xfId="0" applyNumberFormat="1" applyAlignment="1">
      <alignment horizontal="center"/>
    </xf>
    <xf numFmtId="3" fontId="0" fillId="0" borderId="9" xfId="0" applyNumberFormat="1" applyBorder="1" applyAlignment="1">
      <alignment horizontal="center"/>
    </xf>
    <xf numFmtId="0" fontId="0" fillId="2" borderId="27" xfId="0" applyFill="1" applyBorder="1"/>
    <xf numFmtId="0" fontId="0" fillId="2" borderId="10" xfId="0" applyFill="1" applyBorder="1"/>
    <xf numFmtId="0" fontId="0" fillId="2" borderId="28" xfId="0" applyFill="1" applyBorder="1"/>
    <xf numFmtId="0" fontId="21" fillId="0" borderId="0" xfId="0" applyFont="1"/>
    <xf numFmtId="0" fontId="20" fillId="0" borderId="0" xfId="0" applyFont="1"/>
    <xf numFmtId="0" fontId="0" fillId="2" borderId="13" xfId="0" applyFill="1" applyBorder="1"/>
    <xf numFmtId="0" fontId="0" fillId="2" borderId="12" xfId="0" applyFill="1" applyBorder="1"/>
    <xf numFmtId="0" fontId="0" fillId="2" borderId="12" xfId="0" applyFill="1" applyBorder="1" applyAlignment="1">
      <alignment horizontal="center"/>
    </xf>
    <xf numFmtId="0" fontId="21" fillId="2" borderId="12" xfId="0" applyFont="1" applyFill="1" applyBorder="1"/>
    <xf numFmtId="0" fontId="20" fillId="2" borderId="11" xfId="0" applyFont="1" applyFill="1" applyBorder="1"/>
    <xf numFmtId="0" fontId="0" fillId="2" borderId="0" xfId="0" applyFill="1" applyAlignment="1">
      <alignment horizontal="center"/>
    </xf>
    <xf numFmtId="0" fontId="0" fillId="2" borderId="0" xfId="0" quotePrefix="1" applyFill="1"/>
    <xf numFmtId="0" fontId="0" fillId="2" borderId="8" xfId="0" applyFill="1" applyBorder="1" applyAlignment="1">
      <alignment horizontal="center"/>
    </xf>
    <xf numFmtId="6" fontId="0" fillId="2" borderId="26" xfId="0" applyNumberFormat="1" applyFill="1" applyBorder="1" applyAlignment="1">
      <alignment horizontal="center"/>
    </xf>
    <xf numFmtId="0" fontId="0" fillId="2" borderId="7" xfId="0" applyFill="1" applyBorder="1" applyAlignment="1">
      <alignment horizontal="center"/>
    </xf>
    <xf numFmtId="6" fontId="0" fillId="2" borderId="27" xfId="0" applyNumberFormat="1" applyFill="1" applyBorder="1" applyAlignment="1">
      <alignment horizontal="center"/>
    </xf>
    <xf numFmtId="0" fontId="0" fillId="0" borderId="0" xfId="0" applyAlignment="1">
      <alignment wrapText="1"/>
    </xf>
    <xf numFmtId="0" fontId="0" fillId="2" borderId="2" xfId="0" applyFill="1" applyBorder="1" applyAlignment="1">
      <alignment wrapText="1"/>
    </xf>
    <xf numFmtId="0" fontId="0" fillId="2" borderId="0" xfId="0" applyFill="1" applyAlignment="1">
      <alignment wrapText="1"/>
    </xf>
    <xf numFmtId="0" fontId="0" fillId="2" borderId="1" xfId="0" applyFill="1" applyBorder="1" applyAlignment="1">
      <alignment wrapText="1"/>
    </xf>
    <xf numFmtId="6" fontId="0" fillId="0" borderId="20" xfId="0" applyNumberFormat="1" applyBorder="1" applyAlignment="1">
      <alignment horizontal="center"/>
    </xf>
    <xf numFmtId="0" fontId="21" fillId="0" borderId="0" xfId="0" applyFont="1" applyAlignment="1">
      <alignment horizontal="left"/>
    </xf>
    <xf numFmtId="0" fontId="0" fillId="0" borderId="19" xfId="0" applyBorder="1"/>
    <xf numFmtId="6" fontId="0" fillId="0" borderId="0" xfId="0" applyNumberFormat="1" applyAlignment="1">
      <alignment horizontal="center"/>
    </xf>
    <xf numFmtId="0" fontId="0" fillId="0" borderId="0" xfId="0" quotePrefix="1"/>
    <xf numFmtId="6" fontId="0" fillId="0" borderId="0" xfId="0" applyNumberFormat="1"/>
    <xf numFmtId="6" fontId="0" fillId="2" borderId="2" xfId="0" applyNumberFormat="1" applyFill="1" applyBorder="1"/>
    <xf numFmtId="6" fontId="0" fillId="2" borderId="0" xfId="0" applyNumberFormat="1" applyFill="1"/>
    <xf numFmtId="0" fontId="21" fillId="2" borderId="0" xfId="0" quotePrefix="1" applyFont="1" applyFill="1"/>
    <xf numFmtId="6" fontId="0" fillId="0" borderId="7" xfId="0" applyNumberFormat="1" applyBorder="1" applyAlignment="1">
      <alignment horizontal="center"/>
    </xf>
    <xf numFmtId="3" fontId="0" fillId="0" borderId="0" xfId="0" quotePrefix="1" applyNumberFormat="1" applyAlignment="1">
      <alignment horizontal="left"/>
    </xf>
    <xf numFmtId="3" fontId="0" fillId="0" borderId="20" xfId="0" applyNumberFormat="1" applyBorder="1"/>
    <xf numFmtId="14" fontId="0" fillId="2" borderId="0" xfId="0" applyNumberFormat="1" applyFill="1" applyAlignment="1">
      <alignment horizontal="center"/>
    </xf>
    <xf numFmtId="0" fontId="0" fillId="0" borderId="6" xfId="0" applyBorder="1" applyAlignment="1">
      <alignment horizontal="center"/>
    </xf>
    <xf numFmtId="3" fontId="0" fillId="2" borderId="2" xfId="0" applyNumberFormat="1" applyFill="1" applyBorder="1" applyAlignment="1">
      <alignment horizontal="center"/>
    </xf>
    <xf numFmtId="14" fontId="0" fillId="2" borderId="6" xfId="0" applyNumberFormat="1" applyFill="1" applyBorder="1" applyAlignment="1">
      <alignment horizontal="center"/>
    </xf>
    <xf numFmtId="0" fontId="0" fillId="2" borderId="2" xfId="0" applyFill="1" applyBorder="1" applyAlignment="1">
      <alignment horizontal="center"/>
    </xf>
    <xf numFmtId="0" fontId="0" fillId="2" borderId="6" xfId="0" applyFill="1" applyBorder="1" applyAlignment="1">
      <alignment horizontal="center"/>
    </xf>
    <xf numFmtId="0" fontId="0" fillId="2" borderId="9" xfId="0" applyFill="1" applyBorder="1"/>
    <xf numFmtId="3" fontId="0" fillId="0" borderId="20" xfId="0" applyNumberFormat="1" applyBorder="1" applyAlignment="1">
      <alignment horizontal="center"/>
    </xf>
    <xf numFmtId="0" fontId="0" fillId="0" borderId="18" xfId="0" applyBorder="1"/>
    <xf numFmtId="6" fontId="0" fillId="2" borderId="0" xfId="0" applyNumberFormat="1" applyFill="1" applyAlignment="1">
      <alignment horizontal="center"/>
    </xf>
    <xf numFmtId="0" fontId="21" fillId="2" borderId="0" xfId="0" applyFont="1" applyFill="1"/>
    <xf numFmtId="0" fontId="22" fillId="0" borderId="0" xfId="0" applyFont="1"/>
    <xf numFmtId="3" fontId="0" fillId="0" borderId="0" xfId="0" applyNumberFormat="1"/>
    <xf numFmtId="9" fontId="0" fillId="2" borderId="0" xfId="0" applyNumberFormat="1" applyFill="1" applyAlignment="1">
      <alignment horizontal="center"/>
    </xf>
    <xf numFmtId="0" fontId="0" fillId="2" borderId="26" xfId="0" applyFill="1" applyBorder="1"/>
    <xf numFmtId="0" fontId="0" fillId="2" borderId="2" xfId="0" quotePrefix="1" applyFill="1" applyBorder="1" applyAlignment="1">
      <alignment horizontal="center"/>
    </xf>
    <xf numFmtId="0" fontId="0" fillId="2" borderId="0" xfId="0" quotePrefix="1" applyFill="1" applyAlignment="1">
      <alignment horizontal="center"/>
    </xf>
    <xf numFmtId="0" fontId="0" fillId="2" borderId="29" xfId="0" quotePrefix="1" applyFill="1" applyBorder="1" applyAlignment="1">
      <alignment horizontal="center"/>
    </xf>
    <xf numFmtId="0" fontId="0" fillId="2" borderId="30" xfId="0" quotePrefix="1" applyFill="1" applyBorder="1" applyAlignment="1">
      <alignment horizontal="center"/>
    </xf>
    <xf numFmtId="16" fontId="0" fillId="2" borderId="30" xfId="0" quotePrefix="1" applyNumberFormat="1" applyFill="1" applyBorder="1" applyAlignment="1">
      <alignment horizontal="center"/>
    </xf>
    <xf numFmtId="0" fontId="0" fillId="2" borderId="31" xfId="0" applyFill="1" applyBorder="1"/>
    <xf numFmtId="0" fontId="0" fillId="2" borderId="29" xfId="0" applyFill="1" applyBorder="1" applyAlignment="1">
      <alignment horizontal="center" wrapText="1"/>
    </xf>
    <xf numFmtId="0" fontId="0" fillId="2" borderId="30" xfId="0" applyFill="1" applyBorder="1" applyAlignment="1">
      <alignment horizontal="center" wrapText="1"/>
    </xf>
    <xf numFmtId="0" fontId="0" fillId="2" borderId="31" xfId="0" applyFill="1" applyBorder="1" applyAlignment="1">
      <alignment horizontal="center" wrapText="1"/>
    </xf>
    <xf numFmtId="0" fontId="22" fillId="0" borderId="0" xfId="0" applyFont="1" applyAlignment="1">
      <alignment horizontal="left"/>
    </xf>
    <xf numFmtId="0" fontId="0" fillId="2" borderId="13" xfId="0" applyFill="1" applyBorder="1" applyAlignment="1">
      <alignment horizontal="center"/>
    </xf>
    <xf numFmtId="0" fontId="0" fillId="2" borderId="19" xfId="0" applyFill="1" applyBorder="1" applyAlignment="1">
      <alignment horizont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2" borderId="28" xfId="0" applyFill="1" applyBorder="1" applyAlignment="1">
      <alignment horizontal="center"/>
    </xf>
    <xf numFmtId="0" fontId="21" fillId="0" borderId="0" xfId="0" applyFont="1" applyAlignment="1">
      <alignment wrapText="1"/>
    </xf>
    <xf numFmtId="168" fontId="0" fillId="0" borderId="0" xfId="0" applyNumberFormat="1"/>
    <xf numFmtId="168" fontId="0" fillId="0" borderId="0" xfId="6" applyNumberFormat="1" applyFont="1"/>
    <xf numFmtId="168" fontId="0" fillId="0" borderId="20" xfId="0" applyNumberFormat="1" applyBorder="1"/>
    <xf numFmtId="169" fontId="0" fillId="0" borderId="0" xfId="0" applyNumberFormat="1" applyAlignment="1">
      <alignment horizontal="center"/>
    </xf>
    <xf numFmtId="169" fontId="0" fillId="2" borderId="2" xfId="0" applyNumberFormat="1" applyFill="1" applyBorder="1" applyAlignment="1">
      <alignment horizontal="center"/>
    </xf>
    <xf numFmtId="169" fontId="0" fillId="2" borderId="0" xfId="0" applyNumberFormat="1" applyFill="1" applyAlignment="1">
      <alignment horizontal="center"/>
    </xf>
    <xf numFmtId="169" fontId="0" fillId="2" borderId="8" xfId="0" applyNumberFormat="1" applyFill="1" applyBorder="1" applyAlignment="1">
      <alignment horizontal="center"/>
    </xf>
    <xf numFmtId="169" fontId="0" fillId="2" borderId="6" xfId="0" applyNumberFormat="1" applyFill="1" applyBorder="1" applyAlignment="1">
      <alignment horizontal="center"/>
    </xf>
    <xf numFmtId="169" fontId="0" fillId="2" borderId="7" xfId="0" applyNumberFormat="1" applyFill="1" applyBorder="1" applyAlignment="1">
      <alignment horizontal="center"/>
    </xf>
    <xf numFmtId="3" fontId="0" fillId="0" borderId="5" xfId="0" applyNumberFormat="1" applyBorder="1" applyAlignment="1">
      <alignment horizontal="center"/>
    </xf>
    <xf numFmtId="3" fontId="0" fillId="0" borderId="4" xfId="0" applyNumberFormat="1" applyBorder="1" applyAlignment="1">
      <alignment horizontal="center"/>
    </xf>
    <xf numFmtId="3" fontId="0" fillId="0" borderId="3" xfId="0" applyNumberFormat="1" applyBorder="1" applyAlignment="1">
      <alignment horizontal="center"/>
    </xf>
    <xf numFmtId="3" fontId="0" fillId="0" borderId="2" xfId="0" applyNumberFormat="1" applyBorder="1" applyAlignment="1">
      <alignment horizontal="center"/>
    </xf>
    <xf numFmtId="3" fontId="0" fillId="0" borderId="1" xfId="0" applyNumberFormat="1" applyBorder="1" applyAlignment="1">
      <alignment horizontal="center"/>
    </xf>
    <xf numFmtId="169" fontId="0" fillId="2" borderId="9" xfId="0" applyNumberFormat="1" applyFill="1" applyBorder="1" applyAlignment="1">
      <alignment horizontal="center"/>
    </xf>
    <xf numFmtId="169" fontId="0" fillId="2" borderId="10" xfId="0" applyNumberFormat="1" applyFill="1" applyBorder="1" applyAlignment="1">
      <alignment horizontal="center"/>
    </xf>
    <xf numFmtId="0" fontId="0" fillId="2" borderId="32" xfId="0" applyFill="1" applyBorder="1" applyAlignment="1">
      <alignment horizontal="center"/>
    </xf>
    <xf numFmtId="6" fontId="0" fillId="2" borderId="2" xfId="0" applyNumberFormat="1" applyFill="1" applyBorder="1" applyAlignment="1">
      <alignment horizontal="center"/>
    </xf>
    <xf numFmtId="0" fontId="0" fillId="2" borderId="28" xfId="0" quotePrefix="1" applyFill="1" applyBorder="1"/>
    <xf numFmtId="3" fontId="0" fillId="0" borderId="13" xfId="0" applyNumberFormat="1" applyBorder="1" applyAlignment="1">
      <alignment horizontal="center"/>
    </xf>
    <xf numFmtId="3" fontId="0" fillId="0" borderId="12" xfId="0" applyNumberFormat="1" applyBorder="1" applyAlignment="1">
      <alignment horizontal="center"/>
    </xf>
    <xf numFmtId="3" fontId="0" fillId="0" borderId="11" xfId="0" applyNumberFormat="1" applyBorder="1" applyAlignment="1">
      <alignment horizontal="center"/>
    </xf>
    <xf numFmtId="0" fontId="0" fillId="0" borderId="10" xfId="0" applyBorder="1" applyAlignment="1">
      <alignment horizontal="center"/>
    </xf>
    <xf numFmtId="8" fontId="0" fillId="2" borderId="0" xfId="0" applyNumberFormat="1" applyFill="1" applyAlignment="1">
      <alignment horizontal="left"/>
    </xf>
    <xf numFmtId="0" fontId="0" fillId="0" borderId="9" xfId="0" applyBorder="1" applyAlignment="1">
      <alignment horizontal="center"/>
    </xf>
    <xf numFmtId="0" fontId="21" fillId="0" borderId="0" xfId="0" quotePrefix="1" applyFont="1" applyAlignment="1">
      <alignment horizontal="left"/>
    </xf>
    <xf numFmtId="0" fontId="0" fillId="0" borderId="0" xfId="0" quotePrefix="1" applyAlignment="1">
      <alignment horizontal="left"/>
    </xf>
    <xf numFmtId="0" fontId="0" fillId="2" borderId="5" xfId="0" applyFill="1" applyBorder="1" applyAlignment="1">
      <alignment horizontal="left"/>
    </xf>
    <xf numFmtId="0" fontId="0" fillId="2" borderId="4" xfId="0" applyFill="1" applyBorder="1" applyAlignment="1">
      <alignment horizontal="left"/>
    </xf>
    <xf numFmtId="0" fontId="0" fillId="2" borderId="3" xfId="0" applyFill="1" applyBorder="1" applyAlignment="1">
      <alignment horizontal="left"/>
    </xf>
    <xf numFmtId="0" fontId="0" fillId="2" borderId="2" xfId="0" applyFill="1" applyBorder="1" applyAlignment="1">
      <alignment horizontal="left"/>
    </xf>
    <xf numFmtId="0" fontId="0" fillId="2" borderId="1" xfId="0" applyFill="1" applyBorder="1" applyAlignment="1">
      <alignment horizontal="left"/>
    </xf>
    <xf numFmtId="0" fontId="21" fillId="2" borderId="0" xfId="0" applyFont="1" applyFill="1" applyAlignment="1">
      <alignment horizontal="left"/>
    </xf>
    <xf numFmtId="0" fontId="0" fillId="2" borderId="0" xfId="0" quotePrefix="1" applyFill="1" applyAlignment="1">
      <alignment horizontal="left"/>
    </xf>
    <xf numFmtId="0" fontId="23" fillId="0" borderId="0" xfId="0" applyFont="1"/>
    <xf numFmtId="0" fontId="23" fillId="0" borderId="0" xfId="0" applyFont="1" applyAlignment="1">
      <alignment horizontal="left"/>
    </xf>
    <xf numFmtId="0" fontId="24" fillId="0" borderId="0" xfId="0" quotePrefix="1" applyFont="1" applyAlignment="1">
      <alignment horizontal="left"/>
    </xf>
    <xf numFmtId="3" fontId="23" fillId="0" borderId="0" xfId="0" applyNumberFormat="1" applyFont="1" applyAlignment="1">
      <alignment horizontal="left"/>
    </xf>
    <xf numFmtId="6" fontId="0" fillId="2" borderId="0" xfId="0" applyNumberFormat="1" applyFill="1" applyAlignment="1">
      <alignment horizontal="left"/>
    </xf>
    <xf numFmtId="0" fontId="23" fillId="2" borderId="0" xfId="0" applyFont="1" applyFill="1" applyAlignment="1">
      <alignment horizontal="left"/>
    </xf>
    <xf numFmtId="0" fontId="0" fillId="2" borderId="13" xfId="0" applyFill="1" applyBorder="1" applyAlignment="1">
      <alignment horizontal="left"/>
    </xf>
    <xf numFmtId="0" fontId="0" fillId="2" borderId="12" xfId="0" applyFill="1" applyBorder="1" applyAlignment="1">
      <alignment horizontal="left"/>
    </xf>
    <xf numFmtId="0" fontId="20" fillId="2" borderId="11" xfId="0" applyFont="1" applyFill="1" applyBorder="1" applyAlignment="1">
      <alignment horizontal="left"/>
    </xf>
    <xf numFmtId="0" fontId="1" fillId="2" borderId="8" xfId="0" applyFont="1" applyFill="1" applyBorder="1" applyAlignment="1">
      <alignment horizontal="center" vertical="center" wrapText="1"/>
    </xf>
    <xf numFmtId="0" fontId="1" fillId="2" borderId="0" xfId="0" applyFont="1" applyFill="1" applyAlignment="1">
      <alignment vertical="center"/>
    </xf>
    <xf numFmtId="0" fontId="4" fillId="0" borderId="0" xfId="4" applyAlignment="1">
      <alignment horizontal="left" vertical="top" wrapText="1"/>
    </xf>
    <xf numFmtId="0" fontId="4" fillId="0" borderId="0" xfId="4" applyAlignment="1">
      <alignment horizontal="left" vertical="top"/>
    </xf>
    <xf numFmtId="0" fontId="3" fillId="0" borderId="0" xfId="4" applyFont="1" applyAlignment="1">
      <alignment horizontal="left" vertical="top" wrapText="1"/>
    </xf>
    <xf numFmtId="0" fontId="2" fillId="0" borderId="0" xfId="4" applyFont="1" applyAlignment="1">
      <alignment horizontal="left" vertical="top" wrapText="1"/>
    </xf>
    <xf numFmtId="0" fontId="7" fillId="2" borderId="0" xfId="0" applyFont="1" applyFill="1" applyAlignment="1">
      <alignment horizontal="left" wrapText="1"/>
    </xf>
    <xf numFmtId="0" fontId="7" fillId="2" borderId="18" xfId="0" applyFont="1" applyFill="1" applyBorder="1" applyAlignment="1">
      <alignment horizontal="left"/>
    </xf>
    <xf numFmtId="0" fontId="7" fillId="2" borderId="19" xfId="0" applyFont="1" applyFill="1" applyBorder="1" applyAlignment="1">
      <alignment horizontal="left"/>
    </xf>
    <xf numFmtId="0" fontId="7" fillId="2" borderId="20" xfId="0" applyFont="1" applyFill="1" applyBorder="1" applyAlignment="1">
      <alignment horizontal="left"/>
    </xf>
    <xf numFmtId="0" fontId="7" fillId="0" borderId="0" xfId="0" applyFont="1" applyAlignment="1">
      <alignment horizontal="left" vertical="center" wrapText="1"/>
    </xf>
    <xf numFmtId="0" fontId="7" fillId="0" borderId="0" xfId="0" applyFont="1" applyAlignment="1">
      <alignment horizontal="left" vertical="top" wrapText="1"/>
    </xf>
    <xf numFmtId="0" fontId="7" fillId="0" borderId="0" xfId="0" applyFont="1" applyAlignment="1">
      <alignment horizontal="left" wrapText="1"/>
    </xf>
    <xf numFmtId="0" fontId="7" fillId="2" borderId="0" xfId="0" applyFont="1" applyFill="1" applyAlignment="1">
      <alignment horizontal="left" vertical="top" wrapText="1"/>
    </xf>
    <xf numFmtId="0" fontId="5" fillId="0" borderId="0" xfId="0" applyFont="1" applyAlignment="1">
      <alignment horizontal="left" vertical="top" wrapText="1"/>
    </xf>
    <xf numFmtId="0" fontId="13" fillId="0" borderId="0" xfId="0" applyFont="1" applyAlignment="1">
      <alignment horizontal="left" vertical="top" wrapText="1"/>
    </xf>
    <xf numFmtId="0" fontId="6" fillId="0" borderId="0" xfId="0" applyFont="1" applyAlignment="1">
      <alignment horizontal="left" vertical="top" wrapText="1"/>
    </xf>
    <xf numFmtId="0" fontId="7" fillId="2" borderId="0" xfId="0" applyFont="1" applyFill="1" applyAlignment="1">
      <alignment horizontal="left" vertical="center" wrapText="1"/>
    </xf>
    <xf numFmtId="0" fontId="6" fillId="2" borderId="0" xfId="0" applyFont="1" applyFill="1" applyAlignment="1">
      <alignment horizontal="left" vertical="center" wrapText="1"/>
    </xf>
    <xf numFmtId="0" fontId="7" fillId="2" borderId="0" xfId="0" applyFont="1" applyFill="1" applyAlignment="1">
      <alignment horizontal="center" wrapText="1"/>
    </xf>
    <xf numFmtId="0" fontId="7" fillId="2" borderId="6" xfId="0" applyFont="1" applyFill="1" applyBorder="1" applyAlignment="1">
      <alignment horizontal="center" wrapText="1"/>
    </xf>
    <xf numFmtId="0" fontId="6" fillId="0" borderId="0" xfId="0" applyFont="1" applyAlignment="1">
      <alignment horizontal="left" vertical="center" wrapText="1"/>
    </xf>
    <xf numFmtId="0" fontId="7" fillId="2" borderId="6" xfId="0" applyFont="1" applyFill="1" applyBorder="1" applyAlignment="1">
      <alignment horizontal="center" vertical="center" wrapText="1"/>
    </xf>
    <xf numFmtId="0" fontId="7" fillId="2" borderId="10" xfId="0" applyFont="1" applyFill="1" applyBorder="1" applyAlignment="1">
      <alignment horizontal="center" vertical="center"/>
    </xf>
    <xf numFmtId="0" fontId="7" fillId="2" borderId="0" xfId="0" applyFont="1" applyFill="1" applyAlignment="1">
      <alignment horizontal="center" vertical="center"/>
    </xf>
    <xf numFmtId="0" fontId="12" fillId="0" borderId="0" xfId="0" applyFont="1" applyAlignment="1">
      <alignment horizontal="center" vertical="center"/>
    </xf>
    <xf numFmtId="0" fontId="7" fillId="2" borderId="17"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0" borderId="0" xfId="0" applyFont="1" applyAlignment="1">
      <alignment horizontal="center" vertical="center" wrapText="1"/>
    </xf>
    <xf numFmtId="0" fontId="12" fillId="2" borderId="0" xfId="0" applyFont="1" applyFill="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7" fillId="0" borderId="0" xfId="0" applyFont="1" applyAlignment="1">
      <alignment horizontal="center" vertical="center" wrapText="1"/>
    </xf>
    <xf numFmtId="0" fontId="7" fillId="0" borderId="6"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0" xfId="0" applyFont="1" applyAlignment="1">
      <alignment horizontal="left" wrapText="1" indent="2"/>
    </xf>
    <xf numFmtId="0" fontId="1" fillId="2" borderId="0" xfId="0" applyFont="1" applyFill="1" applyAlignment="1">
      <alignment horizontal="left" vertical="center" wrapText="1"/>
    </xf>
    <xf numFmtId="0" fontId="1" fillId="0" borderId="0" xfId="0" applyFont="1" applyAlignment="1">
      <alignment horizontal="left" vertical="center" wrapText="1"/>
    </xf>
    <xf numFmtId="0" fontId="0" fillId="0" borderId="17" xfId="0" applyBorder="1" applyAlignment="1">
      <alignment horizontal="center"/>
    </xf>
    <xf numFmtId="0" fontId="0" fillId="0" borderId="0" xfId="0" applyAlignment="1">
      <alignment horizontal="center"/>
    </xf>
    <xf numFmtId="0" fontId="0" fillId="2" borderId="9" xfId="0" applyFill="1" applyBorder="1" applyAlignment="1">
      <alignment horizontal="center" wrapText="1"/>
    </xf>
    <xf numFmtId="0" fontId="0" fillId="2" borderId="7" xfId="0" applyFill="1" applyBorder="1" applyAlignment="1">
      <alignment horizontal="center" wrapText="1"/>
    </xf>
    <xf numFmtId="0" fontId="0" fillId="2" borderId="8" xfId="0" applyFill="1" applyBorder="1" applyAlignment="1">
      <alignment horizontal="center" wrapText="1"/>
    </xf>
    <xf numFmtId="0" fontId="0" fillId="2" borderId="10" xfId="0" applyFill="1" applyBorder="1" applyAlignment="1">
      <alignment horizontal="center" wrapText="1"/>
    </xf>
    <xf numFmtId="0" fontId="0" fillId="2" borderId="0" xfId="0" applyFill="1" applyAlignment="1">
      <alignment horizontal="center" wrapText="1"/>
    </xf>
    <xf numFmtId="0" fontId="0" fillId="2" borderId="6" xfId="0" applyFill="1" applyBorder="1" applyAlignment="1">
      <alignment horizontal="center" wrapText="1"/>
    </xf>
    <xf numFmtId="0" fontId="0" fillId="2" borderId="0" xfId="0" applyFill="1" applyAlignment="1">
      <alignment horizontal="left" vertical="top" wrapText="1"/>
    </xf>
    <xf numFmtId="0" fontId="0" fillId="0" borderId="0" xfId="0" applyAlignment="1">
      <alignment horizontal="center" wrapText="1"/>
    </xf>
    <xf numFmtId="0" fontId="0" fillId="0" borderId="6" xfId="0" applyBorder="1" applyAlignment="1">
      <alignment horizontal="center" wrapText="1"/>
    </xf>
    <xf numFmtId="0" fontId="0" fillId="0" borderId="17" xfId="0" applyBorder="1" applyAlignment="1">
      <alignment horizontal="center" wrapText="1"/>
    </xf>
    <xf numFmtId="0" fontId="0" fillId="0" borderId="16" xfId="0" applyBorder="1" applyAlignment="1">
      <alignment horizontal="center" wrapText="1"/>
    </xf>
    <xf numFmtId="0" fontId="0" fillId="0" borderId="7" xfId="0" applyBorder="1" applyAlignment="1">
      <alignment horizontal="center"/>
    </xf>
    <xf numFmtId="3" fontId="0" fillId="0" borderId="0" xfId="0" applyNumberFormat="1" applyAlignment="1">
      <alignment horizontal="center"/>
    </xf>
    <xf numFmtId="0" fontId="0" fillId="2" borderId="28" xfId="0" applyFill="1" applyBorder="1" applyAlignment="1">
      <alignment horizontal="center" wrapText="1"/>
    </xf>
    <xf numFmtId="0" fontId="0" fillId="2" borderId="27" xfId="0" applyFill="1" applyBorder="1" applyAlignment="1">
      <alignment horizontal="center" wrapText="1"/>
    </xf>
    <xf numFmtId="0" fontId="0" fillId="2" borderId="26" xfId="0" applyFill="1" applyBorder="1" applyAlignment="1">
      <alignment horizontal="center" wrapText="1"/>
    </xf>
    <xf numFmtId="3" fontId="0" fillId="0" borderId="0" xfId="0" applyNumberFormat="1" applyAlignment="1">
      <alignment horizontal="center" wrapText="1"/>
    </xf>
    <xf numFmtId="3" fontId="0" fillId="0" borderId="6" xfId="0" applyNumberFormat="1"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2" borderId="0" xfId="0" applyFill="1" applyAlignment="1">
      <alignment horizontal="left" wrapText="1"/>
    </xf>
    <xf numFmtId="0" fontId="0" fillId="2" borderId="0" xfId="0" quotePrefix="1" applyFill="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xf numFmtId="0" fontId="0" fillId="0" borderId="1" xfId="0" applyBorder="1" applyAlignment="1">
      <alignment horizontal="left" wrapText="1"/>
    </xf>
    <xf numFmtId="0" fontId="0" fillId="0" borderId="0" xfId="0"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0" fillId="0" borderId="0" xfId="0" applyAlignment="1">
      <alignment horizontal="left" vertical="top" wrapText="1"/>
    </xf>
    <xf numFmtId="6" fontId="0" fillId="2" borderId="32" xfId="0" applyNumberFormat="1" applyFill="1" applyBorder="1" applyAlignment="1">
      <alignment horizontal="center"/>
    </xf>
    <xf numFmtId="6" fontId="0" fillId="2" borderId="30" xfId="0" applyNumberFormat="1" applyFill="1" applyBorder="1" applyAlignment="1">
      <alignment horizontal="center"/>
    </xf>
    <xf numFmtId="6" fontId="0" fillId="2" borderId="29" xfId="0" applyNumberFormat="1" applyFill="1" applyBorder="1" applyAlignment="1">
      <alignment horizontal="center"/>
    </xf>
    <xf numFmtId="6" fontId="0" fillId="0" borderId="6" xfId="0" applyNumberFormat="1" applyBorder="1" applyAlignment="1">
      <alignment horizontal="center"/>
    </xf>
    <xf numFmtId="0" fontId="0" fillId="0" borderId="0" xfId="0" quotePrefix="1" applyAlignment="1">
      <alignment horizontal="left" wrapText="1"/>
    </xf>
    <xf numFmtId="0" fontId="23" fillId="0" borderId="0" xfId="0" applyFont="1" applyAlignment="1">
      <alignment horizontal="left" wrapText="1"/>
    </xf>
    <xf numFmtId="0" fontId="0" fillId="0" borderId="10" xfId="0" applyBorder="1" applyAlignment="1">
      <alignment horizontal="center"/>
    </xf>
    <xf numFmtId="0" fontId="0" fillId="0" borderId="9" xfId="0" applyBorder="1" applyAlignment="1">
      <alignment horizontal="center"/>
    </xf>
    <xf numFmtId="14" fontId="0" fillId="0" borderId="0" xfId="0" applyNumberFormat="1" applyAlignment="1">
      <alignment horizontal="center"/>
    </xf>
    <xf numFmtId="14" fontId="0" fillId="0" borderId="10" xfId="0" applyNumberFormat="1" applyBorder="1" applyAlignment="1">
      <alignment horizontal="center"/>
    </xf>
    <xf numFmtId="0" fontId="0" fillId="0" borderId="6" xfId="0" applyBorder="1" applyAlignment="1">
      <alignment horizontal="center"/>
    </xf>
    <xf numFmtId="0" fontId="0" fillId="0" borderId="8" xfId="0" applyBorder="1" applyAlignment="1">
      <alignment horizontal="center"/>
    </xf>
  </cellXfs>
  <cellStyles count="7">
    <cellStyle name="Comma" xfId="6" builtinId="3"/>
    <cellStyle name="Currency" xfId="1" builtinId="4"/>
    <cellStyle name="Hyperlink 2" xfId="5" xr:uid="{53C892C1-233E-2B40-AAFF-56F0FD220AEC}"/>
    <cellStyle name="Normal" xfId="0" builtinId="0"/>
    <cellStyle name="Normal 2 2" xfId="3" xr:uid="{D3883DBC-CC28-7841-BC7C-837238618DB5}"/>
    <cellStyle name="Normal 4" xfId="4" xr:uid="{A7762F91-5886-134A-BD6C-59160C5B739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240EAA83-A0AB-754C-9CBD-FE8773697932}"/>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teve Roll" id="{745F99A4-71B2-E540-B246-D9A3A6B27443}" userId="9e328bbf48be10ca"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7" dT="2023-01-20T23:54:18.91" personId="{745F99A4-71B2-E540-B246-D9A3A6B27443}" id="{4D7C6922-D834-1A47-ADE4-8E55F68CE5D0}">
    <text>Policy A has an effective date before the inception date of the Risks-Attaching Excess-per-Risk treaty, so it doesn’t get any coverage from this treaty.</text>
  </threadedComment>
  <threadedComment ref="S8" dT="2023-01-21T00:06:14.04" personId="{745F99A4-71B2-E540-B246-D9A3A6B27443}" id="{5FAFA94F-E5CA-C647-B8CE-5F5F3EB01F23}">
    <text>ALAE is ceded pro-rata (Friedland pg. 32)</text>
  </threadedComment>
  <threadedComment ref="N21" dT="2023-01-20T23:54:18.91" personId="{745F99A4-71B2-E540-B246-D9A3A6B27443}" id="{33DE1402-D9CB-EB42-B428-07227B20D966}">
    <text>Policy C has a loss date outside the effective dates of the Quota Share Losses-Occuring basis treaty, so it is not reinsured by this treaty.</text>
  </threadedComment>
  <threadedComment ref="R21" dT="2023-01-20T23:54:18.91" personId="{745F99A4-71B2-E540-B246-D9A3A6B27443}" id="{DF0A2190-0A8D-FA45-8F8A-BB3BA1A2B4EC}">
    <text>Policy C has a loss date outside the effective dates of the Quota Share Losses-Occuring basis treaty, so it is not reinsured by this treaty.</text>
  </threadedComment>
</ThreadedComments>
</file>

<file path=xl/threadedComments/threadedComment2.xml><?xml version="1.0" encoding="utf-8"?>
<ThreadedComments xmlns="http://schemas.microsoft.com/office/spreadsheetml/2018/threadedcomments" xmlns:x="http://schemas.openxmlformats.org/spreadsheetml/2006/main">
  <threadedComment ref="R10" dT="2023-01-21T19:18:18.31" personId="{745F99A4-71B2-E540-B246-D9A3A6B27443}" id="{BB85E25B-0AD4-B645-9A5C-4758B350F710}">
    <text>See discussion of this selection in part b</text>
  </threadedComment>
  <threadedComment ref="R14" dT="2023-01-21T19:18:18.31" personId="{745F99A4-71B2-E540-B246-D9A3A6B27443}" id="{F80EF387-318B-0B46-846F-17F925DF2FE7}">
    <text>See discussion of this selection in part b</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FE0F-F4E2-0941-A702-0321EFBB4D73}">
  <sheetPr>
    <tabColor theme="8" tint="0.59999389629810485"/>
  </sheetPr>
  <dimension ref="A1:M32"/>
  <sheetViews>
    <sheetView showGridLines="0" tabSelected="1" zoomScaleNormal="100" workbookViewId="0"/>
  </sheetViews>
  <sheetFormatPr baseColWidth="10" defaultColWidth="8.5" defaultRowHeight="16" x14ac:dyDescent="0.2"/>
  <cols>
    <col min="1" max="5" width="10.6640625" style="206" customWidth="1"/>
    <col min="6" max="12" width="10.83203125" style="206" customWidth="1"/>
    <col min="13" max="13" width="10.6640625" style="206" customWidth="1"/>
    <col min="14" max="16" width="10" style="206" customWidth="1"/>
    <col min="17" max="16384" width="8.5" style="206"/>
  </cols>
  <sheetData>
    <row r="1" spans="1:13" ht="14.5" customHeight="1" x14ac:dyDescent="0.2">
      <c r="A1" s="202"/>
      <c r="B1" s="203"/>
      <c r="C1" s="203"/>
      <c r="D1" s="203"/>
      <c r="E1" s="203"/>
      <c r="F1" s="203"/>
      <c r="G1" s="203"/>
      <c r="H1" s="203"/>
      <c r="I1" s="203"/>
      <c r="J1" s="203"/>
      <c r="K1" s="203"/>
      <c r="L1" s="204" t="s">
        <v>292</v>
      </c>
      <c r="M1" s="205"/>
    </row>
    <row r="2" spans="1:13" s="208" customFormat="1" x14ac:dyDescent="0.2">
      <c r="A2" s="207"/>
      <c r="M2" s="209"/>
    </row>
    <row r="3" spans="1:13" s="208" customFormat="1" ht="16" customHeight="1" x14ac:dyDescent="0.2">
      <c r="A3" s="207"/>
      <c r="M3" s="209"/>
    </row>
    <row r="4" spans="1:13" s="208" customFormat="1" ht="16" customHeight="1" x14ac:dyDescent="0.2">
      <c r="A4" s="207"/>
      <c r="M4" s="209"/>
    </row>
    <row r="5" spans="1:13" s="208" customFormat="1" ht="16" customHeight="1" x14ac:dyDescent="0.2">
      <c r="A5" s="207"/>
      <c r="M5" s="209"/>
    </row>
    <row r="6" spans="1:13" s="208" customFormat="1" ht="16" customHeight="1" x14ac:dyDescent="0.2">
      <c r="A6" s="207"/>
      <c r="B6" s="210" t="s">
        <v>293</v>
      </c>
      <c r="M6" s="209"/>
    </row>
    <row r="7" spans="1:13" s="208" customFormat="1" ht="16" customHeight="1" x14ac:dyDescent="0.2">
      <c r="A7" s="207"/>
      <c r="M7" s="209"/>
    </row>
    <row r="8" spans="1:13" s="208" customFormat="1" ht="16" customHeight="1" x14ac:dyDescent="0.25">
      <c r="A8" s="207"/>
      <c r="B8" s="211" t="s">
        <v>294</v>
      </c>
      <c r="M8" s="209"/>
    </row>
    <row r="9" spans="1:13" s="208" customFormat="1" ht="17" customHeight="1" x14ac:dyDescent="0.2">
      <c r="A9" s="207"/>
      <c r="C9" s="364" t="s">
        <v>295</v>
      </c>
      <c r="D9" s="365"/>
      <c r="E9" s="365"/>
      <c r="F9" s="365"/>
      <c r="G9" s="365"/>
      <c r="H9" s="365"/>
      <c r="I9" s="365"/>
      <c r="J9" s="365"/>
      <c r="K9" s="365"/>
      <c r="M9" s="209"/>
    </row>
    <row r="10" spans="1:13" s="208" customFormat="1" x14ac:dyDescent="0.2">
      <c r="A10" s="207"/>
      <c r="C10" s="365"/>
      <c r="D10" s="365"/>
      <c r="E10" s="365"/>
      <c r="F10" s="365"/>
      <c r="G10" s="365"/>
      <c r="H10" s="365"/>
      <c r="I10" s="365"/>
      <c r="J10" s="365"/>
      <c r="K10" s="365"/>
      <c r="M10" s="209"/>
    </row>
    <row r="11" spans="1:13" s="208" customFormat="1" ht="16" customHeight="1" x14ac:dyDescent="0.2">
      <c r="A11" s="207"/>
      <c r="C11" s="365"/>
      <c r="D11" s="365"/>
      <c r="E11" s="365"/>
      <c r="F11" s="365"/>
      <c r="G11" s="365"/>
      <c r="H11" s="365"/>
      <c r="I11" s="365"/>
      <c r="J11" s="365"/>
      <c r="K11" s="365"/>
      <c r="M11" s="209"/>
    </row>
    <row r="12" spans="1:13" s="208" customFormat="1" ht="16" customHeight="1" x14ac:dyDescent="0.2">
      <c r="A12" s="207"/>
      <c r="C12" s="365"/>
      <c r="D12" s="365"/>
      <c r="E12" s="365"/>
      <c r="F12" s="365"/>
      <c r="G12" s="365"/>
      <c r="H12" s="365"/>
      <c r="I12" s="365"/>
      <c r="J12" s="365"/>
      <c r="K12" s="365"/>
      <c r="M12" s="209"/>
    </row>
    <row r="13" spans="1:13" s="208" customFormat="1" ht="16" customHeight="1" x14ac:dyDescent="0.2">
      <c r="A13" s="207"/>
      <c r="C13" s="365"/>
      <c r="D13" s="365"/>
      <c r="E13" s="365"/>
      <c r="F13" s="365"/>
      <c r="G13" s="365"/>
      <c r="H13" s="365"/>
      <c r="I13" s="365"/>
      <c r="J13" s="365"/>
      <c r="K13" s="365"/>
      <c r="M13" s="209"/>
    </row>
    <row r="14" spans="1:13" s="208" customFormat="1" ht="16" customHeight="1" x14ac:dyDescent="0.2">
      <c r="A14" s="207"/>
      <c r="C14" s="365"/>
      <c r="D14" s="365"/>
      <c r="E14" s="365"/>
      <c r="F14" s="365"/>
      <c r="G14" s="365"/>
      <c r="H14" s="365"/>
      <c r="I14" s="365"/>
      <c r="J14" s="365"/>
      <c r="K14" s="365"/>
      <c r="M14" s="209"/>
    </row>
    <row r="15" spans="1:13" s="208" customFormat="1" ht="16" customHeight="1" x14ac:dyDescent="0.2">
      <c r="A15" s="207"/>
      <c r="C15" s="365"/>
      <c r="D15" s="365"/>
      <c r="E15" s="365"/>
      <c r="F15" s="365"/>
      <c r="G15" s="365"/>
      <c r="H15" s="365"/>
      <c r="I15" s="365"/>
      <c r="J15" s="365"/>
      <c r="K15" s="365"/>
      <c r="M15" s="209"/>
    </row>
    <row r="16" spans="1:13" s="208" customFormat="1" ht="16" customHeight="1" x14ac:dyDescent="0.2">
      <c r="A16" s="207"/>
      <c r="C16" s="365"/>
      <c r="D16" s="365"/>
      <c r="E16" s="365"/>
      <c r="F16" s="365"/>
      <c r="G16" s="365"/>
      <c r="H16" s="365"/>
      <c r="I16" s="365"/>
      <c r="J16" s="365"/>
      <c r="K16" s="365"/>
      <c r="M16" s="209"/>
    </row>
    <row r="17" spans="1:13" s="208" customFormat="1" ht="16" customHeight="1" x14ac:dyDescent="0.2">
      <c r="A17" s="207"/>
      <c r="M17" s="209"/>
    </row>
    <row r="18" spans="1:13" s="208" customFormat="1" ht="16" customHeight="1" x14ac:dyDescent="0.25">
      <c r="A18" s="207"/>
      <c r="B18" s="211" t="s">
        <v>296</v>
      </c>
      <c r="M18" s="209"/>
    </row>
    <row r="19" spans="1:13" s="208" customFormat="1" ht="17" customHeight="1" x14ac:dyDescent="0.2">
      <c r="A19" s="207"/>
      <c r="C19" s="366" t="s">
        <v>726</v>
      </c>
      <c r="D19" s="365"/>
      <c r="E19" s="365"/>
      <c r="F19" s="365"/>
      <c r="G19" s="365"/>
      <c r="H19" s="365"/>
      <c r="I19" s="365"/>
      <c r="J19" s="365"/>
      <c r="K19" s="365"/>
      <c r="M19" s="209"/>
    </row>
    <row r="20" spans="1:13" s="208" customFormat="1" x14ac:dyDescent="0.2">
      <c r="A20" s="207"/>
      <c r="C20" s="212"/>
      <c r="D20" s="212"/>
      <c r="E20" s="212"/>
      <c r="F20" s="212"/>
      <c r="G20" s="212"/>
      <c r="H20" s="212"/>
      <c r="I20" s="212"/>
      <c r="J20" s="212"/>
      <c r="K20" s="212"/>
      <c r="M20" s="209"/>
    </row>
    <row r="21" spans="1:13" s="208" customFormat="1" ht="21" x14ac:dyDescent="0.25">
      <c r="A21" s="207"/>
      <c r="B21" s="211" t="s">
        <v>297</v>
      </c>
      <c r="M21" s="209"/>
    </row>
    <row r="22" spans="1:13" s="208" customFormat="1" x14ac:dyDescent="0.2">
      <c r="A22" s="207"/>
      <c r="C22" s="367" t="s">
        <v>727</v>
      </c>
      <c r="D22" s="365"/>
      <c r="E22" s="365"/>
      <c r="F22" s="365"/>
      <c r="G22" s="365"/>
      <c r="H22" s="365"/>
      <c r="I22" s="365"/>
      <c r="J22" s="365"/>
      <c r="K22" s="365"/>
      <c r="M22" s="209"/>
    </row>
    <row r="23" spans="1:13" s="208" customFormat="1" x14ac:dyDescent="0.2">
      <c r="A23" s="207"/>
      <c r="C23" s="365"/>
      <c r="D23" s="365"/>
      <c r="E23" s="365"/>
      <c r="F23" s="365"/>
      <c r="G23" s="365"/>
      <c r="H23" s="365"/>
      <c r="I23" s="365"/>
      <c r="J23" s="365"/>
      <c r="K23" s="365"/>
      <c r="M23" s="209"/>
    </row>
    <row r="24" spans="1:13" s="208" customFormat="1" x14ac:dyDescent="0.2">
      <c r="A24" s="207"/>
      <c r="C24" s="365"/>
      <c r="D24" s="365"/>
      <c r="E24" s="365"/>
      <c r="F24" s="365"/>
      <c r="G24" s="365"/>
      <c r="H24" s="365"/>
      <c r="I24" s="365"/>
      <c r="J24" s="365"/>
      <c r="K24" s="365"/>
      <c r="M24" s="209"/>
    </row>
    <row r="25" spans="1:13" s="208" customFormat="1" x14ac:dyDescent="0.2">
      <c r="A25" s="207"/>
      <c r="C25" s="365"/>
      <c r="D25" s="365"/>
      <c r="E25" s="365"/>
      <c r="F25" s="365"/>
      <c r="G25" s="365"/>
      <c r="H25" s="365"/>
      <c r="I25" s="365"/>
      <c r="J25" s="365"/>
      <c r="K25" s="365"/>
      <c r="M25" s="209"/>
    </row>
    <row r="26" spans="1:13" s="208" customFormat="1" x14ac:dyDescent="0.2">
      <c r="A26" s="207"/>
      <c r="C26" s="365"/>
      <c r="D26" s="365"/>
      <c r="E26" s="365"/>
      <c r="F26" s="365"/>
      <c r="G26" s="365"/>
      <c r="H26" s="365"/>
      <c r="I26" s="365"/>
      <c r="J26" s="365"/>
      <c r="K26" s="365"/>
      <c r="M26" s="209"/>
    </row>
    <row r="27" spans="1:13" s="208" customFormat="1" x14ac:dyDescent="0.2">
      <c r="A27" s="207"/>
      <c r="C27" s="365"/>
      <c r="D27" s="365"/>
      <c r="E27" s="365"/>
      <c r="F27" s="365"/>
      <c r="G27" s="365"/>
      <c r="H27" s="365"/>
      <c r="I27" s="365"/>
      <c r="J27" s="365"/>
      <c r="K27" s="365"/>
      <c r="M27" s="209"/>
    </row>
    <row r="28" spans="1:13" s="208" customFormat="1" x14ac:dyDescent="0.2">
      <c r="A28" s="207"/>
      <c r="C28" s="365"/>
      <c r="D28" s="365"/>
      <c r="E28" s="365"/>
      <c r="F28" s="365"/>
      <c r="G28" s="365"/>
      <c r="H28" s="365"/>
      <c r="I28" s="365"/>
      <c r="J28" s="365"/>
      <c r="K28" s="365"/>
      <c r="M28" s="209"/>
    </row>
    <row r="29" spans="1:13" s="208" customFormat="1" x14ac:dyDescent="0.2">
      <c r="A29" s="207"/>
      <c r="C29" s="365"/>
      <c r="D29" s="365"/>
      <c r="E29" s="365"/>
      <c r="F29" s="365"/>
      <c r="G29" s="365"/>
      <c r="H29" s="365"/>
      <c r="I29" s="365"/>
      <c r="J29" s="365"/>
      <c r="K29" s="365"/>
      <c r="M29" s="209"/>
    </row>
    <row r="30" spans="1:13" s="208" customFormat="1" x14ac:dyDescent="0.2">
      <c r="A30" s="207"/>
      <c r="C30" s="365"/>
      <c r="D30" s="365"/>
      <c r="E30" s="365"/>
      <c r="F30" s="365"/>
      <c r="G30" s="365"/>
      <c r="H30" s="365"/>
      <c r="I30" s="365"/>
      <c r="J30" s="365"/>
      <c r="K30" s="365"/>
      <c r="M30" s="209"/>
    </row>
    <row r="31" spans="1:13" s="208" customFormat="1" x14ac:dyDescent="0.2">
      <c r="A31" s="207"/>
      <c r="C31" s="212"/>
      <c r="D31" s="212"/>
      <c r="E31" s="212"/>
      <c r="F31" s="212"/>
      <c r="G31" s="212"/>
      <c r="H31" s="212"/>
      <c r="I31" s="212"/>
      <c r="J31" s="212"/>
      <c r="K31" s="212"/>
      <c r="M31" s="209"/>
    </row>
    <row r="32" spans="1:13" ht="17" thickBot="1" x14ac:dyDescent="0.25">
      <c r="A32" s="213"/>
      <c r="B32" s="214"/>
      <c r="C32" s="214"/>
      <c r="D32" s="214"/>
      <c r="E32" s="214"/>
      <c r="F32" s="214"/>
      <c r="G32" s="214"/>
      <c r="H32" s="214"/>
      <c r="I32" s="214"/>
      <c r="J32" s="214"/>
      <c r="K32" s="214"/>
      <c r="L32" s="214"/>
      <c r="M32" s="215"/>
    </row>
  </sheetData>
  <mergeCells count="3">
    <mergeCell ref="C9:K16"/>
    <mergeCell ref="C19:K19"/>
    <mergeCell ref="C22:K30"/>
  </mergeCells>
  <hyperlinks>
    <hyperlink ref="B6" r:id="rId1" xr:uid="{6D3C8493-22D5-4547-BFDB-9C39DE91475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297BA-010A-4245-A58D-879853559D01}">
  <sheetPr>
    <pageSetUpPr fitToPage="1"/>
  </sheetPr>
  <dimension ref="A1:T284"/>
  <sheetViews>
    <sheetView zoomScaleNormal="100" workbookViewId="0"/>
  </sheetViews>
  <sheetFormatPr baseColWidth="10" defaultColWidth="10.83203125" defaultRowHeight="16" outlineLevelCol="1" x14ac:dyDescent="0.2"/>
  <cols>
    <col min="1" max="1" width="4.6640625" style="29" customWidth="1"/>
    <col min="2" max="10" width="10.83203125" style="29" customWidth="1"/>
    <col min="11" max="11" width="10.83203125" style="29"/>
    <col min="12" max="19" width="10.83203125" style="29" hidden="1" customWidth="1" outlineLevel="1"/>
    <col min="20" max="20" width="10.83203125" style="29" collapsed="1"/>
    <col min="21" max="16384" width="10.83203125" style="29"/>
  </cols>
  <sheetData>
    <row r="1" spans="1:19" ht="19" x14ac:dyDescent="0.25">
      <c r="A1" s="1" t="s">
        <v>270</v>
      </c>
      <c r="B1" s="3"/>
      <c r="C1" s="26"/>
      <c r="D1" s="26"/>
      <c r="E1" s="26"/>
      <c r="F1" s="27"/>
      <c r="G1" s="27"/>
      <c r="H1" s="27"/>
      <c r="I1" s="27"/>
      <c r="J1" s="28"/>
      <c r="K1" s="2" t="s">
        <v>6</v>
      </c>
    </row>
    <row r="2" spans="1:19" x14ac:dyDescent="0.2">
      <c r="A2" s="30"/>
      <c r="B2" s="27"/>
      <c r="C2" s="27"/>
      <c r="D2" s="27"/>
      <c r="E2" s="27"/>
      <c r="F2" s="27"/>
      <c r="G2" s="27"/>
      <c r="H2" s="27"/>
      <c r="I2" s="27"/>
      <c r="J2" s="28"/>
      <c r="L2" s="25" t="s">
        <v>3</v>
      </c>
      <c r="N2" s="31"/>
    </row>
    <row r="3" spans="1:19" ht="15" customHeight="1" x14ac:dyDescent="0.2">
      <c r="A3" s="30"/>
      <c r="B3" s="368" t="s">
        <v>10</v>
      </c>
      <c r="C3" s="368"/>
      <c r="D3" s="368"/>
      <c r="E3" s="368"/>
      <c r="F3" s="368"/>
      <c r="G3" s="368"/>
      <c r="H3" s="368"/>
      <c r="I3" s="368"/>
      <c r="J3" s="28"/>
      <c r="M3" s="372" t="s">
        <v>17</v>
      </c>
      <c r="N3" s="372"/>
      <c r="O3" s="372"/>
      <c r="P3" s="372"/>
      <c r="Q3" s="372"/>
      <c r="R3" s="372"/>
      <c r="S3" s="372"/>
    </row>
    <row r="4" spans="1:19" x14ac:dyDescent="0.2">
      <c r="A4" s="30"/>
      <c r="B4" s="368"/>
      <c r="C4" s="368"/>
      <c r="D4" s="368"/>
      <c r="E4" s="368"/>
      <c r="F4" s="368"/>
      <c r="G4" s="368"/>
      <c r="H4" s="368"/>
      <c r="I4" s="368"/>
      <c r="J4" s="28"/>
      <c r="L4" s="33"/>
      <c r="M4" s="372"/>
      <c r="N4" s="372"/>
      <c r="O4" s="372"/>
      <c r="P4" s="372"/>
      <c r="Q4" s="372"/>
      <c r="R4" s="372"/>
      <c r="S4" s="372"/>
    </row>
    <row r="5" spans="1:19" x14ac:dyDescent="0.2">
      <c r="A5" s="30"/>
      <c r="B5" s="27"/>
      <c r="C5" s="27"/>
      <c r="D5" s="27"/>
      <c r="E5" s="27"/>
      <c r="F5" s="27"/>
      <c r="G5" s="27"/>
      <c r="H5" s="27"/>
      <c r="I5" s="27"/>
      <c r="J5" s="28"/>
      <c r="L5" s="33"/>
      <c r="M5" s="372"/>
      <c r="N5" s="372"/>
      <c r="O5" s="372"/>
      <c r="P5" s="372"/>
      <c r="Q5" s="372"/>
      <c r="R5" s="372"/>
      <c r="S5" s="372"/>
    </row>
    <row r="6" spans="1:19" x14ac:dyDescent="0.2">
      <c r="A6" s="30"/>
      <c r="B6" s="34" t="s">
        <v>12</v>
      </c>
      <c r="C6" s="27"/>
      <c r="D6" s="27"/>
      <c r="E6" s="27"/>
      <c r="F6" s="27"/>
      <c r="G6" s="27"/>
      <c r="H6" s="27" t="s">
        <v>11</v>
      </c>
      <c r="I6" s="27"/>
      <c r="J6" s="28"/>
      <c r="L6" s="33"/>
      <c r="M6" s="372"/>
      <c r="N6" s="372"/>
      <c r="O6" s="372"/>
      <c r="P6" s="372"/>
      <c r="Q6" s="372"/>
      <c r="R6" s="372"/>
      <c r="S6" s="372"/>
    </row>
    <row r="7" spans="1:19" x14ac:dyDescent="0.2">
      <c r="A7" s="30"/>
      <c r="B7" s="27"/>
      <c r="C7" s="27"/>
      <c r="D7" s="27"/>
      <c r="E7" s="27"/>
      <c r="F7" s="27"/>
      <c r="G7" s="27"/>
      <c r="H7" s="27"/>
      <c r="I7" s="27"/>
      <c r="J7" s="28"/>
      <c r="L7" s="33"/>
      <c r="M7" s="372"/>
      <c r="N7" s="372"/>
      <c r="O7" s="372"/>
      <c r="P7" s="372"/>
      <c r="Q7" s="372"/>
      <c r="R7" s="372"/>
      <c r="S7" s="372"/>
    </row>
    <row r="8" spans="1:19" x14ac:dyDescent="0.2">
      <c r="A8" s="30"/>
      <c r="B8" s="368" t="s">
        <v>16</v>
      </c>
      <c r="C8" s="368"/>
      <c r="D8" s="368"/>
      <c r="E8" s="368"/>
      <c r="F8" s="368"/>
      <c r="G8" s="368"/>
      <c r="H8" s="368"/>
      <c r="I8" s="368"/>
      <c r="J8" s="28"/>
      <c r="L8" s="33"/>
      <c r="M8" s="372"/>
      <c r="N8" s="372"/>
      <c r="O8" s="372"/>
      <c r="P8" s="372"/>
      <c r="Q8" s="372"/>
      <c r="R8" s="372"/>
      <c r="S8" s="372"/>
    </row>
    <row r="9" spans="1:19" x14ac:dyDescent="0.2">
      <c r="A9" s="30"/>
      <c r="B9" s="368"/>
      <c r="C9" s="368"/>
      <c r="D9" s="368"/>
      <c r="E9" s="368"/>
      <c r="F9" s="368"/>
      <c r="G9" s="368"/>
      <c r="H9" s="368"/>
      <c r="I9" s="368"/>
      <c r="J9" s="28"/>
      <c r="L9" s="33"/>
      <c r="M9" s="372"/>
      <c r="N9" s="372"/>
      <c r="O9" s="372"/>
      <c r="P9" s="372"/>
      <c r="Q9" s="372"/>
      <c r="R9" s="372"/>
      <c r="S9" s="372"/>
    </row>
    <row r="10" spans="1:19" x14ac:dyDescent="0.2">
      <c r="A10" s="30"/>
      <c r="B10" s="27"/>
      <c r="C10" s="27"/>
      <c r="D10" s="27"/>
      <c r="E10" s="27"/>
      <c r="F10" s="27"/>
      <c r="G10" s="27"/>
      <c r="H10" s="27"/>
      <c r="I10" s="27"/>
      <c r="J10" s="28"/>
      <c r="L10" s="33"/>
      <c r="M10" s="372"/>
      <c r="N10" s="372"/>
      <c r="O10" s="372"/>
      <c r="P10" s="372"/>
      <c r="Q10" s="372"/>
      <c r="R10" s="372"/>
      <c r="S10" s="372"/>
    </row>
    <row r="11" spans="1:19" x14ac:dyDescent="0.2">
      <c r="A11" s="30"/>
      <c r="B11" s="27" t="s">
        <v>13</v>
      </c>
      <c r="C11" s="27"/>
      <c r="D11" s="27"/>
      <c r="E11" s="27"/>
      <c r="F11" s="27"/>
      <c r="G11" s="27"/>
      <c r="H11" s="27"/>
      <c r="I11" s="27"/>
      <c r="J11" s="28"/>
      <c r="L11" s="33"/>
      <c r="M11" s="372"/>
      <c r="N11" s="372"/>
      <c r="O11" s="372"/>
      <c r="P11" s="372"/>
      <c r="Q11" s="372"/>
      <c r="R11" s="372"/>
      <c r="S11" s="372"/>
    </row>
    <row r="12" spans="1:19" x14ac:dyDescent="0.2">
      <c r="A12" s="30"/>
      <c r="B12" s="27"/>
      <c r="C12" s="27"/>
      <c r="D12" s="27"/>
      <c r="E12" s="27"/>
      <c r="F12" s="27"/>
      <c r="G12" s="27"/>
      <c r="H12" s="27"/>
      <c r="I12" s="27"/>
      <c r="J12" s="28"/>
      <c r="L12" s="33"/>
      <c r="M12" s="372"/>
      <c r="N12" s="372"/>
      <c r="O12" s="372"/>
      <c r="P12" s="372"/>
      <c r="Q12" s="372"/>
      <c r="R12" s="372"/>
      <c r="S12" s="372"/>
    </row>
    <row r="13" spans="1:19" x14ac:dyDescent="0.2">
      <c r="A13" s="27" t="s">
        <v>0</v>
      </c>
      <c r="B13" s="27" t="s">
        <v>14</v>
      </c>
      <c r="C13" s="27"/>
      <c r="D13" s="27"/>
      <c r="E13" s="27"/>
      <c r="F13" s="27"/>
      <c r="G13" s="27"/>
      <c r="H13" s="27"/>
      <c r="I13" s="27"/>
      <c r="J13" s="28"/>
      <c r="L13" s="33"/>
      <c r="M13" s="372"/>
      <c r="N13" s="372"/>
      <c r="O13" s="372"/>
      <c r="P13" s="372"/>
      <c r="Q13" s="372"/>
      <c r="R13" s="372"/>
      <c r="S13" s="372"/>
    </row>
    <row r="14" spans="1:19" x14ac:dyDescent="0.2">
      <c r="A14" s="30"/>
      <c r="B14" s="27"/>
      <c r="C14" s="27"/>
      <c r="D14" s="27"/>
      <c r="E14" s="27"/>
      <c r="F14" s="27"/>
      <c r="G14" s="27"/>
      <c r="H14" s="27"/>
      <c r="I14" s="27"/>
      <c r="J14" s="28"/>
      <c r="M14" s="372"/>
      <c r="N14" s="372"/>
      <c r="O14" s="372"/>
      <c r="P14" s="372"/>
      <c r="Q14" s="372"/>
      <c r="R14" s="372"/>
      <c r="S14" s="372"/>
    </row>
    <row r="15" spans="1:19" x14ac:dyDescent="0.2">
      <c r="A15" s="27" t="s">
        <v>1</v>
      </c>
      <c r="B15" s="27" t="s">
        <v>15</v>
      </c>
      <c r="C15" s="27"/>
      <c r="D15" s="27"/>
      <c r="E15" s="27"/>
      <c r="F15" s="27"/>
      <c r="G15" s="27"/>
      <c r="H15" s="27"/>
      <c r="I15" s="27"/>
      <c r="J15" s="28"/>
      <c r="L15" s="25" t="s">
        <v>4</v>
      </c>
    </row>
    <row r="16" spans="1:19" ht="16" customHeight="1" x14ac:dyDescent="0.2">
      <c r="A16" s="30"/>
      <c r="B16" s="27"/>
      <c r="C16" s="27"/>
      <c r="D16" s="27"/>
      <c r="E16" s="27"/>
      <c r="F16" s="27"/>
      <c r="G16" s="27"/>
      <c r="H16" s="27"/>
      <c r="I16" s="27"/>
      <c r="J16" s="28"/>
      <c r="M16" s="372" t="s">
        <v>18</v>
      </c>
      <c r="N16" s="372"/>
      <c r="O16" s="372"/>
      <c r="P16" s="372"/>
      <c r="Q16" s="372"/>
      <c r="R16" s="372"/>
      <c r="S16" s="372"/>
    </row>
    <row r="17" spans="1:19" ht="17" thickBot="1" x14ac:dyDescent="0.25">
      <c r="A17" s="30"/>
      <c r="B17" s="27"/>
      <c r="C17" s="27"/>
      <c r="D17" s="27"/>
      <c r="E17" s="27"/>
      <c r="F17" s="27"/>
      <c r="G17" s="27"/>
      <c r="H17" s="27"/>
      <c r="I17" s="27"/>
      <c r="J17" s="28"/>
      <c r="M17" s="372"/>
      <c r="N17" s="372"/>
      <c r="O17" s="372"/>
      <c r="P17" s="372"/>
      <c r="Q17" s="372"/>
      <c r="R17" s="372"/>
      <c r="S17" s="372"/>
    </row>
    <row r="18" spans="1:19" ht="17" thickBot="1" x14ac:dyDescent="0.25">
      <c r="A18" s="369" t="s">
        <v>7</v>
      </c>
      <c r="B18" s="370"/>
      <c r="C18" s="370"/>
      <c r="D18" s="370"/>
      <c r="E18" s="370"/>
      <c r="F18" s="370"/>
      <c r="G18" s="370"/>
      <c r="H18" s="370"/>
      <c r="I18" s="370"/>
      <c r="J18" s="371"/>
    </row>
    <row r="19" spans="1:19" ht="19" x14ac:dyDescent="0.25">
      <c r="E19" s="29" t="s">
        <v>9</v>
      </c>
      <c r="L19" s="2" t="s">
        <v>19</v>
      </c>
    </row>
    <row r="20" spans="1:19" x14ac:dyDescent="0.2">
      <c r="L20" s="29" t="s">
        <v>20</v>
      </c>
    </row>
    <row r="34" s="167" customFormat="1" x14ac:dyDescent="0.2"/>
    <row r="35" s="167" customFormat="1" x14ac:dyDescent="0.2"/>
    <row r="36" s="167" customFormat="1" x14ac:dyDescent="0.2"/>
    <row r="37" s="167" customFormat="1" x14ac:dyDescent="0.2"/>
    <row r="38" s="167" customFormat="1" x14ac:dyDescent="0.2"/>
    <row r="39" s="167" customFormat="1" x14ac:dyDescent="0.2"/>
    <row r="40" s="167" customFormat="1" x14ac:dyDescent="0.2"/>
    <row r="41" s="167" customFormat="1" x14ac:dyDescent="0.2"/>
    <row r="42" s="167" customFormat="1" x14ac:dyDescent="0.2"/>
    <row r="43" s="167" customFormat="1" x14ac:dyDescent="0.2"/>
    <row r="44" s="167" customFormat="1" x14ac:dyDescent="0.2"/>
    <row r="45" s="167" customFormat="1" x14ac:dyDescent="0.2"/>
    <row r="46" s="167" customFormat="1" x14ac:dyDescent="0.2"/>
    <row r="47" s="167" customFormat="1" x14ac:dyDescent="0.2"/>
    <row r="48" s="167" customFormat="1" x14ac:dyDescent="0.2"/>
    <row r="49" spans="13:13" s="167" customFormat="1" x14ac:dyDescent="0.2"/>
    <row r="50" spans="13:13" s="167" customFormat="1" x14ac:dyDescent="0.2"/>
    <row r="51" spans="13:13" s="167" customFormat="1" x14ac:dyDescent="0.2"/>
    <row r="52" spans="13:13" s="167" customFormat="1" x14ac:dyDescent="0.2"/>
    <row r="53" spans="13:13" s="167" customFormat="1" x14ac:dyDescent="0.2"/>
    <row r="54" spans="13:13" s="167" customFormat="1" x14ac:dyDescent="0.2"/>
    <row r="55" spans="13:13" s="167" customFormat="1" x14ac:dyDescent="0.2"/>
    <row r="56" spans="13:13" s="167" customFormat="1" x14ac:dyDescent="0.2"/>
    <row r="57" spans="13:13" s="167" customFormat="1" x14ac:dyDescent="0.2"/>
    <row r="58" spans="13:13" s="167" customFormat="1" x14ac:dyDescent="0.2"/>
    <row r="59" spans="13:13" s="167" customFormat="1" x14ac:dyDescent="0.2"/>
    <row r="60" spans="13:13" s="167" customFormat="1" x14ac:dyDescent="0.2"/>
    <row r="61" spans="13:13" s="167" customFormat="1" x14ac:dyDescent="0.2">
      <c r="M61" s="168"/>
    </row>
    <row r="62" spans="13:13" s="167" customFormat="1" x14ac:dyDescent="0.2"/>
    <row r="63" spans="13:13" s="167" customFormat="1" x14ac:dyDescent="0.2"/>
    <row r="64" spans="13:13" s="167" customFormat="1" x14ac:dyDescent="0.2"/>
    <row r="65" spans="13:13" s="167" customFormat="1" x14ac:dyDescent="0.2"/>
    <row r="66" spans="13:13" s="167" customFormat="1" x14ac:dyDescent="0.2"/>
    <row r="67" spans="13:13" s="167" customFormat="1" x14ac:dyDescent="0.2"/>
    <row r="68" spans="13:13" s="167" customFormat="1" x14ac:dyDescent="0.2"/>
    <row r="69" spans="13:13" s="167" customFormat="1" x14ac:dyDescent="0.2"/>
    <row r="70" spans="13:13" s="167" customFormat="1" x14ac:dyDescent="0.2"/>
    <row r="71" spans="13:13" s="167" customFormat="1" x14ac:dyDescent="0.2">
      <c r="M71" s="168"/>
    </row>
    <row r="72" spans="13:13" s="167" customFormat="1" x14ac:dyDescent="0.2"/>
    <row r="73" spans="13:13" s="167" customFormat="1" x14ac:dyDescent="0.2"/>
    <row r="74" spans="13:13" s="167" customFormat="1" x14ac:dyDescent="0.2"/>
    <row r="75" spans="13:13" s="167" customFormat="1" x14ac:dyDescent="0.2"/>
    <row r="76" spans="13:13" s="167" customFormat="1" x14ac:dyDescent="0.2"/>
    <row r="77" spans="13:13" s="167" customFormat="1" x14ac:dyDescent="0.2"/>
    <row r="78" spans="13:13" s="167" customFormat="1" x14ac:dyDescent="0.2"/>
    <row r="79" spans="13:13" s="167" customFormat="1" x14ac:dyDescent="0.2"/>
    <row r="80" spans="13:13" s="167" customFormat="1" x14ac:dyDescent="0.2"/>
    <row r="81" spans="13:13" s="167" customFormat="1" x14ac:dyDescent="0.2">
      <c r="M81" s="168"/>
    </row>
    <row r="82" spans="13:13" s="167" customFormat="1" x14ac:dyDescent="0.2"/>
    <row r="83" spans="13:13" s="167" customFormat="1" x14ac:dyDescent="0.2"/>
    <row r="84" spans="13:13" s="167" customFormat="1" x14ac:dyDescent="0.2"/>
    <row r="85" spans="13:13" s="167" customFormat="1" x14ac:dyDescent="0.2"/>
    <row r="86" spans="13:13" s="167" customFormat="1" x14ac:dyDescent="0.2"/>
    <row r="87" spans="13:13" s="167" customFormat="1" x14ac:dyDescent="0.2"/>
    <row r="88" spans="13:13" s="167" customFormat="1" x14ac:dyDescent="0.2"/>
    <row r="89" spans="13:13" s="167" customFormat="1" x14ac:dyDescent="0.2"/>
    <row r="90" spans="13:13" s="167" customFormat="1" x14ac:dyDescent="0.2"/>
    <row r="91" spans="13:13" s="167" customFormat="1" x14ac:dyDescent="0.2"/>
    <row r="92" spans="13:13" s="167" customFormat="1" x14ac:dyDescent="0.2"/>
    <row r="93" spans="13:13" s="167" customFormat="1" x14ac:dyDescent="0.2"/>
    <row r="94" spans="13:13" s="167" customFormat="1" x14ac:dyDescent="0.2"/>
    <row r="95" spans="13:13" s="167" customFormat="1" x14ac:dyDescent="0.2"/>
    <row r="96" spans="13:13" s="167" customFormat="1" x14ac:dyDescent="0.2"/>
    <row r="97" s="167" customFormat="1" x14ac:dyDescent="0.2"/>
    <row r="98" s="167" customFormat="1" x14ac:dyDescent="0.2"/>
    <row r="99" s="167" customFormat="1" x14ac:dyDescent="0.2"/>
    <row r="100" s="167" customFormat="1" x14ac:dyDescent="0.2"/>
    <row r="101" s="167" customFormat="1" x14ac:dyDescent="0.2"/>
    <row r="102" s="167" customFormat="1" x14ac:dyDescent="0.2"/>
    <row r="103" s="167" customFormat="1" x14ac:dyDescent="0.2"/>
    <row r="104" s="167" customFormat="1" x14ac:dyDescent="0.2"/>
    <row r="105" s="167" customFormat="1" x14ac:dyDescent="0.2"/>
    <row r="106" s="167" customFormat="1" x14ac:dyDescent="0.2"/>
    <row r="107" s="167" customFormat="1" x14ac:dyDescent="0.2"/>
    <row r="108" s="167" customFormat="1" x14ac:dyDescent="0.2"/>
    <row r="109" s="167" customFormat="1" x14ac:dyDescent="0.2"/>
    <row r="110" s="167" customFormat="1" x14ac:dyDescent="0.2"/>
    <row r="111" s="167" customFormat="1" x14ac:dyDescent="0.2"/>
    <row r="112" s="167" customFormat="1" x14ac:dyDescent="0.2"/>
    <row r="113" s="167" customFormat="1" x14ac:dyDescent="0.2"/>
    <row r="114" s="167" customFormat="1" x14ac:dyDescent="0.2"/>
    <row r="115" s="167" customFormat="1" x14ac:dyDescent="0.2"/>
    <row r="116" s="167" customFormat="1" x14ac:dyDescent="0.2"/>
    <row r="117" s="167" customFormat="1" x14ac:dyDescent="0.2"/>
    <row r="118" s="167" customFormat="1" x14ac:dyDescent="0.2"/>
    <row r="119" s="167" customFormat="1" x14ac:dyDescent="0.2"/>
    <row r="120" s="167" customFormat="1" x14ac:dyDescent="0.2"/>
    <row r="121" s="167" customFormat="1" x14ac:dyDescent="0.2"/>
    <row r="122" s="167" customFormat="1" x14ac:dyDescent="0.2"/>
    <row r="123" s="167" customFormat="1" x14ac:dyDescent="0.2"/>
    <row r="124" s="167" customFormat="1" x14ac:dyDescent="0.2"/>
    <row r="125" s="167" customFormat="1" x14ac:dyDescent="0.2"/>
    <row r="126" s="167" customFormat="1" x14ac:dyDescent="0.2"/>
    <row r="127" s="167" customFormat="1" x14ac:dyDescent="0.2"/>
    <row r="128" s="167" customFormat="1" x14ac:dyDescent="0.2"/>
    <row r="129" s="167" customFormat="1" x14ac:dyDescent="0.2"/>
    <row r="130" s="167" customFormat="1" x14ac:dyDescent="0.2"/>
    <row r="131" s="167" customFormat="1" x14ac:dyDescent="0.2"/>
    <row r="132" s="167" customFormat="1" x14ac:dyDescent="0.2"/>
    <row r="133" s="167" customFormat="1" x14ac:dyDescent="0.2"/>
    <row r="134" s="167" customFormat="1" x14ac:dyDescent="0.2"/>
    <row r="135" s="167" customFormat="1" x14ac:dyDescent="0.2"/>
    <row r="136" s="167" customFormat="1" x14ac:dyDescent="0.2"/>
    <row r="137" s="167" customFormat="1" x14ac:dyDescent="0.2"/>
    <row r="138" s="167" customFormat="1" x14ac:dyDescent="0.2"/>
    <row r="139" s="167" customFormat="1" x14ac:dyDescent="0.2"/>
    <row r="140" s="167" customFormat="1" x14ac:dyDescent="0.2"/>
    <row r="141" s="167" customFormat="1" x14ac:dyDescent="0.2"/>
    <row r="142" s="167" customFormat="1" x14ac:dyDescent="0.2"/>
    <row r="143" s="167" customFormat="1" x14ac:dyDescent="0.2"/>
    <row r="144" s="167" customFormat="1" x14ac:dyDescent="0.2"/>
    <row r="145" s="167" customFormat="1" x14ac:dyDescent="0.2"/>
    <row r="146" s="167" customFormat="1" x14ac:dyDescent="0.2"/>
    <row r="147" s="167" customFormat="1" x14ac:dyDescent="0.2"/>
    <row r="148" s="167" customFormat="1" x14ac:dyDescent="0.2"/>
    <row r="149" s="167" customFormat="1" x14ac:dyDescent="0.2"/>
    <row r="150" s="167" customFormat="1" x14ac:dyDescent="0.2"/>
    <row r="151" s="167" customFormat="1" x14ac:dyDescent="0.2"/>
    <row r="152" s="167" customFormat="1" x14ac:dyDescent="0.2"/>
    <row r="153" s="167" customFormat="1" x14ac:dyDescent="0.2"/>
    <row r="154" s="167" customFormat="1" x14ac:dyDescent="0.2"/>
    <row r="155" s="167" customFormat="1" x14ac:dyDescent="0.2"/>
    <row r="156" s="167" customFormat="1" x14ac:dyDescent="0.2"/>
    <row r="157" s="167" customFormat="1" x14ac:dyDescent="0.2"/>
    <row r="158" s="167" customFormat="1" x14ac:dyDescent="0.2"/>
    <row r="159" s="167" customFormat="1" x14ac:dyDescent="0.2"/>
    <row r="160" s="167" customFormat="1" x14ac:dyDescent="0.2"/>
    <row r="161" s="167" customFormat="1" x14ac:dyDescent="0.2"/>
    <row r="162" s="167" customFormat="1" x14ac:dyDescent="0.2"/>
    <row r="163" s="167" customFormat="1" x14ac:dyDescent="0.2"/>
    <row r="164" s="167" customFormat="1" x14ac:dyDescent="0.2"/>
    <row r="165" s="167" customFormat="1" x14ac:dyDescent="0.2"/>
    <row r="166" s="167" customFormat="1" x14ac:dyDescent="0.2"/>
    <row r="167" s="167" customFormat="1" x14ac:dyDescent="0.2"/>
    <row r="168" s="167" customFormat="1" x14ac:dyDescent="0.2"/>
    <row r="169" s="167" customFormat="1" x14ac:dyDescent="0.2"/>
    <row r="170" s="167" customFormat="1" x14ac:dyDescent="0.2"/>
    <row r="171" s="167" customFormat="1" x14ac:dyDescent="0.2"/>
    <row r="172" s="167" customFormat="1" x14ac:dyDescent="0.2"/>
    <row r="173" s="167" customFormat="1" x14ac:dyDescent="0.2"/>
    <row r="174" s="167" customFormat="1" x14ac:dyDescent="0.2"/>
    <row r="175" s="167" customFormat="1" x14ac:dyDescent="0.2"/>
    <row r="176" s="167" customFormat="1" x14ac:dyDescent="0.2"/>
    <row r="177" s="167" customFormat="1" x14ac:dyDescent="0.2"/>
    <row r="178" s="167" customFormat="1" x14ac:dyDescent="0.2"/>
    <row r="179" s="167" customFormat="1" x14ac:dyDescent="0.2"/>
    <row r="180" s="167" customFormat="1" x14ac:dyDescent="0.2"/>
    <row r="181" s="167" customFormat="1" x14ac:dyDescent="0.2"/>
    <row r="182" s="167" customFormat="1" x14ac:dyDescent="0.2"/>
    <row r="183" s="167" customFormat="1" x14ac:dyDescent="0.2"/>
    <row r="184" s="167" customFormat="1" x14ac:dyDescent="0.2"/>
    <row r="185" s="167" customFormat="1" x14ac:dyDescent="0.2"/>
    <row r="186" s="167" customFormat="1" x14ac:dyDescent="0.2"/>
    <row r="187" s="167" customFormat="1" x14ac:dyDescent="0.2"/>
    <row r="188" s="167" customFormat="1" x14ac:dyDescent="0.2"/>
    <row r="189" s="167" customFormat="1" x14ac:dyDescent="0.2"/>
    <row r="190" s="167" customFormat="1" x14ac:dyDescent="0.2"/>
    <row r="191" s="167" customFormat="1" x14ac:dyDescent="0.2"/>
    <row r="192" s="167" customFormat="1" x14ac:dyDescent="0.2"/>
    <row r="193" s="167" customFormat="1" x14ac:dyDescent="0.2"/>
    <row r="194" s="167" customFormat="1" x14ac:dyDescent="0.2"/>
    <row r="195" s="167" customFormat="1" x14ac:dyDescent="0.2"/>
    <row r="196" s="167" customFormat="1" x14ac:dyDescent="0.2"/>
    <row r="197" s="167" customFormat="1" x14ac:dyDescent="0.2"/>
    <row r="198" s="167" customFormat="1" x14ac:dyDescent="0.2"/>
    <row r="199" s="167" customFormat="1" x14ac:dyDescent="0.2"/>
    <row r="200" s="167" customFormat="1" x14ac:dyDescent="0.2"/>
    <row r="201" s="167" customFormat="1" x14ac:dyDescent="0.2"/>
    <row r="202" s="167" customFormat="1" x14ac:dyDescent="0.2"/>
    <row r="203" s="167" customFormat="1" x14ac:dyDescent="0.2"/>
    <row r="204" s="167" customFormat="1" x14ac:dyDescent="0.2"/>
    <row r="205" s="167" customFormat="1" x14ac:dyDescent="0.2"/>
    <row r="206" s="167" customFormat="1" x14ac:dyDescent="0.2"/>
    <row r="207" s="167" customFormat="1" x14ac:dyDescent="0.2"/>
    <row r="208" s="167" customFormat="1" x14ac:dyDescent="0.2"/>
    <row r="209" s="167" customFormat="1" x14ac:dyDescent="0.2"/>
    <row r="210" s="167" customFormat="1" x14ac:dyDescent="0.2"/>
    <row r="211" s="167" customFormat="1" x14ac:dyDescent="0.2"/>
    <row r="212" s="167" customFormat="1" x14ac:dyDescent="0.2"/>
    <row r="213" s="167" customFormat="1" x14ac:dyDescent="0.2"/>
    <row r="214" s="167" customFormat="1" x14ac:dyDescent="0.2"/>
    <row r="215" s="167" customFormat="1" x14ac:dyDescent="0.2"/>
    <row r="216" s="167" customFormat="1" x14ac:dyDescent="0.2"/>
    <row r="217" s="167" customFormat="1" x14ac:dyDescent="0.2"/>
    <row r="218" s="167" customFormat="1" x14ac:dyDescent="0.2"/>
    <row r="219" s="167" customFormat="1" x14ac:dyDescent="0.2"/>
    <row r="220" s="167" customFormat="1" x14ac:dyDescent="0.2"/>
    <row r="221" s="167" customFormat="1" x14ac:dyDescent="0.2"/>
    <row r="222" s="167" customFormat="1" x14ac:dyDescent="0.2"/>
    <row r="223" s="167" customFormat="1" x14ac:dyDescent="0.2"/>
    <row r="224" s="167" customFormat="1" x14ac:dyDescent="0.2"/>
    <row r="225" s="167" customFormat="1" x14ac:dyDescent="0.2"/>
    <row r="226" s="167" customFormat="1" x14ac:dyDescent="0.2"/>
    <row r="227" s="167" customFormat="1" x14ac:dyDescent="0.2"/>
    <row r="228" s="167" customFormat="1" x14ac:dyDescent="0.2"/>
    <row r="229" s="167" customFormat="1" x14ac:dyDescent="0.2"/>
    <row r="230" s="167" customFormat="1" x14ac:dyDescent="0.2"/>
    <row r="231" s="167" customFormat="1" x14ac:dyDescent="0.2"/>
    <row r="232" s="167" customFormat="1" x14ac:dyDescent="0.2"/>
    <row r="233" s="167" customFormat="1" x14ac:dyDescent="0.2"/>
    <row r="234" s="167" customFormat="1" x14ac:dyDescent="0.2"/>
    <row r="235" s="167" customFormat="1" x14ac:dyDescent="0.2"/>
    <row r="236" s="167" customFormat="1" x14ac:dyDescent="0.2"/>
    <row r="237" s="167" customFormat="1" x14ac:dyDescent="0.2"/>
    <row r="238" s="167" customFormat="1" x14ac:dyDescent="0.2"/>
    <row r="239" s="167" customFormat="1" x14ac:dyDescent="0.2"/>
    <row r="240" s="167" customFormat="1" x14ac:dyDescent="0.2"/>
    <row r="241" s="167" customFormat="1" x14ac:dyDescent="0.2"/>
    <row r="242" s="167" customFormat="1" x14ac:dyDescent="0.2"/>
    <row r="243" s="167" customFormat="1" x14ac:dyDescent="0.2"/>
    <row r="244" s="167" customFormat="1" x14ac:dyDescent="0.2"/>
    <row r="245" s="167" customFormat="1" x14ac:dyDescent="0.2"/>
    <row r="246" s="167" customFormat="1" x14ac:dyDescent="0.2"/>
    <row r="247" s="167" customFormat="1" x14ac:dyDescent="0.2"/>
    <row r="248" s="167" customFormat="1" x14ac:dyDescent="0.2"/>
    <row r="249" s="167" customFormat="1" x14ac:dyDescent="0.2"/>
    <row r="250" s="167" customFormat="1" x14ac:dyDescent="0.2"/>
    <row r="251" s="167" customFormat="1" x14ac:dyDescent="0.2"/>
    <row r="252" s="167" customFormat="1" x14ac:dyDescent="0.2"/>
    <row r="253" s="167" customFormat="1" x14ac:dyDescent="0.2"/>
    <row r="254" s="167" customFormat="1" x14ac:dyDescent="0.2"/>
    <row r="255" s="167" customFormat="1" x14ac:dyDescent="0.2"/>
    <row r="256" s="167" customFormat="1" x14ac:dyDescent="0.2"/>
    <row r="257" s="167" customFormat="1" x14ac:dyDescent="0.2"/>
    <row r="258" s="167" customFormat="1" x14ac:dyDescent="0.2"/>
    <row r="259" s="167" customFormat="1" x14ac:dyDescent="0.2"/>
    <row r="260" s="167" customFormat="1" x14ac:dyDescent="0.2"/>
    <row r="261" s="167" customFormat="1" x14ac:dyDescent="0.2"/>
    <row r="262" s="167" customFormat="1" x14ac:dyDescent="0.2"/>
    <row r="263" s="167" customFormat="1" x14ac:dyDescent="0.2"/>
    <row r="264" s="167" customFormat="1" x14ac:dyDescent="0.2"/>
    <row r="265" s="167" customFormat="1" x14ac:dyDescent="0.2"/>
    <row r="266" s="167" customFormat="1" x14ac:dyDescent="0.2"/>
    <row r="267" s="167" customFormat="1" x14ac:dyDescent="0.2"/>
    <row r="268" s="167" customFormat="1" x14ac:dyDescent="0.2"/>
    <row r="269" s="167" customFormat="1" x14ac:dyDescent="0.2"/>
    <row r="270" s="167" customFormat="1" x14ac:dyDescent="0.2"/>
    <row r="271" s="167" customFormat="1" x14ac:dyDescent="0.2"/>
    <row r="272" s="167" customFormat="1" x14ac:dyDescent="0.2"/>
    <row r="273" s="167" customFormat="1" x14ac:dyDescent="0.2"/>
    <row r="274" s="167" customFormat="1" x14ac:dyDescent="0.2"/>
    <row r="275" s="167" customFormat="1" x14ac:dyDescent="0.2"/>
    <row r="276" s="167" customFormat="1" x14ac:dyDescent="0.2"/>
    <row r="277" s="167" customFormat="1" x14ac:dyDescent="0.2"/>
    <row r="278" s="167" customFormat="1" x14ac:dyDescent="0.2"/>
    <row r="279" s="167" customFormat="1" x14ac:dyDescent="0.2"/>
    <row r="280" s="167" customFormat="1" x14ac:dyDescent="0.2"/>
    <row r="281" s="167" customFormat="1" x14ac:dyDescent="0.2"/>
    <row r="282" s="167" customFormat="1" x14ac:dyDescent="0.2"/>
    <row r="283" s="167" customFormat="1" x14ac:dyDescent="0.2"/>
    <row r="284" s="167" customFormat="1" x14ac:dyDescent="0.2"/>
  </sheetData>
  <mergeCells count="5">
    <mergeCell ref="B3:I4"/>
    <mergeCell ref="B8:I9"/>
    <mergeCell ref="A18:J18"/>
    <mergeCell ref="M3:S14"/>
    <mergeCell ref="M16:S17"/>
  </mergeCells>
  <pageMargins left="0.7" right="0.7" top="0.75" bottom="0.75" header="0.3" footer="0.3"/>
  <pageSetup fitToWidth="2"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E37C-5B8A-534C-A62B-E8E131E09C23}">
  <sheetPr>
    <pageSetUpPr fitToPage="1"/>
  </sheetPr>
  <dimension ref="A1:T284"/>
  <sheetViews>
    <sheetView zoomScaleNormal="100" workbookViewId="0"/>
  </sheetViews>
  <sheetFormatPr baseColWidth="10" defaultColWidth="10.83203125" defaultRowHeight="16" outlineLevelCol="1" x14ac:dyDescent="0.2"/>
  <cols>
    <col min="1" max="1" width="4.6640625" style="29" customWidth="1"/>
    <col min="2" max="10" width="10.83203125" style="29" customWidth="1"/>
    <col min="11" max="11" width="10.83203125" style="29"/>
    <col min="12" max="19" width="10.83203125" style="29" hidden="1" customWidth="1" outlineLevel="1"/>
    <col min="20" max="20" width="10.83203125" style="29" collapsed="1"/>
    <col min="21" max="16384" width="10.83203125" style="29"/>
  </cols>
  <sheetData>
    <row r="1" spans="1:19" ht="19" x14ac:dyDescent="0.25">
      <c r="A1" s="1" t="s">
        <v>271</v>
      </c>
      <c r="B1" s="3"/>
      <c r="C1" s="26"/>
      <c r="D1" s="26"/>
      <c r="E1" s="26"/>
      <c r="F1" s="27"/>
      <c r="G1" s="27"/>
      <c r="H1" s="27"/>
      <c r="I1" s="27"/>
      <c r="J1" s="28"/>
      <c r="K1" s="2" t="s">
        <v>6</v>
      </c>
    </row>
    <row r="2" spans="1:19" x14ac:dyDescent="0.2">
      <c r="A2" s="30"/>
      <c r="B2" s="27"/>
      <c r="C2" s="27"/>
      <c r="D2" s="27"/>
      <c r="E2" s="27"/>
      <c r="F2" s="27"/>
      <c r="G2" s="27"/>
      <c r="H2" s="27"/>
      <c r="I2" s="27"/>
      <c r="J2" s="28"/>
      <c r="L2" s="25" t="s">
        <v>98</v>
      </c>
      <c r="N2" s="31"/>
    </row>
    <row r="3" spans="1:19" ht="16" customHeight="1" x14ac:dyDescent="0.2">
      <c r="A3" s="30"/>
      <c r="B3" s="368" t="s">
        <v>21</v>
      </c>
      <c r="C3" s="368"/>
      <c r="D3" s="368"/>
      <c r="E3" s="368"/>
      <c r="F3" s="368"/>
      <c r="G3" s="368"/>
      <c r="H3" s="368"/>
      <c r="I3" s="368"/>
      <c r="J3" s="28"/>
      <c r="M3" s="373" t="s">
        <v>100</v>
      </c>
      <c r="N3" s="373"/>
      <c r="O3" s="373"/>
      <c r="P3" s="373"/>
      <c r="Q3" s="373"/>
      <c r="R3" s="373"/>
      <c r="S3" s="373"/>
    </row>
    <row r="4" spans="1:19" x14ac:dyDescent="0.2">
      <c r="A4" s="30"/>
      <c r="B4" s="368"/>
      <c r="C4" s="368"/>
      <c r="D4" s="368"/>
      <c r="E4" s="368"/>
      <c r="F4" s="368"/>
      <c r="G4" s="368"/>
      <c r="H4" s="368"/>
      <c r="I4" s="368"/>
      <c r="J4" s="28"/>
      <c r="L4" s="148"/>
      <c r="M4" s="373"/>
      <c r="N4" s="373"/>
      <c r="O4" s="373"/>
      <c r="P4" s="373"/>
      <c r="Q4" s="373"/>
      <c r="R4" s="373"/>
      <c r="S4" s="373"/>
    </row>
    <row r="5" spans="1:19" x14ac:dyDescent="0.2">
      <c r="A5" s="30"/>
      <c r="B5" s="27"/>
      <c r="C5" s="27"/>
      <c r="D5" s="27"/>
      <c r="E5" s="27"/>
      <c r="F5" s="27"/>
      <c r="G5" s="27"/>
      <c r="H5" s="27"/>
      <c r="I5" s="27"/>
      <c r="J5" s="28"/>
      <c r="L5" s="148"/>
      <c r="M5" s="373"/>
      <c r="N5" s="373"/>
      <c r="O5" s="373"/>
      <c r="P5" s="373"/>
      <c r="Q5" s="373"/>
      <c r="R5" s="373"/>
      <c r="S5" s="373"/>
    </row>
    <row r="6" spans="1:19" x14ac:dyDescent="0.2">
      <c r="A6" s="27" t="s">
        <v>0</v>
      </c>
      <c r="B6" s="27" t="s">
        <v>101</v>
      </c>
      <c r="C6" s="27"/>
      <c r="D6" s="27"/>
      <c r="E6" s="27"/>
      <c r="F6" s="27"/>
      <c r="G6" s="27"/>
      <c r="H6" s="27"/>
      <c r="I6" s="27"/>
      <c r="J6" s="28"/>
      <c r="L6" s="148"/>
      <c r="M6" s="373"/>
      <c r="N6" s="373"/>
      <c r="O6" s="373"/>
      <c r="P6" s="373"/>
      <c r="Q6" s="373"/>
      <c r="R6" s="373"/>
      <c r="S6" s="373"/>
    </row>
    <row r="7" spans="1:19" x14ac:dyDescent="0.2">
      <c r="A7" s="30"/>
      <c r="B7" s="27"/>
      <c r="C7" s="27"/>
      <c r="D7" s="27"/>
      <c r="E7" s="27"/>
      <c r="F7" s="27"/>
      <c r="G7" s="27"/>
      <c r="H7" s="27"/>
      <c r="I7" s="27"/>
      <c r="J7" s="28"/>
      <c r="L7" s="148"/>
      <c r="M7" s="373"/>
      <c r="N7" s="373"/>
      <c r="O7" s="373"/>
      <c r="P7" s="373"/>
      <c r="Q7" s="373"/>
      <c r="R7" s="373"/>
      <c r="S7" s="373"/>
    </row>
    <row r="8" spans="1:19" ht="16" customHeight="1" x14ac:dyDescent="0.2">
      <c r="A8" s="27" t="s">
        <v>1</v>
      </c>
      <c r="B8" s="375" t="s">
        <v>22</v>
      </c>
      <c r="C8" s="375"/>
      <c r="D8" s="375"/>
      <c r="E8" s="375"/>
      <c r="F8" s="375"/>
      <c r="G8" s="375"/>
      <c r="H8" s="375"/>
      <c r="I8" s="375"/>
      <c r="J8" s="82"/>
      <c r="L8" s="148"/>
      <c r="M8" s="373"/>
      <c r="N8" s="373"/>
      <c r="O8" s="373"/>
      <c r="P8" s="373"/>
      <c r="Q8" s="373"/>
      <c r="R8" s="373"/>
      <c r="S8" s="373"/>
    </row>
    <row r="9" spans="1:19" x14ac:dyDescent="0.2">
      <c r="A9" s="30"/>
      <c r="B9" s="375"/>
      <c r="C9" s="375"/>
      <c r="D9" s="375"/>
      <c r="E9" s="375"/>
      <c r="F9" s="375"/>
      <c r="G9" s="375"/>
      <c r="H9" s="375"/>
      <c r="I9" s="375"/>
      <c r="J9" s="82"/>
      <c r="L9" s="148"/>
      <c r="M9" s="373"/>
      <c r="N9" s="373"/>
      <c r="O9" s="373"/>
      <c r="P9" s="373"/>
      <c r="Q9" s="373"/>
      <c r="R9" s="373"/>
      <c r="S9" s="373"/>
    </row>
    <row r="10" spans="1:19" x14ac:dyDescent="0.2">
      <c r="A10" s="30"/>
      <c r="B10" s="27"/>
      <c r="C10" s="27"/>
      <c r="D10" s="27"/>
      <c r="E10" s="27"/>
      <c r="F10" s="27"/>
      <c r="G10" s="27"/>
      <c r="H10" s="27"/>
      <c r="I10" s="27"/>
      <c r="J10" s="28"/>
      <c r="L10" s="148"/>
      <c r="M10" s="373"/>
      <c r="N10" s="373"/>
      <c r="O10" s="373"/>
      <c r="P10" s="373"/>
      <c r="Q10" s="373"/>
      <c r="R10" s="373"/>
      <c r="S10" s="373"/>
    </row>
    <row r="11" spans="1:19" ht="17" thickBot="1" x14ac:dyDescent="0.25">
      <c r="A11" s="85"/>
      <c r="B11" s="86"/>
      <c r="C11" s="87"/>
      <c r="D11" s="87"/>
      <c r="E11" s="87"/>
      <c r="F11" s="86"/>
      <c r="G11" s="86"/>
      <c r="H11" s="86"/>
      <c r="I11" s="86"/>
      <c r="J11" s="88"/>
      <c r="L11" s="148"/>
      <c r="M11" s="373"/>
      <c r="N11" s="373"/>
      <c r="O11" s="373"/>
      <c r="P11" s="373"/>
      <c r="Q11" s="373"/>
      <c r="R11" s="373"/>
      <c r="S11" s="373"/>
    </row>
    <row r="12" spans="1:19" ht="17" thickBot="1" x14ac:dyDescent="0.25">
      <c r="A12" s="85" t="s">
        <v>7</v>
      </c>
      <c r="B12" s="86"/>
      <c r="C12" s="87"/>
      <c r="D12" s="87"/>
      <c r="E12" s="87"/>
      <c r="F12" s="86"/>
      <c r="G12" s="86"/>
      <c r="H12" s="86"/>
      <c r="I12" s="86"/>
      <c r="J12" s="88"/>
      <c r="L12" s="148"/>
      <c r="M12" s="373"/>
      <c r="N12" s="373"/>
      <c r="O12" s="373"/>
      <c r="P12" s="373"/>
      <c r="Q12" s="373"/>
      <c r="R12" s="373"/>
      <c r="S12" s="373"/>
    </row>
    <row r="13" spans="1:19" x14ac:dyDescent="0.2">
      <c r="L13" s="148"/>
      <c r="M13" s="373"/>
      <c r="N13" s="373"/>
      <c r="O13" s="373"/>
      <c r="P13" s="373"/>
      <c r="Q13" s="373"/>
      <c r="R13" s="373"/>
      <c r="S13" s="373"/>
    </row>
    <row r="14" spans="1:19" x14ac:dyDescent="0.2">
      <c r="L14" s="148"/>
      <c r="M14" s="373"/>
      <c r="N14" s="373"/>
      <c r="O14" s="373"/>
      <c r="P14" s="373"/>
      <c r="Q14" s="373"/>
      <c r="R14" s="373"/>
      <c r="S14" s="373"/>
    </row>
    <row r="15" spans="1:19" x14ac:dyDescent="0.2">
      <c r="L15" s="148"/>
      <c r="M15" s="373"/>
      <c r="N15" s="373"/>
      <c r="O15" s="373"/>
      <c r="P15" s="373"/>
      <c r="Q15" s="373"/>
      <c r="R15" s="373"/>
      <c r="S15" s="373"/>
    </row>
    <row r="16" spans="1:19" x14ac:dyDescent="0.2">
      <c r="L16" s="148"/>
      <c r="M16" s="373"/>
      <c r="N16" s="373"/>
      <c r="O16" s="373"/>
      <c r="P16" s="373"/>
      <c r="Q16" s="373"/>
      <c r="R16" s="373"/>
      <c r="S16" s="373"/>
    </row>
    <row r="17" spans="12:19" x14ac:dyDescent="0.2">
      <c r="L17" s="148"/>
      <c r="M17" s="373"/>
      <c r="N17" s="373"/>
      <c r="O17" s="373"/>
      <c r="P17" s="373"/>
      <c r="Q17" s="373"/>
      <c r="R17" s="373"/>
      <c r="S17" s="373"/>
    </row>
    <row r="18" spans="12:19" x14ac:dyDescent="0.2">
      <c r="L18" s="148"/>
      <c r="M18" s="373"/>
      <c r="N18" s="373"/>
      <c r="O18" s="373"/>
      <c r="P18" s="373"/>
      <c r="Q18" s="373"/>
      <c r="R18" s="373"/>
      <c r="S18" s="373"/>
    </row>
    <row r="19" spans="12:19" x14ac:dyDescent="0.2">
      <c r="L19" s="148"/>
      <c r="M19" s="373"/>
      <c r="N19" s="373"/>
      <c r="O19" s="373"/>
      <c r="P19" s="373"/>
      <c r="Q19" s="373"/>
      <c r="R19" s="373"/>
      <c r="S19" s="373"/>
    </row>
    <row r="20" spans="12:19" x14ac:dyDescent="0.2">
      <c r="L20" s="148"/>
      <c r="M20" s="373"/>
      <c r="N20" s="373"/>
      <c r="O20" s="373"/>
      <c r="P20" s="373"/>
      <c r="Q20" s="373"/>
      <c r="R20" s="373"/>
      <c r="S20" s="373"/>
    </row>
    <row r="21" spans="12:19" x14ac:dyDescent="0.2">
      <c r="L21" s="148"/>
      <c r="M21" s="373"/>
      <c r="N21" s="373"/>
      <c r="O21" s="373"/>
      <c r="P21" s="373"/>
      <c r="Q21" s="373"/>
      <c r="R21" s="373"/>
      <c r="S21" s="373"/>
    </row>
    <row r="22" spans="12:19" x14ac:dyDescent="0.2">
      <c r="L22" s="148"/>
      <c r="M22" s="373"/>
      <c r="N22" s="373"/>
      <c r="O22" s="373"/>
      <c r="P22" s="373"/>
      <c r="Q22" s="373"/>
      <c r="R22" s="373"/>
      <c r="S22" s="373"/>
    </row>
    <row r="23" spans="12:19" x14ac:dyDescent="0.2">
      <c r="M23" s="373"/>
      <c r="N23" s="373"/>
      <c r="O23" s="373"/>
      <c r="P23" s="373"/>
      <c r="Q23" s="373"/>
      <c r="R23" s="373"/>
      <c r="S23" s="373"/>
    </row>
    <row r="24" spans="12:19" x14ac:dyDescent="0.2">
      <c r="M24" s="373"/>
      <c r="N24" s="373"/>
      <c r="O24" s="373"/>
      <c r="P24" s="373"/>
      <c r="Q24" s="373"/>
      <c r="R24" s="373"/>
      <c r="S24" s="373"/>
    </row>
    <row r="25" spans="12:19" x14ac:dyDescent="0.2">
      <c r="M25" s="147"/>
      <c r="N25" s="147"/>
      <c r="O25" s="147"/>
      <c r="P25" s="147"/>
      <c r="Q25" s="147"/>
      <c r="R25" s="147"/>
      <c r="S25" s="147"/>
    </row>
    <row r="26" spans="12:19" ht="16" customHeight="1" x14ac:dyDescent="0.2">
      <c r="L26" s="25" t="s">
        <v>4</v>
      </c>
    </row>
    <row r="27" spans="12:19" ht="16" customHeight="1" x14ac:dyDescent="0.2">
      <c r="M27" s="374" t="s">
        <v>97</v>
      </c>
      <c r="N27" s="374"/>
      <c r="O27" s="374"/>
      <c r="P27" s="374"/>
      <c r="Q27" s="374"/>
      <c r="R27" s="374"/>
      <c r="S27" s="374"/>
    </row>
    <row r="28" spans="12:19" x14ac:dyDescent="0.2">
      <c r="M28" s="374"/>
      <c r="N28" s="374"/>
      <c r="O28" s="374"/>
      <c r="P28" s="374"/>
      <c r="Q28" s="374"/>
      <c r="R28" s="374"/>
      <c r="S28" s="374"/>
    </row>
    <row r="29" spans="12:19" x14ac:dyDescent="0.2">
      <c r="M29" s="374"/>
      <c r="N29" s="374"/>
      <c r="O29" s="374"/>
      <c r="P29" s="374"/>
      <c r="Q29" s="374"/>
      <c r="R29" s="374"/>
      <c r="S29" s="374"/>
    </row>
    <row r="30" spans="12:19" x14ac:dyDescent="0.2">
      <c r="M30" s="374"/>
      <c r="N30" s="374"/>
      <c r="O30" s="374"/>
      <c r="P30" s="374"/>
      <c r="Q30" s="374"/>
      <c r="R30" s="374"/>
      <c r="S30" s="374"/>
    </row>
    <row r="32" spans="12:19" ht="19" x14ac:dyDescent="0.25">
      <c r="L32" s="2" t="s">
        <v>8</v>
      </c>
    </row>
    <row r="33" spans="12:19" ht="16" customHeight="1" x14ac:dyDescent="0.2">
      <c r="L33" s="376" t="s">
        <v>291</v>
      </c>
      <c r="M33" s="373"/>
      <c r="N33" s="373"/>
      <c r="O33" s="373"/>
      <c r="P33" s="373"/>
      <c r="Q33" s="373"/>
      <c r="R33" s="373"/>
      <c r="S33" s="373"/>
    </row>
    <row r="34" spans="12:19" s="167" customFormat="1" x14ac:dyDescent="0.2">
      <c r="L34" s="373"/>
      <c r="M34" s="373"/>
      <c r="N34" s="373"/>
      <c r="O34" s="373"/>
      <c r="P34" s="373"/>
      <c r="Q34" s="373"/>
      <c r="R34" s="373"/>
      <c r="S34" s="373"/>
    </row>
    <row r="35" spans="12:19" s="167" customFormat="1" x14ac:dyDescent="0.2"/>
    <row r="36" spans="12:19" s="167" customFormat="1" ht="19" x14ac:dyDescent="0.25">
      <c r="L36" s="2" t="s">
        <v>19</v>
      </c>
    </row>
    <row r="37" spans="12:19" s="167" customFormat="1" x14ac:dyDescent="0.2">
      <c r="L37" s="167" t="s">
        <v>99</v>
      </c>
    </row>
    <row r="38" spans="12:19" s="167" customFormat="1" x14ac:dyDescent="0.2"/>
    <row r="39" spans="12:19" s="167" customFormat="1" x14ac:dyDescent="0.2"/>
    <row r="40" spans="12:19" s="167" customFormat="1" x14ac:dyDescent="0.2"/>
    <row r="41" spans="12:19" s="167" customFormat="1" x14ac:dyDescent="0.2"/>
    <row r="42" spans="12:19" s="167" customFormat="1" x14ac:dyDescent="0.2"/>
    <row r="43" spans="12:19" s="167" customFormat="1" x14ac:dyDescent="0.2"/>
    <row r="44" spans="12:19" s="167" customFormat="1" x14ac:dyDescent="0.2"/>
    <row r="45" spans="12:19" s="167" customFormat="1" x14ac:dyDescent="0.2"/>
    <row r="46" spans="12:19" s="167" customFormat="1" x14ac:dyDescent="0.2"/>
    <row r="47" spans="12:19" s="167" customFormat="1" x14ac:dyDescent="0.2"/>
    <row r="48" spans="12:19" s="167" customFormat="1" x14ac:dyDescent="0.2"/>
    <row r="49" s="167" customFormat="1" x14ac:dyDescent="0.2"/>
    <row r="50" s="167" customFormat="1" x14ac:dyDescent="0.2"/>
    <row r="51" s="167" customFormat="1" x14ac:dyDescent="0.2"/>
    <row r="52" s="167" customFormat="1" x14ac:dyDescent="0.2"/>
    <row r="53" s="167" customFormat="1" x14ac:dyDescent="0.2"/>
    <row r="54" s="167" customFormat="1" x14ac:dyDescent="0.2"/>
    <row r="55" s="167" customFormat="1" x14ac:dyDescent="0.2"/>
    <row r="56" s="167" customFormat="1" x14ac:dyDescent="0.2"/>
    <row r="57" s="167" customFormat="1" x14ac:dyDescent="0.2"/>
    <row r="58" s="167" customFormat="1" x14ac:dyDescent="0.2"/>
    <row r="59" s="167" customFormat="1" x14ac:dyDescent="0.2"/>
    <row r="60" s="167" customFormat="1" x14ac:dyDescent="0.2"/>
    <row r="61" s="167" customFormat="1" x14ac:dyDescent="0.2"/>
    <row r="62" s="167" customFormat="1" x14ac:dyDescent="0.2"/>
    <row r="63" s="167" customFormat="1" x14ac:dyDescent="0.2"/>
    <row r="64" s="167" customFormat="1" x14ac:dyDescent="0.2"/>
    <row r="65" spans="13:13" s="167" customFormat="1" x14ac:dyDescent="0.2"/>
    <row r="66" spans="13:13" s="167" customFormat="1" x14ac:dyDescent="0.2"/>
    <row r="67" spans="13:13" s="167" customFormat="1" x14ac:dyDescent="0.2"/>
    <row r="68" spans="13:13" s="167" customFormat="1" x14ac:dyDescent="0.2"/>
    <row r="69" spans="13:13" s="167" customFormat="1" x14ac:dyDescent="0.2"/>
    <row r="70" spans="13:13" s="167" customFormat="1" x14ac:dyDescent="0.2">
      <c r="M70" s="168"/>
    </row>
    <row r="71" spans="13:13" s="167" customFormat="1" x14ac:dyDescent="0.2"/>
    <row r="72" spans="13:13" s="167" customFormat="1" x14ac:dyDescent="0.2"/>
    <row r="73" spans="13:13" s="167" customFormat="1" x14ac:dyDescent="0.2"/>
    <row r="74" spans="13:13" s="167" customFormat="1" x14ac:dyDescent="0.2"/>
    <row r="75" spans="13:13" s="167" customFormat="1" x14ac:dyDescent="0.2"/>
    <row r="76" spans="13:13" s="167" customFormat="1" x14ac:dyDescent="0.2"/>
    <row r="77" spans="13:13" s="167" customFormat="1" x14ac:dyDescent="0.2"/>
    <row r="78" spans="13:13" s="167" customFormat="1" x14ac:dyDescent="0.2"/>
    <row r="79" spans="13:13" s="167" customFormat="1" x14ac:dyDescent="0.2"/>
    <row r="80" spans="13:13" s="167" customFormat="1" x14ac:dyDescent="0.2">
      <c r="M80" s="168"/>
    </row>
    <row r="81" spans="13:13" s="167" customFormat="1" x14ac:dyDescent="0.2"/>
    <row r="82" spans="13:13" s="167" customFormat="1" x14ac:dyDescent="0.2"/>
    <row r="83" spans="13:13" s="167" customFormat="1" x14ac:dyDescent="0.2"/>
    <row r="84" spans="13:13" s="167" customFormat="1" x14ac:dyDescent="0.2"/>
    <row r="85" spans="13:13" s="167" customFormat="1" x14ac:dyDescent="0.2"/>
    <row r="86" spans="13:13" s="167" customFormat="1" x14ac:dyDescent="0.2"/>
    <row r="87" spans="13:13" s="167" customFormat="1" x14ac:dyDescent="0.2"/>
    <row r="88" spans="13:13" s="167" customFormat="1" x14ac:dyDescent="0.2"/>
    <row r="89" spans="13:13" s="167" customFormat="1" x14ac:dyDescent="0.2"/>
    <row r="90" spans="13:13" s="167" customFormat="1" x14ac:dyDescent="0.2">
      <c r="M90" s="168"/>
    </row>
    <row r="91" spans="13:13" s="167" customFormat="1" x14ac:dyDescent="0.2"/>
    <row r="92" spans="13:13" s="167" customFormat="1" x14ac:dyDescent="0.2"/>
    <row r="93" spans="13:13" s="167" customFormat="1" x14ac:dyDescent="0.2"/>
    <row r="94" spans="13:13" s="167" customFormat="1" x14ac:dyDescent="0.2"/>
    <row r="95" spans="13:13" s="167" customFormat="1" x14ac:dyDescent="0.2"/>
    <row r="96" spans="13:13" s="167" customFormat="1" x14ac:dyDescent="0.2"/>
    <row r="97" s="167" customFormat="1" x14ac:dyDescent="0.2"/>
    <row r="98" s="167" customFormat="1" x14ac:dyDescent="0.2"/>
    <row r="99" s="167" customFormat="1" x14ac:dyDescent="0.2"/>
    <row r="100" s="167" customFormat="1" x14ac:dyDescent="0.2"/>
    <row r="101" s="167" customFormat="1" x14ac:dyDescent="0.2"/>
    <row r="102" s="167" customFormat="1" x14ac:dyDescent="0.2"/>
    <row r="103" s="167" customFormat="1" x14ac:dyDescent="0.2"/>
    <row r="104" s="167" customFormat="1" x14ac:dyDescent="0.2"/>
    <row r="105" s="167" customFormat="1" x14ac:dyDescent="0.2"/>
    <row r="106" s="167" customFormat="1" x14ac:dyDescent="0.2"/>
    <row r="107" s="167" customFormat="1" x14ac:dyDescent="0.2"/>
    <row r="108" s="167" customFormat="1" x14ac:dyDescent="0.2"/>
    <row r="109" s="167" customFormat="1" x14ac:dyDescent="0.2"/>
    <row r="110" s="167" customFormat="1" x14ac:dyDescent="0.2"/>
    <row r="111" s="167" customFormat="1" x14ac:dyDescent="0.2"/>
    <row r="112" s="167" customFormat="1" x14ac:dyDescent="0.2"/>
    <row r="113" s="167" customFormat="1" x14ac:dyDescent="0.2"/>
    <row r="114" s="167" customFormat="1" x14ac:dyDescent="0.2"/>
    <row r="115" s="167" customFormat="1" x14ac:dyDescent="0.2"/>
    <row r="116" s="167" customFormat="1" x14ac:dyDescent="0.2"/>
    <row r="117" s="167" customFormat="1" x14ac:dyDescent="0.2"/>
    <row r="118" s="167" customFormat="1" x14ac:dyDescent="0.2"/>
    <row r="119" s="167" customFormat="1" x14ac:dyDescent="0.2"/>
    <row r="120" s="167" customFormat="1" x14ac:dyDescent="0.2"/>
    <row r="121" s="167" customFormat="1" x14ac:dyDescent="0.2"/>
    <row r="122" s="167" customFormat="1" x14ac:dyDescent="0.2"/>
    <row r="123" s="167" customFormat="1" x14ac:dyDescent="0.2"/>
    <row r="124" s="167" customFormat="1" x14ac:dyDescent="0.2"/>
    <row r="125" s="167" customFormat="1" x14ac:dyDescent="0.2"/>
    <row r="126" s="167" customFormat="1" x14ac:dyDescent="0.2"/>
    <row r="127" s="167" customFormat="1" x14ac:dyDescent="0.2"/>
    <row r="128" s="167" customFormat="1" x14ac:dyDescent="0.2"/>
    <row r="129" s="167" customFormat="1" x14ac:dyDescent="0.2"/>
    <row r="130" s="167" customFormat="1" x14ac:dyDescent="0.2"/>
    <row r="131" s="167" customFormat="1" x14ac:dyDescent="0.2"/>
    <row r="132" s="167" customFormat="1" x14ac:dyDescent="0.2"/>
    <row r="133" s="167" customFormat="1" x14ac:dyDescent="0.2"/>
    <row r="134" s="167" customFormat="1" x14ac:dyDescent="0.2"/>
    <row r="135" s="167" customFormat="1" x14ac:dyDescent="0.2"/>
    <row r="136" s="167" customFormat="1" x14ac:dyDescent="0.2"/>
    <row r="137" s="167" customFormat="1" x14ac:dyDescent="0.2"/>
    <row r="138" s="167" customFormat="1" x14ac:dyDescent="0.2"/>
    <row r="139" s="167" customFormat="1" x14ac:dyDescent="0.2"/>
    <row r="140" s="167" customFormat="1" x14ac:dyDescent="0.2"/>
    <row r="141" s="167" customFormat="1" x14ac:dyDescent="0.2"/>
    <row r="142" s="167" customFormat="1" x14ac:dyDescent="0.2"/>
    <row r="143" s="167" customFormat="1" x14ac:dyDescent="0.2"/>
    <row r="144" s="167" customFormat="1" x14ac:dyDescent="0.2"/>
    <row r="145" s="167" customFormat="1" x14ac:dyDescent="0.2"/>
    <row r="146" s="167" customFormat="1" x14ac:dyDescent="0.2"/>
    <row r="147" s="167" customFormat="1" x14ac:dyDescent="0.2"/>
    <row r="148" s="167" customFormat="1" x14ac:dyDescent="0.2"/>
    <row r="149" s="167" customFormat="1" x14ac:dyDescent="0.2"/>
    <row r="150" s="167" customFormat="1" x14ac:dyDescent="0.2"/>
    <row r="151" s="167" customFormat="1" x14ac:dyDescent="0.2"/>
    <row r="152" s="167" customFormat="1" x14ac:dyDescent="0.2"/>
    <row r="153" s="167" customFormat="1" x14ac:dyDescent="0.2"/>
    <row r="154" s="167" customFormat="1" x14ac:dyDescent="0.2"/>
    <row r="155" s="167" customFormat="1" x14ac:dyDescent="0.2"/>
    <row r="156" s="167" customFormat="1" x14ac:dyDescent="0.2"/>
    <row r="157" s="167" customFormat="1" x14ac:dyDescent="0.2"/>
    <row r="158" s="167" customFormat="1" x14ac:dyDescent="0.2"/>
    <row r="159" s="167" customFormat="1" x14ac:dyDescent="0.2"/>
    <row r="160" s="167" customFormat="1" x14ac:dyDescent="0.2"/>
    <row r="161" s="167" customFormat="1" x14ac:dyDescent="0.2"/>
    <row r="162" s="167" customFormat="1" x14ac:dyDescent="0.2"/>
    <row r="163" s="167" customFormat="1" x14ac:dyDescent="0.2"/>
    <row r="164" s="167" customFormat="1" x14ac:dyDescent="0.2"/>
    <row r="165" s="167" customFormat="1" x14ac:dyDescent="0.2"/>
    <row r="166" s="167" customFormat="1" x14ac:dyDescent="0.2"/>
    <row r="167" s="167" customFormat="1" x14ac:dyDescent="0.2"/>
    <row r="168" s="167" customFormat="1" x14ac:dyDescent="0.2"/>
    <row r="169" s="167" customFormat="1" x14ac:dyDescent="0.2"/>
    <row r="170" s="167" customFormat="1" x14ac:dyDescent="0.2"/>
    <row r="171" s="167" customFormat="1" x14ac:dyDescent="0.2"/>
    <row r="172" s="167" customFormat="1" x14ac:dyDescent="0.2"/>
    <row r="173" s="167" customFormat="1" x14ac:dyDescent="0.2"/>
    <row r="174" s="167" customFormat="1" x14ac:dyDescent="0.2"/>
    <row r="175" s="167" customFormat="1" x14ac:dyDescent="0.2"/>
    <row r="176" s="167" customFormat="1" x14ac:dyDescent="0.2"/>
    <row r="177" s="167" customFormat="1" x14ac:dyDescent="0.2"/>
    <row r="178" s="167" customFormat="1" x14ac:dyDescent="0.2"/>
    <row r="179" s="167" customFormat="1" x14ac:dyDescent="0.2"/>
    <row r="180" s="167" customFormat="1" x14ac:dyDescent="0.2"/>
    <row r="181" s="167" customFormat="1" x14ac:dyDescent="0.2"/>
    <row r="182" s="167" customFormat="1" x14ac:dyDescent="0.2"/>
    <row r="183" s="167" customFormat="1" x14ac:dyDescent="0.2"/>
    <row r="184" s="167" customFormat="1" x14ac:dyDescent="0.2"/>
    <row r="185" s="167" customFormat="1" x14ac:dyDescent="0.2"/>
    <row r="186" s="167" customFormat="1" x14ac:dyDescent="0.2"/>
    <row r="187" s="167" customFormat="1" x14ac:dyDescent="0.2"/>
    <row r="188" s="167" customFormat="1" x14ac:dyDescent="0.2"/>
    <row r="189" s="167" customFormat="1" x14ac:dyDescent="0.2"/>
    <row r="190" s="167" customFormat="1" x14ac:dyDescent="0.2"/>
    <row r="191" s="167" customFormat="1" x14ac:dyDescent="0.2"/>
    <row r="192" s="167" customFormat="1" x14ac:dyDescent="0.2"/>
    <row r="193" s="167" customFormat="1" x14ac:dyDescent="0.2"/>
    <row r="194" s="167" customFormat="1" x14ac:dyDescent="0.2"/>
    <row r="195" s="167" customFormat="1" x14ac:dyDescent="0.2"/>
    <row r="196" s="167" customFormat="1" x14ac:dyDescent="0.2"/>
    <row r="197" s="167" customFormat="1" x14ac:dyDescent="0.2"/>
    <row r="198" s="167" customFormat="1" x14ac:dyDescent="0.2"/>
    <row r="199" s="167" customFormat="1" x14ac:dyDescent="0.2"/>
    <row r="200" s="167" customFormat="1" x14ac:dyDescent="0.2"/>
    <row r="201" s="167" customFormat="1" x14ac:dyDescent="0.2"/>
    <row r="202" s="167" customFormat="1" x14ac:dyDescent="0.2"/>
    <row r="203" s="167" customFormat="1" x14ac:dyDescent="0.2"/>
    <row r="204" s="167" customFormat="1" x14ac:dyDescent="0.2"/>
    <row r="205" s="167" customFormat="1" x14ac:dyDescent="0.2"/>
    <row r="206" s="167" customFormat="1" x14ac:dyDescent="0.2"/>
    <row r="207" s="167" customFormat="1" x14ac:dyDescent="0.2"/>
    <row r="208" s="167" customFormat="1" x14ac:dyDescent="0.2"/>
    <row r="209" s="167" customFormat="1" x14ac:dyDescent="0.2"/>
    <row r="210" s="167" customFormat="1" x14ac:dyDescent="0.2"/>
    <row r="211" s="167" customFormat="1" x14ac:dyDescent="0.2"/>
    <row r="212" s="167" customFormat="1" x14ac:dyDescent="0.2"/>
    <row r="213" s="167" customFormat="1" x14ac:dyDescent="0.2"/>
    <row r="214" s="167" customFormat="1" x14ac:dyDescent="0.2"/>
    <row r="215" s="167" customFormat="1" x14ac:dyDescent="0.2"/>
    <row r="216" s="167" customFormat="1" x14ac:dyDescent="0.2"/>
    <row r="217" s="167" customFormat="1" x14ac:dyDescent="0.2"/>
    <row r="218" s="167" customFormat="1" x14ac:dyDescent="0.2"/>
    <row r="219" s="167" customFormat="1" x14ac:dyDescent="0.2"/>
    <row r="220" s="167" customFormat="1" x14ac:dyDescent="0.2"/>
    <row r="221" s="167" customFormat="1" x14ac:dyDescent="0.2"/>
    <row r="222" s="167" customFormat="1" x14ac:dyDescent="0.2"/>
    <row r="223" s="167" customFormat="1" x14ac:dyDescent="0.2"/>
    <row r="224" s="167" customFormat="1" x14ac:dyDescent="0.2"/>
    <row r="225" s="167" customFormat="1" x14ac:dyDescent="0.2"/>
    <row r="226" s="167" customFormat="1" x14ac:dyDescent="0.2"/>
    <row r="227" s="167" customFormat="1" x14ac:dyDescent="0.2"/>
    <row r="228" s="167" customFormat="1" x14ac:dyDescent="0.2"/>
    <row r="229" s="167" customFormat="1" x14ac:dyDescent="0.2"/>
    <row r="230" s="167" customFormat="1" x14ac:dyDescent="0.2"/>
    <row r="231" s="167" customFormat="1" x14ac:dyDescent="0.2"/>
    <row r="232" s="167" customFormat="1" x14ac:dyDescent="0.2"/>
    <row r="233" s="167" customFormat="1" x14ac:dyDescent="0.2"/>
    <row r="234" s="167" customFormat="1" x14ac:dyDescent="0.2"/>
    <row r="235" s="167" customFormat="1" x14ac:dyDescent="0.2"/>
    <row r="236" s="167" customFormat="1" x14ac:dyDescent="0.2"/>
    <row r="237" s="167" customFormat="1" x14ac:dyDescent="0.2"/>
    <row r="238" s="167" customFormat="1" x14ac:dyDescent="0.2"/>
    <row r="239" s="167" customFormat="1" x14ac:dyDescent="0.2"/>
    <row r="240" s="167" customFormat="1" x14ac:dyDescent="0.2"/>
    <row r="241" s="167" customFormat="1" x14ac:dyDescent="0.2"/>
    <row r="242" s="167" customFormat="1" x14ac:dyDescent="0.2"/>
    <row r="243" s="167" customFormat="1" x14ac:dyDescent="0.2"/>
    <row r="244" s="167" customFormat="1" x14ac:dyDescent="0.2"/>
    <row r="245" s="167" customFormat="1" x14ac:dyDescent="0.2"/>
    <row r="246" s="167" customFormat="1" x14ac:dyDescent="0.2"/>
    <row r="247" s="167" customFormat="1" x14ac:dyDescent="0.2"/>
    <row r="248" s="167" customFormat="1" x14ac:dyDescent="0.2"/>
    <row r="249" s="167" customFormat="1" x14ac:dyDescent="0.2"/>
    <row r="250" s="167" customFormat="1" x14ac:dyDescent="0.2"/>
    <row r="251" s="167" customFormat="1" x14ac:dyDescent="0.2"/>
    <row r="252" s="167" customFormat="1" x14ac:dyDescent="0.2"/>
    <row r="253" s="167" customFormat="1" x14ac:dyDescent="0.2"/>
    <row r="254" s="167" customFormat="1" x14ac:dyDescent="0.2"/>
    <row r="255" s="167" customFormat="1" x14ac:dyDescent="0.2"/>
    <row r="256" s="167" customFormat="1" x14ac:dyDescent="0.2"/>
    <row r="257" s="167" customFormat="1" x14ac:dyDescent="0.2"/>
    <row r="258" s="167" customFormat="1" x14ac:dyDescent="0.2"/>
    <row r="259" s="167" customFormat="1" x14ac:dyDescent="0.2"/>
    <row r="260" s="167" customFormat="1" x14ac:dyDescent="0.2"/>
    <row r="261" s="167" customFormat="1" x14ac:dyDescent="0.2"/>
    <row r="262" s="167" customFormat="1" x14ac:dyDescent="0.2"/>
    <row r="263" s="167" customFormat="1" x14ac:dyDescent="0.2"/>
    <row r="264" s="167" customFormat="1" x14ac:dyDescent="0.2"/>
    <row r="265" s="167" customFormat="1" x14ac:dyDescent="0.2"/>
    <row r="266" s="167" customFormat="1" x14ac:dyDescent="0.2"/>
    <row r="267" s="167" customFormat="1" x14ac:dyDescent="0.2"/>
    <row r="268" s="167" customFormat="1" x14ac:dyDescent="0.2"/>
    <row r="269" s="167" customFormat="1" x14ac:dyDescent="0.2"/>
    <row r="270" s="167" customFormat="1" x14ac:dyDescent="0.2"/>
    <row r="271" s="167" customFormat="1" x14ac:dyDescent="0.2"/>
    <row r="272" s="167" customFormat="1" x14ac:dyDescent="0.2"/>
    <row r="273" s="167" customFormat="1" x14ac:dyDescent="0.2"/>
    <row r="274" s="167" customFormat="1" x14ac:dyDescent="0.2"/>
    <row r="275" s="167" customFormat="1" x14ac:dyDescent="0.2"/>
    <row r="276" s="167" customFormat="1" x14ac:dyDescent="0.2"/>
    <row r="277" s="167" customFormat="1" x14ac:dyDescent="0.2"/>
    <row r="278" s="167" customFormat="1" x14ac:dyDescent="0.2"/>
    <row r="279" s="167" customFormat="1" x14ac:dyDescent="0.2"/>
    <row r="280" s="167" customFormat="1" x14ac:dyDescent="0.2"/>
    <row r="281" s="167" customFormat="1" x14ac:dyDescent="0.2"/>
    <row r="282" s="167" customFormat="1" x14ac:dyDescent="0.2"/>
    <row r="283" s="167" customFormat="1" x14ac:dyDescent="0.2"/>
    <row r="284" s="167" customFormat="1" x14ac:dyDescent="0.2"/>
  </sheetData>
  <mergeCells count="5">
    <mergeCell ref="B3:I4"/>
    <mergeCell ref="M3:S24"/>
    <mergeCell ref="M27:S30"/>
    <mergeCell ref="B8:I9"/>
    <mergeCell ref="L33:S34"/>
  </mergeCells>
  <pageMargins left="0.7" right="0.7" top="0.75" bottom="0.75" header="0.3" footer="0.3"/>
  <pageSetup scale="83"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EEAF0-3056-3043-B498-FEAE670DDAE1}">
  <sheetPr>
    <pageSetUpPr fitToPage="1"/>
  </sheetPr>
  <dimension ref="A1:T284"/>
  <sheetViews>
    <sheetView zoomScaleNormal="100" workbookViewId="0"/>
  </sheetViews>
  <sheetFormatPr baseColWidth="10" defaultColWidth="10.83203125" defaultRowHeight="16" outlineLevelCol="1" x14ac:dyDescent="0.2"/>
  <cols>
    <col min="1" max="1" width="4.6640625" style="29" customWidth="1"/>
    <col min="2" max="10" width="10.83203125" style="29" customWidth="1"/>
    <col min="11" max="11" width="10.83203125" style="29"/>
    <col min="12" max="19" width="10.83203125" style="29" hidden="1" customWidth="1" outlineLevel="1"/>
    <col min="20" max="20" width="10.83203125" style="29" collapsed="1"/>
    <col min="21" max="16384" width="10.83203125" style="29"/>
  </cols>
  <sheetData>
    <row r="1" spans="1:19" ht="19" x14ac:dyDescent="0.25">
      <c r="A1" s="1" t="s">
        <v>272</v>
      </c>
      <c r="B1" s="3"/>
      <c r="C1" s="26"/>
      <c r="D1" s="26"/>
      <c r="E1" s="26"/>
      <c r="F1" s="27"/>
      <c r="G1" s="27"/>
      <c r="H1" s="27"/>
      <c r="I1" s="27"/>
      <c r="J1" s="27"/>
      <c r="K1" s="2" t="s">
        <v>6</v>
      </c>
    </row>
    <row r="2" spans="1:19" ht="16" customHeight="1" x14ac:dyDescent="0.2">
      <c r="A2" s="30"/>
      <c r="B2" s="27"/>
      <c r="C2" s="27"/>
      <c r="D2" s="27"/>
      <c r="E2" s="27"/>
      <c r="F2" s="27"/>
      <c r="G2" s="27"/>
      <c r="H2" s="27"/>
      <c r="I2" s="27"/>
      <c r="J2" s="28"/>
      <c r="M2" s="377" t="s">
        <v>103</v>
      </c>
      <c r="N2" s="377"/>
      <c r="O2" s="377"/>
      <c r="P2" s="377"/>
      <c r="Q2" s="377"/>
      <c r="R2" s="377"/>
      <c r="S2" s="377"/>
    </row>
    <row r="3" spans="1:19" x14ac:dyDescent="0.2">
      <c r="A3" s="30"/>
      <c r="B3" s="368" t="s">
        <v>102</v>
      </c>
      <c r="C3" s="368"/>
      <c r="D3" s="368"/>
      <c r="E3" s="368"/>
      <c r="F3" s="368"/>
      <c r="G3" s="368"/>
      <c r="H3" s="368"/>
      <c r="I3" s="368"/>
      <c r="J3" s="28"/>
      <c r="M3" s="377"/>
      <c r="N3" s="377"/>
      <c r="O3" s="377"/>
      <c r="P3" s="377"/>
      <c r="Q3" s="377"/>
      <c r="R3" s="377"/>
      <c r="S3" s="377"/>
    </row>
    <row r="4" spans="1:19" x14ac:dyDescent="0.2">
      <c r="A4" s="30"/>
      <c r="B4" s="368"/>
      <c r="C4" s="368"/>
      <c r="D4" s="368"/>
      <c r="E4" s="368"/>
      <c r="F4" s="368"/>
      <c r="G4" s="368"/>
      <c r="H4" s="368"/>
      <c r="I4" s="368"/>
      <c r="J4" s="28"/>
      <c r="M4" s="377"/>
      <c r="N4" s="377"/>
      <c r="O4" s="377"/>
      <c r="P4" s="377"/>
      <c r="Q4" s="377"/>
      <c r="R4" s="377"/>
      <c r="S4" s="377"/>
    </row>
    <row r="5" spans="1:19" x14ac:dyDescent="0.2">
      <c r="A5" s="30"/>
      <c r="B5" s="27"/>
      <c r="C5" s="27"/>
      <c r="D5" s="27"/>
      <c r="E5" s="27"/>
      <c r="F5" s="27"/>
      <c r="G5" s="27"/>
      <c r="H5" s="27"/>
      <c r="I5" s="27"/>
      <c r="J5" s="28"/>
      <c r="M5" s="377"/>
      <c r="N5" s="377"/>
      <c r="O5" s="377"/>
      <c r="P5" s="377"/>
      <c r="Q5" s="377"/>
      <c r="R5" s="377"/>
      <c r="S5" s="377"/>
    </row>
    <row r="6" spans="1:19" ht="17" thickBot="1" x14ac:dyDescent="0.25">
      <c r="A6" s="85"/>
      <c r="B6" s="86"/>
      <c r="C6" s="87"/>
      <c r="D6" s="87"/>
      <c r="E6" s="87"/>
      <c r="F6" s="86"/>
      <c r="G6" s="86"/>
      <c r="H6" s="86"/>
      <c r="I6" s="86"/>
      <c r="J6" s="88"/>
      <c r="M6" s="377"/>
      <c r="N6" s="377"/>
      <c r="O6" s="377"/>
      <c r="P6" s="377"/>
      <c r="Q6" s="377"/>
      <c r="R6" s="377"/>
      <c r="S6" s="377"/>
    </row>
    <row r="7" spans="1:19" ht="17" thickBot="1" x14ac:dyDescent="0.25">
      <c r="A7" s="85" t="s">
        <v>7</v>
      </c>
      <c r="B7" s="86"/>
      <c r="C7" s="87"/>
      <c r="D7" s="87"/>
      <c r="E7" s="87"/>
      <c r="F7" s="86"/>
      <c r="G7" s="86"/>
      <c r="H7" s="86"/>
      <c r="I7" s="86"/>
      <c r="J7" s="88"/>
      <c r="M7" s="377"/>
      <c r="N7" s="377"/>
      <c r="O7" s="377"/>
      <c r="P7" s="377"/>
      <c r="Q7" s="377"/>
      <c r="R7" s="377"/>
      <c r="S7" s="377"/>
    </row>
    <row r="8" spans="1:19" x14ac:dyDescent="0.2">
      <c r="M8" s="377"/>
      <c r="N8" s="377"/>
      <c r="O8" s="377"/>
      <c r="P8" s="377"/>
      <c r="Q8" s="377"/>
      <c r="R8" s="377"/>
      <c r="S8" s="377"/>
    </row>
    <row r="9" spans="1:19" x14ac:dyDescent="0.2">
      <c r="M9" s="377"/>
      <c r="N9" s="377"/>
      <c r="O9" s="377"/>
      <c r="P9" s="377"/>
      <c r="Q9" s="377"/>
      <c r="R9" s="377"/>
      <c r="S9" s="377"/>
    </row>
    <row r="10" spans="1:19" x14ac:dyDescent="0.2">
      <c r="M10" s="377"/>
      <c r="N10" s="377"/>
      <c r="O10" s="377"/>
      <c r="P10" s="377"/>
      <c r="Q10" s="377"/>
      <c r="R10" s="377"/>
      <c r="S10" s="377"/>
    </row>
    <row r="11" spans="1:19" x14ac:dyDescent="0.2">
      <c r="M11" s="377"/>
      <c r="N11" s="377"/>
      <c r="O11" s="377"/>
      <c r="P11" s="377"/>
      <c r="Q11" s="377"/>
      <c r="R11" s="377"/>
      <c r="S11" s="377"/>
    </row>
    <row r="12" spans="1:19" x14ac:dyDescent="0.2">
      <c r="M12" s="377"/>
      <c r="N12" s="377"/>
      <c r="O12" s="377"/>
      <c r="P12" s="377"/>
      <c r="Q12" s="377"/>
      <c r="R12" s="377"/>
      <c r="S12" s="377"/>
    </row>
    <row r="13" spans="1:19" x14ac:dyDescent="0.2">
      <c r="M13" s="377"/>
      <c r="N13" s="377"/>
      <c r="O13" s="377"/>
      <c r="P13" s="377"/>
      <c r="Q13" s="377"/>
      <c r="R13" s="377"/>
      <c r="S13" s="377"/>
    </row>
    <row r="14" spans="1:19" x14ac:dyDescent="0.2">
      <c r="M14" s="377"/>
      <c r="N14" s="377"/>
      <c r="O14" s="377"/>
      <c r="P14" s="377"/>
      <c r="Q14" s="377"/>
      <c r="R14" s="377"/>
      <c r="S14" s="377"/>
    </row>
    <row r="15" spans="1:19" x14ac:dyDescent="0.2">
      <c r="M15" s="377"/>
      <c r="N15" s="377"/>
      <c r="O15" s="377"/>
      <c r="P15" s="377"/>
      <c r="Q15" s="377"/>
      <c r="R15" s="377"/>
      <c r="S15" s="377"/>
    </row>
    <row r="16" spans="1:19" x14ac:dyDescent="0.2">
      <c r="M16" s="377"/>
      <c r="N16" s="377"/>
      <c r="O16" s="377"/>
      <c r="P16" s="377"/>
      <c r="Q16" s="377"/>
      <c r="R16" s="377"/>
      <c r="S16" s="377"/>
    </row>
    <row r="17" spans="12:19" x14ac:dyDescent="0.2">
      <c r="M17" s="377"/>
      <c r="N17" s="377"/>
      <c r="O17" s="377"/>
      <c r="P17" s="377"/>
      <c r="Q17" s="377"/>
      <c r="R17" s="377"/>
      <c r="S17" s="377"/>
    </row>
    <row r="18" spans="12:19" x14ac:dyDescent="0.2">
      <c r="M18" s="377"/>
      <c r="N18" s="377"/>
      <c r="O18" s="377"/>
      <c r="P18" s="377"/>
      <c r="Q18" s="377"/>
      <c r="R18" s="377"/>
      <c r="S18" s="377"/>
    </row>
    <row r="19" spans="12:19" x14ac:dyDescent="0.2">
      <c r="M19" s="4"/>
      <c r="N19" s="4"/>
      <c r="O19" s="4"/>
      <c r="P19" s="4"/>
      <c r="Q19" s="4"/>
      <c r="R19" s="4"/>
      <c r="S19" s="4"/>
    </row>
    <row r="20" spans="12:19" ht="19" x14ac:dyDescent="0.25">
      <c r="L20" s="2" t="s">
        <v>8</v>
      </c>
    </row>
    <row r="21" spans="12:19" ht="16" customHeight="1" x14ac:dyDescent="0.2">
      <c r="L21" s="374" t="s">
        <v>105</v>
      </c>
      <c r="M21" s="374"/>
      <c r="N21" s="374"/>
      <c r="O21" s="374"/>
      <c r="P21" s="374"/>
      <c r="Q21" s="374"/>
      <c r="R21" s="374"/>
      <c r="S21" s="374"/>
    </row>
    <row r="22" spans="12:19" x14ac:dyDescent="0.2">
      <c r="L22" s="374"/>
      <c r="M22" s="374"/>
      <c r="N22" s="374"/>
      <c r="O22" s="374"/>
      <c r="P22" s="374"/>
      <c r="Q22" s="374"/>
      <c r="R22" s="374"/>
      <c r="S22" s="374"/>
    </row>
    <row r="24" spans="12:19" ht="19" x14ac:dyDescent="0.25">
      <c r="L24" s="2" t="s">
        <v>19</v>
      </c>
    </row>
    <row r="25" spans="12:19" x14ac:dyDescent="0.2">
      <c r="L25" s="29" t="s">
        <v>104</v>
      </c>
    </row>
    <row r="34" s="167" customFormat="1" x14ac:dyDescent="0.2"/>
    <row r="35" s="167" customFormat="1" x14ac:dyDescent="0.2"/>
    <row r="36" s="167" customFormat="1" x14ac:dyDescent="0.2"/>
    <row r="37" s="167" customFormat="1" x14ac:dyDescent="0.2"/>
    <row r="38" s="167" customFormat="1" x14ac:dyDescent="0.2"/>
    <row r="39" s="167" customFormat="1" x14ac:dyDescent="0.2"/>
    <row r="40" s="167" customFormat="1" x14ac:dyDescent="0.2"/>
    <row r="41" s="167" customFormat="1" x14ac:dyDescent="0.2"/>
    <row r="42" s="167" customFormat="1" x14ac:dyDescent="0.2"/>
    <row r="43" s="167" customFormat="1" x14ac:dyDescent="0.2"/>
    <row r="44" s="167" customFormat="1" x14ac:dyDescent="0.2"/>
    <row r="45" s="167" customFormat="1" x14ac:dyDescent="0.2"/>
    <row r="46" s="167" customFormat="1" x14ac:dyDescent="0.2"/>
    <row r="47" s="167" customFormat="1" x14ac:dyDescent="0.2"/>
    <row r="48" s="167" customFormat="1" x14ac:dyDescent="0.2"/>
    <row r="49" spans="13:13" s="167" customFormat="1" x14ac:dyDescent="0.2"/>
    <row r="50" spans="13:13" s="167" customFormat="1" x14ac:dyDescent="0.2"/>
    <row r="51" spans="13:13" s="167" customFormat="1" x14ac:dyDescent="0.2"/>
    <row r="52" spans="13:13" s="167" customFormat="1" x14ac:dyDescent="0.2"/>
    <row r="53" spans="13:13" s="167" customFormat="1" x14ac:dyDescent="0.2"/>
    <row r="54" spans="13:13" s="167" customFormat="1" x14ac:dyDescent="0.2"/>
    <row r="55" spans="13:13" s="167" customFormat="1" x14ac:dyDescent="0.2"/>
    <row r="56" spans="13:13" s="167" customFormat="1" x14ac:dyDescent="0.2">
      <c r="M56" s="168"/>
    </row>
    <row r="57" spans="13:13" s="167" customFormat="1" x14ac:dyDescent="0.2"/>
    <row r="58" spans="13:13" s="167" customFormat="1" x14ac:dyDescent="0.2"/>
    <row r="59" spans="13:13" s="167" customFormat="1" x14ac:dyDescent="0.2"/>
    <row r="60" spans="13:13" s="167" customFormat="1" x14ac:dyDescent="0.2"/>
    <row r="61" spans="13:13" s="167" customFormat="1" x14ac:dyDescent="0.2"/>
    <row r="62" spans="13:13" s="167" customFormat="1" x14ac:dyDescent="0.2"/>
    <row r="63" spans="13:13" s="167" customFormat="1" x14ac:dyDescent="0.2"/>
    <row r="64" spans="13:13" s="167" customFormat="1" x14ac:dyDescent="0.2"/>
    <row r="65" spans="13:13" s="167" customFormat="1" x14ac:dyDescent="0.2"/>
    <row r="66" spans="13:13" s="167" customFormat="1" x14ac:dyDescent="0.2">
      <c r="M66" s="168"/>
    </row>
    <row r="67" spans="13:13" s="167" customFormat="1" x14ac:dyDescent="0.2"/>
    <row r="68" spans="13:13" s="167" customFormat="1" x14ac:dyDescent="0.2"/>
    <row r="69" spans="13:13" s="167" customFormat="1" x14ac:dyDescent="0.2"/>
    <row r="70" spans="13:13" s="167" customFormat="1" x14ac:dyDescent="0.2"/>
    <row r="71" spans="13:13" s="167" customFormat="1" x14ac:dyDescent="0.2"/>
    <row r="72" spans="13:13" s="167" customFormat="1" x14ac:dyDescent="0.2"/>
    <row r="73" spans="13:13" s="167" customFormat="1" x14ac:dyDescent="0.2"/>
    <row r="74" spans="13:13" s="167" customFormat="1" x14ac:dyDescent="0.2"/>
    <row r="75" spans="13:13" s="167" customFormat="1" x14ac:dyDescent="0.2"/>
    <row r="76" spans="13:13" s="167" customFormat="1" x14ac:dyDescent="0.2">
      <c r="M76" s="168"/>
    </row>
    <row r="77" spans="13:13" s="167" customFormat="1" x14ac:dyDescent="0.2"/>
    <row r="78" spans="13:13" s="167" customFormat="1" x14ac:dyDescent="0.2"/>
    <row r="79" spans="13:13" s="167" customFormat="1" x14ac:dyDescent="0.2"/>
    <row r="80" spans="13:13" s="167" customFormat="1" x14ac:dyDescent="0.2"/>
    <row r="81" s="167" customFormat="1" x14ac:dyDescent="0.2"/>
    <row r="82" s="167" customFormat="1" x14ac:dyDescent="0.2"/>
    <row r="83" s="167" customFormat="1" x14ac:dyDescent="0.2"/>
    <row r="84" s="167" customFormat="1" x14ac:dyDescent="0.2"/>
    <row r="85" s="167" customFormat="1" x14ac:dyDescent="0.2"/>
    <row r="86" s="167" customFormat="1" x14ac:dyDescent="0.2"/>
    <row r="87" s="167" customFormat="1" x14ac:dyDescent="0.2"/>
    <row r="88" s="167" customFormat="1" x14ac:dyDescent="0.2"/>
    <row r="89" s="167" customFormat="1" x14ac:dyDescent="0.2"/>
    <row r="90" s="167" customFormat="1" x14ac:dyDescent="0.2"/>
    <row r="91" s="167" customFormat="1" x14ac:dyDescent="0.2"/>
    <row r="92" s="167" customFormat="1" x14ac:dyDescent="0.2"/>
    <row r="93" s="167" customFormat="1" x14ac:dyDescent="0.2"/>
    <row r="94" s="167" customFormat="1" x14ac:dyDescent="0.2"/>
    <row r="95" s="167" customFormat="1" x14ac:dyDescent="0.2"/>
    <row r="96" s="167" customFormat="1" x14ac:dyDescent="0.2"/>
    <row r="97" s="167" customFormat="1" x14ac:dyDescent="0.2"/>
    <row r="98" s="167" customFormat="1" x14ac:dyDescent="0.2"/>
    <row r="99" s="167" customFormat="1" x14ac:dyDescent="0.2"/>
    <row r="100" s="167" customFormat="1" x14ac:dyDescent="0.2"/>
    <row r="101" s="167" customFormat="1" x14ac:dyDescent="0.2"/>
    <row r="102" s="167" customFormat="1" x14ac:dyDescent="0.2"/>
    <row r="103" s="167" customFormat="1" x14ac:dyDescent="0.2"/>
    <row r="104" s="167" customFormat="1" x14ac:dyDescent="0.2"/>
    <row r="105" s="167" customFormat="1" x14ac:dyDescent="0.2"/>
    <row r="106" s="167" customFormat="1" x14ac:dyDescent="0.2"/>
    <row r="107" s="167" customFormat="1" x14ac:dyDescent="0.2"/>
    <row r="108" s="167" customFormat="1" x14ac:dyDescent="0.2"/>
    <row r="109" s="167" customFormat="1" x14ac:dyDescent="0.2"/>
    <row r="110" s="167" customFormat="1" x14ac:dyDescent="0.2"/>
    <row r="111" s="167" customFormat="1" x14ac:dyDescent="0.2"/>
    <row r="112" s="167" customFormat="1" x14ac:dyDescent="0.2"/>
    <row r="113" s="167" customFormat="1" x14ac:dyDescent="0.2"/>
    <row r="114" s="167" customFormat="1" x14ac:dyDescent="0.2"/>
    <row r="115" s="167" customFormat="1" x14ac:dyDescent="0.2"/>
    <row r="116" s="167" customFormat="1" x14ac:dyDescent="0.2"/>
    <row r="117" s="167" customFormat="1" x14ac:dyDescent="0.2"/>
    <row r="118" s="167" customFormat="1" x14ac:dyDescent="0.2"/>
    <row r="119" s="167" customFormat="1" x14ac:dyDescent="0.2"/>
    <row r="120" s="167" customFormat="1" x14ac:dyDescent="0.2"/>
    <row r="121" s="167" customFormat="1" x14ac:dyDescent="0.2"/>
    <row r="122" s="167" customFormat="1" x14ac:dyDescent="0.2"/>
    <row r="123" s="167" customFormat="1" x14ac:dyDescent="0.2"/>
    <row r="124" s="167" customFormat="1" x14ac:dyDescent="0.2"/>
    <row r="125" s="167" customFormat="1" x14ac:dyDescent="0.2"/>
    <row r="126" s="167" customFormat="1" x14ac:dyDescent="0.2"/>
    <row r="127" s="167" customFormat="1" x14ac:dyDescent="0.2"/>
    <row r="128" s="167" customFormat="1" x14ac:dyDescent="0.2"/>
    <row r="129" s="167" customFormat="1" x14ac:dyDescent="0.2"/>
    <row r="130" s="167" customFormat="1" x14ac:dyDescent="0.2"/>
    <row r="131" s="167" customFormat="1" x14ac:dyDescent="0.2"/>
    <row r="132" s="167" customFormat="1" x14ac:dyDescent="0.2"/>
    <row r="133" s="167" customFormat="1" x14ac:dyDescent="0.2"/>
    <row r="134" s="167" customFormat="1" x14ac:dyDescent="0.2"/>
    <row r="135" s="167" customFormat="1" x14ac:dyDescent="0.2"/>
    <row r="136" s="167" customFormat="1" x14ac:dyDescent="0.2"/>
    <row r="137" s="167" customFormat="1" x14ac:dyDescent="0.2"/>
    <row r="138" s="167" customFormat="1" x14ac:dyDescent="0.2"/>
    <row r="139" s="167" customFormat="1" x14ac:dyDescent="0.2"/>
    <row r="140" s="167" customFormat="1" x14ac:dyDescent="0.2"/>
    <row r="141" s="167" customFormat="1" x14ac:dyDescent="0.2"/>
    <row r="142" s="167" customFormat="1" x14ac:dyDescent="0.2"/>
    <row r="143" s="167" customFormat="1" x14ac:dyDescent="0.2"/>
    <row r="144" s="167" customFormat="1" x14ac:dyDescent="0.2"/>
    <row r="145" s="167" customFormat="1" x14ac:dyDescent="0.2"/>
    <row r="146" s="167" customFormat="1" x14ac:dyDescent="0.2"/>
    <row r="147" s="167" customFormat="1" x14ac:dyDescent="0.2"/>
    <row r="148" s="167" customFormat="1" x14ac:dyDescent="0.2"/>
    <row r="149" s="167" customFormat="1" x14ac:dyDescent="0.2"/>
    <row r="150" s="167" customFormat="1" x14ac:dyDescent="0.2"/>
    <row r="151" s="167" customFormat="1" x14ac:dyDescent="0.2"/>
    <row r="152" s="167" customFormat="1" x14ac:dyDescent="0.2"/>
    <row r="153" s="167" customFormat="1" x14ac:dyDescent="0.2"/>
    <row r="154" s="167" customFormat="1" x14ac:dyDescent="0.2"/>
    <row r="155" s="167" customFormat="1" x14ac:dyDescent="0.2"/>
    <row r="156" s="167" customFormat="1" x14ac:dyDescent="0.2"/>
    <row r="157" s="167" customFormat="1" x14ac:dyDescent="0.2"/>
    <row r="158" s="167" customFormat="1" x14ac:dyDescent="0.2"/>
    <row r="159" s="167" customFormat="1" x14ac:dyDescent="0.2"/>
    <row r="160" s="167" customFormat="1" x14ac:dyDescent="0.2"/>
    <row r="161" s="167" customFormat="1" x14ac:dyDescent="0.2"/>
    <row r="162" s="167" customFormat="1" x14ac:dyDescent="0.2"/>
    <row r="163" s="167" customFormat="1" x14ac:dyDescent="0.2"/>
    <row r="164" s="167" customFormat="1" x14ac:dyDescent="0.2"/>
    <row r="165" s="167" customFormat="1" x14ac:dyDescent="0.2"/>
    <row r="166" s="167" customFormat="1" x14ac:dyDescent="0.2"/>
    <row r="167" s="167" customFormat="1" x14ac:dyDescent="0.2"/>
    <row r="168" s="167" customFormat="1" x14ac:dyDescent="0.2"/>
    <row r="169" s="167" customFormat="1" x14ac:dyDescent="0.2"/>
    <row r="170" s="167" customFormat="1" x14ac:dyDescent="0.2"/>
    <row r="171" s="167" customFormat="1" x14ac:dyDescent="0.2"/>
    <row r="172" s="167" customFormat="1" x14ac:dyDescent="0.2"/>
    <row r="173" s="167" customFormat="1" x14ac:dyDescent="0.2"/>
    <row r="174" s="167" customFormat="1" x14ac:dyDescent="0.2"/>
    <row r="175" s="167" customFormat="1" x14ac:dyDescent="0.2"/>
    <row r="176" s="167" customFormat="1" x14ac:dyDescent="0.2"/>
    <row r="177" s="167" customFormat="1" x14ac:dyDescent="0.2"/>
    <row r="178" s="167" customFormat="1" x14ac:dyDescent="0.2"/>
    <row r="179" s="167" customFormat="1" x14ac:dyDescent="0.2"/>
    <row r="180" s="167" customFormat="1" x14ac:dyDescent="0.2"/>
    <row r="181" s="167" customFormat="1" x14ac:dyDescent="0.2"/>
    <row r="182" s="167" customFormat="1" x14ac:dyDescent="0.2"/>
    <row r="183" s="167" customFormat="1" x14ac:dyDescent="0.2"/>
    <row r="184" s="167" customFormat="1" x14ac:dyDescent="0.2"/>
    <row r="185" s="167" customFormat="1" x14ac:dyDescent="0.2"/>
    <row r="186" s="167" customFormat="1" x14ac:dyDescent="0.2"/>
    <row r="187" s="167" customFormat="1" x14ac:dyDescent="0.2"/>
    <row r="188" s="167" customFormat="1" x14ac:dyDescent="0.2"/>
    <row r="189" s="167" customFormat="1" x14ac:dyDescent="0.2"/>
    <row r="190" s="167" customFormat="1" x14ac:dyDescent="0.2"/>
    <row r="191" s="167" customFormat="1" x14ac:dyDescent="0.2"/>
    <row r="192" s="167" customFormat="1" x14ac:dyDescent="0.2"/>
    <row r="193" s="167" customFormat="1" x14ac:dyDescent="0.2"/>
    <row r="194" s="167" customFormat="1" x14ac:dyDescent="0.2"/>
    <row r="195" s="167" customFormat="1" x14ac:dyDescent="0.2"/>
    <row r="196" s="167" customFormat="1" x14ac:dyDescent="0.2"/>
    <row r="197" s="167" customFormat="1" x14ac:dyDescent="0.2"/>
    <row r="198" s="167" customFormat="1" x14ac:dyDescent="0.2"/>
    <row r="199" s="167" customFormat="1" x14ac:dyDescent="0.2"/>
    <row r="200" s="167" customFormat="1" x14ac:dyDescent="0.2"/>
    <row r="201" s="167" customFormat="1" x14ac:dyDescent="0.2"/>
    <row r="202" s="167" customFormat="1" x14ac:dyDescent="0.2"/>
    <row r="203" s="167" customFormat="1" x14ac:dyDescent="0.2"/>
    <row r="204" s="167" customFormat="1" x14ac:dyDescent="0.2"/>
    <row r="205" s="167" customFormat="1" x14ac:dyDescent="0.2"/>
    <row r="206" s="167" customFormat="1" x14ac:dyDescent="0.2"/>
    <row r="207" s="167" customFormat="1" x14ac:dyDescent="0.2"/>
    <row r="208" s="167" customFormat="1" x14ac:dyDescent="0.2"/>
    <row r="209" s="167" customFormat="1" x14ac:dyDescent="0.2"/>
    <row r="210" s="167" customFormat="1" x14ac:dyDescent="0.2"/>
    <row r="211" s="167" customFormat="1" x14ac:dyDescent="0.2"/>
    <row r="212" s="167" customFormat="1" x14ac:dyDescent="0.2"/>
    <row r="213" s="167" customFormat="1" x14ac:dyDescent="0.2"/>
    <row r="214" s="167" customFormat="1" x14ac:dyDescent="0.2"/>
    <row r="215" s="167" customFormat="1" x14ac:dyDescent="0.2"/>
    <row r="216" s="167" customFormat="1" x14ac:dyDescent="0.2"/>
    <row r="217" s="167" customFormat="1" x14ac:dyDescent="0.2"/>
    <row r="218" s="167" customFormat="1" x14ac:dyDescent="0.2"/>
    <row r="219" s="167" customFormat="1" x14ac:dyDescent="0.2"/>
    <row r="220" s="167" customFormat="1" x14ac:dyDescent="0.2"/>
    <row r="221" s="167" customFormat="1" x14ac:dyDescent="0.2"/>
    <row r="222" s="167" customFormat="1" x14ac:dyDescent="0.2"/>
    <row r="223" s="167" customFormat="1" x14ac:dyDescent="0.2"/>
    <row r="224" s="167" customFormat="1" x14ac:dyDescent="0.2"/>
    <row r="225" s="167" customFormat="1" x14ac:dyDescent="0.2"/>
    <row r="226" s="167" customFormat="1" x14ac:dyDescent="0.2"/>
    <row r="227" s="167" customFormat="1" x14ac:dyDescent="0.2"/>
    <row r="228" s="167" customFormat="1" x14ac:dyDescent="0.2"/>
    <row r="229" s="167" customFormat="1" x14ac:dyDescent="0.2"/>
    <row r="230" s="167" customFormat="1" x14ac:dyDescent="0.2"/>
    <row r="231" s="167" customFormat="1" x14ac:dyDescent="0.2"/>
    <row r="232" s="167" customFormat="1" x14ac:dyDescent="0.2"/>
    <row r="233" s="167" customFormat="1" x14ac:dyDescent="0.2"/>
    <row r="234" s="167" customFormat="1" x14ac:dyDescent="0.2"/>
    <row r="235" s="167" customFormat="1" x14ac:dyDescent="0.2"/>
    <row r="236" s="167" customFormat="1" x14ac:dyDescent="0.2"/>
    <row r="237" s="167" customFormat="1" x14ac:dyDescent="0.2"/>
    <row r="238" s="167" customFormat="1" x14ac:dyDescent="0.2"/>
    <row r="239" s="167" customFormat="1" x14ac:dyDescent="0.2"/>
    <row r="240" s="167" customFormat="1" x14ac:dyDescent="0.2"/>
    <row r="241" s="167" customFormat="1" x14ac:dyDescent="0.2"/>
    <row r="242" s="167" customFormat="1" x14ac:dyDescent="0.2"/>
    <row r="243" s="167" customFormat="1" x14ac:dyDescent="0.2"/>
    <row r="244" s="167" customFormat="1" x14ac:dyDescent="0.2"/>
    <row r="245" s="167" customFormat="1" x14ac:dyDescent="0.2"/>
    <row r="246" s="167" customFormat="1" x14ac:dyDescent="0.2"/>
    <row r="247" s="167" customFormat="1" x14ac:dyDescent="0.2"/>
    <row r="248" s="167" customFormat="1" x14ac:dyDescent="0.2"/>
    <row r="249" s="167" customFormat="1" x14ac:dyDescent="0.2"/>
    <row r="250" s="167" customFormat="1" x14ac:dyDescent="0.2"/>
    <row r="251" s="167" customFormat="1" x14ac:dyDescent="0.2"/>
    <row r="252" s="167" customFormat="1" x14ac:dyDescent="0.2"/>
    <row r="253" s="167" customFormat="1" x14ac:dyDescent="0.2"/>
    <row r="254" s="167" customFormat="1" x14ac:dyDescent="0.2"/>
    <row r="255" s="167" customFormat="1" x14ac:dyDescent="0.2"/>
    <row r="256" s="167" customFormat="1" x14ac:dyDescent="0.2"/>
    <row r="257" s="167" customFormat="1" x14ac:dyDescent="0.2"/>
    <row r="258" s="167" customFormat="1" x14ac:dyDescent="0.2"/>
    <row r="259" s="167" customFormat="1" x14ac:dyDescent="0.2"/>
    <row r="260" s="167" customFormat="1" x14ac:dyDescent="0.2"/>
    <row r="261" s="167" customFormat="1" x14ac:dyDescent="0.2"/>
    <row r="262" s="167" customFormat="1" x14ac:dyDescent="0.2"/>
    <row r="263" s="167" customFormat="1" x14ac:dyDescent="0.2"/>
    <row r="264" s="167" customFormat="1" x14ac:dyDescent="0.2"/>
    <row r="265" s="167" customFormat="1" x14ac:dyDescent="0.2"/>
    <row r="266" s="167" customFormat="1" x14ac:dyDescent="0.2"/>
    <row r="267" s="167" customFormat="1" x14ac:dyDescent="0.2"/>
    <row r="268" s="167" customFormat="1" x14ac:dyDescent="0.2"/>
    <row r="269" s="167" customFormat="1" x14ac:dyDescent="0.2"/>
    <row r="270" s="167" customFormat="1" x14ac:dyDescent="0.2"/>
    <row r="271" s="167" customFormat="1" x14ac:dyDescent="0.2"/>
    <row r="272" s="167" customFormat="1" x14ac:dyDescent="0.2"/>
    <row r="273" s="167" customFormat="1" x14ac:dyDescent="0.2"/>
    <row r="274" s="167" customFormat="1" x14ac:dyDescent="0.2"/>
    <row r="275" s="167" customFormat="1" x14ac:dyDescent="0.2"/>
    <row r="276" s="167" customFormat="1" x14ac:dyDescent="0.2"/>
    <row r="277" s="167" customFormat="1" x14ac:dyDescent="0.2"/>
    <row r="278" s="167" customFormat="1" x14ac:dyDescent="0.2"/>
    <row r="279" s="167" customFormat="1" x14ac:dyDescent="0.2"/>
    <row r="280" s="167" customFormat="1" x14ac:dyDescent="0.2"/>
    <row r="281" s="167" customFormat="1" x14ac:dyDescent="0.2"/>
    <row r="282" s="167" customFormat="1" x14ac:dyDescent="0.2"/>
    <row r="283" s="167" customFormat="1" x14ac:dyDescent="0.2"/>
    <row r="284" s="167" customFormat="1" x14ac:dyDescent="0.2"/>
  </sheetData>
  <mergeCells count="3">
    <mergeCell ref="B3:I4"/>
    <mergeCell ref="M2:S18"/>
    <mergeCell ref="L21:S22"/>
  </mergeCells>
  <pageMargins left="0.7" right="0.7" top="0.75" bottom="0.75" header="0.3" footer="0.3"/>
  <pageSetup scale="83"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4A3E-9B42-5442-8E00-98DE2CCAD539}">
  <sheetPr>
    <pageSetUpPr fitToPage="1"/>
  </sheetPr>
  <dimension ref="A1:U285"/>
  <sheetViews>
    <sheetView zoomScaleNormal="100" workbookViewId="0"/>
  </sheetViews>
  <sheetFormatPr baseColWidth="10" defaultColWidth="10.83203125" defaultRowHeight="16" outlineLevelCol="1" x14ac:dyDescent="0.2"/>
  <cols>
    <col min="1" max="1" width="4.6640625" style="37" customWidth="1"/>
    <col min="2" max="10" width="10.83203125" style="37" customWidth="1"/>
    <col min="11" max="11" width="10.83203125" style="37" bestFit="1" customWidth="1"/>
    <col min="12" max="20" width="10.83203125" style="37" hidden="1" customWidth="1" outlineLevel="1"/>
    <col min="21" max="21" width="10.83203125" style="37" collapsed="1"/>
    <col min="22" max="16384" width="10.83203125" style="37"/>
  </cols>
  <sheetData>
    <row r="1" spans="1:20" ht="19" x14ac:dyDescent="0.25">
      <c r="A1" s="1" t="s">
        <v>273</v>
      </c>
      <c r="B1" s="3"/>
      <c r="C1" s="26"/>
      <c r="D1" s="26"/>
      <c r="E1" s="26"/>
      <c r="F1" s="35"/>
      <c r="G1" s="35"/>
      <c r="H1" s="35"/>
      <c r="I1" s="35"/>
      <c r="J1" s="36"/>
      <c r="K1" s="5" t="s">
        <v>6</v>
      </c>
    </row>
    <row r="2" spans="1:20" x14ac:dyDescent="0.2">
      <c r="A2" s="38"/>
      <c r="B2" s="35"/>
      <c r="C2" s="35"/>
      <c r="D2" s="35"/>
      <c r="E2" s="35"/>
      <c r="F2" s="35"/>
      <c r="G2" s="35"/>
      <c r="H2" s="35"/>
      <c r="I2" s="35"/>
      <c r="J2" s="36"/>
      <c r="L2" s="12" t="s">
        <v>3</v>
      </c>
      <c r="N2" s="39"/>
    </row>
    <row r="3" spans="1:20" ht="16" customHeight="1" x14ac:dyDescent="0.2">
      <c r="A3" s="38"/>
      <c r="B3" s="379" t="s">
        <v>155</v>
      </c>
      <c r="C3" s="379"/>
      <c r="D3" s="379"/>
      <c r="E3" s="379"/>
      <c r="F3" s="379"/>
      <c r="G3" s="379"/>
      <c r="H3" s="379"/>
      <c r="I3" s="379"/>
      <c r="J3" s="36"/>
      <c r="M3" s="37" t="s">
        <v>153</v>
      </c>
      <c r="O3" s="141">
        <v>5000000</v>
      </c>
    </row>
    <row r="4" spans="1:20" x14ac:dyDescent="0.2">
      <c r="A4" s="38"/>
      <c r="B4" s="379"/>
      <c r="C4" s="379"/>
      <c r="D4" s="379"/>
      <c r="E4" s="379"/>
      <c r="F4" s="379"/>
      <c r="G4" s="379"/>
      <c r="H4" s="379"/>
      <c r="I4" s="379"/>
      <c r="J4" s="36"/>
      <c r="M4" s="37" t="s">
        <v>154</v>
      </c>
      <c r="O4" s="37">
        <v>3</v>
      </c>
    </row>
    <row r="5" spans="1:20" x14ac:dyDescent="0.2">
      <c r="A5" s="38"/>
      <c r="B5" s="379"/>
      <c r="C5" s="379"/>
      <c r="D5" s="379"/>
      <c r="E5" s="379"/>
      <c r="F5" s="379"/>
      <c r="G5" s="379"/>
      <c r="H5" s="379"/>
      <c r="I5" s="379"/>
      <c r="J5" s="36"/>
      <c r="M5" s="37" t="s">
        <v>158</v>
      </c>
      <c r="O5" s="141">
        <f>O4*O3</f>
        <v>15000000</v>
      </c>
    </row>
    <row r="6" spans="1:20" x14ac:dyDescent="0.2">
      <c r="A6" s="38"/>
      <c r="B6" s="89"/>
      <c r="C6" s="89"/>
      <c r="D6" s="89"/>
      <c r="E6" s="89"/>
      <c r="F6" s="89"/>
      <c r="G6" s="89"/>
      <c r="H6" s="89"/>
      <c r="I6" s="89"/>
      <c r="J6" s="36"/>
    </row>
    <row r="7" spans="1:20" x14ac:dyDescent="0.2">
      <c r="A7" s="38"/>
      <c r="B7" s="379" t="s">
        <v>152</v>
      </c>
      <c r="C7" s="379"/>
      <c r="D7" s="379"/>
      <c r="E7" s="379"/>
      <c r="F7" s="379"/>
      <c r="G7" s="379"/>
      <c r="H7" s="379"/>
      <c r="I7" s="379"/>
      <c r="J7" s="36"/>
      <c r="O7" s="11" t="s">
        <v>160</v>
      </c>
      <c r="P7" s="11"/>
      <c r="Q7" s="11" t="s">
        <v>161</v>
      </c>
      <c r="R7" s="11"/>
      <c r="S7" s="11" t="s">
        <v>162</v>
      </c>
      <c r="T7" s="11"/>
    </row>
    <row r="8" spans="1:20" ht="51" x14ac:dyDescent="0.2">
      <c r="A8" s="38"/>
      <c r="B8" s="379"/>
      <c r="C8" s="379"/>
      <c r="D8" s="379"/>
      <c r="E8" s="379"/>
      <c r="F8" s="379"/>
      <c r="G8" s="379"/>
      <c r="H8" s="379"/>
      <c r="I8" s="379"/>
      <c r="J8" s="36"/>
      <c r="M8" s="68" t="s">
        <v>23</v>
      </c>
      <c r="N8" s="68" t="s">
        <v>159</v>
      </c>
      <c r="O8" s="60" t="s">
        <v>150</v>
      </c>
      <c r="P8" s="59" t="s">
        <v>151</v>
      </c>
      <c r="Q8" s="60" t="s">
        <v>150</v>
      </c>
      <c r="R8" s="59" t="s">
        <v>151</v>
      </c>
      <c r="S8" s="60" t="s">
        <v>150</v>
      </c>
      <c r="T8" s="60" t="s">
        <v>151</v>
      </c>
    </row>
    <row r="9" spans="1:20" ht="51" x14ac:dyDescent="0.2">
      <c r="A9" s="38"/>
      <c r="B9" s="35"/>
      <c r="C9" s="102" t="s">
        <v>23</v>
      </c>
      <c r="D9" s="79" t="s">
        <v>24</v>
      </c>
      <c r="E9" s="54" t="s">
        <v>150</v>
      </c>
      <c r="F9" s="54" t="s">
        <v>151</v>
      </c>
      <c r="G9" s="35"/>
      <c r="H9" s="35"/>
      <c r="I9" s="35"/>
      <c r="J9" s="36"/>
      <c r="M9" s="65">
        <v>1000000</v>
      </c>
      <c r="N9" s="142">
        <f>MAX(MIN(M9-$O$3,$O$5),0)/M9</f>
        <v>0</v>
      </c>
      <c r="O9" s="93">
        <f>E10</f>
        <v>7150</v>
      </c>
      <c r="P9" s="94">
        <f>F10</f>
        <v>5362</v>
      </c>
      <c r="Q9" s="93">
        <f>O9*$N9</f>
        <v>0</v>
      </c>
      <c r="R9" s="96">
        <f t="shared" ref="Q9:R13" si="0">P9*$N9</f>
        <v>0</v>
      </c>
      <c r="S9" s="93">
        <f>O9-Q9</f>
        <v>7150</v>
      </c>
      <c r="T9" s="93">
        <f t="shared" ref="T9:T13" si="1">P9-R9</f>
        <v>5362</v>
      </c>
    </row>
    <row r="10" spans="1:20" x14ac:dyDescent="0.2">
      <c r="A10" s="38"/>
      <c r="B10" s="35"/>
      <c r="C10" s="133">
        <v>1000000</v>
      </c>
      <c r="D10" s="134">
        <v>2860</v>
      </c>
      <c r="E10" s="134">
        <v>7150</v>
      </c>
      <c r="F10" s="134">
        <v>5362</v>
      </c>
      <c r="G10" s="35"/>
      <c r="H10" s="35"/>
      <c r="I10" s="35"/>
      <c r="J10" s="36"/>
      <c r="M10" s="65">
        <v>2000000</v>
      </c>
      <c r="N10" s="142">
        <f>MAX(MIN(M10-$O$3,$O$5),0)/M10</f>
        <v>0</v>
      </c>
      <c r="O10" s="93">
        <f>E11</f>
        <v>3120</v>
      </c>
      <c r="P10" s="96">
        <f>F11</f>
        <v>2277</v>
      </c>
      <c r="Q10" s="93">
        <f>O10*$N10</f>
        <v>0</v>
      </c>
      <c r="R10" s="96">
        <f t="shared" si="0"/>
        <v>0</v>
      </c>
      <c r="S10" s="93">
        <f t="shared" ref="S10:S13" si="2">O10-Q10</f>
        <v>3120</v>
      </c>
      <c r="T10" s="93">
        <f t="shared" si="1"/>
        <v>2277</v>
      </c>
    </row>
    <row r="11" spans="1:20" x14ac:dyDescent="0.2">
      <c r="A11" s="38"/>
      <c r="B11" s="35"/>
      <c r="C11" s="133">
        <v>2000000</v>
      </c>
      <c r="D11" s="134">
        <v>1040</v>
      </c>
      <c r="E11" s="134">
        <v>3120</v>
      </c>
      <c r="F11" s="134">
        <v>2277</v>
      </c>
      <c r="G11" s="35"/>
      <c r="H11" s="35"/>
      <c r="I11" s="35"/>
      <c r="J11" s="36"/>
      <c r="M11" s="65">
        <v>5000000</v>
      </c>
      <c r="N11" s="142">
        <f>MAX(MIN(M11-$O$3,$O$5),0)/M11</f>
        <v>0</v>
      </c>
      <c r="O11" s="93">
        <f>E12</f>
        <v>3045</v>
      </c>
      <c r="P11" s="96">
        <f>F12</f>
        <v>2192</v>
      </c>
      <c r="Q11" s="93">
        <f t="shared" si="0"/>
        <v>0</v>
      </c>
      <c r="R11" s="96">
        <f t="shared" si="0"/>
        <v>0</v>
      </c>
      <c r="S11" s="93">
        <f t="shared" si="2"/>
        <v>3045</v>
      </c>
      <c r="T11" s="93">
        <f t="shared" si="1"/>
        <v>2192</v>
      </c>
    </row>
    <row r="12" spans="1:20" x14ac:dyDescent="0.2">
      <c r="A12" s="38"/>
      <c r="B12" s="35"/>
      <c r="C12" s="133">
        <v>5000000</v>
      </c>
      <c r="D12" s="134">
        <v>870</v>
      </c>
      <c r="E12" s="134">
        <v>3045</v>
      </c>
      <c r="F12" s="134">
        <v>2192</v>
      </c>
      <c r="G12" s="35"/>
      <c r="H12" s="35"/>
      <c r="I12" s="35"/>
      <c r="J12" s="36"/>
      <c r="M12" s="65">
        <v>10000000</v>
      </c>
      <c r="N12" s="142">
        <f>MAX(MIN(M12-$O$3,$O$5),0)/M12</f>
        <v>0.5</v>
      </c>
      <c r="O12" s="93">
        <f>E13</f>
        <v>1640</v>
      </c>
      <c r="P12" s="96">
        <f>F13</f>
        <v>1148</v>
      </c>
      <c r="Q12" s="93">
        <f t="shared" si="0"/>
        <v>820</v>
      </c>
      <c r="R12" s="96">
        <f t="shared" si="0"/>
        <v>574</v>
      </c>
      <c r="S12" s="93">
        <f>O12-Q12</f>
        <v>820</v>
      </c>
      <c r="T12" s="93">
        <f>P12-R12</f>
        <v>574</v>
      </c>
    </row>
    <row r="13" spans="1:20" x14ac:dyDescent="0.2">
      <c r="A13" s="38"/>
      <c r="B13" s="35"/>
      <c r="C13" s="133">
        <v>10000000</v>
      </c>
      <c r="D13" s="134">
        <v>410</v>
      </c>
      <c r="E13" s="134">
        <v>1640</v>
      </c>
      <c r="F13" s="134">
        <v>1148</v>
      </c>
      <c r="G13" s="35"/>
      <c r="H13" s="35"/>
      <c r="I13" s="35"/>
      <c r="J13" s="36"/>
      <c r="M13" s="70">
        <v>20000000</v>
      </c>
      <c r="N13" s="143">
        <f>MAX(MIN(M13-$O$3,$O$5),0)/M13</f>
        <v>0.75</v>
      </c>
      <c r="O13" s="144">
        <f>E14</f>
        <v>550</v>
      </c>
      <c r="P13" s="145">
        <f>F14</f>
        <v>374</v>
      </c>
      <c r="Q13" s="144">
        <f t="shared" si="0"/>
        <v>412.5</v>
      </c>
      <c r="R13" s="145">
        <f t="shared" si="0"/>
        <v>280.5</v>
      </c>
      <c r="S13" s="144">
        <f t="shared" si="2"/>
        <v>137.5</v>
      </c>
      <c r="T13" s="144">
        <f t="shared" si="1"/>
        <v>93.5</v>
      </c>
    </row>
    <row r="14" spans="1:20" x14ac:dyDescent="0.2">
      <c r="A14" s="38"/>
      <c r="B14" s="35"/>
      <c r="C14" s="133">
        <v>20000000</v>
      </c>
      <c r="D14" s="134">
        <v>125</v>
      </c>
      <c r="E14" s="134">
        <v>550</v>
      </c>
      <c r="F14" s="134">
        <v>374</v>
      </c>
      <c r="G14" s="35"/>
      <c r="H14" s="35"/>
      <c r="I14" s="35"/>
      <c r="J14" s="36"/>
      <c r="M14" s="7" t="s">
        <v>163</v>
      </c>
      <c r="N14" s="8"/>
      <c r="O14" s="9">
        <f>SUM(O9:O13)</f>
        <v>15505</v>
      </c>
      <c r="P14" s="10">
        <f t="shared" ref="P14:T14" si="3">SUM(P9:P13)</f>
        <v>11353</v>
      </c>
      <c r="Q14" s="9">
        <f t="shared" si="3"/>
        <v>1232.5</v>
      </c>
      <c r="R14" s="10">
        <f t="shared" si="3"/>
        <v>854.5</v>
      </c>
      <c r="S14" s="9">
        <f t="shared" si="3"/>
        <v>14272.5</v>
      </c>
      <c r="T14" s="9">
        <f t="shared" si="3"/>
        <v>10498.5</v>
      </c>
    </row>
    <row r="15" spans="1:20" x14ac:dyDescent="0.2">
      <c r="A15" s="38"/>
      <c r="B15" s="35"/>
      <c r="C15" s="35"/>
      <c r="D15" s="35"/>
      <c r="E15" s="35"/>
      <c r="F15" s="35"/>
      <c r="G15" s="35"/>
      <c r="H15" s="35"/>
      <c r="I15" s="35"/>
      <c r="J15" s="36"/>
      <c r="N15" s="146"/>
      <c r="O15" s="146"/>
    </row>
    <row r="16" spans="1:20" x14ac:dyDescent="0.2">
      <c r="A16" s="38"/>
      <c r="B16" s="35" t="s">
        <v>25</v>
      </c>
      <c r="C16" s="35"/>
      <c r="D16" s="35"/>
      <c r="E16" s="35"/>
      <c r="F16" s="35"/>
      <c r="G16" s="35"/>
      <c r="H16" s="35"/>
      <c r="I16" s="35"/>
      <c r="J16" s="36"/>
      <c r="L16" s="12" t="s">
        <v>4</v>
      </c>
    </row>
    <row r="17" spans="1:20" x14ac:dyDescent="0.2">
      <c r="A17" s="38"/>
      <c r="B17" s="56" t="s">
        <v>156</v>
      </c>
      <c r="C17" s="35"/>
      <c r="D17" s="35"/>
      <c r="E17" s="35"/>
      <c r="F17" s="35"/>
      <c r="G17" s="35"/>
      <c r="H17" s="35"/>
      <c r="I17" s="35"/>
      <c r="J17" s="36"/>
      <c r="L17" s="12"/>
      <c r="O17" s="11" t="s">
        <v>160</v>
      </c>
      <c r="P17" s="11"/>
      <c r="Q17" s="11" t="s">
        <v>161</v>
      </c>
      <c r="R17" s="11"/>
      <c r="S17" s="11" t="s">
        <v>162</v>
      </c>
      <c r="T17" s="11"/>
    </row>
    <row r="18" spans="1:20" ht="51" x14ac:dyDescent="0.2">
      <c r="A18" s="38"/>
      <c r="B18" s="56" t="s">
        <v>164</v>
      </c>
      <c r="C18" s="35"/>
      <c r="D18" s="35"/>
      <c r="E18" s="35"/>
      <c r="F18" s="35"/>
      <c r="G18" s="107">
        <v>0.75</v>
      </c>
      <c r="H18" s="35"/>
      <c r="I18" s="35"/>
      <c r="J18" s="36"/>
      <c r="M18" s="68" t="s">
        <v>23</v>
      </c>
      <c r="N18" s="68" t="s">
        <v>159</v>
      </c>
      <c r="O18" s="60" t="s">
        <v>150</v>
      </c>
      <c r="P18" s="59" t="s">
        <v>151</v>
      </c>
      <c r="Q18" s="60" t="s">
        <v>150</v>
      </c>
      <c r="R18" s="59" t="s">
        <v>151</v>
      </c>
      <c r="S18" s="60" t="s">
        <v>150</v>
      </c>
      <c r="T18" s="60" t="s">
        <v>151</v>
      </c>
    </row>
    <row r="19" spans="1:20" x14ac:dyDescent="0.2">
      <c r="A19" s="38"/>
      <c r="B19" s="35"/>
      <c r="C19" s="35"/>
      <c r="D19" s="35"/>
      <c r="E19" s="35"/>
      <c r="F19" s="35"/>
      <c r="G19" s="35"/>
      <c r="H19" s="35"/>
      <c r="I19" s="35"/>
      <c r="J19" s="36"/>
      <c r="M19" s="65">
        <v>1000000</v>
      </c>
      <c r="N19" s="142">
        <f>$G$18</f>
        <v>0.75</v>
      </c>
      <c r="O19" s="93">
        <f>E10</f>
        <v>7150</v>
      </c>
      <c r="P19" s="94">
        <f>F10</f>
        <v>5362</v>
      </c>
      <c r="Q19" s="93">
        <f t="shared" ref="Q19:R23" si="4">O19*$N19</f>
        <v>5362.5</v>
      </c>
      <c r="R19" s="96">
        <f t="shared" si="4"/>
        <v>4021.5</v>
      </c>
      <c r="S19" s="93">
        <f>O19-Q19</f>
        <v>1787.5</v>
      </c>
      <c r="T19" s="93">
        <f t="shared" ref="T19:T21" si="5">P19-R19</f>
        <v>1340.5</v>
      </c>
    </row>
    <row r="20" spans="1:20" x14ac:dyDescent="0.2">
      <c r="A20" s="38"/>
      <c r="B20" s="35" t="s">
        <v>157</v>
      </c>
      <c r="C20" s="35"/>
      <c r="D20" s="35"/>
      <c r="E20" s="35"/>
      <c r="F20" s="35"/>
      <c r="G20" s="35"/>
      <c r="H20" s="35"/>
      <c r="I20" s="35"/>
      <c r="J20" s="36"/>
      <c r="M20" s="65">
        <v>2000000</v>
      </c>
      <c r="N20" s="142">
        <f>$G$18</f>
        <v>0.75</v>
      </c>
      <c r="O20" s="93">
        <f>E11</f>
        <v>3120</v>
      </c>
      <c r="P20" s="96">
        <f>F11</f>
        <v>2277</v>
      </c>
      <c r="Q20" s="93">
        <f t="shared" si="4"/>
        <v>2340</v>
      </c>
      <c r="R20" s="96">
        <f t="shared" si="4"/>
        <v>1707.75</v>
      </c>
      <c r="S20" s="93">
        <f t="shared" ref="S20:S21" si="6">O20-Q20</f>
        <v>780</v>
      </c>
      <c r="T20" s="93">
        <f t="shared" si="5"/>
        <v>569.25</v>
      </c>
    </row>
    <row r="21" spans="1:20" ht="16" customHeight="1" x14ac:dyDescent="0.2">
      <c r="A21" s="38"/>
      <c r="B21" s="35"/>
      <c r="C21" s="35"/>
      <c r="D21" s="35"/>
      <c r="E21" s="35"/>
      <c r="F21" s="35"/>
      <c r="G21" s="35"/>
      <c r="H21" s="35"/>
      <c r="I21" s="35"/>
      <c r="J21" s="36"/>
      <c r="M21" s="65">
        <v>5000000</v>
      </c>
      <c r="N21" s="142">
        <f>$G$18</f>
        <v>0.75</v>
      </c>
      <c r="O21" s="93">
        <f>E12</f>
        <v>3045</v>
      </c>
      <c r="P21" s="96">
        <f>F12</f>
        <v>2192</v>
      </c>
      <c r="Q21" s="93">
        <f t="shared" si="4"/>
        <v>2283.75</v>
      </c>
      <c r="R21" s="96">
        <f t="shared" si="4"/>
        <v>1644</v>
      </c>
      <c r="S21" s="93">
        <f t="shared" si="6"/>
        <v>761.25</v>
      </c>
      <c r="T21" s="93">
        <f t="shared" si="5"/>
        <v>548</v>
      </c>
    </row>
    <row r="22" spans="1:20" x14ac:dyDescent="0.2">
      <c r="A22" s="35" t="s">
        <v>0</v>
      </c>
      <c r="B22" s="375" t="s">
        <v>165</v>
      </c>
      <c r="C22" s="375"/>
      <c r="D22" s="375"/>
      <c r="E22" s="375"/>
      <c r="F22" s="375"/>
      <c r="G22" s="375"/>
      <c r="H22" s="375"/>
      <c r="I22" s="375"/>
      <c r="J22" s="140"/>
      <c r="M22" s="65">
        <v>10000000</v>
      </c>
      <c r="N22" s="142">
        <f>$G$18</f>
        <v>0.75</v>
      </c>
      <c r="O22" s="93">
        <f>E13</f>
        <v>1640</v>
      </c>
      <c r="P22" s="96">
        <f>F13</f>
        <v>1148</v>
      </c>
      <c r="Q22" s="93">
        <f t="shared" si="4"/>
        <v>1230</v>
      </c>
      <c r="R22" s="96">
        <f t="shared" si="4"/>
        <v>861</v>
      </c>
      <c r="S22" s="93">
        <f>O22-Q22</f>
        <v>410</v>
      </c>
      <c r="T22" s="93">
        <f>P22-R22</f>
        <v>287</v>
      </c>
    </row>
    <row r="23" spans="1:20" ht="16" customHeight="1" x14ac:dyDescent="0.2">
      <c r="A23" s="38"/>
      <c r="B23" s="375"/>
      <c r="C23" s="375"/>
      <c r="D23" s="375"/>
      <c r="E23" s="375"/>
      <c r="F23" s="375"/>
      <c r="G23" s="375"/>
      <c r="H23" s="375"/>
      <c r="I23" s="375"/>
      <c r="J23" s="140"/>
      <c r="M23" s="70">
        <v>20000000</v>
      </c>
      <c r="N23" s="143">
        <f>$G$18</f>
        <v>0.75</v>
      </c>
      <c r="O23" s="144">
        <f>E14</f>
        <v>550</v>
      </c>
      <c r="P23" s="145">
        <f>F14</f>
        <v>374</v>
      </c>
      <c r="Q23" s="144">
        <f t="shared" si="4"/>
        <v>412.5</v>
      </c>
      <c r="R23" s="145">
        <f t="shared" si="4"/>
        <v>280.5</v>
      </c>
      <c r="S23" s="144">
        <f t="shared" ref="S23" si="7">O23-Q23</f>
        <v>137.5</v>
      </c>
      <c r="T23" s="144">
        <f t="shared" ref="T23" si="8">P23-R23</f>
        <v>93.5</v>
      </c>
    </row>
    <row r="24" spans="1:20" ht="16" customHeight="1" x14ac:dyDescent="0.2">
      <c r="A24" s="38"/>
      <c r="B24" s="35"/>
      <c r="C24" s="35"/>
      <c r="D24" s="35"/>
      <c r="E24" s="35"/>
      <c r="F24" s="35"/>
      <c r="G24" s="35"/>
      <c r="H24" s="35"/>
      <c r="I24" s="89"/>
      <c r="J24" s="36"/>
      <c r="M24" s="7" t="s">
        <v>163</v>
      </c>
      <c r="N24" s="8"/>
      <c r="O24" s="9">
        <f>SUM(O19:O23)</f>
        <v>15505</v>
      </c>
      <c r="P24" s="10">
        <f t="shared" ref="P24" si="9">SUM(P19:P23)</f>
        <v>11353</v>
      </c>
      <c r="Q24" s="9">
        <f t="shared" ref="Q24" si="10">SUM(Q19:Q23)</f>
        <v>11628.75</v>
      </c>
      <c r="R24" s="10">
        <f t="shared" ref="R24" si="11">SUM(R19:R23)</f>
        <v>8514.75</v>
      </c>
      <c r="S24" s="9">
        <f t="shared" ref="S24" si="12">SUM(S19:S23)</f>
        <v>3876.25</v>
      </c>
      <c r="T24" s="9">
        <f t="shared" ref="T24" si="13">SUM(T19:T23)</f>
        <v>2838.25</v>
      </c>
    </row>
    <row r="25" spans="1:20" x14ac:dyDescent="0.2">
      <c r="A25" s="35" t="s">
        <v>1</v>
      </c>
      <c r="B25" s="375" t="s">
        <v>166</v>
      </c>
      <c r="C25" s="375"/>
      <c r="D25" s="375"/>
      <c r="E25" s="375"/>
      <c r="F25" s="375"/>
      <c r="G25" s="375"/>
      <c r="H25" s="375"/>
      <c r="I25" s="375"/>
      <c r="J25" s="140"/>
    </row>
    <row r="26" spans="1:20" ht="16" customHeight="1" x14ac:dyDescent="0.2">
      <c r="A26" s="38"/>
      <c r="B26" s="375"/>
      <c r="C26" s="375"/>
      <c r="D26" s="375"/>
      <c r="E26" s="375"/>
      <c r="F26" s="375"/>
      <c r="G26" s="375"/>
      <c r="H26" s="375"/>
      <c r="I26" s="375"/>
      <c r="J26" s="140"/>
      <c r="L26" s="12" t="s">
        <v>5</v>
      </c>
    </row>
    <row r="27" spans="1:20" ht="16" customHeight="1" x14ac:dyDescent="0.2">
      <c r="A27" s="38"/>
      <c r="B27" s="35"/>
      <c r="C27" s="35"/>
      <c r="D27" s="35"/>
      <c r="E27" s="35"/>
      <c r="F27" s="35"/>
      <c r="G27" s="35"/>
      <c r="H27" s="35"/>
      <c r="I27" s="89"/>
      <c r="J27" s="36"/>
      <c r="M27" s="372" t="s">
        <v>167</v>
      </c>
      <c r="N27" s="372"/>
      <c r="O27" s="372"/>
      <c r="P27" s="372"/>
      <c r="Q27" s="372"/>
      <c r="R27" s="372"/>
      <c r="S27" s="372"/>
      <c r="T27" s="372"/>
    </row>
    <row r="28" spans="1:20" x14ac:dyDescent="0.2">
      <c r="A28" s="35" t="s">
        <v>2</v>
      </c>
      <c r="B28" s="375" t="s">
        <v>168</v>
      </c>
      <c r="C28" s="375"/>
      <c r="D28" s="375"/>
      <c r="E28" s="375"/>
      <c r="F28" s="375"/>
      <c r="G28" s="375"/>
      <c r="H28" s="375"/>
      <c r="I28" s="375"/>
      <c r="J28" s="140"/>
      <c r="M28" s="372"/>
      <c r="N28" s="372"/>
      <c r="O28" s="372"/>
      <c r="P28" s="372"/>
      <c r="Q28" s="372"/>
      <c r="R28" s="372"/>
      <c r="S28" s="372"/>
      <c r="T28" s="372"/>
    </row>
    <row r="29" spans="1:20" ht="16" customHeight="1" x14ac:dyDescent="0.2">
      <c r="A29" s="38"/>
      <c r="B29" s="375"/>
      <c r="C29" s="375"/>
      <c r="D29" s="375"/>
      <c r="E29" s="375"/>
      <c r="F29" s="375"/>
      <c r="G29" s="375"/>
      <c r="H29" s="375"/>
      <c r="I29" s="375"/>
      <c r="J29" s="140"/>
      <c r="M29" s="372"/>
      <c r="N29" s="372"/>
      <c r="O29" s="372"/>
      <c r="P29" s="372"/>
      <c r="Q29" s="372"/>
      <c r="R29" s="372"/>
      <c r="S29" s="372"/>
      <c r="T29" s="372"/>
    </row>
    <row r="30" spans="1:20" x14ac:dyDescent="0.2">
      <c r="A30" s="38"/>
      <c r="B30" s="35"/>
      <c r="C30" s="40"/>
      <c r="D30" s="40"/>
      <c r="E30" s="40"/>
      <c r="F30" s="40"/>
      <c r="G30" s="40"/>
      <c r="H30" s="40"/>
      <c r="I30" s="89"/>
      <c r="J30" s="36"/>
      <c r="L30" s="120"/>
      <c r="M30" s="372"/>
      <c r="N30" s="372"/>
      <c r="O30" s="372"/>
      <c r="P30" s="372"/>
      <c r="Q30" s="372"/>
      <c r="R30" s="372"/>
      <c r="S30" s="372"/>
      <c r="T30" s="372"/>
    </row>
    <row r="31" spans="1:20" ht="17" thickBot="1" x14ac:dyDescent="0.25">
      <c r="A31" s="114"/>
      <c r="B31" s="115"/>
      <c r="C31" s="116"/>
      <c r="D31" s="116"/>
      <c r="E31" s="116"/>
      <c r="F31" s="115"/>
      <c r="G31" s="115"/>
      <c r="H31" s="115"/>
      <c r="I31" s="115"/>
      <c r="J31" s="117"/>
      <c r="L31" s="120"/>
      <c r="M31" s="372"/>
      <c r="N31" s="372"/>
      <c r="O31" s="372"/>
      <c r="P31" s="372"/>
      <c r="Q31" s="372"/>
      <c r="R31" s="372"/>
      <c r="S31" s="372"/>
      <c r="T31" s="372"/>
    </row>
    <row r="32" spans="1:20" ht="17" thickBot="1" x14ac:dyDescent="0.25">
      <c r="A32" s="114" t="s">
        <v>7</v>
      </c>
      <c r="B32" s="115"/>
      <c r="C32" s="116"/>
      <c r="D32" s="116"/>
      <c r="E32" s="116"/>
      <c r="F32" s="115"/>
      <c r="G32" s="115"/>
      <c r="H32" s="115"/>
      <c r="I32" s="115"/>
      <c r="J32" s="117"/>
      <c r="L32" s="120"/>
      <c r="M32" s="372"/>
      <c r="N32" s="372"/>
      <c r="O32" s="372"/>
      <c r="P32" s="372"/>
      <c r="Q32" s="372"/>
      <c r="R32" s="372"/>
      <c r="S32" s="372"/>
      <c r="T32" s="372"/>
    </row>
    <row r="33" spans="1:20" x14ac:dyDescent="0.2">
      <c r="L33" s="120"/>
      <c r="M33" s="372"/>
      <c r="N33" s="372"/>
      <c r="O33" s="372"/>
      <c r="P33" s="372"/>
      <c r="Q33" s="372"/>
      <c r="R33" s="372"/>
      <c r="S33" s="372"/>
      <c r="T33" s="372"/>
    </row>
    <row r="34" spans="1:20" s="152" customFormat="1" x14ac:dyDescent="0.2">
      <c r="A34" s="37"/>
      <c r="B34" s="37"/>
      <c r="C34" s="37"/>
      <c r="D34" s="37"/>
      <c r="E34" s="37"/>
      <c r="F34" s="37"/>
      <c r="G34" s="37"/>
      <c r="H34" s="37"/>
      <c r="I34" s="37"/>
      <c r="J34" s="37"/>
      <c r="L34" s="198"/>
      <c r="M34" s="372"/>
      <c r="N34" s="372"/>
      <c r="O34" s="372"/>
      <c r="P34" s="372"/>
      <c r="Q34" s="372"/>
      <c r="R34" s="372"/>
      <c r="S34" s="372"/>
      <c r="T34" s="372"/>
    </row>
    <row r="35" spans="1:20" s="152" customFormat="1" x14ac:dyDescent="0.2">
      <c r="L35" s="198"/>
      <c r="M35" s="372"/>
      <c r="N35" s="372"/>
      <c r="O35" s="372"/>
      <c r="P35" s="372"/>
      <c r="Q35" s="372"/>
      <c r="R35" s="372"/>
      <c r="S35" s="372"/>
      <c r="T35" s="372"/>
    </row>
    <row r="36" spans="1:20" s="152" customFormat="1" x14ac:dyDescent="0.2">
      <c r="L36" s="198"/>
      <c r="M36" s="372"/>
      <c r="N36" s="372"/>
      <c r="O36" s="372"/>
      <c r="P36" s="372"/>
      <c r="Q36" s="372"/>
      <c r="R36" s="372"/>
      <c r="S36" s="372"/>
      <c r="T36" s="372"/>
    </row>
    <row r="37" spans="1:20" s="152" customFormat="1" x14ac:dyDescent="0.2">
      <c r="L37" s="198"/>
      <c r="M37" s="372"/>
      <c r="N37" s="372"/>
      <c r="O37" s="372"/>
      <c r="P37" s="372"/>
      <c r="Q37" s="372"/>
      <c r="R37" s="372"/>
      <c r="S37" s="372"/>
      <c r="T37" s="372"/>
    </row>
    <row r="38" spans="1:20" s="152" customFormat="1" x14ac:dyDescent="0.2">
      <c r="L38" s="198"/>
      <c r="M38" s="372"/>
      <c r="N38" s="372"/>
      <c r="O38" s="372"/>
      <c r="P38" s="372"/>
      <c r="Q38" s="372"/>
      <c r="R38" s="372"/>
      <c r="S38" s="372"/>
      <c r="T38" s="372"/>
    </row>
    <row r="39" spans="1:20" s="152" customFormat="1" x14ac:dyDescent="0.2">
      <c r="L39" s="198"/>
      <c r="M39" s="372"/>
      <c r="N39" s="372"/>
      <c r="O39" s="372"/>
      <c r="P39" s="372"/>
      <c r="Q39" s="372"/>
      <c r="R39" s="372"/>
      <c r="S39" s="372"/>
      <c r="T39" s="372"/>
    </row>
    <row r="40" spans="1:20" s="152" customFormat="1" x14ac:dyDescent="0.2"/>
    <row r="41" spans="1:20" s="152" customFormat="1" ht="19" x14ac:dyDescent="0.2">
      <c r="L41" s="5" t="s">
        <v>8</v>
      </c>
    </row>
    <row r="42" spans="1:20" s="152" customFormat="1" ht="16" customHeight="1" x14ac:dyDescent="0.2">
      <c r="L42" s="378" t="s">
        <v>170</v>
      </c>
      <c r="M42" s="378"/>
      <c r="N42" s="378"/>
      <c r="O42" s="378"/>
      <c r="P42" s="378"/>
      <c r="Q42" s="378"/>
      <c r="R42" s="378"/>
      <c r="S42" s="378"/>
      <c r="T42" s="378"/>
    </row>
    <row r="43" spans="1:20" s="152" customFormat="1" ht="16" customHeight="1" x14ac:dyDescent="0.2">
      <c r="L43" s="378"/>
      <c r="M43" s="378"/>
      <c r="N43" s="378"/>
      <c r="O43" s="378"/>
      <c r="P43" s="378"/>
      <c r="Q43" s="378"/>
      <c r="R43" s="378"/>
      <c r="S43" s="378"/>
      <c r="T43" s="378"/>
    </row>
    <row r="44" spans="1:20" s="152" customFormat="1" x14ac:dyDescent="0.2">
      <c r="M44" s="198"/>
      <c r="N44" s="198"/>
      <c r="O44" s="198"/>
      <c r="P44" s="198"/>
      <c r="Q44" s="198"/>
      <c r="R44" s="198"/>
      <c r="S44" s="198"/>
      <c r="T44" s="198"/>
    </row>
    <row r="45" spans="1:20" s="152" customFormat="1" ht="19" x14ac:dyDescent="0.2">
      <c r="L45" s="5" t="s">
        <v>19</v>
      </c>
    </row>
    <row r="46" spans="1:20" s="152" customFormat="1" x14ac:dyDescent="0.2">
      <c r="L46" s="152" t="s">
        <v>169</v>
      </c>
    </row>
    <row r="47" spans="1:20" s="152" customFormat="1" x14ac:dyDescent="0.2"/>
    <row r="48" spans="1:20" s="152" customFormat="1" ht="19" x14ac:dyDescent="0.25">
      <c r="L48" s="2" t="s">
        <v>290</v>
      </c>
    </row>
    <row r="49" spans="12:12" s="152" customFormat="1" x14ac:dyDescent="0.2">
      <c r="L49" s="152" t="s">
        <v>284</v>
      </c>
    </row>
    <row r="50" spans="12:12" s="152" customFormat="1" x14ac:dyDescent="0.2"/>
    <row r="51" spans="12:12" s="152" customFormat="1" x14ac:dyDescent="0.2"/>
    <row r="52" spans="12:12" s="152" customFormat="1" x14ac:dyDescent="0.2"/>
    <row r="53" spans="12:12" s="152" customFormat="1" x14ac:dyDescent="0.2"/>
    <row r="54" spans="12:12" s="152" customFormat="1" x14ac:dyDescent="0.2"/>
    <row r="55" spans="12:12" s="152" customFormat="1" x14ac:dyDescent="0.2"/>
    <row r="56" spans="12:12" s="152" customFormat="1" x14ac:dyDescent="0.2"/>
    <row r="57" spans="12:12" s="152" customFormat="1" x14ac:dyDescent="0.2"/>
    <row r="58" spans="12:12" s="152" customFormat="1" x14ac:dyDescent="0.2"/>
    <row r="59" spans="12:12" s="152" customFormat="1" x14ac:dyDescent="0.2"/>
    <row r="60" spans="12:12" s="152" customFormat="1" x14ac:dyDescent="0.2"/>
    <row r="61" spans="12:12" s="152" customFormat="1" x14ac:dyDescent="0.2"/>
    <row r="62" spans="12:12" s="152" customFormat="1" x14ac:dyDescent="0.2"/>
    <row r="63" spans="12:12" s="152" customFormat="1" x14ac:dyDescent="0.2"/>
    <row r="64" spans="12:12" s="152" customFormat="1" x14ac:dyDescent="0.2"/>
    <row r="65" spans="13:13" s="152" customFormat="1" x14ac:dyDescent="0.2"/>
    <row r="66" spans="13:13" s="152" customFormat="1" x14ac:dyDescent="0.2"/>
    <row r="67" spans="13:13" s="152" customFormat="1" x14ac:dyDescent="0.2"/>
    <row r="68" spans="13:13" s="152" customFormat="1" x14ac:dyDescent="0.2"/>
    <row r="69" spans="13:13" s="152" customFormat="1" x14ac:dyDescent="0.2"/>
    <row r="70" spans="13:13" s="152" customFormat="1" x14ac:dyDescent="0.2"/>
    <row r="71" spans="13:13" s="152" customFormat="1" x14ac:dyDescent="0.2"/>
    <row r="72" spans="13:13" s="152" customFormat="1" x14ac:dyDescent="0.2"/>
    <row r="73" spans="13:13" s="152" customFormat="1" x14ac:dyDescent="0.2"/>
    <row r="74" spans="13:13" s="152" customFormat="1" x14ac:dyDescent="0.2"/>
    <row r="75" spans="13:13" s="152" customFormat="1" x14ac:dyDescent="0.2"/>
    <row r="76" spans="13:13" s="152" customFormat="1" x14ac:dyDescent="0.2"/>
    <row r="77" spans="13:13" s="152" customFormat="1" x14ac:dyDescent="0.2">
      <c r="M77" s="157"/>
    </row>
    <row r="78" spans="13:13" s="152" customFormat="1" x14ac:dyDescent="0.2"/>
    <row r="79" spans="13:13" s="152" customFormat="1" x14ac:dyDescent="0.2"/>
    <row r="80" spans="13:13" s="152" customFormat="1" x14ac:dyDescent="0.2"/>
    <row r="81" spans="13:13" s="152" customFormat="1" x14ac:dyDescent="0.2"/>
    <row r="82" spans="13:13" s="152" customFormat="1" x14ac:dyDescent="0.2"/>
    <row r="83" spans="13:13" s="152" customFormat="1" x14ac:dyDescent="0.2"/>
    <row r="84" spans="13:13" s="152" customFormat="1" x14ac:dyDescent="0.2"/>
    <row r="85" spans="13:13" s="152" customFormat="1" x14ac:dyDescent="0.2"/>
    <row r="86" spans="13:13" s="152" customFormat="1" x14ac:dyDescent="0.2"/>
    <row r="87" spans="13:13" s="152" customFormat="1" x14ac:dyDescent="0.2">
      <c r="M87" s="157"/>
    </row>
    <row r="88" spans="13:13" s="152" customFormat="1" x14ac:dyDescent="0.2"/>
    <row r="89" spans="13:13" s="152" customFormat="1" x14ac:dyDescent="0.2"/>
    <row r="90" spans="13:13" s="152" customFormat="1" x14ac:dyDescent="0.2"/>
    <row r="91" spans="13:13" s="152" customFormat="1" x14ac:dyDescent="0.2"/>
    <row r="92" spans="13:13" s="152" customFormat="1" x14ac:dyDescent="0.2"/>
    <row r="93" spans="13:13" s="152" customFormat="1" x14ac:dyDescent="0.2"/>
    <row r="94" spans="13:13" s="152" customFormat="1" x14ac:dyDescent="0.2"/>
    <row r="95" spans="13:13" s="152" customFormat="1" x14ac:dyDescent="0.2"/>
    <row r="96" spans="13:13" s="152" customFormat="1" x14ac:dyDescent="0.2"/>
    <row r="97" spans="13:13" s="152" customFormat="1" x14ac:dyDescent="0.2">
      <c r="M97" s="157"/>
    </row>
    <row r="98" spans="13:13" s="152" customFormat="1" x14ac:dyDescent="0.2"/>
    <row r="99" spans="13:13" s="152" customFormat="1" x14ac:dyDescent="0.2"/>
    <row r="100" spans="13:13" s="152" customFormat="1" x14ac:dyDescent="0.2"/>
    <row r="101" spans="13:13" s="152" customFormat="1" x14ac:dyDescent="0.2"/>
    <row r="102" spans="13:13" s="152" customFormat="1" x14ac:dyDescent="0.2"/>
    <row r="103" spans="13:13" s="152" customFormat="1" x14ac:dyDescent="0.2"/>
    <row r="104" spans="13:13" s="152" customFormat="1" x14ac:dyDescent="0.2"/>
    <row r="105" spans="13:13" s="152" customFormat="1" x14ac:dyDescent="0.2"/>
    <row r="106" spans="13:13" s="152" customFormat="1" x14ac:dyDescent="0.2"/>
    <row r="107" spans="13:13" s="152" customFormat="1" x14ac:dyDescent="0.2"/>
    <row r="108" spans="13:13" s="152" customFormat="1" x14ac:dyDescent="0.2"/>
    <row r="109" spans="13:13" s="152" customFormat="1" x14ac:dyDescent="0.2"/>
    <row r="110" spans="13:13" s="152" customFormat="1" x14ac:dyDescent="0.2"/>
    <row r="111" spans="13:13" s="152" customFormat="1" x14ac:dyDescent="0.2"/>
    <row r="112" spans="13:13" s="152" customFormat="1" x14ac:dyDescent="0.2"/>
    <row r="113" s="152" customFormat="1" x14ac:dyDescent="0.2"/>
    <row r="114" s="152" customFormat="1" x14ac:dyDescent="0.2"/>
    <row r="115" s="152" customFormat="1" x14ac:dyDescent="0.2"/>
    <row r="116" s="152" customFormat="1" x14ac:dyDescent="0.2"/>
    <row r="117" s="152" customFormat="1" x14ac:dyDescent="0.2"/>
    <row r="118" s="152" customFormat="1" x14ac:dyDescent="0.2"/>
    <row r="119" s="152" customFormat="1" x14ac:dyDescent="0.2"/>
    <row r="120" s="152" customFormat="1" x14ac:dyDescent="0.2"/>
    <row r="121" s="152" customFormat="1" x14ac:dyDescent="0.2"/>
    <row r="122" s="152" customFormat="1" x14ac:dyDescent="0.2"/>
    <row r="123" s="152" customFormat="1" x14ac:dyDescent="0.2"/>
    <row r="124" s="152" customFormat="1" x14ac:dyDescent="0.2"/>
    <row r="125" s="152" customFormat="1" x14ac:dyDescent="0.2"/>
    <row r="126" s="152" customFormat="1" x14ac:dyDescent="0.2"/>
    <row r="127" s="152" customFormat="1" x14ac:dyDescent="0.2"/>
    <row r="128" s="152" customFormat="1" x14ac:dyDescent="0.2"/>
    <row r="129" s="152" customFormat="1" x14ac:dyDescent="0.2"/>
    <row r="130" s="152" customFormat="1" x14ac:dyDescent="0.2"/>
    <row r="131" s="152" customFormat="1" x14ac:dyDescent="0.2"/>
    <row r="132" s="152" customFormat="1" x14ac:dyDescent="0.2"/>
    <row r="133" s="152" customFormat="1" x14ac:dyDescent="0.2"/>
    <row r="134" s="152" customFormat="1" x14ac:dyDescent="0.2"/>
    <row r="135" s="152" customFormat="1" x14ac:dyDescent="0.2"/>
    <row r="136" s="152" customFormat="1" x14ac:dyDescent="0.2"/>
    <row r="137" s="152" customFormat="1" x14ac:dyDescent="0.2"/>
    <row r="138" s="152" customFormat="1" x14ac:dyDescent="0.2"/>
    <row r="139" s="152" customFormat="1" x14ac:dyDescent="0.2"/>
    <row r="140" s="152" customFormat="1" x14ac:dyDescent="0.2"/>
    <row r="141" s="152" customFormat="1" x14ac:dyDescent="0.2"/>
    <row r="142" s="152" customFormat="1" x14ac:dyDescent="0.2"/>
    <row r="143" s="152" customFormat="1" x14ac:dyDescent="0.2"/>
    <row r="144" s="152" customFormat="1" x14ac:dyDescent="0.2"/>
    <row r="145" s="152" customFormat="1" x14ac:dyDescent="0.2"/>
    <row r="146" s="152" customFormat="1" x14ac:dyDescent="0.2"/>
    <row r="147" s="152" customFormat="1" x14ac:dyDescent="0.2"/>
    <row r="148" s="152" customFormat="1" x14ac:dyDescent="0.2"/>
    <row r="149" s="152" customFormat="1" x14ac:dyDescent="0.2"/>
    <row r="150" s="152" customFormat="1" x14ac:dyDescent="0.2"/>
    <row r="151" s="152" customFormat="1" x14ac:dyDescent="0.2"/>
    <row r="152" s="152" customFormat="1" x14ac:dyDescent="0.2"/>
    <row r="153" s="152" customFormat="1" x14ac:dyDescent="0.2"/>
    <row r="154" s="152" customFormat="1" x14ac:dyDescent="0.2"/>
    <row r="155" s="152" customFormat="1" x14ac:dyDescent="0.2"/>
    <row r="156" s="152" customFormat="1" x14ac:dyDescent="0.2"/>
    <row r="157" s="152" customFormat="1" x14ac:dyDescent="0.2"/>
    <row r="158" s="152" customFormat="1" x14ac:dyDescent="0.2"/>
    <row r="159" s="152" customFormat="1" x14ac:dyDescent="0.2"/>
    <row r="160" s="152" customFormat="1" x14ac:dyDescent="0.2"/>
    <row r="161" s="152" customFormat="1" x14ac:dyDescent="0.2"/>
    <row r="162" s="152" customFormat="1" x14ac:dyDescent="0.2"/>
    <row r="163" s="152" customFormat="1" x14ac:dyDescent="0.2"/>
    <row r="164" s="152" customFormat="1" x14ac:dyDescent="0.2"/>
    <row r="165" s="152" customFormat="1" x14ac:dyDescent="0.2"/>
    <row r="166" s="152" customFormat="1" x14ac:dyDescent="0.2"/>
    <row r="167" s="152" customFormat="1" x14ac:dyDescent="0.2"/>
    <row r="168" s="152" customFormat="1" x14ac:dyDescent="0.2"/>
    <row r="169" s="152" customFormat="1" x14ac:dyDescent="0.2"/>
    <row r="170" s="152" customFormat="1" x14ac:dyDescent="0.2"/>
    <row r="171" s="152" customFormat="1" x14ac:dyDescent="0.2"/>
    <row r="172" s="152" customFormat="1" x14ac:dyDescent="0.2"/>
    <row r="173" s="152" customFormat="1" x14ac:dyDescent="0.2"/>
    <row r="174" s="152" customFormat="1" x14ac:dyDescent="0.2"/>
    <row r="175" s="152" customFormat="1" x14ac:dyDescent="0.2"/>
    <row r="176" s="152" customFormat="1" x14ac:dyDescent="0.2"/>
    <row r="177" s="152" customFormat="1" x14ac:dyDescent="0.2"/>
    <row r="178" s="152" customFormat="1" x14ac:dyDescent="0.2"/>
    <row r="179" s="152" customFormat="1" x14ac:dyDescent="0.2"/>
    <row r="180" s="152" customFormat="1" x14ac:dyDescent="0.2"/>
    <row r="181" s="152" customFormat="1" x14ac:dyDescent="0.2"/>
    <row r="182" s="152" customFormat="1" x14ac:dyDescent="0.2"/>
    <row r="183" s="152" customFormat="1" x14ac:dyDescent="0.2"/>
    <row r="184" s="152" customFormat="1" x14ac:dyDescent="0.2"/>
    <row r="185" s="152" customFormat="1" x14ac:dyDescent="0.2"/>
    <row r="186" s="152" customFormat="1" x14ac:dyDescent="0.2"/>
    <row r="187" s="152" customFormat="1" x14ac:dyDescent="0.2"/>
    <row r="188" s="152" customFormat="1" x14ac:dyDescent="0.2"/>
    <row r="189" s="152" customFormat="1" x14ac:dyDescent="0.2"/>
    <row r="190" s="152" customFormat="1" x14ac:dyDescent="0.2"/>
    <row r="191" s="152" customFormat="1" x14ac:dyDescent="0.2"/>
    <row r="192" s="152" customFormat="1" x14ac:dyDescent="0.2"/>
    <row r="193" s="152" customFormat="1" x14ac:dyDescent="0.2"/>
    <row r="194" s="152" customFormat="1" x14ac:dyDescent="0.2"/>
    <row r="195" s="152" customFormat="1" x14ac:dyDescent="0.2"/>
    <row r="196" s="152" customFormat="1" x14ac:dyDescent="0.2"/>
    <row r="197" s="152" customFormat="1" x14ac:dyDescent="0.2"/>
    <row r="198" s="152" customFormat="1" x14ac:dyDescent="0.2"/>
    <row r="199" s="152" customFormat="1" x14ac:dyDescent="0.2"/>
    <row r="200" s="152" customFormat="1" x14ac:dyDescent="0.2"/>
    <row r="201" s="152" customFormat="1" x14ac:dyDescent="0.2"/>
    <row r="202" s="152" customFormat="1" x14ac:dyDescent="0.2"/>
    <row r="203" s="152" customFormat="1" x14ac:dyDescent="0.2"/>
    <row r="204" s="152" customFormat="1" x14ac:dyDescent="0.2"/>
    <row r="205" s="152" customFormat="1" x14ac:dyDescent="0.2"/>
    <row r="206" s="152" customFormat="1" x14ac:dyDescent="0.2"/>
    <row r="207" s="152" customFormat="1" x14ac:dyDescent="0.2"/>
    <row r="208" s="152" customFormat="1" x14ac:dyDescent="0.2"/>
    <row r="209" s="152" customFormat="1" x14ac:dyDescent="0.2"/>
    <row r="210" s="152" customFormat="1" x14ac:dyDescent="0.2"/>
    <row r="211" s="152" customFormat="1" x14ac:dyDescent="0.2"/>
    <row r="212" s="152" customFormat="1" x14ac:dyDescent="0.2"/>
    <row r="213" s="152" customFormat="1" x14ac:dyDescent="0.2"/>
    <row r="214" s="152" customFormat="1" x14ac:dyDescent="0.2"/>
    <row r="215" s="152" customFormat="1" x14ac:dyDescent="0.2"/>
    <row r="216" s="152" customFormat="1" x14ac:dyDescent="0.2"/>
    <row r="217" s="152" customFormat="1" x14ac:dyDescent="0.2"/>
    <row r="218" s="152" customFormat="1" x14ac:dyDescent="0.2"/>
    <row r="219" s="152" customFormat="1" x14ac:dyDescent="0.2"/>
    <row r="220" s="152" customFormat="1" x14ac:dyDescent="0.2"/>
    <row r="221" s="152" customFormat="1" x14ac:dyDescent="0.2"/>
    <row r="222" s="152" customFormat="1" x14ac:dyDescent="0.2"/>
    <row r="223" s="152" customFormat="1" x14ac:dyDescent="0.2"/>
    <row r="224" s="152" customFormat="1" x14ac:dyDescent="0.2"/>
    <row r="225" s="152" customFormat="1" x14ac:dyDescent="0.2"/>
    <row r="226" s="152" customFormat="1" x14ac:dyDescent="0.2"/>
    <row r="227" s="152" customFormat="1" x14ac:dyDescent="0.2"/>
    <row r="228" s="152" customFormat="1" x14ac:dyDescent="0.2"/>
    <row r="229" s="152" customFormat="1" x14ac:dyDescent="0.2"/>
    <row r="230" s="152" customFormat="1" x14ac:dyDescent="0.2"/>
    <row r="231" s="152" customFormat="1" x14ac:dyDescent="0.2"/>
    <row r="232" s="152" customFormat="1" x14ac:dyDescent="0.2"/>
    <row r="233" s="152" customFormat="1" x14ac:dyDescent="0.2"/>
    <row r="234" s="152" customFormat="1" x14ac:dyDescent="0.2"/>
    <row r="235" s="152" customFormat="1" x14ac:dyDescent="0.2"/>
    <row r="236" s="152" customFormat="1" x14ac:dyDescent="0.2"/>
    <row r="237" s="152" customFormat="1" x14ac:dyDescent="0.2"/>
    <row r="238" s="152" customFormat="1" x14ac:dyDescent="0.2"/>
    <row r="239" s="152" customFormat="1" x14ac:dyDescent="0.2"/>
    <row r="240" s="152" customFormat="1" x14ac:dyDescent="0.2"/>
    <row r="241" s="152" customFormat="1" x14ac:dyDescent="0.2"/>
    <row r="242" s="152" customFormat="1" x14ac:dyDescent="0.2"/>
    <row r="243" s="152" customFormat="1" x14ac:dyDescent="0.2"/>
    <row r="244" s="152" customFormat="1" x14ac:dyDescent="0.2"/>
    <row r="245" s="152" customFormat="1" x14ac:dyDescent="0.2"/>
    <row r="246" s="152" customFormat="1" x14ac:dyDescent="0.2"/>
    <row r="247" s="152" customFormat="1" x14ac:dyDescent="0.2"/>
    <row r="248" s="152" customFormat="1" x14ac:dyDescent="0.2"/>
    <row r="249" s="152" customFormat="1" x14ac:dyDescent="0.2"/>
    <row r="250" s="152" customFormat="1" x14ac:dyDescent="0.2"/>
    <row r="251" s="152" customFormat="1" x14ac:dyDescent="0.2"/>
    <row r="252" s="152" customFormat="1" x14ac:dyDescent="0.2"/>
    <row r="253" s="152" customFormat="1" x14ac:dyDescent="0.2"/>
    <row r="254" s="152" customFormat="1" x14ac:dyDescent="0.2"/>
    <row r="255" s="152" customFormat="1" x14ac:dyDescent="0.2"/>
    <row r="256" s="152" customFormat="1" x14ac:dyDescent="0.2"/>
    <row r="257" s="152" customFormat="1" x14ac:dyDescent="0.2"/>
    <row r="258" s="152" customFormat="1" x14ac:dyDescent="0.2"/>
    <row r="259" s="152" customFormat="1" x14ac:dyDescent="0.2"/>
    <row r="260" s="152" customFormat="1" x14ac:dyDescent="0.2"/>
    <row r="261" s="152" customFormat="1" x14ac:dyDescent="0.2"/>
    <row r="262" s="152" customFormat="1" x14ac:dyDescent="0.2"/>
    <row r="263" s="152" customFormat="1" x14ac:dyDescent="0.2"/>
    <row r="264" s="152" customFormat="1" x14ac:dyDescent="0.2"/>
    <row r="265" s="152" customFormat="1" x14ac:dyDescent="0.2"/>
    <row r="266" s="152" customFormat="1" x14ac:dyDescent="0.2"/>
    <row r="267" s="152" customFormat="1" x14ac:dyDescent="0.2"/>
    <row r="268" s="152" customFormat="1" x14ac:dyDescent="0.2"/>
    <row r="269" s="152" customFormat="1" x14ac:dyDescent="0.2"/>
    <row r="270" s="152" customFormat="1" x14ac:dyDescent="0.2"/>
    <row r="271" s="152" customFormat="1" x14ac:dyDescent="0.2"/>
    <row r="272" s="152" customFormat="1" x14ac:dyDescent="0.2"/>
    <row r="273" spans="1:10" s="152" customFormat="1" x14ac:dyDescent="0.2"/>
    <row r="274" spans="1:10" s="152" customFormat="1" x14ac:dyDescent="0.2"/>
    <row r="275" spans="1:10" s="152" customFormat="1" x14ac:dyDescent="0.2"/>
    <row r="276" spans="1:10" s="152" customFormat="1" x14ac:dyDescent="0.2"/>
    <row r="277" spans="1:10" s="152" customFormat="1" x14ac:dyDescent="0.2"/>
    <row r="278" spans="1:10" s="152" customFormat="1" x14ac:dyDescent="0.2"/>
    <row r="279" spans="1:10" s="152" customFormat="1" x14ac:dyDescent="0.2"/>
    <row r="280" spans="1:10" s="152" customFormat="1" x14ac:dyDescent="0.2"/>
    <row r="281" spans="1:10" s="152" customFormat="1" x14ac:dyDescent="0.2"/>
    <row r="282" spans="1:10" s="152" customFormat="1" x14ac:dyDescent="0.2"/>
    <row r="283" spans="1:10" s="152" customFormat="1" x14ac:dyDescent="0.2"/>
    <row r="284" spans="1:10" s="152" customFormat="1" x14ac:dyDescent="0.2"/>
    <row r="285" spans="1:10" x14ac:dyDescent="0.2">
      <c r="A285" s="152"/>
      <c r="B285" s="152"/>
      <c r="C285" s="152"/>
      <c r="D285" s="152"/>
      <c r="E285" s="152"/>
      <c r="F285" s="152"/>
      <c r="G285" s="152"/>
      <c r="H285" s="152"/>
      <c r="I285" s="152"/>
      <c r="J285" s="152"/>
    </row>
  </sheetData>
  <mergeCells count="7">
    <mergeCell ref="L42:T43"/>
    <mergeCell ref="M27:T39"/>
    <mergeCell ref="B7:I8"/>
    <mergeCell ref="B28:I29"/>
    <mergeCell ref="B25:I26"/>
    <mergeCell ref="B22:I23"/>
    <mergeCell ref="B3:I5"/>
  </mergeCells>
  <pageMargins left="0.7" right="0.7" top="0.75" bottom="0.75" header="0.3" footer="0.3"/>
  <pageSetup scale="83"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0721B-9BD1-8649-A1FF-D024788F96A6}">
  <sheetPr>
    <pageSetUpPr fitToPage="1"/>
  </sheetPr>
  <dimension ref="A1:T286"/>
  <sheetViews>
    <sheetView zoomScaleNormal="100" workbookViewId="0"/>
  </sheetViews>
  <sheetFormatPr baseColWidth="10" defaultColWidth="10.83203125" defaultRowHeight="16" outlineLevelCol="1" x14ac:dyDescent="0.2"/>
  <cols>
    <col min="1" max="1" width="4.6640625" style="37" customWidth="1"/>
    <col min="2" max="7" width="10.83203125" style="37" customWidth="1"/>
    <col min="8" max="8" width="11.83203125" style="37" customWidth="1"/>
    <col min="9" max="10" width="10.83203125" style="37" customWidth="1"/>
    <col min="11" max="11" width="10.83203125" style="37"/>
    <col min="12" max="13" width="10.83203125" style="37" hidden="1" customWidth="1" outlineLevel="1"/>
    <col min="14" max="14" width="11.6640625" style="37" hidden="1" customWidth="1" outlineLevel="1"/>
    <col min="15" max="15" width="12.6640625" style="37" hidden="1" customWidth="1" outlineLevel="1"/>
    <col min="16" max="16" width="11.5" style="37" hidden="1" customWidth="1" outlineLevel="1"/>
    <col min="17" max="19" width="10.83203125" style="37" hidden="1" customWidth="1" outlineLevel="1"/>
    <col min="20" max="20" width="10.83203125" style="37" customWidth="1" collapsed="1"/>
    <col min="21" max="16384" width="10.83203125" style="37"/>
  </cols>
  <sheetData>
    <row r="1" spans="1:19" ht="19" x14ac:dyDescent="0.25">
      <c r="A1" s="1" t="s">
        <v>274</v>
      </c>
      <c r="B1" s="3"/>
      <c r="C1" s="26"/>
      <c r="D1" s="26"/>
      <c r="E1" s="26"/>
      <c r="F1" s="57"/>
      <c r="G1" s="57"/>
      <c r="H1" s="57"/>
      <c r="I1" s="57"/>
      <c r="J1" s="58"/>
      <c r="K1" s="5" t="s">
        <v>6</v>
      </c>
      <c r="L1" s="5"/>
    </row>
    <row r="2" spans="1:19" x14ac:dyDescent="0.2">
      <c r="A2" s="38"/>
      <c r="B2" s="35"/>
      <c r="C2" s="35"/>
      <c r="D2" s="35"/>
      <c r="E2" s="35"/>
      <c r="F2" s="35"/>
      <c r="G2" s="35"/>
      <c r="H2" s="35"/>
      <c r="I2" s="35"/>
      <c r="J2" s="36"/>
      <c r="L2" s="12" t="s">
        <v>3</v>
      </c>
      <c r="O2" s="39"/>
    </row>
    <row r="3" spans="1:19" ht="16" customHeight="1" x14ac:dyDescent="0.2">
      <c r="A3" s="38"/>
      <c r="B3" s="379" t="s">
        <v>106</v>
      </c>
      <c r="C3" s="379"/>
      <c r="D3" s="379"/>
      <c r="E3" s="379"/>
      <c r="F3" s="379"/>
      <c r="G3" s="379"/>
      <c r="H3" s="379"/>
      <c r="I3" s="379"/>
      <c r="J3" s="36"/>
      <c r="L3" s="12"/>
      <c r="O3" s="39"/>
    </row>
    <row r="4" spans="1:19" x14ac:dyDescent="0.2">
      <c r="A4" s="38"/>
      <c r="B4" s="379"/>
      <c r="C4" s="379"/>
      <c r="D4" s="379"/>
      <c r="E4" s="379"/>
      <c r="F4" s="379"/>
      <c r="G4" s="379"/>
      <c r="H4" s="379"/>
      <c r="I4" s="379"/>
      <c r="J4" s="36"/>
      <c r="L4" s="12"/>
      <c r="O4" s="39"/>
    </row>
    <row r="5" spans="1:19" x14ac:dyDescent="0.2">
      <c r="A5" s="38"/>
      <c r="B5" s="379"/>
      <c r="C5" s="379"/>
      <c r="D5" s="379"/>
      <c r="E5" s="379"/>
      <c r="F5" s="379"/>
      <c r="G5" s="379"/>
      <c r="H5" s="379"/>
      <c r="I5" s="379"/>
      <c r="J5" s="36"/>
      <c r="M5" s="372" t="s">
        <v>119</v>
      </c>
      <c r="N5" s="372"/>
      <c r="O5" s="372"/>
      <c r="P5" s="372"/>
      <c r="Q5" s="372"/>
      <c r="R5" s="372"/>
      <c r="S5" s="372"/>
    </row>
    <row r="6" spans="1:19" x14ac:dyDescent="0.2">
      <c r="A6" s="38"/>
      <c r="B6" s="35"/>
      <c r="C6" s="35"/>
      <c r="D6" s="35"/>
      <c r="E6" s="35"/>
      <c r="F6" s="35"/>
      <c r="G6" s="35"/>
      <c r="H6" s="35"/>
      <c r="I6" s="35"/>
      <c r="J6" s="36"/>
      <c r="M6" s="372"/>
      <c r="N6" s="372"/>
      <c r="O6" s="372"/>
      <c r="P6" s="372"/>
      <c r="Q6" s="372"/>
      <c r="R6" s="372"/>
      <c r="S6" s="372"/>
    </row>
    <row r="7" spans="1:19" x14ac:dyDescent="0.2">
      <c r="A7" s="38"/>
      <c r="B7" s="35"/>
      <c r="C7" s="14" t="s">
        <v>108</v>
      </c>
      <c r="D7" s="35"/>
      <c r="E7" s="35"/>
      <c r="F7" s="35"/>
      <c r="G7" s="35"/>
      <c r="H7" s="35"/>
      <c r="I7" s="35"/>
      <c r="J7" s="36"/>
    </row>
    <row r="8" spans="1:19" x14ac:dyDescent="0.2">
      <c r="A8" s="38"/>
      <c r="B8" s="35"/>
      <c r="C8" s="14"/>
      <c r="D8" s="381" t="s">
        <v>107</v>
      </c>
      <c r="E8" s="381" t="s">
        <v>109</v>
      </c>
      <c r="F8" s="381" t="s">
        <v>142</v>
      </c>
      <c r="G8" s="35"/>
      <c r="H8" s="35"/>
      <c r="I8" s="35"/>
      <c r="J8" s="36"/>
      <c r="N8" s="131" t="s">
        <v>81</v>
      </c>
      <c r="O8" s="132" t="s">
        <v>82</v>
      </c>
      <c r="P8" s="132" t="s">
        <v>116</v>
      </c>
      <c r="Q8" s="132" t="s">
        <v>117</v>
      </c>
    </row>
    <row r="9" spans="1:19" x14ac:dyDescent="0.2">
      <c r="A9" s="38"/>
      <c r="B9" s="35"/>
      <c r="C9" s="201"/>
      <c r="D9" s="381"/>
      <c r="E9" s="381"/>
      <c r="F9" s="381"/>
      <c r="G9" s="35"/>
      <c r="H9" s="35"/>
      <c r="I9" s="35"/>
      <c r="J9" s="36"/>
      <c r="N9" s="99">
        <f>C20</f>
        <v>44786</v>
      </c>
      <c r="O9" s="52">
        <f>E20</f>
        <v>1150000</v>
      </c>
      <c r="P9" s="52">
        <f>MIN(O9-$D$29,$D$30)</f>
        <v>150000</v>
      </c>
      <c r="Q9" s="52">
        <f>O9-P9</f>
        <v>1000000</v>
      </c>
    </row>
    <row r="10" spans="1:19" ht="17" x14ac:dyDescent="0.2">
      <c r="A10" s="38"/>
      <c r="B10" s="35"/>
      <c r="C10" s="53" t="s">
        <v>23</v>
      </c>
      <c r="D10" s="382"/>
      <c r="E10" s="382"/>
      <c r="F10" s="382"/>
      <c r="G10" s="35"/>
      <c r="H10" s="35"/>
      <c r="I10" s="35"/>
      <c r="J10" s="36"/>
      <c r="N10" s="99">
        <v>44786</v>
      </c>
      <c r="O10" s="52">
        <f>E21</f>
        <v>1300000</v>
      </c>
      <c r="P10" s="52">
        <f t="shared" ref="P10:P13" si="0">MIN(O10-$D$29,$D$30)</f>
        <v>300000</v>
      </c>
      <c r="Q10" s="52">
        <f t="shared" ref="Q10:Q13" si="1">O10-P10</f>
        <v>1000000</v>
      </c>
    </row>
    <row r="11" spans="1:19" x14ac:dyDescent="0.2">
      <c r="A11" s="38"/>
      <c r="B11" s="35"/>
      <c r="C11" s="133">
        <v>500000</v>
      </c>
      <c r="D11" s="73">
        <v>500</v>
      </c>
      <c r="E11" s="73">
        <v>25</v>
      </c>
      <c r="F11" s="134">
        <v>3750</v>
      </c>
      <c r="G11" s="35"/>
      <c r="H11" s="35"/>
      <c r="I11" s="35"/>
      <c r="J11" s="36"/>
      <c r="N11" s="99">
        <v>44786</v>
      </c>
      <c r="O11" s="52">
        <f>E22</f>
        <v>3750000</v>
      </c>
      <c r="P11" s="52">
        <f t="shared" si="0"/>
        <v>2000000</v>
      </c>
      <c r="Q11" s="52">
        <f t="shared" si="1"/>
        <v>1750000</v>
      </c>
    </row>
    <row r="12" spans="1:19" x14ac:dyDescent="0.2">
      <c r="A12" s="38"/>
      <c r="B12" s="35"/>
      <c r="C12" s="133">
        <v>1000000</v>
      </c>
      <c r="D12" s="73">
        <v>740</v>
      </c>
      <c r="E12" s="73">
        <v>42</v>
      </c>
      <c r="F12" s="134">
        <v>12000</v>
      </c>
      <c r="G12" s="35"/>
      <c r="H12" s="35"/>
      <c r="I12" s="35"/>
      <c r="J12" s="36"/>
      <c r="N12" s="99">
        <v>44786</v>
      </c>
      <c r="O12" s="52">
        <f>E23</f>
        <v>5000000</v>
      </c>
      <c r="P12" s="52">
        <f t="shared" si="0"/>
        <v>2000000</v>
      </c>
      <c r="Q12" s="52">
        <f t="shared" si="1"/>
        <v>3000000</v>
      </c>
    </row>
    <row r="13" spans="1:19" x14ac:dyDescent="0.2">
      <c r="A13" s="38"/>
      <c r="B13" s="35"/>
      <c r="C13" s="133">
        <v>2000000</v>
      </c>
      <c r="D13" s="73">
        <v>430</v>
      </c>
      <c r="E13" s="73">
        <v>21</v>
      </c>
      <c r="F13" s="134">
        <v>14500</v>
      </c>
      <c r="G13" s="35"/>
      <c r="H13" s="35"/>
      <c r="I13" s="35"/>
      <c r="J13" s="36"/>
      <c r="N13" s="136">
        <v>44786</v>
      </c>
      <c r="O13" s="69">
        <f>E24</f>
        <v>6250000</v>
      </c>
      <c r="P13" s="69">
        <f t="shared" si="0"/>
        <v>2000000</v>
      </c>
      <c r="Q13" s="69">
        <f t="shared" si="1"/>
        <v>4250000</v>
      </c>
    </row>
    <row r="14" spans="1:19" x14ac:dyDescent="0.2">
      <c r="A14" s="38"/>
      <c r="B14" s="35"/>
      <c r="C14" s="133">
        <v>5000000</v>
      </c>
      <c r="D14" s="73">
        <v>110</v>
      </c>
      <c r="E14" s="73">
        <v>7</v>
      </c>
      <c r="F14" s="134">
        <v>13700</v>
      </c>
      <c r="G14" s="35"/>
      <c r="H14" s="35"/>
      <c r="I14" s="35"/>
      <c r="J14" s="36"/>
      <c r="N14" s="64" t="s">
        <v>118</v>
      </c>
      <c r="O14" s="52">
        <f>SUM(O9:O13)</f>
        <v>17450000</v>
      </c>
      <c r="P14" s="52">
        <f t="shared" ref="P14:Q14" si="2">SUM(P9:P13)</f>
        <v>6450000</v>
      </c>
      <c r="Q14" s="52">
        <f t="shared" si="2"/>
        <v>11000000</v>
      </c>
    </row>
    <row r="15" spans="1:19" x14ac:dyDescent="0.2">
      <c r="A15" s="38"/>
      <c r="B15" s="135"/>
      <c r="C15" s="133">
        <v>10000000</v>
      </c>
      <c r="D15" s="73">
        <v>20</v>
      </c>
      <c r="E15" s="73">
        <v>3</v>
      </c>
      <c r="F15" s="134">
        <v>9500</v>
      </c>
      <c r="G15" s="35"/>
      <c r="H15" s="35"/>
      <c r="I15" s="35"/>
      <c r="J15" s="36"/>
    </row>
    <row r="16" spans="1:19" x14ac:dyDescent="0.2">
      <c r="A16" s="38"/>
      <c r="B16" s="135"/>
      <c r="C16" s="35"/>
      <c r="D16" s="35"/>
      <c r="E16" s="35"/>
      <c r="F16" s="35"/>
      <c r="G16" s="35"/>
      <c r="H16" s="35"/>
      <c r="I16" s="35"/>
      <c r="J16" s="36"/>
      <c r="M16" s="37" t="s">
        <v>124</v>
      </c>
    </row>
    <row r="17" spans="1:19" x14ac:dyDescent="0.2">
      <c r="A17" s="38"/>
      <c r="B17" s="135" t="s">
        <v>115</v>
      </c>
      <c r="C17" s="35"/>
      <c r="D17" s="35"/>
      <c r="E17" s="35"/>
      <c r="F17" s="35"/>
      <c r="G17" s="35"/>
      <c r="H17" s="35"/>
      <c r="I17" s="35"/>
      <c r="J17" s="36"/>
    </row>
    <row r="18" spans="1:19" x14ac:dyDescent="0.2">
      <c r="A18" s="38"/>
      <c r="B18" s="135"/>
      <c r="C18" s="35"/>
      <c r="D18" s="35"/>
      <c r="E18" s="35"/>
      <c r="F18" s="35"/>
      <c r="G18" s="35"/>
      <c r="H18" s="35"/>
      <c r="I18" s="35"/>
      <c r="J18" s="36"/>
      <c r="N18" s="37" t="s">
        <v>82</v>
      </c>
      <c r="P18" s="52">
        <f>SUM(F11:F15)*1000</f>
        <v>53450000</v>
      </c>
      <c r="Q18" s="372" t="s">
        <v>121</v>
      </c>
      <c r="R18" s="372"/>
      <c r="S18" s="372"/>
    </row>
    <row r="19" spans="1:19" x14ac:dyDescent="0.2">
      <c r="A19" s="38"/>
      <c r="B19" s="135"/>
      <c r="C19" s="78" t="s">
        <v>81</v>
      </c>
      <c r="D19" s="137" t="s">
        <v>23</v>
      </c>
      <c r="E19" s="137" t="s">
        <v>36</v>
      </c>
      <c r="F19" s="35"/>
      <c r="G19" s="35"/>
      <c r="H19" s="35"/>
      <c r="I19" s="35"/>
      <c r="J19" s="36"/>
      <c r="N19" s="15" t="s">
        <v>122</v>
      </c>
      <c r="O19" s="16"/>
      <c r="P19" s="17">
        <f>P14</f>
        <v>6450000</v>
      </c>
      <c r="Q19" s="372"/>
      <c r="R19" s="372"/>
      <c r="S19" s="372"/>
    </row>
    <row r="20" spans="1:19" x14ac:dyDescent="0.2">
      <c r="A20" s="38"/>
      <c r="B20" s="135"/>
      <c r="C20" s="138">
        <v>44786</v>
      </c>
      <c r="D20" s="62">
        <v>2000000</v>
      </c>
      <c r="E20" s="62">
        <v>1150000</v>
      </c>
      <c r="F20" s="35"/>
      <c r="G20" s="35"/>
      <c r="H20" s="35"/>
      <c r="I20" s="35"/>
      <c r="J20" s="36"/>
      <c r="N20" s="139" t="s">
        <v>127</v>
      </c>
      <c r="P20" s="52">
        <f>P18-P19</f>
        <v>47000000</v>
      </c>
    </row>
    <row r="21" spans="1:19" x14ac:dyDescent="0.2">
      <c r="A21" s="38"/>
      <c r="B21" s="135"/>
      <c r="C21" s="138">
        <v>44786</v>
      </c>
      <c r="D21" s="62">
        <v>2000000</v>
      </c>
      <c r="E21" s="62">
        <v>1300000</v>
      </c>
      <c r="F21" s="35"/>
      <c r="G21" s="35"/>
      <c r="H21" s="35"/>
      <c r="I21" s="35"/>
      <c r="J21" s="36"/>
      <c r="N21" s="15" t="s">
        <v>123</v>
      </c>
      <c r="O21" s="16"/>
      <c r="P21" s="17">
        <f>MIN(P20-H29,H30)</f>
        <v>22000000</v>
      </c>
    </row>
    <row r="22" spans="1:19" x14ac:dyDescent="0.2">
      <c r="A22" s="38"/>
      <c r="B22" s="135"/>
      <c r="C22" s="138">
        <v>44786</v>
      </c>
      <c r="D22" s="62">
        <v>5000000</v>
      </c>
      <c r="E22" s="62">
        <v>3750000</v>
      </c>
      <c r="F22" s="35"/>
      <c r="G22" s="35"/>
      <c r="H22" s="35"/>
      <c r="I22" s="35"/>
      <c r="J22" s="36"/>
      <c r="N22" s="12" t="s">
        <v>117</v>
      </c>
      <c r="O22" s="12"/>
      <c r="P22" s="18">
        <f>P18-P21-P19</f>
        <v>25000000</v>
      </c>
    </row>
    <row r="23" spans="1:19" x14ac:dyDescent="0.2">
      <c r="A23" s="38"/>
      <c r="B23" s="135"/>
      <c r="C23" s="138">
        <v>44786</v>
      </c>
      <c r="D23" s="62">
        <v>5000000</v>
      </c>
      <c r="E23" s="62">
        <v>5000000</v>
      </c>
      <c r="F23" s="35"/>
      <c r="G23" s="35"/>
      <c r="H23" s="35"/>
      <c r="I23" s="35"/>
      <c r="J23" s="36"/>
    </row>
    <row r="24" spans="1:19" x14ac:dyDescent="0.2">
      <c r="A24" s="38"/>
      <c r="B24" s="135"/>
      <c r="C24" s="138">
        <v>44786</v>
      </c>
      <c r="D24" s="62">
        <v>10000000</v>
      </c>
      <c r="E24" s="62">
        <v>6250000</v>
      </c>
      <c r="F24" s="35"/>
      <c r="G24" s="35"/>
      <c r="H24" s="35"/>
      <c r="I24" s="35"/>
      <c r="J24" s="36"/>
      <c r="L24" s="12" t="s">
        <v>4</v>
      </c>
    </row>
    <row r="25" spans="1:19" x14ac:dyDescent="0.2">
      <c r="A25" s="38"/>
      <c r="B25" s="135"/>
      <c r="C25" s="35"/>
      <c r="D25" s="35"/>
      <c r="E25" s="35"/>
      <c r="F25" s="35"/>
      <c r="G25" s="35"/>
      <c r="H25" s="35"/>
      <c r="I25" s="35"/>
      <c r="J25" s="36"/>
      <c r="N25" s="37" t="s">
        <v>82</v>
      </c>
      <c r="P25" s="52">
        <f>SUM(F11:F15)*1000</f>
        <v>53450000</v>
      </c>
    </row>
    <row r="26" spans="1:19" x14ac:dyDescent="0.2">
      <c r="A26" s="38"/>
      <c r="B26" s="35" t="s">
        <v>110</v>
      </c>
      <c r="C26" s="35"/>
      <c r="D26" s="35"/>
      <c r="E26" s="35"/>
      <c r="F26" s="35"/>
      <c r="G26" s="35"/>
      <c r="H26" s="35"/>
      <c r="I26" s="35"/>
      <c r="J26" s="36"/>
      <c r="M26" s="6"/>
      <c r="N26" s="19" t="s">
        <v>120</v>
      </c>
      <c r="O26" s="12"/>
      <c r="P26" s="18">
        <f>P14</f>
        <v>6450000</v>
      </c>
    </row>
    <row r="27" spans="1:19" x14ac:dyDescent="0.2">
      <c r="A27" s="38"/>
      <c r="B27" s="135"/>
      <c r="C27" s="35"/>
      <c r="D27" s="35"/>
      <c r="E27" s="35"/>
      <c r="F27" s="35"/>
      <c r="G27" s="35"/>
      <c r="H27" s="35"/>
      <c r="I27" s="35"/>
      <c r="J27" s="36"/>
      <c r="N27" s="139" t="s">
        <v>126</v>
      </c>
      <c r="P27" s="52">
        <f>P25</f>
        <v>53450000</v>
      </c>
    </row>
    <row r="28" spans="1:19" x14ac:dyDescent="0.2">
      <c r="A28" s="38"/>
      <c r="B28" s="20" t="s">
        <v>111</v>
      </c>
      <c r="C28" s="35"/>
      <c r="D28" s="35"/>
      <c r="E28" s="35"/>
      <c r="F28" s="21" t="s">
        <v>112</v>
      </c>
      <c r="G28" s="35"/>
      <c r="H28" s="35"/>
      <c r="I28" s="35"/>
      <c r="J28" s="36"/>
      <c r="N28" s="15" t="s">
        <v>123</v>
      </c>
      <c r="O28" s="16"/>
      <c r="P28" s="17">
        <f>MIN(P27-H29,H30)</f>
        <v>28450000</v>
      </c>
    </row>
    <row r="29" spans="1:19" x14ac:dyDescent="0.2">
      <c r="A29" s="38"/>
      <c r="B29" s="135" t="s">
        <v>46</v>
      </c>
      <c r="C29" s="35"/>
      <c r="D29" s="43">
        <v>1000000</v>
      </c>
      <c r="E29" s="35"/>
      <c r="F29" s="135" t="s">
        <v>46</v>
      </c>
      <c r="G29" s="35"/>
      <c r="H29" s="43">
        <v>25000000</v>
      </c>
      <c r="I29" s="35"/>
      <c r="J29" s="36"/>
      <c r="N29" s="12" t="s">
        <v>117</v>
      </c>
      <c r="O29" s="12"/>
      <c r="P29" s="18">
        <f>P25-P28-P26</f>
        <v>18550000</v>
      </c>
    </row>
    <row r="30" spans="1:19" x14ac:dyDescent="0.2">
      <c r="A30" s="38"/>
      <c r="B30" s="135" t="s">
        <v>47</v>
      </c>
      <c r="C30" s="35"/>
      <c r="D30" s="43">
        <v>2000000</v>
      </c>
      <c r="E30" s="35"/>
      <c r="F30" s="135" t="s">
        <v>47</v>
      </c>
      <c r="G30" s="35"/>
      <c r="H30" s="43">
        <v>75000000</v>
      </c>
      <c r="I30" s="35"/>
      <c r="J30" s="36"/>
    </row>
    <row r="31" spans="1:19" ht="16" customHeight="1" x14ac:dyDescent="0.2">
      <c r="A31" s="38"/>
      <c r="B31" s="135"/>
      <c r="C31" s="35"/>
      <c r="D31" s="35"/>
      <c r="E31" s="35"/>
      <c r="F31" s="35"/>
      <c r="G31" s="35"/>
      <c r="H31" s="35"/>
      <c r="I31" s="35"/>
      <c r="J31" s="36"/>
    </row>
    <row r="32" spans="1:19" x14ac:dyDescent="0.2">
      <c r="A32" s="38"/>
      <c r="B32" s="135" t="s">
        <v>113</v>
      </c>
      <c r="C32" s="35"/>
      <c r="D32" s="35"/>
      <c r="E32" s="35"/>
      <c r="F32" s="35"/>
      <c r="G32" s="35"/>
      <c r="H32" s="35"/>
      <c r="I32" s="35"/>
      <c r="J32" s="36"/>
      <c r="L32" s="12" t="s">
        <v>5</v>
      </c>
    </row>
    <row r="33" spans="1:19" x14ac:dyDescent="0.2">
      <c r="A33" s="38"/>
      <c r="B33" s="35"/>
      <c r="C33" s="35"/>
      <c r="D33" s="35"/>
      <c r="E33" s="35"/>
      <c r="F33" s="35"/>
      <c r="G33" s="35"/>
      <c r="H33" s="35"/>
      <c r="I33" s="35"/>
      <c r="J33" s="36"/>
      <c r="M33" s="372" t="s">
        <v>128</v>
      </c>
      <c r="N33" s="372"/>
      <c r="O33" s="372"/>
      <c r="P33" s="372"/>
      <c r="Q33" s="372"/>
      <c r="R33" s="372"/>
      <c r="S33" s="372"/>
    </row>
    <row r="34" spans="1:19" s="152" customFormat="1" x14ac:dyDescent="0.2">
      <c r="A34" s="81" t="s">
        <v>0</v>
      </c>
      <c r="B34" s="35" t="s">
        <v>114</v>
      </c>
      <c r="C34" s="35"/>
      <c r="D34" s="35"/>
      <c r="E34" s="35"/>
      <c r="F34" s="35"/>
      <c r="G34" s="35"/>
      <c r="H34" s="35"/>
      <c r="I34" s="35"/>
      <c r="J34" s="36"/>
      <c r="M34" s="372"/>
      <c r="N34" s="372"/>
      <c r="O34" s="372"/>
      <c r="P34" s="372"/>
      <c r="Q34" s="372"/>
      <c r="R34" s="372"/>
      <c r="S34" s="372"/>
    </row>
    <row r="35" spans="1:19" s="152" customFormat="1" ht="16" customHeight="1" x14ac:dyDescent="0.2">
      <c r="A35" s="38"/>
      <c r="B35" s="35"/>
      <c r="C35" s="35"/>
      <c r="D35" s="35"/>
      <c r="E35" s="35"/>
      <c r="F35" s="35"/>
      <c r="G35" s="35"/>
      <c r="H35" s="35"/>
      <c r="I35" s="35"/>
      <c r="J35" s="36"/>
      <c r="M35" s="372"/>
      <c r="N35" s="372"/>
      <c r="O35" s="372"/>
      <c r="P35" s="372"/>
      <c r="Q35" s="372"/>
      <c r="R35" s="372"/>
      <c r="S35" s="372"/>
    </row>
    <row r="36" spans="1:19" s="152" customFormat="1" x14ac:dyDescent="0.2">
      <c r="A36" s="163" t="s">
        <v>1</v>
      </c>
      <c r="B36" s="380" t="s">
        <v>125</v>
      </c>
      <c r="C36" s="380"/>
      <c r="D36" s="380"/>
      <c r="E36" s="380"/>
      <c r="F36" s="380"/>
      <c r="G36" s="380"/>
      <c r="H36" s="380"/>
      <c r="I36" s="380"/>
      <c r="J36" s="200"/>
      <c r="M36" s="372"/>
      <c r="N36" s="372"/>
      <c r="O36" s="372"/>
      <c r="P36" s="372"/>
      <c r="Q36" s="372"/>
      <c r="R36" s="372"/>
      <c r="S36" s="372"/>
    </row>
    <row r="37" spans="1:19" s="152" customFormat="1" ht="18.5" customHeight="1" x14ac:dyDescent="0.2">
      <c r="A37" s="149"/>
      <c r="B37" s="380"/>
      <c r="C37" s="380"/>
      <c r="D37" s="380"/>
      <c r="E37" s="380"/>
      <c r="F37" s="380"/>
      <c r="G37" s="380"/>
      <c r="H37" s="380"/>
      <c r="I37" s="380"/>
      <c r="J37" s="200"/>
      <c r="M37" s="372"/>
      <c r="N37" s="372"/>
      <c r="O37" s="372"/>
      <c r="P37" s="372"/>
      <c r="Q37" s="372"/>
      <c r="R37" s="372"/>
      <c r="S37" s="372"/>
    </row>
    <row r="38" spans="1:19" s="152" customFormat="1" x14ac:dyDescent="0.2">
      <c r="A38" s="149"/>
      <c r="B38" s="150"/>
      <c r="C38" s="150"/>
      <c r="D38" s="150"/>
      <c r="E38" s="150"/>
      <c r="F38" s="150"/>
      <c r="G38" s="150"/>
      <c r="H38" s="150"/>
      <c r="I38" s="150"/>
      <c r="J38" s="151"/>
    </row>
    <row r="39" spans="1:19" s="152" customFormat="1" ht="16" customHeight="1" x14ac:dyDescent="0.2">
      <c r="A39" s="163" t="s">
        <v>2</v>
      </c>
      <c r="B39" s="380" t="s">
        <v>129</v>
      </c>
      <c r="C39" s="380"/>
      <c r="D39" s="380"/>
      <c r="E39" s="380"/>
      <c r="F39" s="380"/>
      <c r="G39" s="380"/>
      <c r="H39" s="380"/>
      <c r="I39" s="380"/>
      <c r="J39" s="200"/>
      <c r="L39" s="5" t="s">
        <v>19</v>
      </c>
    </row>
    <row r="40" spans="1:19" s="152" customFormat="1" x14ac:dyDescent="0.2">
      <c r="A40" s="149"/>
      <c r="B40" s="380"/>
      <c r="C40" s="380"/>
      <c r="D40" s="380"/>
      <c r="E40" s="380"/>
      <c r="F40" s="380"/>
      <c r="G40" s="380"/>
      <c r="H40" s="380"/>
      <c r="I40" s="380"/>
      <c r="J40" s="200"/>
      <c r="M40" s="152" t="s">
        <v>130</v>
      </c>
    </row>
    <row r="41" spans="1:19" s="152" customFormat="1" ht="18.5" customHeight="1" x14ac:dyDescent="0.2">
      <c r="A41" s="149"/>
      <c r="B41" s="150"/>
      <c r="C41" s="150"/>
      <c r="D41" s="150"/>
      <c r="E41" s="150"/>
      <c r="F41" s="150"/>
      <c r="G41" s="150"/>
      <c r="H41" s="150"/>
      <c r="I41" s="150"/>
      <c r="J41" s="151"/>
    </row>
    <row r="42" spans="1:19" s="152" customFormat="1" ht="20" thickBot="1" x14ac:dyDescent="0.3">
      <c r="A42" s="185"/>
      <c r="B42" s="186"/>
      <c r="C42" s="187"/>
      <c r="D42" s="187"/>
      <c r="E42" s="187"/>
      <c r="F42" s="186"/>
      <c r="G42" s="186"/>
      <c r="H42" s="186"/>
      <c r="I42" s="186"/>
      <c r="J42" s="188"/>
      <c r="L42" s="2" t="s">
        <v>290</v>
      </c>
    </row>
    <row r="43" spans="1:19" s="152" customFormat="1" ht="17" thickBot="1" x14ac:dyDescent="0.25">
      <c r="A43" s="185" t="s">
        <v>7</v>
      </c>
      <c r="B43" s="186"/>
      <c r="C43" s="187"/>
      <c r="D43" s="187"/>
      <c r="E43" s="187"/>
      <c r="F43" s="186"/>
      <c r="G43" s="186"/>
      <c r="H43" s="186"/>
      <c r="I43" s="186"/>
      <c r="J43" s="188"/>
      <c r="M43" s="152" t="s">
        <v>285</v>
      </c>
    </row>
    <row r="44" spans="1:19" s="152" customFormat="1" x14ac:dyDescent="0.2">
      <c r="M44" s="152" t="s">
        <v>286</v>
      </c>
    </row>
    <row r="45" spans="1:19" s="152" customFormat="1" x14ac:dyDescent="0.2">
      <c r="M45" s="12"/>
    </row>
    <row r="46" spans="1:19" s="152" customFormat="1" x14ac:dyDescent="0.2">
      <c r="M46" s="12"/>
    </row>
    <row r="47" spans="1:19" s="152" customFormat="1" x14ac:dyDescent="0.2">
      <c r="M47" s="12"/>
    </row>
    <row r="48" spans="1:19" s="152" customFormat="1" x14ac:dyDescent="0.2"/>
    <row r="49" s="152" customFormat="1" x14ac:dyDescent="0.2"/>
    <row r="50" s="152" customFormat="1" x14ac:dyDescent="0.2"/>
    <row r="51" s="152" customFormat="1" x14ac:dyDescent="0.2"/>
    <row r="52" s="152" customFormat="1" x14ac:dyDescent="0.2"/>
    <row r="53" s="152" customFormat="1" x14ac:dyDescent="0.2"/>
    <row r="54" s="152" customFormat="1" x14ac:dyDescent="0.2"/>
    <row r="55" s="152" customFormat="1" x14ac:dyDescent="0.2"/>
    <row r="56" s="152" customFormat="1" x14ac:dyDescent="0.2"/>
    <row r="57" s="152" customFormat="1" x14ac:dyDescent="0.2"/>
    <row r="58" s="152" customFormat="1" x14ac:dyDescent="0.2"/>
    <row r="59" s="152" customFormat="1" x14ac:dyDescent="0.2"/>
    <row r="60" s="152" customFormat="1" x14ac:dyDescent="0.2"/>
    <row r="61" s="152" customFormat="1" x14ac:dyDescent="0.2"/>
    <row r="62" s="152" customFormat="1" x14ac:dyDescent="0.2"/>
    <row r="63" s="152" customFormat="1" x14ac:dyDescent="0.2"/>
    <row r="64" s="152" customFormat="1" x14ac:dyDescent="0.2"/>
    <row r="65" spans="14:14" s="152" customFormat="1" x14ac:dyDescent="0.2"/>
    <row r="66" spans="14:14" s="152" customFormat="1" x14ac:dyDescent="0.2"/>
    <row r="67" spans="14:14" s="152" customFormat="1" x14ac:dyDescent="0.2"/>
    <row r="68" spans="14:14" s="152" customFormat="1" x14ac:dyDescent="0.2"/>
    <row r="69" spans="14:14" s="152" customFormat="1" x14ac:dyDescent="0.2"/>
    <row r="70" spans="14:14" s="152" customFormat="1" x14ac:dyDescent="0.2"/>
    <row r="71" spans="14:14" s="152" customFormat="1" x14ac:dyDescent="0.2"/>
    <row r="72" spans="14:14" s="152" customFormat="1" x14ac:dyDescent="0.2"/>
    <row r="73" spans="14:14" s="152" customFormat="1" x14ac:dyDescent="0.2"/>
    <row r="74" spans="14:14" s="152" customFormat="1" x14ac:dyDescent="0.2">
      <c r="N74" s="157"/>
    </row>
    <row r="75" spans="14:14" s="152" customFormat="1" x14ac:dyDescent="0.2"/>
    <row r="76" spans="14:14" s="152" customFormat="1" x14ac:dyDescent="0.2"/>
    <row r="77" spans="14:14" s="152" customFormat="1" x14ac:dyDescent="0.2"/>
    <row r="78" spans="14:14" s="152" customFormat="1" x14ac:dyDescent="0.2"/>
    <row r="79" spans="14:14" s="152" customFormat="1" x14ac:dyDescent="0.2"/>
    <row r="80" spans="14:14" s="152" customFormat="1" x14ac:dyDescent="0.2"/>
    <row r="81" spans="14:14" s="152" customFormat="1" x14ac:dyDescent="0.2"/>
    <row r="82" spans="14:14" s="152" customFormat="1" x14ac:dyDescent="0.2"/>
    <row r="83" spans="14:14" s="152" customFormat="1" x14ac:dyDescent="0.2"/>
    <row r="84" spans="14:14" s="152" customFormat="1" x14ac:dyDescent="0.2">
      <c r="N84" s="157"/>
    </row>
    <row r="85" spans="14:14" s="152" customFormat="1" x14ac:dyDescent="0.2"/>
    <row r="86" spans="14:14" s="152" customFormat="1" x14ac:dyDescent="0.2"/>
    <row r="87" spans="14:14" s="152" customFormat="1" x14ac:dyDescent="0.2"/>
    <row r="88" spans="14:14" s="152" customFormat="1" x14ac:dyDescent="0.2"/>
    <row r="89" spans="14:14" s="152" customFormat="1" x14ac:dyDescent="0.2"/>
    <row r="90" spans="14:14" s="152" customFormat="1" x14ac:dyDescent="0.2"/>
    <row r="91" spans="14:14" s="152" customFormat="1" x14ac:dyDescent="0.2"/>
    <row r="92" spans="14:14" s="152" customFormat="1" x14ac:dyDescent="0.2"/>
    <row r="93" spans="14:14" s="152" customFormat="1" x14ac:dyDescent="0.2"/>
    <row r="94" spans="14:14" s="152" customFormat="1" x14ac:dyDescent="0.2">
      <c r="N94" s="157"/>
    </row>
    <row r="95" spans="14:14" s="152" customFormat="1" x14ac:dyDescent="0.2"/>
    <row r="96" spans="14:14" s="152" customFormat="1" x14ac:dyDescent="0.2"/>
    <row r="97" s="152" customFormat="1" x14ac:dyDescent="0.2"/>
    <row r="98" s="152" customFormat="1" x14ac:dyDescent="0.2"/>
    <row r="99" s="152" customFormat="1" x14ac:dyDescent="0.2"/>
    <row r="100" s="152" customFormat="1" x14ac:dyDescent="0.2"/>
    <row r="101" s="152" customFormat="1" x14ac:dyDescent="0.2"/>
    <row r="102" s="152" customFormat="1" x14ac:dyDescent="0.2"/>
    <row r="103" s="152" customFormat="1" x14ac:dyDescent="0.2"/>
    <row r="104" s="152" customFormat="1" x14ac:dyDescent="0.2"/>
    <row r="105" s="152" customFormat="1" x14ac:dyDescent="0.2"/>
    <row r="106" s="152" customFormat="1" x14ac:dyDescent="0.2"/>
    <row r="107" s="152" customFormat="1" x14ac:dyDescent="0.2"/>
    <row r="108" s="152" customFormat="1" x14ac:dyDescent="0.2"/>
    <row r="109" s="152" customFormat="1" x14ac:dyDescent="0.2"/>
    <row r="110" s="152" customFormat="1" x14ac:dyDescent="0.2"/>
    <row r="111" s="152" customFormat="1" x14ac:dyDescent="0.2"/>
    <row r="112" s="152" customFormat="1" x14ac:dyDescent="0.2"/>
    <row r="113" s="152" customFormat="1" x14ac:dyDescent="0.2"/>
    <row r="114" s="152" customFormat="1" x14ac:dyDescent="0.2"/>
    <row r="115" s="152" customFormat="1" x14ac:dyDescent="0.2"/>
    <row r="116" s="152" customFormat="1" x14ac:dyDescent="0.2"/>
    <row r="117" s="152" customFormat="1" x14ac:dyDescent="0.2"/>
    <row r="118" s="152" customFormat="1" x14ac:dyDescent="0.2"/>
    <row r="119" s="152" customFormat="1" x14ac:dyDescent="0.2"/>
    <row r="120" s="152" customFormat="1" x14ac:dyDescent="0.2"/>
    <row r="121" s="152" customFormat="1" x14ac:dyDescent="0.2"/>
    <row r="122" s="152" customFormat="1" x14ac:dyDescent="0.2"/>
    <row r="123" s="152" customFormat="1" x14ac:dyDescent="0.2"/>
    <row r="124" s="152" customFormat="1" x14ac:dyDescent="0.2"/>
    <row r="125" s="152" customFormat="1" x14ac:dyDescent="0.2"/>
    <row r="126" s="152" customFormat="1" x14ac:dyDescent="0.2"/>
    <row r="127" s="152" customFormat="1" x14ac:dyDescent="0.2"/>
    <row r="128" s="152" customFormat="1" x14ac:dyDescent="0.2"/>
    <row r="129" s="152" customFormat="1" x14ac:dyDescent="0.2"/>
    <row r="130" s="152" customFormat="1" x14ac:dyDescent="0.2"/>
    <row r="131" s="152" customFormat="1" x14ac:dyDescent="0.2"/>
    <row r="132" s="152" customFormat="1" x14ac:dyDescent="0.2"/>
    <row r="133" s="152" customFormat="1" x14ac:dyDescent="0.2"/>
    <row r="134" s="152" customFormat="1" x14ac:dyDescent="0.2"/>
    <row r="135" s="152" customFormat="1" x14ac:dyDescent="0.2"/>
    <row r="136" s="152" customFormat="1" x14ac:dyDescent="0.2"/>
    <row r="137" s="152" customFormat="1" x14ac:dyDescent="0.2"/>
    <row r="138" s="152" customFormat="1" x14ac:dyDescent="0.2"/>
    <row r="139" s="152" customFormat="1" x14ac:dyDescent="0.2"/>
    <row r="140" s="152" customFormat="1" x14ac:dyDescent="0.2"/>
    <row r="141" s="152" customFormat="1" x14ac:dyDescent="0.2"/>
    <row r="142" s="152" customFormat="1" x14ac:dyDescent="0.2"/>
    <row r="143" s="152" customFormat="1" x14ac:dyDescent="0.2"/>
    <row r="144" s="152" customFormat="1" x14ac:dyDescent="0.2"/>
    <row r="145" s="152" customFormat="1" x14ac:dyDescent="0.2"/>
    <row r="146" s="152" customFormat="1" x14ac:dyDescent="0.2"/>
    <row r="147" s="152" customFormat="1" x14ac:dyDescent="0.2"/>
    <row r="148" s="152" customFormat="1" x14ac:dyDescent="0.2"/>
    <row r="149" s="152" customFormat="1" x14ac:dyDescent="0.2"/>
    <row r="150" s="152" customFormat="1" x14ac:dyDescent="0.2"/>
    <row r="151" s="152" customFormat="1" x14ac:dyDescent="0.2"/>
    <row r="152" s="152" customFormat="1" x14ac:dyDescent="0.2"/>
    <row r="153" s="152" customFormat="1" x14ac:dyDescent="0.2"/>
    <row r="154" s="152" customFormat="1" x14ac:dyDescent="0.2"/>
    <row r="155" s="152" customFormat="1" x14ac:dyDescent="0.2"/>
    <row r="156" s="152" customFormat="1" x14ac:dyDescent="0.2"/>
    <row r="157" s="152" customFormat="1" x14ac:dyDescent="0.2"/>
    <row r="158" s="152" customFormat="1" x14ac:dyDescent="0.2"/>
    <row r="159" s="152" customFormat="1" x14ac:dyDescent="0.2"/>
    <row r="160" s="152" customFormat="1" x14ac:dyDescent="0.2"/>
    <row r="161" s="152" customFormat="1" x14ac:dyDescent="0.2"/>
    <row r="162" s="152" customFormat="1" x14ac:dyDescent="0.2"/>
    <row r="163" s="152" customFormat="1" x14ac:dyDescent="0.2"/>
    <row r="164" s="152" customFormat="1" x14ac:dyDescent="0.2"/>
    <row r="165" s="152" customFormat="1" x14ac:dyDescent="0.2"/>
    <row r="166" s="152" customFormat="1" x14ac:dyDescent="0.2"/>
    <row r="167" s="152" customFormat="1" x14ac:dyDescent="0.2"/>
    <row r="168" s="152" customFormat="1" x14ac:dyDescent="0.2"/>
    <row r="169" s="152" customFormat="1" x14ac:dyDescent="0.2"/>
    <row r="170" s="152" customFormat="1" x14ac:dyDescent="0.2"/>
    <row r="171" s="152" customFormat="1" x14ac:dyDescent="0.2"/>
    <row r="172" s="152" customFormat="1" x14ac:dyDescent="0.2"/>
    <row r="173" s="152" customFormat="1" x14ac:dyDescent="0.2"/>
    <row r="174" s="152" customFormat="1" x14ac:dyDescent="0.2"/>
    <row r="175" s="152" customFormat="1" x14ac:dyDescent="0.2"/>
    <row r="176" s="152" customFormat="1" x14ac:dyDescent="0.2"/>
    <row r="177" s="152" customFormat="1" x14ac:dyDescent="0.2"/>
    <row r="178" s="152" customFormat="1" x14ac:dyDescent="0.2"/>
    <row r="179" s="152" customFormat="1" x14ac:dyDescent="0.2"/>
    <row r="180" s="152" customFormat="1" x14ac:dyDescent="0.2"/>
    <row r="181" s="152" customFormat="1" x14ac:dyDescent="0.2"/>
    <row r="182" s="152" customFormat="1" x14ac:dyDescent="0.2"/>
    <row r="183" s="152" customFormat="1" x14ac:dyDescent="0.2"/>
    <row r="184" s="152" customFormat="1" x14ac:dyDescent="0.2"/>
    <row r="185" s="152" customFormat="1" x14ac:dyDescent="0.2"/>
    <row r="186" s="152" customFormat="1" x14ac:dyDescent="0.2"/>
    <row r="187" s="152" customFormat="1" x14ac:dyDescent="0.2"/>
    <row r="188" s="152" customFormat="1" x14ac:dyDescent="0.2"/>
    <row r="189" s="152" customFormat="1" x14ac:dyDescent="0.2"/>
    <row r="190" s="152" customFormat="1" x14ac:dyDescent="0.2"/>
    <row r="191" s="152" customFormat="1" x14ac:dyDescent="0.2"/>
    <row r="192" s="152" customFormat="1" x14ac:dyDescent="0.2"/>
    <row r="193" s="152" customFormat="1" x14ac:dyDescent="0.2"/>
    <row r="194" s="152" customFormat="1" x14ac:dyDescent="0.2"/>
    <row r="195" s="152" customFormat="1" x14ac:dyDescent="0.2"/>
    <row r="196" s="152" customFormat="1" x14ac:dyDescent="0.2"/>
    <row r="197" s="152" customFormat="1" x14ac:dyDescent="0.2"/>
    <row r="198" s="152" customFormat="1" x14ac:dyDescent="0.2"/>
    <row r="199" s="152" customFormat="1" x14ac:dyDescent="0.2"/>
    <row r="200" s="152" customFormat="1" x14ac:dyDescent="0.2"/>
    <row r="201" s="152" customFormat="1" x14ac:dyDescent="0.2"/>
    <row r="202" s="152" customFormat="1" x14ac:dyDescent="0.2"/>
    <row r="203" s="152" customFormat="1" x14ac:dyDescent="0.2"/>
    <row r="204" s="152" customFormat="1" x14ac:dyDescent="0.2"/>
    <row r="205" s="152" customFormat="1" x14ac:dyDescent="0.2"/>
    <row r="206" s="152" customFormat="1" x14ac:dyDescent="0.2"/>
    <row r="207" s="152" customFormat="1" x14ac:dyDescent="0.2"/>
    <row r="208" s="152" customFormat="1" x14ac:dyDescent="0.2"/>
    <row r="209" s="152" customFormat="1" x14ac:dyDescent="0.2"/>
    <row r="210" s="152" customFormat="1" x14ac:dyDescent="0.2"/>
    <row r="211" s="152" customFormat="1" x14ac:dyDescent="0.2"/>
    <row r="212" s="152" customFormat="1" x14ac:dyDescent="0.2"/>
    <row r="213" s="152" customFormat="1" x14ac:dyDescent="0.2"/>
    <row r="214" s="152" customFormat="1" x14ac:dyDescent="0.2"/>
    <row r="215" s="152" customFormat="1" x14ac:dyDescent="0.2"/>
    <row r="216" s="152" customFormat="1" x14ac:dyDescent="0.2"/>
    <row r="217" s="152" customFormat="1" x14ac:dyDescent="0.2"/>
    <row r="218" s="152" customFormat="1" x14ac:dyDescent="0.2"/>
    <row r="219" s="152" customFormat="1" x14ac:dyDescent="0.2"/>
    <row r="220" s="152" customFormat="1" x14ac:dyDescent="0.2"/>
    <row r="221" s="152" customFormat="1" x14ac:dyDescent="0.2"/>
    <row r="222" s="152" customFormat="1" x14ac:dyDescent="0.2"/>
    <row r="223" s="152" customFormat="1" x14ac:dyDescent="0.2"/>
    <row r="224" s="152" customFormat="1" x14ac:dyDescent="0.2"/>
    <row r="225" s="152" customFormat="1" x14ac:dyDescent="0.2"/>
    <row r="226" s="152" customFormat="1" x14ac:dyDescent="0.2"/>
    <row r="227" s="152" customFormat="1" x14ac:dyDescent="0.2"/>
    <row r="228" s="152" customFormat="1" x14ac:dyDescent="0.2"/>
    <row r="229" s="152" customFormat="1" x14ac:dyDescent="0.2"/>
    <row r="230" s="152" customFormat="1" x14ac:dyDescent="0.2"/>
    <row r="231" s="152" customFormat="1" x14ac:dyDescent="0.2"/>
    <row r="232" s="152" customFormat="1" x14ac:dyDescent="0.2"/>
    <row r="233" s="152" customFormat="1" x14ac:dyDescent="0.2"/>
    <row r="234" s="152" customFormat="1" x14ac:dyDescent="0.2"/>
    <row r="235" s="152" customFormat="1" x14ac:dyDescent="0.2"/>
    <row r="236" s="152" customFormat="1" x14ac:dyDescent="0.2"/>
    <row r="237" s="152" customFormat="1" x14ac:dyDescent="0.2"/>
    <row r="238" s="152" customFormat="1" x14ac:dyDescent="0.2"/>
    <row r="239" s="152" customFormat="1" x14ac:dyDescent="0.2"/>
    <row r="240" s="152" customFormat="1" x14ac:dyDescent="0.2"/>
    <row r="241" s="152" customFormat="1" x14ac:dyDescent="0.2"/>
    <row r="242" s="152" customFormat="1" x14ac:dyDescent="0.2"/>
    <row r="243" s="152" customFormat="1" x14ac:dyDescent="0.2"/>
    <row r="244" s="152" customFormat="1" x14ac:dyDescent="0.2"/>
    <row r="245" s="152" customFormat="1" x14ac:dyDescent="0.2"/>
    <row r="246" s="152" customFormat="1" x14ac:dyDescent="0.2"/>
    <row r="247" s="152" customFormat="1" x14ac:dyDescent="0.2"/>
    <row r="248" s="152" customFormat="1" x14ac:dyDescent="0.2"/>
    <row r="249" s="152" customFormat="1" x14ac:dyDescent="0.2"/>
    <row r="250" s="152" customFormat="1" x14ac:dyDescent="0.2"/>
    <row r="251" s="152" customFormat="1" x14ac:dyDescent="0.2"/>
    <row r="252" s="152" customFormat="1" x14ac:dyDescent="0.2"/>
    <row r="253" s="152" customFormat="1" x14ac:dyDescent="0.2"/>
    <row r="254" s="152" customFormat="1" x14ac:dyDescent="0.2"/>
    <row r="255" s="152" customFormat="1" x14ac:dyDescent="0.2"/>
    <row r="256" s="152" customFormat="1" x14ac:dyDescent="0.2"/>
    <row r="257" s="152" customFormat="1" x14ac:dyDescent="0.2"/>
    <row r="258" s="152" customFormat="1" x14ac:dyDescent="0.2"/>
    <row r="259" s="152" customFormat="1" x14ac:dyDescent="0.2"/>
    <row r="260" s="152" customFormat="1" x14ac:dyDescent="0.2"/>
    <row r="261" s="152" customFormat="1" x14ac:dyDescent="0.2"/>
    <row r="262" s="152" customFormat="1" x14ac:dyDescent="0.2"/>
    <row r="263" s="152" customFormat="1" x14ac:dyDescent="0.2"/>
    <row r="264" s="152" customFormat="1" x14ac:dyDescent="0.2"/>
    <row r="265" s="152" customFormat="1" x14ac:dyDescent="0.2"/>
    <row r="266" s="152" customFormat="1" x14ac:dyDescent="0.2"/>
    <row r="267" s="152" customFormat="1" x14ac:dyDescent="0.2"/>
    <row r="268" s="152" customFormat="1" x14ac:dyDescent="0.2"/>
    <row r="269" s="152" customFormat="1" x14ac:dyDescent="0.2"/>
    <row r="270" s="152" customFormat="1" x14ac:dyDescent="0.2"/>
    <row r="271" s="152" customFormat="1" x14ac:dyDescent="0.2"/>
    <row r="272" s="152" customFormat="1" x14ac:dyDescent="0.2"/>
    <row r="273" spans="1:10" s="152" customFormat="1" x14ac:dyDescent="0.2"/>
    <row r="274" spans="1:10" s="152" customFormat="1" x14ac:dyDescent="0.2"/>
    <row r="275" spans="1:10" s="152" customFormat="1" x14ac:dyDescent="0.2"/>
    <row r="276" spans="1:10" s="152" customFormat="1" x14ac:dyDescent="0.2"/>
    <row r="277" spans="1:10" s="152" customFormat="1" x14ac:dyDescent="0.2"/>
    <row r="278" spans="1:10" s="152" customFormat="1" x14ac:dyDescent="0.2"/>
    <row r="279" spans="1:10" s="152" customFormat="1" x14ac:dyDescent="0.2"/>
    <row r="280" spans="1:10" s="152" customFormat="1" x14ac:dyDescent="0.2"/>
    <row r="281" spans="1:10" s="152" customFormat="1" x14ac:dyDescent="0.2"/>
    <row r="282" spans="1:10" s="152" customFormat="1" x14ac:dyDescent="0.2"/>
    <row r="283" spans="1:10" s="152" customFormat="1" x14ac:dyDescent="0.2"/>
    <row r="284" spans="1:10" s="152" customFormat="1" x14ac:dyDescent="0.2"/>
    <row r="285" spans="1:10" x14ac:dyDescent="0.2">
      <c r="A285" s="152"/>
      <c r="B285" s="152"/>
      <c r="C285" s="152"/>
      <c r="D285" s="152"/>
      <c r="E285" s="152"/>
      <c r="F285" s="152"/>
      <c r="G285" s="152"/>
      <c r="H285" s="152"/>
      <c r="I285" s="152"/>
      <c r="J285" s="152"/>
    </row>
    <row r="286" spans="1:10" x14ac:dyDescent="0.2">
      <c r="A286" s="152"/>
      <c r="B286" s="152"/>
      <c r="C286" s="152"/>
      <c r="D286" s="152"/>
      <c r="E286" s="152"/>
      <c r="F286" s="152"/>
      <c r="G286" s="152"/>
      <c r="H286" s="152"/>
      <c r="I286" s="152"/>
      <c r="J286" s="152"/>
    </row>
  </sheetData>
  <mergeCells count="9">
    <mergeCell ref="B39:I40"/>
    <mergeCell ref="B3:I5"/>
    <mergeCell ref="M5:S6"/>
    <mergeCell ref="M33:S37"/>
    <mergeCell ref="Q18:S19"/>
    <mergeCell ref="B36:I37"/>
    <mergeCell ref="F8:F10"/>
    <mergeCell ref="E8:E10"/>
    <mergeCell ref="D8:D10"/>
  </mergeCells>
  <pageMargins left="0.7" right="0.7" top="0.75" bottom="0.75" header="0.3" footer="0.3"/>
  <pageSetup scale="82"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0C287-71F0-3146-BD71-A62F19D18BFF}">
  <sheetPr>
    <pageSetUpPr fitToPage="1"/>
  </sheetPr>
  <dimension ref="A1:U284"/>
  <sheetViews>
    <sheetView zoomScaleNormal="100" workbookViewId="0"/>
  </sheetViews>
  <sheetFormatPr baseColWidth="10" defaultColWidth="10.83203125" defaultRowHeight="16" outlineLevelCol="1" x14ac:dyDescent="0.2"/>
  <cols>
    <col min="1" max="1" width="4.6640625" style="37" customWidth="1"/>
    <col min="2" max="10" width="10.83203125" style="37" customWidth="1"/>
    <col min="11" max="11" width="10.83203125" style="37"/>
    <col min="12" max="20" width="10.83203125" style="37" hidden="1" customWidth="1" outlineLevel="1"/>
    <col min="21" max="21" width="10.83203125" style="37" customWidth="1" collapsed="1"/>
    <col min="22" max="16384" width="10.83203125" style="37"/>
  </cols>
  <sheetData>
    <row r="1" spans="1:19" ht="19" x14ac:dyDescent="0.25">
      <c r="A1" s="1" t="s">
        <v>275</v>
      </c>
      <c r="B1" s="3"/>
      <c r="C1" s="26"/>
      <c r="D1" s="26"/>
      <c r="E1" s="26"/>
      <c r="F1" s="35"/>
      <c r="G1" s="35"/>
      <c r="H1" s="35"/>
      <c r="I1" s="35"/>
      <c r="J1" s="36"/>
      <c r="K1" s="5" t="s">
        <v>6</v>
      </c>
      <c r="L1" s="5"/>
    </row>
    <row r="2" spans="1:19" x14ac:dyDescent="0.2">
      <c r="A2" s="38"/>
      <c r="B2" s="35"/>
      <c r="C2" s="35"/>
      <c r="D2" s="35"/>
      <c r="E2" s="35"/>
      <c r="F2" s="35"/>
      <c r="G2" s="35"/>
      <c r="H2" s="35"/>
      <c r="I2" s="35"/>
      <c r="J2" s="36"/>
      <c r="L2" s="22" t="s">
        <v>133</v>
      </c>
      <c r="N2" s="39"/>
    </row>
    <row r="3" spans="1:19" ht="15" customHeight="1" x14ac:dyDescent="0.2">
      <c r="A3" s="38"/>
      <c r="B3" s="379" t="s">
        <v>41</v>
      </c>
      <c r="C3" s="379"/>
      <c r="D3" s="379"/>
      <c r="E3" s="379"/>
      <c r="F3" s="379"/>
      <c r="G3" s="379"/>
      <c r="H3" s="379"/>
      <c r="I3" s="379"/>
      <c r="J3" s="36"/>
      <c r="L3" s="372" t="s">
        <v>141</v>
      </c>
      <c r="M3" s="372"/>
      <c r="N3" s="372"/>
      <c r="O3" s="372"/>
      <c r="P3" s="372"/>
      <c r="Q3" s="372"/>
      <c r="R3" s="372"/>
      <c r="S3" s="372"/>
    </row>
    <row r="4" spans="1:19" x14ac:dyDescent="0.2">
      <c r="A4" s="38"/>
      <c r="B4" s="379"/>
      <c r="C4" s="379"/>
      <c r="D4" s="379"/>
      <c r="E4" s="379"/>
      <c r="F4" s="379"/>
      <c r="G4" s="379"/>
      <c r="H4" s="379"/>
      <c r="I4" s="379"/>
      <c r="J4" s="36"/>
      <c r="L4" s="372"/>
      <c r="M4" s="372"/>
      <c r="N4" s="372"/>
      <c r="O4" s="372"/>
      <c r="P4" s="372"/>
      <c r="Q4" s="372"/>
      <c r="R4" s="372"/>
      <c r="S4" s="372"/>
    </row>
    <row r="5" spans="1:19" x14ac:dyDescent="0.2">
      <c r="A5" s="38"/>
      <c r="B5" s="35"/>
      <c r="C5" s="35"/>
      <c r="D5" s="35"/>
      <c r="E5" s="35"/>
      <c r="F5" s="35"/>
      <c r="G5" s="35"/>
      <c r="H5" s="35"/>
      <c r="I5" s="35"/>
      <c r="J5" s="36"/>
      <c r="L5" s="372"/>
      <c r="M5" s="372"/>
      <c r="N5" s="372"/>
      <c r="O5" s="372"/>
      <c r="P5" s="372"/>
      <c r="Q5" s="372"/>
      <c r="R5" s="372"/>
      <c r="S5" s="372"/>
    </row>
    <row r="6" spans="1:19" x14ac:dyDescent="0.2">
      <c r="A6" s="38"/>
      <c r="B6" s="56" t="s">
        <v>42</v>
      </c>
      <c r="C6" s="35"/>
      <c r="D6" s="35"/>
      <c r="E6" s="35"/>
      <c r="F6" s="35"/>
      <c r="G6" s="35"/>
      <c r="H6" s="35"/>
      <c r="I6" s="35"/>
      <c r="J6" s="36"/>
      <c r="L6" s="372"/>
      <c r="M6" s="372"/>
      <c r="N6" s="372"/>
      <c r="O6" s="372"/>
      <c r="P6" s="372"/>
      <c r="Q6" s="372"/>
      <c r="R6" s="372"/>
      <c r="S6" s="372"/>
    </row>
    <row r="7" spans="1:19" x14ac:dyDescent="0.2">
      <c r="A7" s="38"/>
      <c r="B7" s="56" t="s">
        <v>43</v>
      </c>
      <c r="C7" s="35"/>
      <c r="D7" s="35"/>
      <c r="E7" s="35"/>
      <c r="F7" s="35"/>
      <c r="G7" s="35"/>
      <c r="H7" s="35"/>
      <c r="I7" s="35"/>
      <c r="J7" s="36"/>
      <c r="L7" s="372"/>
      <c r="M7" s="372"/>
      <c r="N7" s="372"/>
      <c r="O7" s="372"/>
      <c r="P7" s="372"/>
      <c r="Q7" s="372"/>
      <c r="R7" s="372"/>
      <c r="S7" s="372"/>
    </row>
    <row r="8" spans="1:19" x14ac:dyDescent="0.2">
      <c r="A8" s="38"/>
      <c r="B8" s="56" t="s">
        <v>44</v>
      </c>
      <c r="C8" s="35"/>
      <c r="D8" s="35"/>
      <c r="E8" s="35"/>
      <c r="F8" s="35"/>
      <c r="G8" s="35"/>
      <c r="H8" s="35"/>
      <c r="I8" s="35"/>
      <c r="J8" s="36"/>
      <c r="L8" s="372"/>
      <c r="M8" s="372"/>
      <c r="N8" s="372"/>
      <c r="O8" s="372"/>
      <c r="P8" s="372"/>
      <c r="Q8" s="372"/>
      <c r="R8" s="372"/>
      <c r="S8" s="372"/>
    </row>
    <row r="9" spans="1:19" x14ac:dyDescent="0.2">
      <c r="A9" s="38"/>
      <c r="B9" s="56" t="s">
        <v>45</v>
      </c>
      <c r="C9" s="35"/>
      <c r="D9" s="35"/>
      <c r="E9" s="35"/>
      <c r="F9" s="35"/>
      <c r="G9" s="35"/>
      <c r="H9" s="35"/>
      <c r="I9" s="35"/>
      <c r="J9" s="36"/>
      <c r="L9" s="372"/>
      <c r="M9" s="372"/>
      <c r="N9" s="372"/>
      <c r="O9" s="372"/>
      <c r="P9" s="372"/>
      <c r="Q9" s="372"/>
      <c r="R9" s="372"/>
      <c r="S9" s="372"/>
    </row>
    <row r="10" spans="1:19" x14ac:dyDescent="0.2">
      <c r="A10" s="38"/>
      <c r="B10" s="35"/>
      <c r="C10" s="35"/>
      <c r="D10" s="35"/>
      <c r="E10" s="35"/>
      <c r="F10" s="35"/>
      <c r="G10" s="35"/>
      <c r="H10" s="35"/>
      <c r="I10" s="35"/>
      <c r="J10" s="36"/>
    </row>
    <row r="11" spans="1:19" ht="17" thickBot="1" x14ac:dyDescent="0.25">
      <c r="A11" s="114"/>
      <c r="B11" s="115"/>
      <c r="C11" s="116"/>
      <c r="D11" s="116"/>
      <c r="E11" s="116"/>
      <c r="F11" s="115"/>
      <c r="G11" s="115"/>
      <c r="H11" s="115"/>
      <c r="I11" s="115"/>
      <c r="J11" s="117"/>
      <c r="L11" s="22" t="s">
        <v>134</v>
      </c>
    </row>
    <row r="12" spans="1:19" ht="17" customHeight="1" thickBot="1" x14ac:dyDescent="0.25">
      <c r="A12" s="114" t="s">
        <v>7</v>
      </c>
      <c r="B12" s="115"/>
      <c r="C12" s="116"/>
      <c r="D12" s="116"/>
      <c r="E12" s="116"/>
      <c r="F12" s="115"/>
      <c r="G12" s="115"/>
      <c r="H12" s="115"/>
      <c r="I12" s="115"/>
      <c r="J12" s="117"/>
      <c r="L12" s="372" t="s">
        <v>137</v>
      </c>
      <c r="M12" s="372"/>
      <c r="N12" s="372"/>
      <c r="O12" s="372"/>
      <c r="P12" s="372"/>
      <c r="Q12" s="372"/>
      <c r="R12" s="372"/>
      <c r="S12" s="372"/>
    </row>
    <row r="13" spans="1:19" x14ac:dyDescent="0.2">
      <c r="L13" s="372"/>
      <c r="M13" s="372"/>
      <c r="N13" s="372"/>
      <c r="O13" s="372"/>
      <c r="P13" s="372"/>
      <c r="Q13" s="372"/>
      <c r="R13" s="372"/>
      <c r="S13" s="372"/>
    </row>
    <row r="14" spans="1:19" x14ac:dyDescent="0.2">
      <c r="L14" s="372"/>
      <c r="M14" s="372"/>
      <c r="N14" s="372"/>
      <c r="O14" s="372"/>
      <c r="P14" s="372"/>
      <c r="Q14" s="372"/>
      <c r="R14" s="372"/>
      <c r="S14" s="372"/>
    </row>
    <row r="15" spans="1:19" x14ac:dyDescent="0.2">
      <c r="L15" s="372"/>
      <c r="M15" s="372"/>
      <c r="N15" s="372"/>
      <c r="O15" s="372"/>
      <c r="P15" s="372"/>
      <c r="Q15" s="372"/>
      <c r="R15" s="372"/>
      <c r="S15" s="372"/>
    </row>
    <row r="16" spans="1:19" x14ac:dyDescent="0.2">
      <c r="L16" s="120"/>
      <c r="M16" s="120"/>
      <c r="N16" s="120"/>
      <c r="O16" s="120"/>
      <c r="P16" s="120"/>
      <c r="Q16" s="120"/>
      <c r="R16" s="120"/>
      <c r="S16" s="120"/>
    </row>
    <row r="17" spans="12:19" x14ac:dyDescent="0.2">
      <c r="L17" s="22" t="s">
        <v>135</v>
      </c>
    </row>
    <row r="18" spans="12:19" ht="16" customHeight="1" x14ac:dyDescent="0.2">
      <c r="L18" s="372" t="s">
        <v>139</v>
      </c>
      <c r="M18" s="372"/>
      <c r="N18" s="372"/>
      <c r="O18" s="372"/>
      <c r="P18" s="372"/>
      <c r="Q18" s="372"/>
      <c r="R18" s="372"/>
      <c r="S18" s="372"/>
    </row>
    <row r="19" spans="12:19" x14ac:dyDescent="0.2">
      <c r="L19" s="372"/>
      <c r="M19" s="372"/>
      <c r="N19" s="372"/>
      <c r="O19" s="372"/>
      <c r="P19" s="372"/>
      <c r="Q19" s="372"/>
      <c r="R19" s="372"/>
      <c r="S19" s="372"/>
    </row>
    <row r="20" spans="12:19" x14ac:dyDescent="0.2">
      <c r="L20" s="372"/>
      <c r="M20" s="372"/>
      <c r="N20" s="372"/>
      <c r="O20" s="372"/>
      <c r="P20" s="372"/>
      <c r="Q20" s="372"/>
      <c r="R20" s="372"/>
      <c r="S20" s="372"/>
    </row>
    <row r="21" spans="12:19" x14ac:dyDescent="0.2">
      <c r="L21" s="372"/>
      <c r="M21" s="372"/>
      <c r="N21" s="372"/>
      <c r="O21" s="372"/>
      <c r="P21" s="372"/>
      <c r="Q21" s="372"/>
      <c r="R21" s="372"/>
      <c r="S21" s="372"/>
    </row>
    <row r="22" spans="12:19" x14ac:dyDescent="0.2">
      <c r="L22" s="6"/>
    </row>
    <row r="23" spans="12:19" x14ac:dyDescent="0.2">
      <c r="L23" s="22" t="s">
        <v>136</v>
      </c>
    </row>
    <row r="24" spans="12:19" x14ac:dyDescent="0.2">
      <c r="L24" s="372" t="s">
        <v>140</v>
      </c>
      <c r="M24" s="372"/>
      <c r="N24" s="372"/>
      <c r="O24" s="372"/>
      <c r="P24" s="372"/>
      <c r="Q24" s="372"/>
      <c r="R24" s="372"/>
      <c r="S24" s="372"/>
    </row>
    <row r="25" spans="12:19" x14ac:dyDescent="0.2">
      <c r="L25" s="372"/>
      <c r="M25" s="372"/>
      <c r="N25" s="372"/>
      <c r="O25" s="372"/>
      <c r="P25" s="372"/>
      <c r="Q25" s="372"/>
      <c r="R25" s="372"/>
      <c r="S25" s="372"/>
    </row>
    <row r="26" spans="12:19" x14ac:dyDescent="0.2">
      <c r="L26" s="372"/>
      <c r="M26" s="372"/>
      <c r="N26" s="372"/>
      <c r="O26" s="372"/>
      <c r="P26" s="372"/>
      <c r="Q26" s="372"/>
      <c r="R26" s="372"/>
      <c r="S26" s="372"/>
    </row>
    <row r="28" spans="12:19" ht="19" x14ac:dyDescent="0.2">
      <c r="L28" s="5" t="s">
        <v>19</v>
      </c>
    </row>
    <row r="29" spans="12:19" x14ac:dyDescent="0.2">
      <c r="L29" s="37" t="s">
        <v>138</v>
      </c>
    </row>
    <row r="34" s="152" customFormat="1" x14ac:dyDescent="0.2"/>
    <row r="35" s="152" customFormat="1" x14ac:dyDescent="0.2"/>
    <row r="36" s="152" customFormat="1" x14ac:dyDescent="0.2"/>
    <row r="37" s="152" customFormat="1" x14ac:dyDescent="0.2"/>
    <row r="38" s="152" customFormat="1" x14ac:dyDescent="0.2"/>
    <row r="39" s="152" customFormat="1" x14ac:dyDescent="0.2"/>
    <row r="40" s="152" customFormat="1" x14ac:dyDescent="0.2"/>
    <row r="41" s="152" customFormat="1" x14ac:dyDescent="0.2"/>
    <row r="42" s="152" customFormat="1" x14ac:dyDescent="0.2"/>
    <row r="43" s="152" customFormat="1" x14ac:dyDescent="0.2"/>
    <row r="44" s="152" customFormat="1" x14ac:dyDescent="0.2"/>
    <row r="45" s="152" customFormat="1" x14ac:dyDescent="0.2"/>
    <row r="46" s="152" customFormat="1" x14ac:dyDescent="0.2"/>
    <row r="47" s="152" customFormat="1" x14ac:dyDescent="0.2"/>
    <row r="48" s="152" customFormat="1" x14ac:dyDescent="0.2"/>
    <row r="49" spans="14:14" s="152" customFormat="1" x14ac:dyDescent="0.2"/>
    <row r="50" spans="14:14" s="152" customFormat="1" x14ac:dyDescent="0.2"/>
    <row r="51" spans="14:14" s="152" customFormat="1" x14ac:dyDescent="0.2"/>
    <row r="52" spans="14:14" s="152" customFormat="1" x14ac:dyDescent="0.2"/>
    <row r="53" spans="14:14" s="152" customFormat="1" x14ac:dyDescent="0.2"/>
    <row r="54" spans="14:14" s="152" customFormat="1" x14ac:dyDescent="0.2"/>
    <row r="55" spans="14:14" s="152" customFormat="1" x14ac:dyDescent="0.2"/>
    <row r="56" spans="14:14" s="152" customFormat="1" x14ac:dyDescent="0.2"/>
    <row r="57" spans="14:14" s="152" customFormat="1" x14ac:dyDescent="0.2"/>
    <row r="58" spans="14:14" s="152" customFormat="1" x14ac:dyDescent="0.2"/>
    <row r="59" spans="14:14" s="152" customFormat="1" x14ac:dyDescent="0.2"/>
    <row r="60" spans="14:14" s="152" customFormat="1" x14ac:dyDescent="0.2"/>
    <row r="61" spans="14:14" s="152" customFormat="1" x14ac:dyDescent="0.2"/>
    <row r="62" spans="14:14" s="152" customFormat="1" x14ac:dyDescent="0.2"/>
    <row r="63" spans="14:14" s="152" customFormat="1" x14ac:dyDescent="0.2"/>
    <row r="64" spans="14:14" s="152" customFormat="1" x14ac:dyDescent="0.2">
      <c r="N64" s="157"/>
    </row>
    <row r="65" spans="14:14" s="152" customFormat="1" x14ac:dyDescent="0.2"/>
    <row r="66" spans="14:14" s="152" customFormat="1" x14ac:dyDescent="0.2"/>
    <row r="67" spans="14:14" s="152" customFormat="1" x14ac:dyDescent="0.2"/>
    <row r="68" spans="14:14" s="152" customFormat="1" x14ac:dyDescent="0.2"/>
    <row r="69" spans="14:14" s="152" customFormat="1" x14ac:dyDescent="0.2"/>
    <row r="70" spans="14:14" s="152" customFormat="1" x14ac:dyDescent="0.2"/>
    <row r="71" spans="14:14" s="152" customFormat="1" x14ac:dyDescent="0.2"/>
    <row r="72" spans="14:14" s="152" customFormat="1" x14ac:dyDescent="0.2"/>
    <row r="73" spans="14:14" s="152" customFormat="1" x14ac:dyDescent="0.2"/>
    <row r="74" spans="14:14" s="152" customFormat="1" x14ac:dyDescent="0.2">
      <c r="N74" s="157"/>
    </row>
    <row r="75" spans="14:14" s="152" customFormat="1" x14ac:dyDescent="0.2"/>
    <row r="76" spans="14:14" s="152" customFormat="1" x14ac:dyDescent="0.2"/>
    <row r="77" spans="14:14" s="152" customFormat="1" x14ac:dyDescent="0.2"/>
    <row r="78" spans="14:14" s="152" customFormat="1" x14ac:dyDescent="0.2"/>
    <row r="79" spans="14:14" s="152" customFormat="1" x14ac:dyDescent="0.2"/>
    <row r="80" spans="14:14" s="152" customFormat="1" x14ac:dyDescent="0.2"/>
    <row r="81" spans="14:14" s="152" customFormat="1" x14ac:dyDescent="0.2"/>
    <row r="82" spans="14:14" s="152" customFormat="1" x14ac:dyDescent="0.2"/>
    <row r="83" spans="14:14" s="152" customFormat="1" x14ac:dyDescent="0.2"/>
    <row r="84" spans="14:14" s="152" customFormat="1" x14ac:dyDescent="0.2">
      <c r="N84" s="157"/>
    </row>
    <row r="85" spans="14:14" s="152" customFormat="1" x14ac:dyDescent="0.2"/>
    <row r="86" spans="14:14" s="152" customFormat="1" x14ac:dyDescent="0.2"/>
    <row r="87" spans="14:14" s="152" customFormat="1" x14ac:dyDescent="0.2"/>
    <row r="88" spans="14:14" s="152" customFormat="1" x14ac:dyDescent="0.2"/>
    <row r="89" spans="14:14" s="152" customFormat="1" x14ac:dyDescent="0.2"/>
    <row r="90" spans="14:14" s="152" customFormat="1" x14ac:dyDescent="0.2"/>
    <row r="91" spans="14:14" s="152" customFormat="1" x14ac:dyDescent="0.2"/>
    <row r="92" spans="14:14" s="152" customFormat="1" x14ac:dyDescent="0.2"/>
    <row r="93" spans="14:14" s="152" customFormat="1" x14ac:dyDescent="0.2"/>
    <row r="94" spans="14:14" s="152" customFormat="1" x14ac:dyDescent="0.2"/>
    <row r="95" spans="14:14" s="152" customFormat="1" x14ac:dyDescent="0.2"/>
    <row r="96" spans="14:14" s="152" customFormat="1" x14ac:dyDescent="0.2"/>
    <row r="97" s="152" customFormat="1" x14ac:dyDescent="0.2"/>
    <row r="98" s="152" customFormat="1" x14ac:dyDescent="0.2"/>
    <row r="99" s="152" customFormat="1" x14ac:dyDescent="0.2"/>
    <row r="100" s="152" customFormat="1" x14ac:dyDescent="0.2"/>
    <row r="101" s="152" customFormat="1" x14ac:dyDescent="0.2"/>
    <row r="102" s="152" customFormat="1" x14ac:dyDescent="0.2"/>
    <row r="103" s="152" customFormat="1" x14ac:dyDescent="0.2"/>
    <row r="104" s="152" customFormat="1" x14ac:dyDescent="0.2"/>
    <row r="105" s="152" customFormat="1" x14ac:dyDescent="0.2"/>
    <row r="106" s="152" customFormat="1" x14ac:dyDescent="0.2"/>
    <row r="107" s="152" customFormat="1" x14ac:dyDescent="0.2"/>
    <row r="108" s="152" customFormat="1" x14ac:dyDescent="0.2"/>
    <row r="109" s="152" customFormat="1" x14ac:dyDescent="0.2"/>
    <row r="110" s="152" customFormat="1" x14ac:dyDescent="0.2"/>
    <row r="111" s="152" customFormat="1" x14ac:dyDescent="0.2"/>
    <row r="112" s="152" customFormat="1" x14ac:dyDescent="0.2"/>
    <row r="113" s="152" customFormat="1" x14ac:dyDescent="0.2"/>
    <row r="114" s="152" customFormat="1" x14ac:dyDescent="0.2"/>
    <row r="115" s="152" customFormat="1" x14ac:dyDescent="0.2"/>
    <row r="116" s="152" customFormat="1" x14ac:dyDescent="0.2"/>
    <row r="117" s="152" customFormat="1" x14ac:dyDescent="0.2"/>
    <row r="118" s="152" customFormat="1" x14ac:dyDescent="0.2"/>
    <row r="119" s="152" customFormat="1" x14ac:dyDescent="0.2"/>
    <row r="120" s="152" customFormat="1" x14ac:dyDescent="0.2"/>
    <row r="121" s="152" customFormat="1" x14ac:dyDescent="0.2"/>
    <row r="122" s="152" customFormat="1" x14ac:dyDescent="0.2"/>
    <row r="123" s="152" customFormat="1" x14ac:dyDescent="0.2"/>
    <row r="124" s="152" customFormat="1" x14ac:dyDescent="0.2"/>
    <row r="125" s="152" customFormat="1" x14ac:dyDescent="0.2"/>
    <row r="126" s="152" customFormat="1" x14ac:dyDescent="0.2"/>
    <row r="127" s="152" customFormat="1" x14ac:dyDescent="0.2"/>
    <row r="128" s="152" customFormat="1" x14ac:dyDescent="0.2"/>
    <row r="129" s="152" customFormat="1" x14ac:dyDescent="0.2"/>
    <row r="130" s="152" customFormat="1" x14ac:dyDescent="0.2"/>
    <row r="131" s="152" customFormat="1" x14ac:dyDescent="0.2"/>
    <row r="132" s="152" customFormat="1" x14ac:dyDescent="0.2"/>
    <row r="133" s="152" customFormat="1" x14ac:dyDescent="0.2"/>
    <row r="134" s="152" customFormat="1" x14ac:dyDescent="0.2"/>
    <row r="135" s="152" customFormat="1" x14ac:dyDescent="0.2"/>
    <row r="136" s="152" customFormat="1" x14ac:dyDescent="0.2"/>
    <row r="137" s="152" customFormat="1" x14ac:dyDescent="0.2"/>
    <row r="138" s="152" customFormat="1" x14ac:dyDescent="0.2"/>
    <row r="139" s="152" customFormat="1" x14ac:dyDescent="0.2"/>
    <row r="140" s="152" customFormat="1" x14ac:dyDescent="0.2"/>
    <row r="141" s="152" customFormat="1" x14ac:dyDescent="0.2"/>
    <row r="142" s="152" customFormat="1" x14ac:dyDescent="0.2"/>
    <row r="143" s="152" customFormat="1" x14ac:dyDescent="0.2"/>
    <row r="144" s="152" customFormat="1" x14ac:dyDescent="0.2"/>
    <row r="145" s="152" customFormat="1" x14ac:dyDescent="0.2"/>
    <row r="146" s="152" customFormat="1" x14ac:dyDescent="0.2"/>
    <row r="147" s="152" customFormat="1" x14ac:dyDescent="0.2"/>
    <row r="148" s="152" customFormat="1" x14ac:dyDescent="0.2"/>
    <row r="149" s="152" customFormat="1" x14ac:dyDescent="0.2"/>
    <row r="150" s="152" customFormat="1" x14ac:dyDescent="0.2"/>
    <row r="151" s="152" customFormat="1" x14ac:dyDescent="0.2"/>
    <row r="152" s="152" customFormat="1" x14ac:dyDescent="0.2"/>
    <row r="153" s="152" customFormat="1" x14ac:dyDescent="0.2"/>
    <row r="154" s="152" customFormat="1" x14ac:dyDescent="0.2"/>
    <row r="155" s="152" customFormat="1" x14ac:dyDescent="0.2"/>
    <row r="156" s="152" customFormat="1" x14ac:dyDescent="0.2"/>
    <row r="157" s="152" customFormat="1" x14ac:dyDescent="0.2"/>
    <row r="158" s="152" customFormat="1" x14ac:dyDescent="0.2"/>
    <row r="159" s="152" customFormat="1" x14ac:dyDescent="0.2"/>
    <row r="160" s="152" customFormat="1" x14ac:dyDescent="0.2"/>
    <row r="161" s="152" customFormat="1" x14ac:dyDescent="0.2"/>
    <row r="162" s="152" customFormat="1" x14ac:dyDescent="0.2"/>
    <row r="163" s="152" customFormat="1" x14ac:dyDescent="0.2"/>
    <row r="164" s="152" customFormat="1" x14ac:dyDescent="0.2"/>
    <row r="165" s="152" customFormat="1" x14ac:dyDescent="0.2"/>
    <row r="166" s="152" customFormat="1" x14ac:dyDescent="0.2"/>
    <row r="167" s="152" customFormat="1" x14ac:dyDescent="0.2"/>
    <row r="168" s="152" customFormat="1" x14ac:dyDescent="0.2"/>
    <row r="169" s="152" customFormat="1" x14ac:dyDescent="0.2"/>
    <row r="170" s="152" customFormat="1" x14ac:dyDescent="0.2"/>
    <row r="171" s="152" customFormat="1" x14ac:dyDescent="0.2"/>
    <row r="172" s="152" customFormat="1" x14ac:dyDescent="0.2"/>
    <row r="173" s="152" customFormat="1" x14ac:dyDescent="0.2"/>
    <row r="174" s="152" customFormat="1" x14ac:dyDescent="0.2"/>
    <row r="175" s="152" customFormat="1" x14ac:dyDescent="0.2"/>
    <row r="176" s="152" customFormat="1" x14ac:dyDescent="0.2"/>
    <row r="177" s="152" customFormat="1" x14ac:dyDescent="0.2"/>
    <row r="178" s="152" customFormat="1" x14ac:dyDescent="0.2"/>
    <row r="179" s="152" customFormat="1" x14ac:dyDescent="0.2"/>
    <row r="180" s="152" customFormat="1" x14ac:dyDescent="0.2"/>
    <row r="181" s="152" customFormat="1" x14ac:dyDescent="0.2"/>
    <row r="182" s="152" customFormat="1" x14ac:dyDescent="0.2"/>
    <row r="183" s="152" customFormat="1" x14ac:dyDescent="0.2"/>
    <row r="184" s="152" customFormat="1" x14ac:dyDescent="0.2"/>
    <row r="185" s="152" customFormat="1" x14ac:dyDescent="0.2"/>
    <row r="186" s="152" customFormat="1" x14ac:dyDescent="0.2"/>
    <row r="187" s="152" customFormat="1" x14ac:dyDescent="0.2"/>
    <row r="188" s="152" customFormat="1" x14ac:dyDescent="0.2"/>
    <row r="189" s="152" customFormat="1" x14ac:dyDescent="0.2"/>
    <row r="190" s="152" customFormat="1" x14ac:dyDescent="0.2"/>
    <row r="191" s="152" customFormat="1" x14ac:dyDescent="0.2"/>
    <row r="192" s="152" customFormat="1" x14ac:dyDescent="0.2"/>
    <row r="193" s="152" customFormat="1" x14ac:dyDescent="0.2"/>
    <row r="194" s="152" customFormat="1" x14ac:dyDescent="0.2"/>
    <row r="195" s="152" customFormat="1" x14ac:dyDescent="0.2"/>
    <row r="196" s="152" customFormat="1" x14ac:dyDescent="0.2"/>
    <row r="197" s="152" customFormat="1" x14ac:dyDescent="0.2"/>
    <row r="198" s="152" customFormat="1" x14ac:dyDescent="0.2"/>
    <row r="199" s="152" customFormat="1" x14ac:dyDescent="0.2"/>
    <row r="200" s="152" customFormat="1" x14ac:dyDescent="0.2"/>
    <row r="201" s="152" customFormat="1" x14ac:dyDescent="0.2"/>
    <row r="202" s="152" customFormat="1" x14ac:dyDescent="0.2"/>
    <row r="203" s="152" customFormat="1" x14ac:dyDescent="0.2"/>
    <row r="204" s="152" customFormat="1" x14ac:dyDescent="0.2"/>
    <row r="205" s="152" customFormat="1" x14ac:dyDescent="0.2"/>
    <row r="206" s="152" customFormat="1" x14ac:dyDescent="0.2"/>
    <row r="207" s="152" customFormat="1" x14ac:dyDescent="0.2"/>
    <row r="208" s="152" customFormat="1" x14ac:dyDescent="0.2"/>
    <row r="209" s="152" customFormat="1" x14ac:dyDescent="0.2"/>
    <row r="210" s="152" customFormat="1" x14ac:dyDescent="0.2"/>
    <row r="211" s="152" customFormat="1" x14ac:dyDescent="0.2"/>
    <row r="212" s="152" customFormat="1" x14ac:dyDescent="0.2"/>
    <row r="213" s="152" customFormat="1" x14ac:dyDescent="0.2"/>
    <row r="214" s="152" customFormat="1" x14ac:dyDescent="0.2"/>
    <row r="215" s="152" customFormat="1" x14ac:dyDescent="0.2"/>
    <row r="216" s="152" customFormat="1" x14ac:dyDescent="0.2"/>
    <row r="217" s="152" customFormat="1" x14ac:dyDescent="0.2"/>
    <row r="218" s="152" customFormat="1" x14ac:dyDescent="0.2"/>
    <row r="219" s="152" customFormat="1" x14ac:dyDescent="0.2"/>
    <row r="220" s="152" customFormat="1" x14ac:dyDescent="0.2"/>
    <row r="221" s="152" customFormat="1" x14ac:dyDescent="0.2"/>
    <row r="222" s="152" customFormat="1" x14ac:dyDescent="0.2"/>
    <row r="223" s="152" customFormat="1" x14ac:dyDescent="0.2"/>
    <row r="224" s="152" customFormat="1" x14ac:dyDescent="0.2"/>
    <row r="225" s="152" customFormat="1" x14ac:dyDescent="0.2"/>
    <row r="226" s="152" customFormat="1" x14ac:dyDescent="0.2"/>
    <row r="227" s="152" customFormat="1" x14ac:dyDescent="0.2"/>
    <row r="228" s="152" customFormat="1" x14ac:dyDescent="0.2"/>
    <row r="229" s="152" customFormat="1" x14ac:dyDescent="0.2"/>
    <row r="230" s="152" customFormat="1" x14ac:dyDescent="0.2"/>
    <row r="231" s="152" customFormat="1" x14ac:dyDescent="0.2"/>
    <row r="232" s="152" customFormat="1" x14ac:dyDescent="0.2"/>
    <row r="233" s="152" customFormat="1" x14ac:dyDescent="0.2"/>
    <row r="234" s="152" customFormat="1" x14ac:dyDescent="0.2"/>
    <row r="235" s="152" customFormat="1" x14ac:dyDescent="0.2"/>
    <row r="236" s="152" customFormat="1" x14ac:dyDescent="0.2"/>
    <row r="237" s="152" customFormat="1" x14ac:dyDescent="0.2"/>
    <row r="238" s="152" customFormat="1" x14ac:dyDescent="0.2"/>
    <row r="239" s="152" customFormat="1" x14ac:dyDescent="0.2"/>
    <row r="240" s="152" customFormat="1" x14ac:dyDescent="0.2"/>
    <row r="241" s="152" customFormat="1" x14ac:dyDescent="0.2"/>
    <row r="242" s="152" customFormat="1" x14ac:dyDescent="0.2"/>
    <row r="243" s="152" customFormat="1" x14ac:dyDescent="0.2"/>
    <row r="244" s="152" customFormat="1" x14ac:dyDescent="0.2"/>
    <row r="245" s="152" customFormat="1" x14ac:dyDescent="0.2"/>
    <row r="246" s="152" customFormat="1" x14ac:dyDescent="0.2"/>
    <row r="247" s="152" customFormat="1" x14ac:dyDescent="0.2"/>
    <row r="248" s="152" customFormat="1" x14ac:dyDescent="0.2"/>
    <row r="249" s="152" customFormat="1" x14ac:dyDescent="0.2"/>
    <row r="250" s="152" customFormat="1" x14ac:dyDescent="0.2"/>
    <row r="251" s="152" customFormat="1" x14ac:dyDescent="0.2"/>
    <row r="252" s="152" customFormat="1" x14ac:dyDescent="0.2"/>
    <row r="253" s="152" customFormat="1" x14ac:dyDescent="0.2"/>
    <row r="254" s="152" customFormat="1" x14ac:dyDescent="0.2"/>
    <row r="255" s="152" customFormat="1" x14ac:dyDescent="0.2"/>
    <row r="256" s="152" customFormat="1" x14ac:dyDescent="0.2"/>
    <row r="257" s="152" customFormat="1" x14ac:dyDescent="0.2"/>
    <row r="258" s="152" customFormat="1" x14ac:dyDescent="0.2"/>
    <row r="259" s="152" customFormat="1" x14ac:dyDescent="0.2"/>
    <row r="260" s="152" customFormat="1" x14ac:dyDescent="0.2"/>
    <row r="261" s="152" customFormat="1" x14ac:dyDescent="0.2"/>
    <row r="262" s="152" customFormat="1" x14ac:dyDescent="0.2"/>
    <row r="263" s="152" customFormat="1" x14ac:dyDescent="0.2"/>
    <row r="264" s="152" customFormat="1" x14ac:dyDescent="0.2"/>
    <row r="265" s="152" customFormat="1" x14ac:dyDescent="0.2"/>
    <row r="266" s="152" customFormat="1" x14ac:dyDescent="0.2"/>
    <row r="267" s="152" customFormat="1" x14ac:dyDescent="0.2"/>
    <row r="268" s="152" customFormat="1" x14ac:dyDescent="0.2"/>
    <row r="269" s="152" customFormat="1" x14ac:dyDescent="0.2"/>
    <row r="270" s="152" customFormat="1" x14ac:dyDescent="0.2"/>
    <row r="271" s="152" customFormat="1" x14ac:dyDescent="0.2"/>
    <row r="272" s="152" customFormat="1" x14ac:dyDescent="0.2"/>
    <row r="273" s="152" customFormat="1" x14ac:dyDescent="0.2"/>
    <row r="274" s="152" customFormat="1" x14ac:dyDescent="0.2"/>
    <row r="275" s="152" customFormat="1" x14ac:dyDescent="0.2"/>
    <row r="276" s="152" customFormat="1" x14ac:dyDescent="0.2"/>
    <row r="277" s="152" customFormat="1" x14ac:dyDescent="0.2"/>
    <row r="278" s="152" customFormat="1" x14ac:dyDescent="0.2"/>
    <row r="279" s="152" customFormat="1" x14ac:dyDescent="0.2"/>
    <row r="280" s="152" customFormat="1" x14ac:dyDescent="0.2"/>
    <row r="281" s="152" customFormat="1" x14ac:dyDescent="0.2"/>
    <row r="282" s="152" customFormat="1" x14ac:dyDescent="0.2"/>
    <row r="283" s="152" customFormat="1" x14ac:dyDescent="0.2"/>
    <row r="284" s="152" customFormat="1" x14ac:dyDescent="0.2"/>
  </sheetData>
  <mergeCells count="5">
    <mergeCell ref="L18:S21"/>
    <mergeCell ref="L24:S26"/>
    <mergeCell ref="B3:I4"/>
    <mergeCell ref="L3:S9"/>
    <mergeCell ref="L12:S15"/>
  </mergeCells>
  <pageMargins left="0.7" right="0.7" top="0.75" bottom="0.75" header="0.3" footer="0.3"/>
  <pageSetup scale="50"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53D8-2A80-BB4B-8C19-34D38EC90806}">
  <sheetPr>
    <pageSetUpPr fitToPage="1"/>
  </sheetPr>
  <dimension ref="A1:U283"/>
  <sheetViews>
    <sheetView zoomScaleNormal="100" workbookViewId="0"/>
  </sheetViews>
  <sheetFormatPr baseColWidth="10" defaultColWidth="10.83203125" defaultRowHeight="16" outlineLevelCol="1" x14ac:dyDescent="0.2"/>
  <cols>
    <col min="1" max="1" width="4.6640625" style="29" customWidth="1"/>
    <col min="2" max="10" width="10.83203125" style="29" customWidth="1"/>
    <col min="11" max="11" width="10.83203125" style="29"/>
    <col min="12" max="19" width="10.83203125" style="29" hidden="1" customWidth="1" outlineLevel="1"/>
    <col min="20" max="20" width="10.83203125" style="29" customWidth="1" collapsed="1"/>
    <col min="21" max="16384" width="10.83203125" style="29"/>
  </cols>
  <sheetData>
    <row r="1" spans="1:21" ht="19" x14ac:dyDescent="0.25">
      <c r="A1" s="1" t="s">
        <v>276</v>
      </c>
      <c r="B1" s="3"/>
      <c r="C1" s="26"/>
      <c r="D1" s="26"/>
      <c r="E1" s="26"/>
      <c r="F1" s="27"/>
      <c r="G1" s="27"/>
      <c r="H1" s="27"/>
      <c r="I1" s="27"/>
      <c r="J1" s="28"/>
      <c r="K1" s="2" t="s">
        <v>6</v>
      </c>
      <c r="L1" s="2"/>
    </row>
    <row r="2" spans="1:21" ht="16" customHeight="1" x14ac:dyDescent="0.2">
      <c r="A2" s="30"/>
      <c r="B2" s="27"/>
      <c r="C2" s="27"/>
      <c r="D2" s="27"/>
      <c r="E2" s="27"/>
      <c r="F2" s="27"/>
      <c r="G2" s="27"/>
      <c r="H2" s="27"/>
      <c r="I2" s="27"/>
      <c r="J2" s="28"/>
      <c r="L2" s="373" t="s">
        <v>131</v>
      </c>
      <c r="M2" s="373"/>
      <c r="N2" s="373"/>
      <c r="O2" s="373"/>
      <c r="P2" s="373"/>
      <c r="Q2" s="373"/>
      <c r="R2" s="373"/>
      <c r="S2" s="373"/>
      <c r="T2" s="33"/>
      <c r="U2" s="33"/>
    </row>
    <row r="3" spans="1:21" x14ac:dyDescent="0.2">
      <c r="A3" s="30"/>
      <c r="B3" s="27" t="s">
        <v>32</v>
      </c>
      <c r="C3" s="27"/>
      <c r="D3" s="27"/>
      <c r="E3" s="27"/>
      <c r="F3" s="27"/>
      <c r="G3" s="27"/>
      <c r="H3" s="27"/>
      <c r="I3" s="27"/>
      <c r="J3" s="28"/>
      <c r="L3" s="373"/>
      <c r="M3" s="373"/>
      <c r="N3" s="373"/>
      <c r="O3" s="373"/>
      <c r="P3" s="373"/>
      <c r="Q3" s="373"/>
      <c r="R3" s="373"/>
      <c r="S3" s="373"/>
    </row>
    <row r="4" spans="1:21" x14ac:dyDescent="0.2">
      <c r="A4" s="30"/>
      <c r="B4" s="27" t="s">
        <v>31</v>
      </c>
      <c r="C4" s="27"/>
      <c r="D4" s="27"/>
      <c r="E4" s="27"/>
      <c r="F4" s="27"/>
      <c r="G4" s="27"/>
      <c r="H4" s="27"/>
      <c r="I4" s="27"/>
      <c r="J4" s="28"/>
      <c r="L4" s="373"/>
      <c r="M4" s="373"/>
      <c r="N4" s="373"/>
      <c r="O4" s="373"/>
      <c r="P4" s="373"/>
      <c r="Q4" s="373"/>
      <c r="R4" s="373"/>
      <c r="S4" s="373"/>
    </row>
    <row r="5" spans="1:21" x14ac:dyDescent="0.2">
      <c r="A5" s="30"/>
      <c r="B5" s="27"/>
      <c r="C5" s="27"/>
      <c r="D5" s="27"/>
      <c r="E5" s="27"/>
      <c r="F5" s="27"/>
      <c r="G5" s="27"/>
      <c r="H5" s="27"/>
      <c r="I5" s="27"/>
      <c r="J5" s="28"/>
      <c r="L5" s="373"/>
      <c r="M5" s="373"/>
      <c r="N5" s="373"/>
      <c r="O5" s="373"/>
      <c r="P5" s="373"/>
      <c r="Q5" s="373"/>
      <c r="R5" s="373"/>
      <c r="S5" s="373"/>
    </row>
    <row r="6" spans="1:21" x14ac:dyDescent="0.2">
      <c r="A6" s="30"/>
      <c r="B6" s="27" t="s">
        <v>30</v>
      </c>
      <c r="C6" s="27"/>
      <c r="D6" s="27"/>
      <c r="E6" s="27"/>
      <c r="F6" s="27"/>
      <c r="G6" s="27"/>
      <c r="H6" s="27"/>
      <c r="I6" s="27"/>
      <c r="J6" s="28"/>
      <c r="L6" s="373"/>
      <c r="M6" s="373"/>
      <c r="N6" s="373"/>
      <c r="O6" s="373"/>
      <c r="P6" s="373"/>
      <c r="Q6" s="373"/>
      <c r="R6" s="373"/>
      <c r="S6" s="373"/>
    </row>
    <row r="7" spans="1:21" x14ac:dyDescent="0.2">
      <c r="A7" s="30"/>
      <c r="B7" s="27" t="s">
        <v>29</v>
      </c>
      <c r="C7" s="27"/>
      <c r="D7" s="27"/>
      <c r="E7" s="27"/>
      <c r="F7" s="27"/>
      <c r="G7" s="27"/>
      <c r="H7" s="27"/>
      <c r="I7" s="27"/>
      <c r="J7" s="28"/>
      <c r="L7" s="373"/>
      <c r="M7" s="373"/>
      <c r="N7" s="373"/>
      <c r="O7" s="373"/>
      <c r="P7" s="373"/>
      <c r="Q7" s="373"/>
      <c r="R7" s="373"/>
      <c r="S7" s="373"/>
    </row>
    <row r="8" spans="1:21" x14ac:dyDescent="0.2">
      <c r="A8" s="30"/>
      <c r="B8" s="27"/>
      <c r="C8" s="27"/>
      <c r="D8" s="27"/>
      <c r="E8" s="27"/>
      <c r="F8" s="27"/>
      <c r="G8" s="27"/>
      <c r="H8" s="27"/>
      <c r="I8" s="27"/>
      <c r="J8" s="28"/>
      <c r="L8" s="373"/>
      <c r="M8" s="373"/>
      <c r="N8" s="373"/>
      <c r="O8" s="373"/>
      <c r="P8" s="373"/>
      <c r="Q8" s="373"/>
      <c r="R8" s="373"/>
      <c r="S8" s="373"/>
    </row>
    <row r="9" spans="1:21" x14ac:dyDescent="0.2">
      <c r="A9" s="30"/>
      <c r="B9" s="27" t="s">
        <v>28</v>
      </c>
      <c r="C9" s="27"/>
      <c r="D9" s="27"/>
      <c r="E9" s="27"/>
      <c r="F9" s="27"/>
      <c r="G9" s="27"/>
      <c r="H9" s="27"/>
      <c r="I9" s="27"/>
      <c r="J9" s="28"/>
      <c r="L9" s="373"/>
      <c r="M9" s="373"/>
      <c r="N9" s="373"/>
      <c r="O9" s="373"/>
      <c r="P9" s="373"/>
      <c r="Q9" s="373"/>
      <c r="R9" s="373"/>
      <c r="S9" s="373"/>
    </row>
    <row r="10" spans="1:21" x14ac:dyDescent="0.2">
      <c r="A10" s="30"/>
      <c r="B10" s="27" t="s">
        <v>27</v>
      </c>
      <c r="C10" s="27"/>
      <c r="D10" s="27"/>
      <c r="E10" s="27"/>
      <c r="F10" s="27"/>
      <c r="G10" s="27"/>
      <c r="H10" s="27"/>
      <c r="I10" s="27"/>
      <c r="J10" s="28"/>
      <c r="L10" s="373"/>
      <c r="M10" s="373"/>
      <c r="N10" s="373"/>
      <c r="O10" s="373"/>
      <c r="P10" s="373"/>
      <c r="Q10" s="373"/>
      <c r="R10" s="373"/>
      <c r="S10" s="373"/>
    </row>
    <row r="11" spans="1:21" x14ac:dyDescent="0.2">
      <c r="A11" s="30"/>
      <c r="B11" s="27"/>
      <c r="C11" s="27"/>
      <c r="D11" s="27"/>
      <c r="E11" s="27"/>
      <c r="F11" s="27"/>
      <c r="G11" s="27"/>
      <c r="H11" s="27"/>
      <c r="I11" s="27"/>
      <c r="J11" s="28"/>
      <c r="L11" s="373"/>
      <c r="M11" s="373"/>
      <c r="N11" s="373"/>
      <c r="O11" s="373"/>
      <c r="P11" s="373"/>
      <c r="Q11" s="373"/>
      <c r="R11" s="373"/>
      <c r="S11" s="373"/>
    </row>
    <row r="12" spans="1:21" ht="17" thickBot="1" x14ac:dyDescent="0.25">
      <c r="A12" s="85"/>
      <c r="B12" s="86"/>
      <c r="C12" s="87"/>
      <c r="D12" s="87"/>
      <c r="E12" s="87"/>
      <c r="F12" s="86"/>
      <c r="G12" s="86"/>
      <c r="H12" s="86"/>
      <c r="I12" s="86"/>
      <c r="J12" s="88"/>
      <c r="L12" s="373"/>
      <c r="M12" s="373"/>
      <c r="N12" s="373"/>
      <c r="O12" s="373"/>
      <c r="P12" s="373"/>
      <c r="Q12" s="373"/>
      <c r="R12" s="373"/>
      <c r="S12" s="373"/>
    </row>
    <row r="13" spans="1:21" ht="17" thickBot="1" x14ac:dyDescent="0.25">
      <c r="A13" s="85" t="s">
        <v>7</v>
      </c>
      <c r="B13" s="86"/>
      <c r="C13" s="87"/>
      <c r="D13" s="87"/>
      <c r="E13" s="87"/>
      <c r="F13" s="86"/>
      <c r="G13" s="86"/>
      <c r="H13" s="86"/>
      <c r="I13" s="86"/>
      <c r="J13" s="88"/>
      <c r="L13" s="373"/>
      <c r="M13" s="373"/>
      <c r="N13" s="373"/>
      <c r="O13" s="373"/>
      <c r="P13" s="373"/>
      <c r="Q13" s="373"/>
      <c r="R13" s="373"/>
      <c r="S13" s="373"/>
    </row>
    <row r="15" spans="1:21" ht="19" x14ac:dyDescent="0.25">
      <c r="L15" s="2" t="s">
        <v>8</v>
      </c>
    </row>
    <row r="16" spans="1:21" ht="16" customHeight="1" x14ac:dyDescent="0.2">
      <c r="L16" s="373" t="s">
        <v>132</v>
      </c>
      <c r="M16" s="373"/>
      <c r="N16" s="373"/>
      <c r="O16" s="373"/>
      <c r="P16" s="373"/>
      <c r="Q16" s="373"/>
      <c r="R16" s="373"/>
      <c r="S16" s="373"/>
      <c r="T16" s="33"/>
      <c r="U16" s="33"/>
    </row>
    <row r="17" spans="12:19" x14ac:dyDescent="0.2">
      <c r="L17" s="373"/>
      <c r="M17" s="373"/>
      <c r="N17" s="373"/>
      <c r="O17" s="373"/>
      <c r="P17" s="373"/>
      <c r="Q17" s="373"/>
      <c r="R17" s="373"/>
      <c r="S17" s="373"/>
    </row>
    <row r="18" spans="12:19" x14ac:dyDescent="0.2">
      <c r="L18" s="373"/>
      <c r="M18" s="373"/>
      <c r="N18" s="373"/>
      <c r="O18" s="373"/>
      <c r="P18" s="373"/>
      <c r="Q18" s="373"/>
      <c r="R18" s="373"/>
      <c r="S18" s="373"/>
    </row>
    <row r="19" spans="12:19" x14ac:dyDescent="0.2">
      <c r="L19" s="373"/>
      <c r="M19" s="373"/>
      <c r="N19" s="373"/>
      <c r="O19" s="373"/>
      <c r="P19" s="373"/>
      <c r="Q19" s="373"/>
      <c r="R19" s="373"/>
      <c r="S19" s="373"/>
    </row>
    <row r="20" spans="12:19" x14ac:dyDescent="0.2">
      <c r="L20" s="373"/>
      <c r="M20" s="373"/>
      <c r="N20" s="373"/>
      <c r="O20" s="373"/>
      <c r="P20" s="373"/>
      <c r="Q20" s="373"/>
      <c r="R20" s="373"/>
      <c r="S20" s="373"/>
    </row>
    <row r="21" spans="12:19" x14ac:dyDescent="0.2">
      <c r="L21" s="373"/>
      <c r="M21" s="373"/>
      <c r="N21" s="373"/>
      <c r="O21" s="373"/>
      <c r="P21" s="373"/>
      <c r="Q21" s="373"/>
      <c r="R21" s="373"/>
      <c r="S21" s="373"/>
    </row>
    <row r="22" spans="12:19" x14ac:dyDescent="0.2">
      <c r="L22" s="373"/>
      <c r="M22" s="373"/>
      <c r="N22" s="373"/>
      <c r="O22" s="373"/>
      <c r="P22" s="373"/>
      <c r="Q22" s="373"/>
      <c r="R22" s="373"/>
      <c r="S22" s="373"/>
    </row>
    <row r="23" spans="12:19" x14ac:dyDescent="0.2">
      <c r="L23" s="373"/>
      <c r="M23" s="373"/>
      <c r="N23" s="373"/>
      <c r="O23" s="373"/>
      <c r="P23" s="373"/>
      <c r="Q23" s="373"/>
      <c r="R23" s="373"/>
      <c r="S23" s="373"/>
    </row>
    <row r="24" spans="12:19" x14ac:dyDescent="0.2">
      <c r="L24" s="373"/>
      <c r="M24" s="373"/>
      <c r="N24" s="373"/>
      <c r="O24" s="373"/>
      <c r="P24" s="373"/>
      <c r="Q24" s="373"/>
      <c r="R24" s="373"/>
      <c r="S24" s="373"/>
    </row>
    <row r="25" spans="12:19" x14ac:dyDescent="0.2">
      <c r="L25" s="373"/>
      <c r="M25" s="373"/>
      <c r="N25" s="373"/>
      <c r="O25" s="373"/>
      <c r="P25" s="373"/>
      <c r="Q25" s="373"/>
      <c r="R25" s="373"/>
      <c r="S25" s="373"/>
    </row>
    <row r="26" spans="12:19" x14ac:dyDescent="0.2">
      <c r="L26" s="373"/>
      <c r="M26" s="373"/>
      <c r="N26" s="373"/>
      <c r="O26" s="373"/>
      <c r="P26" s="373"/>
      <c r="Q26" s="373"/>
      <c r="R26" s="373"/>
      <c r="S26" s="373"/>
    </row>
    <row r="27" spans="12:19" x14ac:dyDescent="0.2">
      <c r="L27" s="373"/>
      <c r="M27" s="373"/>
      <c r="N27" s="373"/>
      <c r="O27" s="373"/>
      <c r="P27" s="373"/>
      <c r="Q27" s="373"/>
      <c r="R27" s="373"/>
      <c r="S27" s="373"/>
    </row>
    <row r="28" spans="12:19" x14ac:dyDescent="0.2">
      <c r="L28" s="373"/>
      <c r="M28" s="373"/>
      <c r="N28" s="373"/>
      <c r="O28" s="373"/>
      <c r="P28" s="373"/>
      <c r="Q28" s="373"/>
      <c r="R28" s="373"/>
      <c r="S28" s="373"/>
    </row>
    <row r="29" spans="12:19" x14ac:dyDescent="0.2">
      <c r="L29" s="373"/>
      <c r="M29" s="373"/>
      <c r="N29" s="373"/>
      <c r="O29" s="373"/>
      <c r="P29" s="373"/>
      <c r="Q29" s="373"/>
      <c r="R29" s="373"/>
      <c r="S29" s="373"/>
    </row>
    <row r="30" spans="12:19" x14ac:dyDescent="0.2">
      <c r="L30" s="373"/>
      <c r="M30" s="373"/>
      <c r="N30" s="373"/>
      <c r="O30" s="373"/>
      <c r="P30" s="373"/>
      <c r="Q30" s="373"/>
      <c r="R30" s="373"/>
      <c r="S30" s="373"/>
    </row>
    <row r="31" spans="12:19" x14ac:dyDescent="0.2">
      <c r="L31" s="373"/>
      <c r="M31" s="373"/>
      <c r="N31" s="373"/>
      <c r="O31" s="373"/>
      <c r="P31" s="373"/>
      <c r="Q31" s="373"/>
      <c r="R31" s="373"/>
      <c r="S31" s="373"/>
    </row>
    <row r="33" spans="13:13" s="167" customFormat="1" x14ac:dyDescent="0.2">
      <c r="M33" s="25"/>
    </row>
    <row r="34" spans="13:13" s="167" customFormat="1" x14ac:dyDescent="0.2"/>
    <row r="35" spans="13:13" s="167" customFormat="1" x14ac:dyDescent="0.2"/>
    <row r="36" spans="13:13" s="167" customFormat="1" x14ac:dyDescent="0.2"/>
    <row r="37" spans="13:13" s="167" customFormat="1" x14ac:dyDescent="0.2"/>
    <row r="38" spans="13:13" s="167" customFormat="1" x14ac:dyDescent="0.2"/>
    <row r="39" spans="13:13" s="167" customFormat="1" x14ac:dyDescent="0.2"/>
    <row r="40" spans="13:13" s="167" customFormat="1" x14ac:dyDescent="0.2"/>
    <row r="41" spans="13:13" s="167" customFormat="1" x14ac:dyDescent="0.2"/>
    <row r="42" spans="13:13" s="167" customFormat="1" x14ac:dyDescent="0.2"/>
    <row r="43" spans="13:13" s="167" customFormat="1" x14ac:dyDescent="0.2"/>
    <row r="44" spans="13:13" s="167" customFormat="1" x14ac:dyDescent="0.2"/>
    <row r="45" spans="13:13" s="167" customFormat="1" x14ac:dyDescent="0.2"/>
    <row r="46" spans="13:13" s="167" customFormat="1" x14ac:dyDescent="0.2"/>
    <row r="47" spans="13:13" s="167" customFormat="1" x14ac:dyDescent="0.2"/>
    <row r="48" spans="13:13" s="167" customFormat="1" x14ac:dyDescent="0.2"/>
    <row r="49" spans="14:14" s="167" customFormat="1" x14ac:dyDescent="0.2"/>
    <row r="50" spans="14:14" s="167" customFormat="1" x14ac:dyDescent="0.2"/>
    <row r="51" spans="14:14" s="167" customFormat="1" x14ac:dyDescent="0.2"/>
    <row r="52" spans="14:14" s="167" customFormat="1" x14ac:dyDescent="0.2"/>
    <row r="53" spans="14:14" s="167" customFormat="1" x14ac:dyDescent="0.2"/>
    <row r="54" spans="14:14" s="167" customFormat="1" x14ac:dyDescent="0.2"/>
    <row r="55" spans="14:14" s="167" customFormat="1" x14ac:dyDescent="0.2"/>
    <row r="56" spans="14:14" s="167" customFormat="1" x14ac:dyDescent="0.2"/>
    <row r="57" spans="14:14" s="167" customFormat="1" x14ac:dyDescent="0.2"/>
    <row r="58" spans="14:14" s="167" customFormat="1" x14ac:dyDescent="0.2"/>
    <row r="59" spans="14:14" s="167" customFormat="1" x14ac:dyDescent="0.2"/>
    <row r="60" spans="14:14" s="167" customFormat="1" x14ac:dyDescent="0.2"/>
    <row r="61" spans="14:14" s="167" customFormat="1" x14ac:dyDescent="0.2"/>
    <row r="62" spans="14:14" s="167" customFormat="1" x14ac:dyDescent="0.2"/>
    <row r="63" spans="14:14" s="167" customFormat="1" x14ac:dyDescent="0.2"/>
    <row r="64" spans="14:14" s="167" customFormat="1" x14ac:dyDescent="0.2">
      <c r="N64" s="168"/>
    </row>
    <row r="65" spans="14:14" s="167" customFormat="1" x14ac:dyDescent="0.2"/>
    <row r="66" spans="14:14" s="167" customFormat="1" x14ac:dyDescent="0.2"/>
    <row r="67" spans="14:14" s="167" customFormat="1" x14ac:dyDescent="0.2"/>
    <row r="68" spans="14:14" s="167" customFormat="1" x14ac:dyDescent="0.2"/>
    <row r="69" spans="14:14" s="167" customFormat="1" x14ac:dyDescent="0.2"/>
    <row r="70" spans="14:14" s="167" customFormat="1" x14ac:dyDescent="0.2"/>
    <row r="71" spans="14:14" s="167" customFormat="1" x14ac:dyDescent="0.2"/>
    <row r="72" spans="14:14" s="167" customFormat="1" x14ac:dyDescent="0.2"/>
    <row r="73" spans="14:14" s="167" customFormat="1" x14ac:dyDescent="0.2"/>
    <row r="74" spans="14:14" s="167" customFormat="1" x14ac:dyDescent="0.2">
      <c r="N74" s="168"/>
    </row>
    <row r="75" spans="14:14" s="167" customFormat="1" x14ac:dyDescent="0.2"/>
    <row r="76" spans="14:14" s="167" customFormat="1" x14ac:dyDescent="0.2"/>
    <row r="77" spans="14:14" s="167" customFormat="1" x14ac:dyDescent="0.2"/>
    <row r="78" spans="14:14" s="167" customFormat="1" x14ac:dyDescent="0.2"/>
    <row r="79" spans="14:14" s="167" customFormat="1" x14ac:dyDescent="0.2"/>
    <row r="80" spans="14:14" s="167" customFormat="1" x14ac:dyDescent="0.2"/>
    <row r="81" spans="14:14" s="167" customFormat="1" x14ac:dyDescent="0.2"/>
    <row r="82" spans="14:14" s="167" customFormat="1" x14ac:dyDescent="0.2"/>
    <row r="83" spans="14:14" s="167" customFormat="1" x14ac:dyDescent="0.2"/>
    <row r="84" spans="14:14" s="167" customFormat="1" x14ac:dyDescent="0.2">
      <c r="N84" s="168"/>
    </row>
    <row r="85" spans="14:14" s="167" customFormat="1" x14ac:dyDescent="0.2"/>
    <row r="86" spans="14:14" s="167" customFormat="1" x14ac:dyDescent="0.2"/>
    <row r="87" spans="14:14" s="167" customFormat="1" x14ac:dyDescent="0.2"/>
    <row r="88" spans="14:14" s="167" customFormat="1" x14ac:dyDescent="0.2"/>
    <row r="89" spans="14:14" s="167" customFormat="1" x14ac:dyDescent="0.2"/>
    <row r="90" spans="14:14" s="167" customFormat="1" x14ac:dyDescent="0.2"/>
    <row r="91" spans="14:14" s="167" customFormat="1" x14ac:dyDescent="0.2"/>
    <row r="92" spans="14:14" s="167" customFormat="1" x14ac:dyDescent="0.2"/>
    <row r="93" spans="14:14" s="167" customFormat="1" x14ac:dyDescent="0.2"/>
    <row r="94" spans="14:14" s="167" customFormat="1" x14ac:dyDescent="0.2"/>
    <row r="95" spans="14:14" s="167" customFormat="1" x14ac:dyDescent="0.2"/>
    <row r="96" spans="14:14" s="167" customFormat="1" x14ac:dyDescent="0.2"/>
    <row r="97" s="167" customFormat="1" x14ac:dyDescent="0.2"/>
    <row r="98" s="167" customFormat="1" x14ac:dyDescent="0.2"/>
    <row r="99" s="167" customFormat="1" x14ac:dyDescent="0.2"/>
    <row r="100" s="167" customFormat="1" x14ac:dyDescent="0.2"/>
    <row r="101" s="167" customFormat="1" x14ac:dyDescent="0.2"/>
    <row r="102" s="167" customFormat="1" x14ac:dyDescent="0.2"/>
    <row r="103" s="167" customFormat="1" x14ac:dyDescent="0.2"/>
    <row r="104" s="167" customFormat="1" x14ac:dyDescent="0.2"/>
    <row r="105" s="167" customFormat="1" x14ac:dyDescent="0.2"/>
    <row r="106" s="167" customFormat="1" x14ac:dyDescent="0.2"/>
    <row r="107" s="167" customFormat="1" x14ac:dyDescent="0.2"/>
    <row r="108" s="167" customFormat="1" x14ac:dyDescent="0.2"/>
    <row r="109" s="167" customFormat="1" x14ac:dyDescent="0.2"/>
    <row r="110" s="167" customFormat="1" x14ac:dyDescent="0.2"/>
    <row r="111" s="167" customFormat="1" x14ac:dyDescent="0.2"/>
    <row r="112" s="167" customFormat="1" x14ac:dyDescent="0.2"/>
    <row r="113" s="167" customFormat="1" x14ac:dyDescent="0.2"/>
    <row r="114" s="167" customFormat="1" x14ac:dyDescent="0.2"/>
    <row r="115" s="167" customFormat="1" x14ac:dyDescent="0.2"/>
    <row r="116" s="167" customFormat="1" x14ac:dyDescent="0.2"/>
    <row r="117" s="167" customFormat="1" x14ac:dyDescent="0.2"/>
    <row r="118" s="167" customFormat="1" x14ac:dyDescent="0.2"/>
    <row r="119" s="167" customFormat="1" x14ac:dyDescent="0.2"/>
    <row r="120" s="167" customFormat="1" x14ac:dyDescent="0.2"/>
    <row r="121" s="167" customFormat="1" x14ac:dyDescent="0.2"/>
    <row r="122" s="167" customFormat="1" x14ac:dyDescent="0.2"/>
    <row r="123" s="167" customFormat="1" x14ac:dyDescent="0.2"/>
    <row r="124" s="167" customFormat="1" x14ac:dyDescent="0.2"/>
    <row r="125" s="167" customFormat="1" x14ac:dyDescent="0.2"/>
    <row r="126" s="167" customFormat="1" x14ac:dyDescent="0.2"/>
    <row r="127" s="167" customFormat="1" x14ac:dyDescent="0.2"/>
    <row r="128" s="167" customFormat="1" x14ac:dyDescent="0.2"/>
    <row r="129" s="167" customFormat="1" x14ac:dyDescent="0.2"/>
    <row r="130" s="167" customFormat="1" x14ac:dyDescent="0.2"/>
    <row r="131" s="167" customFormat="1" x14ac:dyDescent="0.2"/>
    <row r="132" s="167" customFormat="1" x14ac:dyDescent="0.2"/>
    <row r="133" s="167" customFormat="1" x14ac:dyDescent="0.2"/>
    <row r="134" s="167" customFormat="1" x14ac:dyDescent="0.2"/>
    <row r="135" s="167" customFormat="1" x14ac:dyDescent="0.2"/>
    <row r="136" s="167" customFormat="1" x14ac:dyDescent="0.2"/>
    <row r="137" s="167" customFormat="1" x14ac:dyDescent="0.2"/>
    <row r="138" s="167" customFormat="1" x14ac:dyDescent="0.2"/>
    <row r="139" s="167" customFormat="1" x14ac:dyDescent="0.2"/>
    <row r="140" s="167" customFormat="1" x14ac:dyDescent="0.2"/>
    <row r="141" s="167" customFormat="1" x14ac:dyDescent="0.2"/>
    <row r="142" s="167" customFormat="1" x14ac:dyDescent="0.2"/>
    <row r="143" s="167" customFormat="1" x14ac:dyDescent="0.2"/>
    <row r="144" s="167" customFormat="1" x14ac:dyDescent="0.2"/>
    <row r="145" s="167" customFormat="1" x14ac:dyDescent="0.2"/>
    <row r="146" s="167" customFormat="1" x14ac:dyDescent="0.2"/>
    <row r="147" s="167" customFormat="1" x14ac:dyDescent="0.2"/>
    <row r="148" s="167" customFormat="1" x14ac:dyDescent="0.2"/>
    <row r="149" s="167" customFormat="1" x14ac:dyDescent="0.2"/>
    <row r="150" s="167" customFormat="1" x14ac:dyDescent="0.2"/>
    <row r="151" s="167" customFormat="1" x14ac:dyDescent="0.2"/>
    <row r="152" s="167" customFormat="1" x14ac:dyDescent="0.2"/>
    <row r="153" s="167" customFormat="1" x14ac:dyDescent="0.2"/>
    <row r="154" s="167" customFormat="1" x14ac:dyDescent="0.2"/>
    <row r="155" s="167" customFormat="1" x14ac:dyDescent="0.2"/>
    <row r="156" s="167" customFormat="1" x14ac:dyDescent="0.2"/>
    <row r="157" s="167" customFormat="1" x14ac:dyDescent="0.2"/>
    <row r="158" s="167" customFormat="1" x14ac:dyDescent="0.2"/>
    <row r="159" s="167" customFormat="1" x14ac:dyDescent="0.2"/>
    <row r="160" s="167" customFormat="1" x14ac:dyDescent="0.2"/>
    <row r="161" s="167" customFormat="1" x14ac:dyDescent="0.2"/>
    <row r="162" s="167" customFormat="1" x14ac:dyDescent="0.2"/>
    <row r="163" s="167" customFormat="1" x14ac:dyDescent="0.2"/>
    <row r="164" s="167" customFormat="1" x14ac:dyDescent="0.2"/>
    <row r="165" s="167" customFormat="1" x14ac:dyDescent="0.2"/>
    <row r="166" s="167" customFormat="1" x14ac:dyDescent="0.2"/>
    <row r="167" s="167" customFormat="1" x14ac:dyDescent="0.2"/>
    <row r="168" s="167" customFormat="1" x14ac:dyDescent="0.2"/>
    <row r="169" s="167" customFormat="1" x14ac:dyDescent="0.2"/>
    <row r="170" s="167" customFormat="1" x14ac:dyDescent="0.2"/>
    <row r="171" s="167" customFormat="1" x14ac:dyDescent="0.2"/>
    <row r="172" s="167" customFormat="1" x14ac:dyDescent="0.2"/>
    <row r="173" s="167" customFormat="1" x14ac:dyDescent="0.2"/>
    <row r="174" s="167" customFormat="1" x14ac:dyDescent="0.2"/>
    <row r="175" s="167" customFormat="1" x14ac:dyDescent="0.2"/>
    <row r="176" s="167" customFormat="1" x14ac:dyDescent="0.2"/>
    <row r="177" s="167" customFormat="1" x14ac:dyDescent="0.2"/>
    <row r="178" s="167" customFormat="1" x14ac:dyDescent="0.2"/>
    <row r="179" s="167" customFormat="1" x14ac:dyDescent="0.2"/>
    <row r="180" s="167" customFormat="1" x14ac:dyDescent="0.2"/>
    <row r="181" s="167" customFormat="1" x14ac:dyDescent="0.2"/>
    <row r="182" s="167" customFormat="1" x14ac:dyDescent="0.2"/>
    <row r="183" s="167" customFormat="1" x14ac:dyDescent="0.2"/>
    <row r="184" s="167" customFormat="1" x14ac:dyDescent="0.2"/>
    <row r="185" s="167" customFormat="1" x14ac:dyDescent="0.2"/>
    <row r="186" s="167" customFormat="1" x14ac:dyDescent="0.2"/>
    <row r="187" s="167" customFormat="1" x14ac:dyDescent="0.2"/>
    <row r="188" s="167" customFormat="1" x14ac:dyDescent="0.2"/>
    <row r="189" s="167" customFormat="1" x14ac:dyDescent="0.2"/>
    <row r="190" s="167" customFormat="1" x14ac:dyDescent="0.2"/>
    <row r="191" s="167" customFormat="1" x14ac:dyDescent="0.2"/>
    <row r="192" s="167" customFormat="1" x14ac:dyDescent="0.2"/>
    <row r="193" s="167" customFormat="1" x14ac:dyDescent="0.2"/>
    <row r="194" s="167" customFormat="1" x14ac:dyDescent="0.2"/>
    <row r="195" s="167" customFormat="1" x14ac:dyDescent="0.2"/>
    <row r="196" s="167" customFormat="1" x14ac:dyDescent="0.2"/>
    <row r="197" s="167" customFormat="1" x14ac:dyDescent="0.2"/>
    <row r="198" s="167" customFormat="1" x14ac:dyDescent="0.2"/>
    <row r="199" s="167" customFormat="1" x14ac:dyDescent="0.2"/>
    <row r="200" s="167" customFormat="1" x14ac:dyDescent="0.2"/>
    <row r="201" s="167" customFormat="1" x14ac:dyDescent="0.2"/>
    <row r="202" s="167" customFormat="1" x14ac:dyDescent="0.2"/>
    <row r="203" s="167" customFormat="1" x14ac:dyDescent="0.2"/>
    <row r="204" s="167" customFormat="1" x14ac:dyDescent="0.2"/>
    <row r="205" s="167" customFormat="1" x14ac:dyDescent="0.2"/>
    <row r="206" s="167" customFormat="1" x14ac:dyDescent="0.2"/>
    <row r="207" s="167" customFormat="1" x14ac:dyDescent="0.2"/>
    <row r="208" s="167" customFormat="1" x14ac:dyDescent="0.2"/>
    <row r="209" s="167" customFormat="1" x14ac:dyDescent="0.2"/>
    <row r="210" s="167" customFormat="1" x14ac:dyDescent="0.2"/>
    <row r="211" s="167" customFormat="1" x14ac:dyDescent="0.2"/>
    <row r="212" s="167" customFormat="1" x14ac:dyDescent="0.2"/>
    <row r="213" s="167" customFormat="1" x14ac:dyDescent="0.2"/>
    <row r="214" s="167" customFormat="1" x14ac:dyDescent="0.2"/>
    <row r="215" s="167" customFormat="1" x14ac:dyDescent="0.2"/>
    <row r="216" s="167" customFormat="1" x14ac:dyDescent="0.2"/>
    <row r="217" s="167" customFormat="1" x14ac:dyDescent="0.2"/>
    <row r="218" s="167" customFormat="1" x14ac:dyDescent="0.2"/>
    <row r="219" s="167" customFormat="1" x14ac:dyDescent="0.2"/>
    <row r="220" s="167" customFormat="1" x14ac:dyDescent="0.2"/>
    <row r="221" s="167" customFormat="1" x14ac:dyDescent="0.2"/>
    <row r="222" s="167" customFormat="1" x14ac:dyDescent="0.2"/>
    <row r="223" s="167" customFormat="1" x14ac:dyDescent="0.2"/>
    <row r="224" s="167" customFormat="1" x14ac:dyDescent="0.2"/>
    <row r="225" s="167" customFormat="1" x14ac:dyDescent="0.2"/>
    <row r="226" s="167" customFormat="1" x14ac:dyDescent="0.2"/>
    <row r="227" s="167" customFormat="1" x14ac:dyDescent="0.2"/>
    <row r="228" s="167" customFormat="1" x14ac:dyDescent="0.2"/>
    <row r="229" s="167" customFormat="1" x14ac:dyDescent="0.2"/>
    <row r="230" s="167" customFormat="1" x14ac:dyDescent="0.2"/>
    <row r="231" s="167" customFormat="1" x14ac:dyDescent="0.2"/>
    <row r="232" s="167" customFormat="1" x14ac:dyDescent="0.2"/>
    <row r="233" s="167" customFormat="1" x14ac:dyDescent="0.2"/>
    <row r="234" s="167" customFormat="1" x14ac:dyDescent="0.2"/>
    <row r="235" s="167" customFormat="1" x14ac:dyDescent="0.2"/>
    <row r="236" s="167" customFormat="1" x14ac:dyDescent="0.2"/>
    <row r="237" s="167" customFormat="1" x14ac:dyDescent="0.2"/>
    <row r="238" s="167" customFormat="1" x14ac:dyDescent="0.2"/>
    <row r="239" s="167" customFormat="1" x14ac:dyDescent="0.2"/>
    <row r="240" s="167" customFormat="1" x14ac:dyDescent="0.2"/>
    <row r="241" s="167" customFormat="1" x14ac:dyDescent="0.2"/>
    <row r="242" s="167" customFormat="1" x14ac:dyDescent="0.2"/>
    <row r="243" s="167" customFormat="1" x14ac:dyDescent="0.2"/>
    <row r="244" s="167" customFormat="1" x14ac:dyDescent="0.2"/>
    <row r="245" s="167" customFormat="1" x14ac:dyDescent="0.2"/>
    <row r="246" s="167" customFormat="1" x14ac:dyDescent="0.2"/>
    <row r="247" s="167" customFormat="1" x14ac:dyDescent="0.2"/>
    <row r="248" s="167" customFormat="1" x14ac:dyDescent="0.2"/>
    <row r="249" s="167" customFormat="1" x14ac:dyDescent="0.2"/>
    <row r="250" s="167" customFormat="1" x14ac:dyDescent="0.2"/>
    <row r="251" s="167" customFormat="1" x14ac:dyDescent="0.2"/>
    <row r="252" s="167" customFormat="1" x14ac:dyDescent="0.2"/>
    <row r="253" s="167" customFormat="1" x14ac:dyDescent="0.2"/>
    <row r="254" s="167" customFormat="1" x14ac:dyDescent="0.2"/>
    <row r="255" s="167" customFormat="1" x14ac:dyDescent="0.2"/>
    <row r="256" s="167" customFormat="1" x14ac:dyDescent="0.2"/>
    <row r="257" s="167" customFormat="1" x14ac:dyDescent="0.2"/>
    <row r="258" s="167" customFormat="1" x14ac:dyDescent="0.2"/>
    <row r="259" s="167" customFormat="1" x14ac:dyDescent="0.2"/>
    <row r="260" s="167" customFormat="1" x14ac:dyDescent="0.2"/>
    <row r="261" s="167" customFormat="1" x14ac:dyDescent="0.2"/>
    <row r="262" s="167" customFormat="1" x14ac:dyDescent="0.2"/>
    <row r="263" s="167" customFormat="1" x14ac:dyDescent="0.2"/>
    <row r="264" s="167" customFormat="1" x14ac:dyDescent="0.2"/>
    <row r="265" s="167" customFormat="1" x14ac:dyDescent="0.2"/>
    <row r="266" s="167" customFormat="1" x14ac:dyDescent="0.2"/>
    <row r="267" s="167" customFormat="1" x14ac:dyDescent="0.2"/>
    <row r="268" s="167" customFormat="1" x14ac:dyDescent="0.2"/>
    <row r="269" s="167" customFormat="1" x14ac:dyDescent="0.2"/>
    <row r="270" s="167" customFormat="1" x14ac:dyDescent="0.2"/>
    <row r="271" s="167" customFormat="1" x14ac:dyDescent="0.2"/>
    <row r="272" s="167" customFormat="1" x14ac:dyDescent="0.2"/>
    <row r="273" s="167" customFormat="1" x14ac:dyDescent="0.2"/>
    <row r="274" s="167" customFormat="1" x14ac:dyDescent="0.2"/>
    <row r="275" s="167" customFormat="1" x14ac:dyDescent="0.2"/>
    <row r="276" s="167" customFormat="1" x14ac:dyDescent="0.2"/>
    <row r="277" s="167" customFormat="1" x14ac:dyDescent="0.2"/>
    <row r="278" s="167" customFormat="1" x14ac:dyDescent="0.2"/>
    <row r="279" s="167" customFormat="1" x14ac:dyDescent="0.2"/>
    <row r="280" s="167" customFormat="1" x14ac:dyDescent="0.2"/>
    <row r="281" s="167" customFormat="1" x14ac:dyDescent="0.2"/>
    <row r="282" s="167" customFormat="1" x14ac:dyDescent="0.2"/>
    <row r="283" s="167" customFormat="1" x14ac:dyDescent="0.2"/>
  </sheetData>
  <mergeCells count="2">
    <mergeCell ref="L16:S31"/>
    <mergeCell ref="L2:S13"/>
  </mergeCells>
  <pageMargins left="0.7" right="0.7" top="0.75" bottom="0.75" header="0.3" footer="0.3"/>
  <pageSetup fitToWidth="2" orientation="portrait" horizontalDpi="0" verticalDpi="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F9D1E-0642-504D-B595-67E41394EE4E}">
  <sheetPr>
    <pageSetUpPr fitToPage="1"/>
  </sheetPr>
  <dimension ref="A1:V284"/>
  <sheetViews>
    <sheetView zoomScaleNormal="100" workbookViewId="0"/>
  </sheetViews>
  <sheetFormatPr baseColWidth="10" defaultColWidth="10.83203125" defaultRowHeight="16" outlineLevelCol="1" x14ac:dyDescent="0.2"/>
  <cols>
    <col min="1" max="1" width="4.6640625" style="37" customWidth="1"/>
    <col min="2" max="10" width="10.83203125" style="37" customWidth="1"/>
    <col min="11" max="11" width="10.83203125" style="37"/>
    <col min="12" max="21" width="10.83203125" style="37" hidden="1" customWidth="1" outlineLevel="1"/>
    <col min="22" max="22" width="10.83203125" style="37" collapsed="1"/>
    <col min="23" max="16384" width="10.83203125" style="37"/>
  </cols>
  <sheetData>
    <row r="1" spans="1:19" ht="19" x14ac:dyDescent="0.25">
      <c r="A1" s="1" t="s">
        <v>277</v>
      </c>
      <c r="B1" s="3"/>
      <c r="C1" s="26"/>
      <c r="D1" s="26"/>
      <c r="E1" s="26"/>
      <c r="F1" s="35"/>
      <c r="G1" s="35"/>
      <c r="H1" s="35"/>
      <c r="I1" s="35"/>
      <c r="J1" s="36"/>
      <c r="K1" s="5" t="s">
        <v>6</v>
      </c>
      <c r="L1" s="5"/>
    </row>
    <row r="2" spans="1:19" ht="16" customHeight="1" x14ac:dyDescent="0.2">
      <c r="A2" s="38"/>
      <c r="B2" s="35"/>
      <c r="C2" s="35"/>
      <c r="D2" s="35"/>
      <c r="E2" s="35"/>
      <c r="F2" s="35"/>
      <c r="G2" s="35"/>
      <c r="H2" s="35"/>
      <c r="I2" s="35"/>
      <c r="J2" s="36"/>
      <c r="L2" s="372" t="s">
        <v>282</v>
      </c>
      <c r="M2" s="372"/>
      <c r="N2" s="372"/>
      <c r="O2" s="372"/>
      <c r="P2" s="372"/>
      <c r="Q2" s="372"/>
      <c r="R2" s="372"/>
      <c r="S2" s="372"/>
    </row>
    <row r="3" spans="1:19" x14ac:dyDescent="0.2">
      <c r="A3" s="38"/>
      <c r="B3" s="379" t="s">
        <v>188</v>
      </c>
      <c r="C3" s="379"/>
      <c r="D3" s="379"/>
      <c r="E3" s="379"/>
      <c r="F3" s="379"/>
      <c r="G3" s="379"/>
      <c r="H3" s="379"/>
      <c r="I3" s="379"/>
      <c r="J3" s="36"/>
      <c r="L3" s="372"/>
      <c r="M3" s="372"/>
      <c r="N3" s="372"/>
      <c r="O3" s="372"/>
      <c r="P3" s="372"/>
      <c r="Q3" s="372"/>
      <c r="R3" s="372"/>
      <c r="S3" s="372"/>
    </row>
    <row r="4" spans="1:19" x14ac:dyDescent="0.2">
      <c r="A4" s="38"/>
      <c r="B4" s="379"/>
      <c r="C4" s="379"/>
      <c r="D4" s="379"/>
      <c r="E4" s="379"/>
      <c r="F4" s="379"/>
      <c r="G4" s="379"/>
      <c r="H4" s="379"/>
      <c r="I4" s="379"/>
      <c r="J4" s="36"/>
      <c r="L4" s="372"/>
      <c r="M4" s="372"/>
      <c r="N4" s="372"/>
      <c r="O4" s="372"/>
      <c r="P4" s="372"/>
      <c r="Q4" s="372"/>
      <c r="R4" s="372"/>
      <c r="S4" s="372"/>
    </row>
    <row r="5" spans="1:19" x14ac:dyDescent="0.2">
      <c r="A5" s="38"/>
      <c r="B5" s="35"/>
      <c r="C5" s="35"/>
      <c r="D5" s="35"/>
      <c r="E5" s="35"/>
      <c r="F5" s="35"/>
      <c r="G5" s="35"/>
      <c r="H5" s="35"/>
      <c r="I5" s="35"/>
      <c r="J5" s="36"/>
      <c r="M5" s="32"/>
      <c r="N5" s="32"/>
      <c r="O5" s="32"/>
      <c r="P5" s="32"/>
      <c r="Q5" s="32"/>
      <c r="R5" s="32"/>
      <c r="S5" s="32"/>
    </row>
    <row r="6" spans="1:19" ht="51" x14ac:dyDescent="0.2">
      <c r="A6" s="38"/>
      <c r="B6" s="53" t="s">
        <v>184</v>
      </c>
      <c r="C6" s="54" t="s">
        <v>34</v>
      </c>
      <c r="D6" s="54" t="s">
        <v>40</v>
      </c>
      <c r="E6" s="54" t="s">
        <v>35</v>
      </c>
      <c r="F6" s="54" t="s">
        <v>23</v>
      </c>
      <c r="G6" s="54" t="s">
        <v>36</v>
      </c>
      <c r="H6" s="54" t="s">
        <v>58</v>
      </c>
      <c r="I6" s="35"/>
      <c r="J6" s="36"/>
      <c r="L6" s="59" t="s">
        <v>184</v>
      </c>
      <c r="M6" s="60" t="s">
        <v>34</v>
      </c>
      <c r="N6" s="60" t="s">
        <v>186</v>
      </c>
      <c r="O6" s="59" t="s">
        <v>23</v>
      </c>
      <c r="P6" s="60" t="s">
        <v>82</v>
      </c>
      <c r="Q6" s="59" t="s">
        <v>83</v>
      </c>
      <c r="R6" s="60" t="s">
        <v>116</v>
      </c>
      <c r="S6" s="60" t="s">
        <v>191</v>
      </c>
    </row>
    <row r="7" spans="1:19" x14ac:dyDescent="0.2">
      <c r="A7" s="38"/>
      <c r="B7" s="61" t="s">
        <v>171</v>
      </c>
      <c r="C7" s="41">
        <v>44075</v>
      </c>
      <c r="D7" s="41">
        <v>44440</v>
      </c>
      <c r="E7" s="41">
        <v>44409</v>
      </c>
      <c r="F7" s="62">
        <v>10000000</v>
      </c>
      <c r="G7" s="62">
        <v>4000000</v>
      </c>
      <c r="H7" s="62">
        <v>150000</v>
      </c>
      <c r="I7" s="35"/>
      <c r="J7" s="36"/>
      <c r="L7" s="64" t="str">
        <f t="shared" ref="L7:M9" si="0">B7</f>
        <v>A</v>
      </c>
      <c r="M7" s="121">
        <f t="shared" si="0"/>
        <v>44075</v>
      </c>
      <c r="N7" s="122" t="s">
        <v>185</v>
      </c>
      <c r="O7" s="65">
        <f t="shared" ref="O7:Q9" si="1">F7</f>
        <v>10000000</v>
      </c>
      <c r="P7" s="52">
        <f t="shared" si="1"/>
        <v>4000000</v>
      </c>
      <c r="Q7" s="65">
        <f t="shared" si="1"/>
        <v>150000</v>
      </c>
      <c r="R7" s="52">
        <v>0</v>
      </c>
      <c r="S7" s="52">
        <v>0</v>
      </c>
    </row>
    <row r="8" spans="1:19" x14ac:dyDescent="0.2">
      <c r="A8" s="38"/>
      <c r="B8" s="61" t="s">
        <v>172</v>
      </c>
      <c r="C8" s="41">
        <v>44228</v>
      </c>
      <c r="D8" s="41">
        <v>44593</v>
      </c>
      <c r="E8" s="41">
        <v>44270</v>
      </c>
      <c r="F8" s="62">
        <v>15000000</v>
      </c>
      <c r="G8" s="62">
        <v>15000000</v>
      </c>
      <c r="H8" s="62">
        <v>7000000</v>
      </c>
      <c r="I8" s="35"/>
      <c r="J8" s="36"/>
      <c r="L8" s="64" t="str">
        <f t="shared" si="0"/>
        <v>B</v>
      </c>
      <c r="M8" s="121">
        <f t="shared" si="0"/>
        <v>44228</v>
      </c>
      <c r="N8" s="122" t="s">
        <v>187</v>
      </c>
      <c r="O8" s="65">
        <f t="shared" si="1"/>
        <v>15000000</v>
      </c>
      <c r="P8" s="52">
        <f t="shared" si="1"/>
        <v>15000000</v>
      </c>
      <c r="Q8" s="65">
        <f t="shared" si="1"/>
        <v>7000000</v>
      </c>
      <c r="R8" s="52">
        <f>MAX(MIN(P8-$O$12,$O$13),0)</f>
        <v>7500000</v>
      </c>
      <c r="S8" s="52">
        <f t="shared" ref="S8" si="2">Q8*(R8/P8)</f>
        <v>3500000</v>
      </c>
    </row>
    <row r="9" spans="1:19" x14ac:dyDescent="0.2">
      <c r="A9" s="38"/>
      <c r="B9" s="61" t="s">
        <v>173</v>
      </c>
      <c r="C9" s="41">
        <v>44409</v>
      </c>
      <c r="D9" s="41">
        <v>44774</v>
      </c>
      <c r="E9" s="41">
        <v>44743</v>
      </c>
      <c r="F9" s="62">
        <v>5000000</v>
      </c>
      <c r="G9" s="62">
        <v>2600000</v>
      </c>
      <c r="H9" s="62">
        <v>500000</v>
      </c>
      <c r="I9" s="35"/>
      <c r="J9" s="36"/>
      <c r="L9" s="68" t="str">
        <f t="shared" si="0"/>
        <v>C</v>
      </c>
      <c r="M9" s="123">
        <f t="shared" si="0"/>
        <v>44409</v>
      </c>
      <c r="N9" s="124" t="s">
        <v>187</v>
      </c>
      <c r="O9" s="70">
        <f t="shared" si="1"/>
        <v>5000000</v>
      </c>
      <c r="P9" s="69">
        <f t="shared" si="1"/>
        <v>2600000</v>
      </c>
      <c r="Q9" s="70">
        <f t="shared" si="1"/>
        <v>500000</v>
      </c>
      <c r="R9" s="69">
        <f>MAX(MIN(P9-$O$12,$O$13),0)</f>
        <v>100000</v>
      </c>
      <c r="S9" s="69">
        <f>Q9*(R9/P9)</f>
        <v>19230.76923076923</v>
      </c>
    </row>
    <row r="10" spans="1:19" x14ac:dyDescent="0.2">
      <c r="A10" s="38"/>
      <c r="B10" s="35"/>
      <c r="C10" s="35"/>
      <c r="D10" s="35"/>
      <c r="E10" s="35"/>
      <c r="F10" s="35"/>
      <c r="G10" s="35"/>
      <c r="H10" s="35"/>
      <c r="I10" s="35"/>
      <c r="J10" s="36"/>
      <c r="L10" s="64" t="s">
        <v>163</v>
      </c>
      <c r="M10" s="121"/>
      <c r="N10" s="122"/>
      <c r="O10" s="65"/>
      <c r="P10" s="52">
        <f>SUM(P7:P9)</f>
        <v>21600000</v>
      </c>
      <c r="Q10" s="65">
        <f>SUM(Q7:Q9)</f>
        <v>7650000</v>
      </c>
      <c r="R10" s="52">
        <f>SUM(R7:R9)</f>
        <v>7600000</v>
      </c>
      <c r="S10" s="52">
        <f>SUM(S7:S9)</f>
        <v>3519230.769230769</v>
      </c>
    </row>
    <row r="11" spans="1:19" x14ac:dyDescent="0.2">
      <c r="A11" s="38"/>
      <c r="B11" s="35" t="s">
        <v>174</v>
      </c>
      <c r="C11" s="35"/>
      <c r="D11" s="35"/>
      <c r="E11" s="35"/>
      <c r="F11" s="35"/>
      <c r="G11" s="35"/>
      <c r="H11" s="35"/>
      <c r="I11" s="35"/>
      <c r="J11" s="36"/>
    </row>
    <row r="12" spans="1:19" x14ac:dyDescent="0.2">
      <c r="A12" s="38"/>
      <c r="B12" s="35"/>
      <c r="C12" s="35"/>
      <c r="D12" s="35"/>
      <c r="E12" s="35"/>
      <c r="F12" s="35"/>
      <c r="G12" s="35"/>
      <c r="H12" s="35"/>
      <c r="I12" s="35"/>
      <c r="J12" s="36"/>
      <c r="M12" s="37" t="s">
        <v>190</v>
      </c>
      <c r="O12" s="52">
        <v>2500000</v>
      </c>
    </row>
    <row r="13" spans="1:19" ht="34" customHeight="1" x14ac:dyDescent="0.2">
      <c r="A13" s="38"/>
      <c r="B13" s="53" t="s">
        <v>26</v>
      </c>
      <c r="C13" s="54" t="s">
        <v>34</v>
      </c>
      <c r="D13" s="54" t="s">
        <v>40</v>
      </c>
      <c r="E13" s="54" t="s">
        <v>37</v>
      </c>
      <c r="F13" s="384" t="s">
        <v>176</v>
      </c>
      <c r="G13" s="384"/>
      <c r="H13" s="54" t="s">
        <v>177</v>
      </c>
      <c r="I13" s="35"/>
      <c r="J13" s="36"/>
      <c r="M13" s="37" t="s">
        <v>189</v>
      </c>
      <c r="O13" s="52">
        <v>7500000</v>
      </c>
    </row>
    <row r="14" spans="1:19" x14ac:dyDescent="0.2">
      <c r="A14" s="38"/>
      <c r="B14" s="77" t="s">
        <v>39</v>
      </c>
      <c r="C14" s="41">
        <v>44197</v>
      </c>
      <c r="D14" s="41">
        <v>44561</v>
      </c>
      <c r="E14" s="35" t="s">
        <v>38</v>
      </c>
      <c r="F14" s="385" t="s">
        <v>179</v>
      </c>
      <c r="G14" s="385"/>
      <c r="H14" s="35" t="s">
        <v>38</v>
      </c>
      <c r="I14" s="35"/>
      <c r="J14" s="36"/>
    </row>
    <row r="15" spans="1:19" ht="32" customHeight="1" x14ac:dyDescent="0.2">
      <c r="A15" s="38"/>
      <c r="B15" s="77" t="s">
        <v>175</v>
      </c>
      <c r="C15" s="41">
        <v>44197</v>
      </c>
      <c r="D15" s="41">
        <v>44561</v>
      </c>
      <c r="E15" s="125" t="s">
        <v>181</v>
      </c>
      <c r="F15" s="386" t="s">
        <v>178</v>
      </c>
      <c r="G15" s="386"/>
      <c r="H15" s="35" t="s">
        <v>180</v>
      </c>
      <c r="I15" s="35"/>
      <c r="J15" s="36"/>
      <c r="L15" s="372" t="s">
        <v>192</v>
      </c>
      <c r="M15" s="372"/>
      <c r="N15" s="372"/>
      <c r="O15" s="372"/>
      <c r="P15" s="372"/>
      <c r="Q15" s="372"/>
      <c r="R15" s="372"/>
      <c r="S15" s="372"/>
    </row>
    <row r="16" spans="1:19" x14ac:dyDescent="0.2">
      <c r="A16" s="38"/>
      <c r="B16" s="35"/>
      <c r="C16" s="35"/>
      <c r="D16" s="35"/>
      <c r="E16" s="35"/>
      <c r="F16" s="35"/>
      <c r="G16" s="35"/>
      <c r="H16" s="35"/>
      <c r="I16" s="35"/>
      <c r="J16" s="36"/>
      <c r="L16" s="372"/>
      <c r="M16" s="372"/>
      <c r="N16" s="372"/>
      <c r="O16" s="372"/>
      <c r="P16" s="372"/>
      <c r="Q16" s="372"/>
      <c r="R16" s="372"/>
      <c r="S16" s="372"/>
    </row>
    <row r="17" spans="1:19" x14ac:dyDescent="0.2">
      <c r="A17" s="38"/>
      <c r="B17" s="35" t="s">
        <v>182</v>
      </c>
      <c r="C17" s="35"/>
      <c r="D17" s="35"/>
      <c r="E17" s="35"/>
      <c r="F17" s="35"/>
      <c r="G17" s="35"/>
      <c r="H17" s="35"/>
      <c r="I17" s="35"/>
      <c r="J17" s="36"/>
    </row>
    <row r="18" spans="1:19" ht="48" customHeight="1" x14ac:dyDescent="0.2">
      <c r="A18" s="38"/>
      <c r="B18" s="35"/>
      <c r="C18" s="35"/>
      <c r="D18" s="35"/>
      <c r="E18" s="35"/>
      <c r="F18" s="35"/>
      <c r="G18" s="35"/>
      <c r="H18" s="35"/>
      <c r="I18" s="35"/>
      <c r="J18" s="36"/>
      <c r="L18" s="59" t="s">
        <v>184</v>
      </c>
      <c r="M18" s="60" t="s">
        <v>35</v>
      </c>
      <c r="N18" s="60" t="s">
        <v>196</v>
      </c>
      <c r="O18" s="59" t="s">
        <v>23</v>
      </c>
      <c r="P18" s="60" t="s">
        <v>193</v>
      </c>
      <c r="Q18" s="59" t="s">
        <v>194</v>
      </c>
      <c r="R18" s="60" t="s">
        <v>116</v>
      </c>
      <c r="S18" s="60" t="s">
        <v>191</v>
      </c>
    </row>
    <row r="19" spans="1:19" x14ac:dyDescent="0.2">
      <c r="A19" s="38"/>
      <c r="B19" s="379" t="s">
        <v>183</v>
      </c>
      <c r="C19" s="379"/>
      <c r="D19" s="379"/>
      <c r="E19" s="379"/>
      <c r="F19" s="379"/>
      <c r="G19" s="379"/>
      <c r="H19" s="379"/>
      <c r="I19" s="379"/>
      <c r="J19" s="36"/>
      <c r="L19" s="64" t="str">
        <f>B7</f>
        <v>A</v>
      </c>
      <c r="M19" s="121">
        <f>E7</f>
        <v>44409</v>
      </c>
      <c r="N19" s="122" t="s">
        <v>187</v>
      </c>
      <c r="O19" s="65">
        <f>F7</f>
        <v>10000000</v>
      </c>
      <c r="P19" s="52">
        <f t="shared" ref="P19:Q21" si="3">G7-R7</f>
        <v>4000000</v>
      </c>
      <c r="Q19" s="65">
        <f t="shared" si="3"/>
        <v>150000</v>
      </c>
      <c r="R19" s="52">
        <f>P19*$O$24</f>
        <v>1200000</v>
      </c>
      <c r="S19" s="52">
        <f>Q19*$O$24</f>
        <v>45000</v>
      </c>
    </row>
    <row r="20" spans="1:19" x14ac:dyDescent="0.2">
      <c r="A20" s="38"/>
      <c r="B20" s="379"/>
      <c r="C20" s="379"/>
      <c r="D20" s="379"/>
      <c r="E20" s="379"/>
      <c r="F20" s="379"/>
      <c r="G20" s="379"/>
      <c r="H20" s="379"/>
      <c r="I20" s="379"/>
      <c r="J20" s="36"/>
      <c r="L20" s="64" t="str">
        <f t="shared" ref="L20:L21" si="4">B8</f>
        <v>B</v>
      </c>
      <c r="M20" s="121">
        <f t="shared" ref="M20:M21" si="5">E8</f>
        <v>44270</v>
      </c>
      <c r="N20" s="122" t="s">
        <v>187</v>
      </c>
      <c r="O20" s="65">
        <f t="shared" ref="O20:O21" si="6">F8</f>
        <v>15000000</v>
      </c>
      <c r="P20" s="52">
        <f t="shared" si="3"/>
        <v>7500000</v>
      </c>
      <c r="Q20" s="65">
        <f t="shared" si="3"/>
        <v>3500000</v>
      </c>
      <c r="R20" s="52">
        <f>P20*$O$24</f>
        <v>2250000</v>
      </c>
      <c r="S20" s="52">
        <f>Q20*$O$24</f>
        <v>1050000</v>
      </c>
    </row>
    <row r="21" spans="1:19" x14ac:dyDescent="0.2">
      <c r="A21" s="38"/>
      <c r="B21" s="40"/>
      <c r="C21" s="40"/>
      <c r="D21" s="40"/>
      <c r="E21" s="40"/>
      <c r="F21" s="40"/>
      <c r="G21" s="40"/>
      <c r="H21" s="40"/>
      <c r="I21" s="40"/>
      <c r="J21" s="36"/>
      <c r="L21" s="68" t="str">
        <f t="shared" si="4"/>
        <v>C</v>
      </c>
      <c r="M21" s="123">
        <f t="shared" si="5"/>
        <v>44743</v>
      </c>
      <c r="N21" s="124" t="s">
        <v>185</v>
      </c>
      <c r="O21" s="70">
        <f t="shared" si="6"/>
        <v>5000000</v>
      </c>
      <c r="P21" s="69">
        <f t="shared" si="3"/>
        <v>2500000</v>
      </c>
      <c r="Q21" s="70">
        <f t="shared" si="3"/>
        <v>480769.23076923075</v>
      </c>
      <c r="R21" s="69">
        <v>0</v>
      </c>
      <c r="S21" s="69">
        <v>0</v>
      </c>
    </row>
    <row r="22" spans="1:19" ht="17" thickBot="1" x14ac:dyDescent="0.25">
      <c r="A22" s="114"/>
      <c r="B22" s="115"/>
      <c r="C22" s="116"/>
      <c r="D22" s="116"/>
      <c r="E22" s="116"/>
      <c r="F22" s="115"/>
      <c r="G22" s="115"/>
      <c r="H22" s="115"/>
      <c r="I22" s="115"/>
      <c r="J22" s="117"/>
      <c r="L22" s="64" t="s">
        <v>163</v>
      </c>
      <c r="M22" s="121"/>
      <c r="N22" s="122"/>
      <c r="O22" s="65"/>
      <c r="P22" s="52">
        <f>SUM(P19:P21)</f>
        <v>14000000</v>
      </c>
      <c r="Q22" s="65">
        <f>SUM(Q19:Q21)</f>
        <v>4130769.230769231</v>
      </c>
      <c r="R22" s="52">
        <f>SUM(R19:R21)</f>
        <v>3450000</v>
      </c>
      <c r="S22" s="52">
        <f>SUM(S19:S21)</f>
        <v>1095000</v>
      </c>
    </row>
    <row r="23" spans="1:19" ht="17" thickBot="1" x14ac:dyDescent="0.25">
      <c r="A23" s="114" t="s">
        <v>7</v>
      </c>
      <c r="B23" s="115"/>
      <c r="C23" s="116"/>
      <c r="D23" s="116"/>
      <c r="E23" s="116"/>
      <c r="F23" s="115"/>
      <c r="G23" s="115"/>
      <c r="H23" s="115"/>
      <c r="I23" s="115"/>
      <c r="J23" s="117"/>
    </row>
    <row r="24" spans="1:19" x14ac:dyDescent="0.2">
      <c r="M24" s="37" t="s">
        <v>195</v>
      </c>
      <c r="O24" s="126">
        <v>0.3</v>
      </c>
    </row>
    <row r="26" spans="1:19" ht="17" thickBot="1" x14ac:dyDescent="0.25">
      <c r="M26" s="37" t="s">
        <v>198</v>
      </c>
    </row>
    <row r="27" spans="1:19" x14ac:dyDescent="0.2">
      <c r="M27" s="46" t="s">
        <v>197</v>
      </c>
      <c r="N27" s="127"/>
      <c r="O27" s="128">
        <f>SUM(P10:Q10)</f>
        <v>29250000</v>
      </c>
    </row>
    <row r="28" spans="1:19" x14ac:dyDescent="0.2">
      <c r="M28" s="48" t="s">
        <v>120</v>
      </c>
      <c r="O28" s="113">
        <f>SUM(R10:S10)</f>
        <v>11119230.769230768</v>
      </c>
    </row>
    <row r="29" spans="1:19" x14ac:dyDescent="0.2">
      <c r="M29" s="129" t="s">
        <v>199</v>
      </c>
      <c r="N29" s="44"/>
      <c r="O29" s="118">
        <f>SUM(R22:S22)</f>
        <v>4545000</v>
      </c>
    </row>
    <row r="30" spans="1:19" ht="17" thickBot="1" x14ac:dyDescent="0.25">
      <c r="M30" s="50" t="s">
        <v>200</v>
      </c>
      <c r="N30" s="130"/>
      <c r="O30" s="119">
        <f>O27-O28-O29</f>
        <v>13585769.230769232</v>
      </c>
    </row>
    <row r="33" spans="12:20" ht="19" x14ac:dyDescent="0.2">
      <c r="L33" s="5" t="s">
        <v>8</v>
      </c>
    </row>
    <row r="34" spans="12:20" s="152" customFormat="1" ht="16" customHeight="1" x14ac:dyDescent="0.2">
      <c r="L34" s="383" t="s">
        <v>269</v>
      </c>
      <c r="M34" s="383"/>
      <c r="N34" s="383"/>
      <c r="O34" s="383"/>
      <c r="P34" s="383"/>
      <c r="Q34" s="383"/>
      <c r="R34" s="383"/>
      <c r="S34" s="383"/>
      <c r="T34" s="383"/>
    </row>
    <row r="35" spans="12:20" s="152" customFormat="1" x14ac:dyDescent="0.2">
      <c r="L35" s="383"/>
      <c r="M35" s="383"/>
      <c r="N35" s="383"/>
      <c r="O35" s="383"/>
      <c r="P35" s="383"/>
      <c r="Q35" s="383"/>
      <c r="R35" s="383"/>
      <c r="S35" s="383"/>
      <c r="T35" s="383"/>
    </row>
    <row r="36" spans="12:20" s="152" customFormat="1" ht="19" customHeight="1" x14ac:dyDescent="0.2">
      <c r="L36" s="383"/>
      <c r="M36" s="383"/>
      <c r="N36" s="383"/>
      <c r="O36" s="383"/>
      <c r="P36" s="383"/>
      <c r="Q36" s="383"/>
      <c r="R36" s="383"/>
      <c r="S36" s="383"/>
      <c r="T36" s="383"/>
    </row>
    <row r="37" spans="12:20" s="152" customFormat="1" x14ac:dyDescent="0.2">
      <c r="L37" s="383"/>
      <c r="M37" s="383"/>
      <c r="N37" s="383"/>
      <c r="O37" s="383"/>
      <c r="P37" s="383"/>
      <c r="Q37" s="383"/>
      <c r="R37" s="383"/>
      <c r="S37" s="383"/>
      <c r="T37" s="383"/>
    </row>
    <row r="38" spans="12:20" s="152" customFormat="1" x14ac:dyDescent="0.2">
      <c r="L38" s="383"/>
      <c r="M38" s="383"/>
      <c r="N38" s="383"/>
      <c r="O38" s="383"/>
      <c r="P38" s="383"/>
      <c r="Q38" s="383"/>
      <c r="R38" s="383"/>
      <c r="S38" s="383"/>
      <c r="T38" s="383"/>
    </row>
    <row r="39" spans="12:20" s="152" customFormat="1" x14ac:dyDescent="0.2">
      <c r="L39" s="383"/>
      <c r="M39" s="383"/>
      <c r="N39" s="383"/>
      <c r="O39" s="383"/>
      <c r="P39" s="383"/>
      <c r="Q39" s="383"/>
      <c r="R39" s="383"/>
      <c r="S39" s="383"/>
      <c r="T39" s="383"/>
    </row>
    <row r="40" spans="12:20" s="152" customFormat="1" x14ac:dyDescent="0.2">
      <c r="L40" s="383"/>
      <c r="M40" s="383"/>
      <c r="N40" s="383"/>
      <c r="O40" s="383"/>
      <c r="P40" s="383"/>
      <c r="Q40" s="383"/>
      <c r="R40" s="383"/>
      <c r="S40" s="383"/>
      <c r="T40" s="383"/>
    </row>
    <row r="41" spans="12:20" s="152" customFormat="1" x14ac:dyDescent="0.2">
      <c r="L41" s="383"/>
      <c r="M41" s="383"/>
      <c r="N41" s="383"/>
      <c r="O41" s="383"/>
      <c r="P41" s="383"/>
      <c r="Q41" s="383"/>
      <c r="R41" s="383"/>
      <c r="S41" s="383"/>
      <c r="T41" s="383"/>
    </row>
    <row r="42" spans="12:20" s="152" customFormat="1" x14ac:dyDescent="0.2">
      <c r="L42" s="383"/>
      <c r="M42" s="383"/>
      <c r="N42" s="383"/>
      <c r="O42" s="383"/>
      <c r="P42" s="383"/>
      <c r="Q42" s="383"/>
      <c r="R42" s="383"/>
      <c r="S42" s="383"/>
      <c r="T42" s="383"/>
    </row>
    <row r="43" spans="12:20" s="152" customFormat="1" x14ac:dyDescent="0.2"/>
    <row r="44" spans="12:20" s="152" customFormat="1" ht="19" x14ac:dyDescent="0.25">
      <c r="L44" s="2" t="s">
        <v>290</v>
      </c>
    </row>
    <row r="45" spans="12:20" s="152" customFormat="1" x14ac:dyDescent="0.2">
      <c r="L45" s="152" t="s">
        <v>284</v>
      </c>
    </row>
    <row r="46" spans="12:20" s="152" customFormat="1" x14ac:dyDescent="0.2">
      <c r="L46" s="152" t="s">
        <v>285</v>
      </c>
    </row>
    <row r="47" spans="12:20" s="152" customFormat="1" x14ac:dyDescent="0.2"/>
    <row r="48" spans="12:20" s="152" customFormat="1" x14ac:dyDescent="0.2"/>
    <row r="49" s="152" customFormat="1" x14ac:dyDescent="0.2"/>
    <row r="50" s="152" customFormat="1" x14ac:dyDescent="0.2"/>
    <row r="51" s="152" customFormat="1" x14ac:dyDescent="0.2"/>
    <row r="52" s="152" customFormat="1" x14ac:dyDescent="0.2"/>
    <row r="53" s="152" customFormat="1" x14ac:dyDescent="0.2"/>
    <row r="54" s="152" customFormat="1" x14ac:dyDescent="0.2"/>
    <row r="55" s="152" customFormat="1" x14ac:dyDescent="0.2"/>
    <row r="56" s="152" customFormat="1" x14ac:dyDescent="0.2"/>
    <row r="57" s="152" customFormat="1" x14ac:dyDescent="0.2"/>
    <row r="58" s="152" customFormat="1" x14ac:dyDescent="0.2"/>
    <row r="59" s="152" customFormat="1" x14ac:dyDescent="0.2"/>
    <row r="60" s="152" customFormat="1" x14ac:dyDescent="0.2"/>
    <row r="61" s="152" customFormat="1" x14ac:dyDescent="0.2"/>
    <row r="62" s="152" customFormat="1" x14ac:dyDescent="0.2"/>
    <row r="63" s="152" customFormat="1" x14ac:dyDescent="0.2"/>
    <row r="64" s="152" customFormat="1" x14ac:dyDescent="0.2"/>
    <row r="65" spans="14:14" s="152" customFormat="1" x14ac:dyDescent="0.2"/>
    <row r="66" spans="14:14" s="152" customFormat="1" x14ac:dyDescent="0.2">
      <c r="N66" s="157"/>
    </row>
    <row r="67" spans="14:14" s="152" customFormat="1" x14ac:dyDescent="0.2"/>
    <row r="68" spans="14:14" s="152" customFormat="1" x14ac:dyDescent="0.2"/>
    <row r="69" spans="14:14" s="152" customFormat="1" x14ac:dyDescent="0.2"/>
    <row r="70" spans="14:14" s="152" customFormat="1" x14ac:dyDescent="0.2"/>
    <row r="71" spans="14:14" s="152" customFormat="1" x14ac:dyDescent="0.2"/>
    <row r="72" spans="14:14" s="152" customFormat="1" x14ac:dyDescent="0.2"/>
    <row r="73" spans="14:14" s="152" customFormat="1" x14ac:dyDescent="0.2"/>
    <row r="74" spans="14:14" s="152" customFormat="1" x14ac:dyDescent="0.2"/>
    <row r="75" spans="14:14" s="152" customFormat="1" x14ac:dyDescent="0.2"/>
    <row r="76" spans="14:14" s="152" customFormat="1" x14ac:dyDescent="0.2">
      <c r="N76" s="157"/>
    </row>
    <row r="77" spans="14:14" s="152" customFormat="1" x14ac:dyDescent="0.2"/>
    <row r="78" spans="14:14" s="152" customFormat="1" x14ac:dyDescent="0.2"/>
    <row r="79" spans="14:14" s="152" customFormat="1" x14ac:dyDescent="0.2"/>
    <row r="80" spans="14:14" s="152" customFormat="1" x14ac:dyDescent="0.2"/>
    <row r="81" spans="14:14" s="152" customFormat="1" x14ac:dyDescent="0.2"/>
    <row r="82" spans="14:14" s="152" customFormat="1" x14ac:dyDescent="0.2"/>
    <row r="83" spans="14:14" s="152" customFormat="1" x14ac:dyDescent="0.2"/>
    <row r="84" spans="14:14" s="152" customFormat="1" x14ac:dyDescent="0.2"/>
    <row r="85" spans="14:14" s="152" customFormat="1" x14ac:dyDescent="0.2"/>
    <row r="86" spans="14:14" s="152" customFormat="1" x14ac:dyDescent="0.2">
      <c r="N86" s="157"/>
    </row>
    <row r="87" spans="14:14" s="152" customFormat="1" x14ac:dyDescent="0.2"/>
    <row r="88" spans="14:14" s="152" customFormat="1" x14ac:dyDescent="0.2"/>
    <row r="89" spans="14:14" s="152" customFormat="1" x14ac:dyDescent="0.2"/>
    <row r="90" spans="14:14" s="152" customFormat="1" x14ac:dyDescent="0.2"/>
    <row r="91" spans="14:14" s="152" customFormat="1" x14ac:dyDescent="0.2"/>
    <row r="92" spans="14:14" s="152" customFormat="1" x14ac:dyDescent="0.2"/>
    <row r="93" spans="14:14" s="152" customFormat="1" x14ac:dyDescent="0.2"/>
    <row r="94" spans="14:14" s="152" customFormat="1" x14ac:dyDescent="0.2"/>
    <row r="95" spans="14:14" s="152" customFormat="1" x14ac:dyDescent="0.2"/>
    <row r="96" spans="14:14" s="152" customFormat="1" x14ac:dyDescent="0.2"/>
    <row r="97" s="152" customFormat="1" x14ac:dyDescent="0.2"/>
    <row r="98" s="152" customFormat="1" x14ac:dyDescent="0.2"/>
    <row r="99" s="152" customFormat="1" x14ac:dyDescent="0.2"/>
    <row r="100" s="152" customFormat="1" x14ac:dyDescent="0.2"/>
    <row r="101" s="152" customFormat="1" x14ac:dyDescent="0.2"/>
    <row r="102" s="152" customFormat="1" x14ac:dyDescent="0.2"/>
    <row r="103" s="152" customFormat="1" x14ac:dyDescent="0.2"/>
    <row r="104" s="152" customFormat="1" x14ac:dyDescent="0.2"/>
    <row r="105" s="152" customFormat="1" x14ac:dyDescent="0.2"/>
    <row r="106" s="152" customFormat="1" x14ac:dyDescent="0.2"/>
    <row r="107" s="152" customFormat="1" x14ac:dyDescent="0.2"/>
    <row r="108" s="152" customFormat="1" x14ac:dyDescent="0.2"/>
    <row r="109" s="152" customFormat="1" x14ac:dyDescent="0.2"/>
    <row r="110" s="152" customFormat="1" x14ac:dyDescent="0.2"/>
    <row r="111" s="152" customFormat="1" x14ac:dyDescent="0.2"/>
    <row r="112" s="152" customFormat="1" x14ac:dyDescent="0.2"/>
    <row r="113" s="152" customFormat="1" x14ac:dyDescent="0.2"/>
    <row r="114" s="152" customFormat="1" x14ac:dyDescent="0.2"/>
    <row r="115" s="152" customFormat="1" x14ac:dyDescent="0.2"/>
    <row r="116" s="152" customFormat="1" x14ac:dyDescent="0.2"/>
    <row r="117" s="152" customFormat="1" x14ac:dyDescent="0.2"/>
    <row r="118" s="152" customFormat="1" x14ac:dyDescent="0.2"/>
    <row r="119" s="152" customFormat="1" x14ac:dyDescent="0.2"/>
    <row r="120" s="152" customFormat="1" x14ac:dyDescent="0.2"/>
    <row r="121" s="152" customFormat="1" x14ac:dyDescent="0.2"/>
    <row r="122" s="152" customFormat="1" x14ac:dyDescent="0.2"/>
    <row r="123" s="152" customFormat="1" x14ac:dyDescent="0.2"/>
    <row r="124" s="152" customFormat="1" x14ac:dyDescent="0.2"/>
    <row r="125" s="152" customFormat="1" x14ac:dyDescent="0.2"/>
    <row r="126" s="152" customFormat="1" x14ac:dyDescent="0.2"/>
    <row r="127" s="152" customFormat="1" x14ac:dyDescent="0.2"/>
    <row r="128" s="152" customFormat="1" x14ac:dyDescent="0.2"/>
    <row r="129" s="152" customFormat="1" x14ac:dyDescent="0.2"/>
    <row r="130" s="152" customFormat="1" x14ac:dyDescent="0.2"/>
    <row r="131" s="152" customFormat="1" x14ac:dyDescent="0.2"/>
    <row r="132" s="152" customFormat="1" x14ac:dyDescent="0.2"/>
    <row r="133" s="152" customFormat="1" x14ac:dyDescent="0.2"/>
    <row r="134" s="152" customFormat="1" x14ac:dyDescent="0.2"/>
    <row r="135" s="152" customFormat="1" x14ac:dyDescent="0.2"/>
    <row r="136" s="152" customFormat="1" x14ac:dyDescent="0.2"/>
    <row r="137" s="152" customFormat="1" x14ac:dyDescent="0.2"/>
    <row r="138" s="152" customFormat="1" x14ac:dyDescent="0.2"/>
    <row r="139" s="152" customFormat="1" x14ac:dyDescent="0.2"/>
    <row r="140" s="152" customFormat="1" x14ac:dyDescent="0.2"/>
    <row r="141" s="152" customFormat="1" x14ac:dyDescent="0.2"/>
    <row r="142" s="152" customFormat="1" x14ac:dyDescent="0.2"/>
    <row r="143" s="152" customFormat="1" x14ac:dyDescent="0.2"/>
    <row r="144" s="152" customFormat="1" x14ac:dyDescent="0.2"/>
    <row r="145" s="152" customFormat="1" x14ac:dyDescent="0.2"/>
    <row r="146" s="152" customFormat="1" x14ac:dyDescent="0.2"/>
    <row r="147" s="152" customFormat="1" x14ac:dyDescent="0.2"/>
    <row r="148" s="152" customFormat="1" x14ac:dyDescent="0.2"/>
    <row r="149" s="152" customFormat="1" x14ac:dyDescent="0.2"/>
    <row r="150" s="152" customFormat="1" x14ac:dyDescent="0.2"/>
    <row r="151" s="152" customFormat="1" x14ac:dyDescent="0.2"/>
    <row r="152" s="152" customFormat="1" x14ac:dyDescent="0.2"/>
    <row r="153" s="152" customFormat="1" x14ac:dyDescent="0.2"/>
    <row r="154" s="152" customFormat="1" x14ac:dyDescent="0.2"/>
    <row r="155" s="152" customFormat="1" x14ac:dyDescent="0.2"/>
    <row r="156" s="152" customFormat="1" x14ac:dyDescent="0.2"/>
    <row r="157" s="152" customFormat="1" x14ac:dyDescent="0.2"/>
    <row r="158" s="152" customFormat="1" x14ac:dyDescent="0.2"/>
    <row r="159" s="152" customFormat="1" x14ac:dyDescent="0.2"/>
    <row r="160" s="152" customFormat="1" x14ac:dyDescent="0.2"/>
    <row r="161" s="152" customFormat="1" x14ac:dyDescent="0.2"/>
    <row r="162" s="152" customFormat="1" x14ac:dyDescent="0.2"/>
    <row r="163" s="152" customFormat="1" x14ac:dyDescent="0.2"/>
    <row r="164" s="152" customFormat="1" x14ac:dyDescent="0.2"/>
    <row r="165" s="152" customFormat="1" x14ac:dyDescent="0.2"/>
    <row r="166" s="152" customFormat="1" x14ac:dyDescent="0.2"/>
    <row r="167" s="152" customFormat="1" x14ac:dyDescent="0.2"/>
    <row r="168" s="152" customFormat="1" x14ac:dyDescent="0.2"/>
    <row r="169" s="152" customFormat="1" x14ac:dyDescent="0.2"/>
    <row r="170" s="152" customFormat="1" x14ac:dyDescent="0.2"/>
    <row r="171" s="152" customFormat="1" x14ac:dyDescent="0.2"/>
    <row r="172" s="152" customFormat="1" x14ac:dyDescent="0.2"/>
    <row r="173" s="152" customFormat="1" x14ac:dyDescent="0.2"/>
    <row r="174" s="152" customFormat="1" x14ac:dyDescent="0.2"/>
    <row r="175" s="152" customFormat="1" x14ac:dyDescent="0.2"/>
    <row r="176" s="152" customFormat="1" x14ac:dyDescent="0.2"/>
    <row r="177" s="152" customFormat="1" x14ac:dyDescent="0.2"/>
    <row r="178" s="152" customFormat="1" x14ac:dyDescent="0.2"/>
    <row r="179" s="152" customFormat="1" x14ac:dyDescent="0.2"/>
    <row r="180" s="152" customFormat="1" x14ac:dyDescent="0.2"/>
    <row r="181" s="152" customFormat="1" x14ac:dyDescent="0.2"/>
    <row r="182" s="152" customFormat="1" x14ac:dyDescent="0.2"/>
    <row r="183" s="152" customFormat="1" x14ac:dyDescent="0.2"/>
    <row r="184" s="152" customFormat="1" x14ac:dyDescent="0.2"/>
    <row r="185" s="152" customFormat="1" x14ac:dyDescent="0.2"/>
    <row r="186" s="152" customFormat="1" x14ac:dyDescent="0.2"/>
    <row r="187" s="152" customFormat="1" x14ac:dyDescent="0.2"/>
    <row r="188" s="152" customFormat="1" x14ac:dyDescent="0.2"/>
    <row r="189" s="152" customFormat="1" x14ac:dyDescent="0.2"/>
    <row r="190" s="152" customFormat="1" x14ac:dyDescent="0.2"/>
    <row r="191" s="152" customFormat="1" x14ac:dyDescent="0.2"/>
    <row r="192" s="152" customFormat="1" x14ac:dyDescent="0.2"/>
    <row r="193" s="152" customFormat="1" x14ac:dyDescent="0.2"/>
    <row r="194" s="152" customFormat="1" x14ac:dyDescent="0.2"/>
    <row r="195" s="152" customFormat="1" x14ac:dyDescent="0.2"/>
    <row r="196" s="152" customFormat="1" x14ac:dyDescent="0.2"/>
    <row r="197" s="152" customFormat="1" x14ac:dyDescent="0.2"/>
    <row r="198" s="152" customFormat="1" x14ac:dyDescent="0.2"/>
    <row r="199" s="152" customFormat="1" x14ac:dyDescent="0.2"/>
    <row r="200" s="152" customFormat="1" x14ac:dyDescent="0.2"/>
    <row r="201" s="152" customFormat="1" x14ac:dyDescent="0.2"/>
    <row r="202" s="152" customFormat="1" x14ac:dyDescent="0.2"/>
    <row r="203" s="152" customFormat="1" x14ac:dyDescent="0.2"/>
    <row r="204" s="152" customFormat="1" x14ac:dyDescent="0.2"/>
    <row r="205" s="152" customFormat="1" x14ac:dyDescent="0.2"/>
    <row r="206" s="152" customFormat="1" x14ac:dyDescent="0.2"/>
    <row r="207" s="152" customFormat="1" x14ac:dyDescent="0.2"/>
    <row r="208" s="152" customFormat="1" x14ac:dyDescent="0.2"/>
    <row r="209" s="152" customFormat="1" x14ac:dyDescent="0.2"/>
    <row r="210" s="152" customFormat="1" x14ac:dyDescent="0.2"/>
    <row r="211" s="152" customFormat="1" x14ac:dyDescent="0.2"/>
    <row r="212" s="152" customFormat="1" x14ac:dyDescent="0.2"/>
    <row r="213" s="152" customFormat="1" x14ac:dyDescent="0.2"/>
    <row r="214" s="152" customFormat="1" x14ac:dyDescent="0.2"/>
    <row r="215" s="152" customFormat="1" x14ac:dyDescent="0.2"/>
    <row r="216" s="152" customFormat="1" x14ac:dyDescent="0.2"/>
    <row r="217" s="152" customFormat="1" x14ac:dyDescent="0.2"/>
    <row r="218" s="152" customFormat="1" x14ac:dyDescent="0.2"/>
    <row r="219" s="152" customFormat="1" x14ac:dyDescent="0.2"/>
    <row r="220" s="152" customFormat="1" x14ac:dyDescent="0.2"/>
    <row r="221" s="152" customFormat="1" x14ac:dyDescent="0.2"/>
    <row r="222" s="152" customFormat="1" x14ac:dyDescent="0.2"/>
    <row r="223" s="152" customFormat="1" x14ac:dyDescent="0.2"/>
    <row r="224" s="152" customFormat="1" x14ac:dyDescent="0.2"/>
    <row r="225" s="152" customFormat="1" x14ac:dyDescent="0.2"/>
    <row r="226" s="152" customFormat="1" x14ac:dyDescent="0.2"/>
    <row r="227" s="152" customFormat="1" x14ac:dyDescent="0.2"/>
    <row r="228" s="152" customFormat="1" x14ac:dyDescent="0.2"/>
    <row r="229" s="152" customFormat="1" x14ac:dyDescent="0.2"/>
    <row r="230" s="152" customFormat="1" x14ac:dyDescent="0.2"/>
    <row r="231" s="152" customFormat="1" x14ac:dyDescent="0.2"/>
    <row r="232" s="152" customFormat="1" x14ac:dyDescent="0.2"/>
    <row r="233" s="152" customFormat="1" x14ac:dyDescent="0.2"/>
    <row r="234" s="152" customFormat="1" x14ac:dyDescent="0.2"/>
    <row r="235" s="152" customFormat="1" x14ac:dyDescent="0.2"/>
    <row r="236" s="152" customFormat="1" x14ac:dyDescent="0.2"/>
    <row r="237" s="152" customFormat="1" x14ac:dyDescent="0.2"/>
    <row r="238" s="152" customFormat="1" x14ac:dyDescent="0.2"/>
    <row r="239" s="152" customFormat="1" x14ac:dyDescent="0.2"/>
    <row r="240" s="152" customFormat="1" x14ac:dyDescent="0.2"/>
    <row r="241" s="152" customFormat="1" x14ac:dyDescent="0.2"/>
    <row r="242" s="152" customFormat="1" x14ac:dyDescent="0.2"/>
    <row r="243" s="152" customFormat="1" x14ac:dyDescent="0.2"/>
    <row r="244" s="152" customFormat="1" x14ac:dyDescent="0.2"/>
    <row r="245" s="152" customFormat="1" x14ac:dyDescent="0.2"/>
    <row r="246" s="152" customFormat="1" x14ac:dyDescent="0.2"/>
    <row r="247" s="152" customFormat="1" x14ac:dyDescent="0.2"/>
    <row r="248" s="152" customFormat="1" x14ac:dyDescent="0.2"/>
    <row r="249" s="152" customFormat="1" x14ac:dyDescent="0.2"/>
    <row r="250" s="152" customFormat="1" x14ac:dyDescent="0.2"/>
    <row r="251" s="152" customFormat="1" x14ac:dyDescent="0.2"/>
    <row r="252" s="152" customFormat="1" x14ac:dyDescent="0.2"/>
    <row r="253" s="152" customFormat="1" x14ac:dyDescent="0.2"/>
    <row r="254" s="152" customFormat="1" x14ac:dyDescent="0.2"/>
    <row r="255" s="152" customFormat="1" x14ac:dyDescent="0.2"/>
    <row r="256" s="152" customFormat="1" x14ac:dyDescent="0.2"/>
    <row r="257" s="152" customFormat="1" x14ac:dyDescent="0.2"/>
    <row r="258" s="152" customFormat="1" x14ac:dyDescent="0.2"/>
    <row r="259" s="152" customFormat="1" x14ac:dyDescent="0.2"/>
    <row r="260" s="152" customFormat="1" x14ac:dyDescent="0.2"/>
    <row r="261" s="152" customFormat="1" x14ac:dyDescent="0.2"/>
    <row r="262" s="152" customFormat="1" x14ac:dyDescent="0.2"/>
    <row r="263" s="152" customFormat="1" x14ac:dyDescent="0.2"/>
    <row r="264" s="152" customFormat="1" x14ac:dyDescent="0.2"/>
    <row r="265" s="152" customFormat="1" x14ac:dyDescent="0.2"/>
    <row r="266" s="152" customFormat="1" x14ac:dyDescent="0.2"/>
    <row r="267" s="152" customFormat="1" x14ac:dyDescent="0.2"/>
    <row r="268" s="152" customFormat="1" x14ac:dyDescent="0.2"/>
    <row r="269" s="152" customFormat="1" x14ac:dyDescent="0.2"/>
    <row r="270" s="152" customFormat="1" x14ac:dyDescent="0.2"/>
    <row r="271" s="152" customFormat="1" x14ac:dyDescent="0.2"/>
    <row r="272" s="152" customFormat="1" x14ac:dyDescent="0.2"/>
    <row r="273" s="152" customFormat="1" x14ac:dyDescent="0.2"/>
    <row r="274" s="152" customFormat="1" x14ac:dyDescent="0.2"/>
    <row r="275" s="152" customFormat="1" x14ac:dyDescent="0.2"/>
    <row r="276" s="152" customFormat="1" x14ac:dyDescent="0.2"/>
    <row r="277" s="152" customFormat="1" x14ac:dyDescent="0.2"/>
    <row r="278" s="152" customFormat="1" x14ac:dyDescent="0.2"/>
    <row r="279" s="152" customFormat="1" x14ac:dyDescent="0.2"/>
    <row r="280" s="152" customFormat="1" x14ac:dyDescent="0.2"/>
    <row r="281" s="152" customFormat="1" x14ac:dyDescent="0.2"/>
    <row r="282" s="152" customFormat="1" x14ac:dyDescent="0.2"/>
    <row r="283" s="152" customFormat="1" x14ac:dyDescent="0.2"/>
    <row r="284" s="152" customFormat="1" x14ac:dyDescent="0.2"/>
  </sheetData>
  <mergeCells count="8">
    <mergeCell ref="B3:I4"/>
    <mergeCell ref="L2:S4"/>
    <mergeCell ref="L15:S16"/>
    <mergeCell ref="L34:T42"/>
    <mergeCell ref="F13:G13"/>
    <mergeCell ref="F14:G14"/>
    <mergeCell ref="F15:G15"/>
    <mergeCell ref="B19:I20"/>
  </mergeCells>
  <pageMargins left="0.7" right="0.7" top="0.75" bottom="0.75" header="0.3" footer="0.3"/>
  <pageSetup scale="83"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0BDCA-A4A1-C643-B0E3-9738EC8E1002}">
  <sheetPr>
    <pageSetUpPr fitToPage="1"/>
  </sheetPr>
  <dimension ref="A1:AA284"/>
  <sheetViews>
    <sheetView zoomScaleNormal="100" workbookViewId="0"/>
  </sheetViews>
  <sheetFormatPr baseColWidth="10" defaultColWidth="10.83203125" defaultRowHeight="16" outlineLevelCol="1" x14ac:dyDescent="0.2"/>
  <cols>
    <col min="1" max="1" width="4.6640625" style="37" customWidth="1"/>
    <col min="2" max="10" width="10.83203125" style="37" customWidth="1"/>
    <col min="11" max="11" width="10.83203125" style="37"/>
    <col min="12" max="13" width="10.83203125" style="37" hidden="1" customWidth="1" outlineLevel="1"/>
    <col min="14" max="14" width="13.1640625" style="37" hidden="1" customWidth="1" outlineLevel="1"/>
    <col min="15" max="15" width="10.83203125" style="37" hidden="1" customWidth="1" outlineLevel="1"/>
    <col min="16" max="16" width="12.1640625" style="37" hidden="1" customWidth="1" outlineLevel="1"/>
    <col min="17" max="17" width="10.83203125" style="37" hidden="1" customWidth="1" outlineLevel="1"/>
    <col min="18" max="18" width="13.83203125" style="37" hidden="1" customWidth="1" outlineLevel="1"/>
    <col min="19" max="21" width="10.83203125" style="37" hidden="1" customWidth="1" outlineLevel="1"/>
    <col min="22" max="22" width="10.83203125" style="37" collapsed="1"/>
    <col min="23" max="16384" width="10.83203125" style="37"/>
  </cols>
  <sheetData>
    <row r="1" spans="1:17" ht="19" x14ac:dyDescent="0.25">
      <c r="A1" s="1" t="s">
        <v>278</v>
      </c>
      <c r="B1" s="3"/>
      <c r="C1" s="26"/>
      <c r="D1" s="26"/>
      <c r="E1" s="26"/>
      <c r="F1" s="35"/>
      <c r="G1" s="35"/>
      <c r="H1" s="35"/>
      <c r="I1" s="35"/>
      <c r="J1" s="36"/>
      <c r="K1" s="5" t="s">
        <v>6</v>
      </c>
      <c r="L1" s="12"/>
    </row>
    <row r="2" spans="1:17" x14ac:dyDescent="0.2">
      <c r="A2" s="38"/>
      <c r="B2" s="35"/>
      <c r="C2" s="35"/>
      <c r="D2" s="35"/>
      <c r="E2" s="35"/>
      <c r="F2" s="35"/>
      <c r="G2" s="35"/>
      <c r="H2" s="35"/>
      <c r="I2" s="35"/>
      <c r="J2" s="36"/>
      <c r="O2" s="39"/>
    </row>
    <row r="3" spans="1:17" ht="16" customHeight="1" x14ac:dyDescent="0.2">
      <c r="A3" s="38"/>
      <c r="B3" s="379" t="s">
        <v>65</v>
      </c>
      <c r="C3" s="379"/>
      <c r="D3" s="379"/>
      <c r="E3" s="379"/>
      <c r="F3" s="379"/>
      <c r="G3" s="379"/>
      <c r="H3" s="379"/>
      <c r="I3" s="379"/>
      <c r="J3" s="36"/>
      <c r="L3" s="12" t="s">
        <v>3</v>
      </c>
    </row>
    <row r="4" spans="1:17" x14ac:dyDescent="0.2">
      <c r="A4" s="38"/>
      <c r="B4" s="379"/>
      <c r="C4" s="379"/>
      <c r="D4" s="379"/>
      <c r="E4" s="379"/>
      <c r="F4" s="379"/>
      <c r="G4" s="379"/>
      <c r="H4" s="379"/>
      <c r="I4" s="379"/>
      <c r="J4" s="36"/>
      <c r="M4" s="37" t="s">
        <v>244</v>
      </c>
    </row>
    <row r="5" spans="1:17" ht="16" customHeight="1" x14ac:dyDescent="0.2">
      <c r="A5" s="38"/>
      <c r="B5" s="89"/>
      <c r="C5" s="89"/>
      <c r="D5" s="392" t="s">
        <v>227</v>
      </c>
      <c r="E5" s="392"/>
      <c r="F5" s="392"/>
      <c r="G5" s="392"/>
      <c r="H5" s="89"/>
      <c r="I5" s="89"/>
      <c r="J5" s="36"/>
      <c r="Q5" s="398" t="s">
        <v>252</v>
      </c>
    </row>
    <row r="6" spans="1:17" ht="35" customHeight="1" x14ac:dyDescent="0.2">
      <c r="A6" s="38"/>
      <c r="B6" s="35"/>
      <c r="C6" s="53" t="s">
        <v>63</v>
      </c>
      <c r="D6" s="54" t="s">
        <v>64</v>
      </c>
      <c r="E6" s="54" t="s">
        <v>68</v>
      </c>
      <c r="F6" s="54" t="s">
        <v>66</v>
      </c>
      <c r="G6" s="54" t="s">
        <v>84</v>
      </c>
      <c r="H6" s="35"/>
      <c r="I6" s="35"/>
      <c r="J6" s="36"/>
      <c r="M6" s="59" t="s">
        <v>240</v>
      </c>
      <c r="N6" s="60" t="s">
        <v>66</v>
      </c>
      <c r="O6" s="60" t="s">
        <v>84</v>
      </c>
      <c r="P6" s="90" t="s">
        <v>239</v>
      </c>
      <c r="Q6" s="399"/>
    </row>
    <row r="7" spans="1:17" x14ac:dyDescent="0.2">
      <c r="A7" s="38"/>
      <c r="B7" s="63"/>
      <c r="C7" s="61">
        <v>2016</v>
      </c>
      <c r="D7" s="63">
        <v>27800</v>
      </c>
      <c r="E7" s="91">
        <v>0.78</v>
      </c>
      <c r="F7" s="63">
        <v>15627</v>
      </c>
      <c r="G7" s="63">
        <v>15158.19</v>
      </c>
      <c r="H7" s="35"/>
      <c r="I7" s="92"/>
      <c r="J7" s="36"/>
      <c r="M7" s="64">
        <v>2016</v>
      </c>
      <c r="N7" s="93">
        <f t="shared" ref="N7:O13" si="0">F7</f>
        <v>15627</v>
      </c>
      <c r="O7" s="94">
        <f t="shared" si="0"/>
        <v>15158.19</v>
      </c>
      <c r="P7" s="95">
        <f>1-1/I17</f>
        <v>8.9253187613843377E-2</v>
      </c>
      <c r="Q7" s="52">
        <f t="shared" ref="Q7:Q13" si="1">F7+P7*D7*E7</f>
        <v>17562.366120218579</v>
      </c>
    </row>
    <row r="8" spans="1:17" x14ac:dyDescent="0.2">
      <c r="A8" s="38"/>
      <c r="B8" s="63"/>
      <c r="C8" s="61">
        <v>2017</v>
      </c>
      <c r="D8" s="63">
        <v>28100</v>
      </c>
      <c r="E8" s="91">
        <v>0.76</v>
      </c>
      <c r="F8" s="63">
        <v>16248</v>
      </c>
      <c r="G8" s="63">
        <v>15435.6</v>
      </c>
      <c r="H8" s="35"/>
      <c r="I8" s="92"/>
      <c r="J8" s="36"/>
      <c r="M8" s="64">
        <v>2017</v>
      </c>
      <c r="N8" s="93">
        <f t="shared" si="0"/>
        <v>16248</v>
      </c>
      <c r="O8" s="96">
        <f t="shared" si="0"/>
        <v>15435.6</v>
      </c>
      <c r="P8" s="95">
        <f>1-1/H17</f>
        <v>0.11582670203359857</v>
      </c>
      <c r="Q8" s="52">
        <f t="shared" si="1"/>
        <v>18721.59504862953</v>
      </c>
    </row>
    <row r="9" spans="1:17" x14ac:dyDescent="0.2">
      <c r="A9" s="38"/>
      <c r="B9" s="63"/>
      <c r="C9" s="61">
        <v>2018</v>
      </c>
      <c r="D9" s="63">
        <v>29730</v>
      </c>
      <c r="E9" s="91">
        <v>0.8</v>
      </c>
      <c r="F9" s="63">
        <v>25753</v>
      </c>
      <c r="G9" s="63">
        <v>23177.7</v>
      </c>
      <c r="H9" s="35"/>
      <c r="I9" s="92"/>
      <c r="J9" s="36"/>
      <c r="M9" s="64">
        <v>2018</v>
      </c>
      <c r="N9" s="93">
        <f t="shared" si="0"/>
        <v>25753</v>
      </c>
      <c r="O9" s="96">
        <f t="shared" si="0"/>
        <v>23177.7</v>
      </c>
      <c r="P9" s="95">
        <f>1-1/G17</f>
        <v>0.18099918099918111</v>
      </c>
      <c r="Q9" s="52">
        <f t="shared" si="1"/>
        <v>30057.884520884523</v>
      </c>
    </row>
    <row r="10" spans="1:17" x14ac:dyDescent="0.2">
      <c r="A10" s="38"/>
      <c r="B10" s="63"/>
      <c r="C10" s="61">
        <v>2019</v>
      </c>
      <c r="D10" s="63">
        <v>31521</v>
      </c>
      <c r="E10" s="91">
        <v>0.74</v>
      </c>
      <c r="F10" s="63">
        <v>9573</v>
      </c>
      <c r="G10" s="63">
        <v>8137.05</v>
      </c>
      <c r="H10" s="35"/>
      <c r="I10" s="92"/>
      <c r="J10" s="36"/>
      <c r="M10" s="64">
        <v>2019</v>
      </c>
      <c r="N10" s="93">
        <f t="shared" si="0"/>
        <v>9573</v>
      </c>
      <c r="O10" s="96">
        <f t="shared" si="0"/>
        <v>8137.05</v>
      </c>
      <c r="P10" s="95">
        <f>1-1/F17</f>
        <v>0.3224932249322493</v>
      </c>
      <c r="Q10" s="52">
        <f t="shared" si="1"/>
        <v>17095.328617886178</v>
      </c>
    </row>
    <row r="11" spans="1:17" x14ac:dyDescent="0.2">
      <c r="A11" s="38"/>
      <c r="B11" s="63"/>
      <c r="C11" s="61">
        <v>2020</v>
      </c>
      <c r="D11" s="63">
        <v>32010</v>
      </c>
      <c r="E11" s="91">
        <v>0.72</v>
      </c>
      <c r="F11" s="63">
        <v>12107</v>
      </c>
      <c r="G11" s="63">
        <v>9685.6</v>
      </c>
      <c r="H11" s="35"/>
      <c r="I11" s="92"/>
      <c r="J11" s="36"/>
      <c r="M11" s="64">
        <v>2020</v>
      </c>
      <c r="N11" s="93">
        <f t="shared" si="0"/>
        <v>12107</v>
      </c>
      <c r="O11" s="96">
        <f t="shared" si="0"/>
        <v>9685.6</v>
      </c>
      <c r="P11" s="95">
        <f>1-1/E17</f>
        <v>0.41758881770529999</v>
      </c>
      <c r="Q11" s="52">
        <f t="shared" si="1"/>
        <v>21731.252999417589</v>
      </c>
    </row>
    <row r="12" spans="1:17" x14ac:dyDescent="0.2">
      <c r="A12" s="38"/>
      <c r="B12" s="63"/>
      <c r="C12" s="61">
        <v>2021</v>
      </c>
      <c r="D12" s="63">
        <v>34300</v>
      </c>
      <c r="E12" s="91">
        <v>0.75</v>
      </c>
      <c r="F12" s="63">
        <v>9549</v>
      </c>
      <c r="G12" s="63">
        <v>5729.4</v>
      </c>
      <c r="H12" s="35"/>
      <c r="I12" s="92"/>
      <c r="J12" s="36"/>
      <c r="M12" s="64">
        <v>2021</v>
      </c>
      <c r="N12" s="93">
        <f t="shared" si="0"/>
        <v>9549</v>
      </c>
      <c r="O12" s="96">
        <f t="shared" si="0"/>
        <v>5729.4</v>
      </c>
      <c r="P12" s="95">
        <f>1-1/D17</f>
        <v>0.53682260305697072</v>
      </c>
      <c r="Q12" s="52">
        <f t="shared" si="1"/>
        <v>23358.761463640571</v>
      </c>
    </row>
    <row r="13" spans="1:17" x14ac:dyDescent="0.2">
      <c r="A13" s="38"/>
      <c r="B13" s="63"/>
      <c r="C13" s="61">
        <v>2022</v>
      </c>
      <c r="D13" s="63">
        <v>35150</v>
      </c>
      <c r="E13" s="91">
        <v>0.75</v>
      </c>
      <c r="F13" s="63">
        <v>12094</v>
      </c>
      <c r="G13" s="63">
        <v>4232.8999999999996</v>
      </c>
      <c r="H13" s="35"/>
      <c r="I13" s="92"/>
      <c r="J13" s="36"/>
      <c r="M13" s="64">
        <v>2022</v>
      </c>
      <c r="N13" s="93">
        <f t="shared" si="0"/>
        <v>12094</v>
      </c>
      <c r="O13" s="96">
        <f t="shared" si="0"/>
        <v>4232.8999999999996</v>
      </c>
      <c r="P13" s="95">
        <f>1-1/C17</f>
        <v>0.73869871962372613</v>
      </c>
      <c r="Q13" s="52">
        <f t="shared" si="1"/>
        <v>31567.944996080478</v>
      </c>
    </row>
    <row r="14" spans="1:17" x14ac:dyDescent="0.2">
      <c r="A14" s="38"/>
      <c r="B14" s="35"/>
      <c r="C14" s="35"/>
      <c r="D14" s="35"/>
      <c r="E14" s="35"/>
      <c r="F14" s="35"/>
      <c r="G14" s="35"/>
      <c r="H14" s="35"/>
      <c r="I14" s="35"/>
      <c r="J14" s="36"/>
    </row>
    <row r="15" spans="1:17" x14ac:dyDescent="0.2">
      <c r="A15" s="38"/>
      <c r="B15" s="56"/>
      <c r="C15" s="394" t="s">
        <v>238</v>
      </c>
      <c r="D15" s="394"/>
      <c r="E15" s="394"/>
      <c r="F15" s="394"/>
      <c r="G15" s="394"/>
      <c r="H15" s="394"/>
      <c r="I15" s="56"/>
      <c r="J15" s="36"/>
      <c r="M15" s="37" t="s">
        <v>245</v>
      </c>
    </row>
    <row r="16" spans="1:17" ht="17" x14ac:dyDescent="0.2">
      <c r="A16" s="38"/>
      <c r="B16" s="53" t="s">
        <v>67</v>
      </c>
      <c r="C16" s="75" t="s">
        <v>86</v>
      </c>
      <c r="D16" s="54" t="s">
        <v>87</v>
      </c>
      <c r="E16" s="54" t="s">
        <v>88</v>
      </c>
      <c r="F16" s="75" t="s">
        <v>89</v>
      </c>
      <c r="G16" s="54" t="s">
        <v>90</v>
      </c>
      <c r="H16" s="75" t="s">
        <v>91</v>
      </c>
      <c r="I16" s="54" t="s">
        <v>85</v>
      </c>
      <c r="J16" s="36"/>
    </row>
    <row r="17" spans="1:27" x14ac:dyDescent="0.2">
      <c r="A17" s="38"/>
      <c r="B17" s="61" t="s">
        <v>219</v>
      </c>
      <c r="C17" s="76">
        <v>3.827</v>
      </c>
      <c r="D17" s="76">
        <v>2.1589999999999998</v>
      </c>
      <c r="E17" s="76">
        <v>1.7170000000000001</v>
      </c>
      <c r="F17" s="76">
        <v>1.476</v>
      </c>
      <c r="G17" s="76">
        <v>1.2210000000000001</v>
      </c>
      <c r="H17" s="76">
        <v>1.131</v>
      </c>
      <c r="I17" s="76">
        <v>1.0980000000000001</v>
      </c>
      <c r="J17" s="36"/>
      <c r="N17" s="387" t="s">
        <v>197</v>
      </c>
      <c r="O17" s="387"/>
      <c r="P17" s="387" t="s">
        <v>243</v>
      </c>
      <c r="Q17" s="387"/>
      <c r="R17" s="387" t="s">
        <v>200</v>
      </c>
      <c r="S17" s="387"/>
      <c r="U17" s="13"/>
      <c r="V17" s="13"/>
    </row>
    <row r="18" spans="1:27" ht="17" x14ac:dyDescent="0.2">
      <c r="A18" s="97"/>
      <c r="B18" s="97"/>
      <c r="C18" s="97"/>
      <c r="D18" s="97"/>
      <c r="E18" s="97"/>
      <c r="F18" s="97"/>
      <c r="G18" s="97"/>
      <c r="H18" s="97"/>
      <c r="I18" s="97"/>
      <c r="J18" s="36"/>
      <c r="M18" s="68" t="s">
        <v>81</v>
      </c>
      <c r="N18" s="90" t="s">
        <v>219</v>
      </c>
      <c r="O18" s="98" t="s">
        <v>220</v>
      </c>
      <c r="P18" s="90" t="s">
        <v>219</v>
      </c>
      <c r="Q18" s="98" t="s">
        <v>220</v>
      </c>
      <c r="R18" s="90" t="s">
        <v>219</v>
      </c>
      <c r="S18" s="98" t="s">
        <v>220</v>
      </c>
    </row>
    <row r="19" spans="1:27" x14ac:dyDescent="0.2">
      <c r="A19" s="38"/>
      <c r="B19" s="35" t="s">
        <v>80</v>
      </c>
      <c r="C19" s="35"/>
      <c r="D19" s="35"/>
      <c r="E19" s="35"/>
      <c r="F19" s="35"/>
      <c r="G19" s="35"/>
      <c r="H19" s="35"/>
      <c r="I19" s="35"/>
      <c r="J19" s="36"/>
      <c r="M19" s="99">
        <v>43264</v>
      </c>
      <c r="N19" s="100">
        <f>SUM(D22:F22)</f>
        <v>3198070</v>
      </c>
      <c r="O19" s="101">
        <f>SUM(D22:E22)</f>
        <v>3138070</v>
      </c>
      <c r="P19" s="52">
        <f>MAX(MIN(N19-$E$33,$E$34),0)</f>
        <v>1198070</v>
      </c>
      <c r="Q19" s="101">
        <f>MAX(MIN(O19-$E$33,$E$34),0)</f>
        <v>1138070</v>
      </c>
      <c r="R19" s="52">
        <f>N19-P19</f>
        <v>2000000</v>
      </c>
      <c r="S19" s="52">
        <f>O19-Q19</f>
        <v>2000000</v>
      </c>
    </row>
    <row r="20" spans="1:27" x14ac:dyDescent="0.2">
      <c r="A20" s="38"/>
      <c r="B20" s="35"/>
      <c r="C20" s="35"/>
      <c r="D20" s="35"/>
      <c r="E20" s="35"/>
      <c r="F20" s="35"/>
      <c r="G20" s="35"/>
      <c r="H20" s="35"/>
      <c r="I20" s="35"/>
      <c r="J20" s="36"/>
      <c r="M20" s="99">
        <v>44857</v>
      </c>
      <c r="N20" s="100">
        <f>SUM(D23:F23)</f>
        <v>8038600</v>
      </c>
      <c r="O20" s="65">
        <f>SUM(D23:E23)</f>
        <v>2788600</v>
      </c>
      <c r="P20" s="52">
        <f>MAX(MIN(N20-$E$33,$E$34),0)</f>
        <v>5000000</v>
      </c>
      <c r="Q20" s="65">
        <f>MAX(MIN(O20-$E$33,$E$34),0)</f>
        <v>788600</v>
      </c>
      <c r="R20" s="52">
        <f>N20-P20</f>
        <v>3038600</v>
      </c>
      <c r="S20" s="52">
        <f>O20-Q20</f>
        <v>2000000</v>
      </c>
    </row>
    <row r="21" spans="1:27" ht="32" customHeight="1" x14ac:dyDescent="0.2">
      <c r="A21" s="38"/>
      <c r="B21" s="35"/>
      <c r="C21" s="102" t="s">
        <v>81</v>
      </c>
      <c r="D21" s="54" t="s">
        <v>222</v>
      </c>
      <c r="E21" s="54" t="s">
        <v>229</v>
      </c>
      <c r="F21" s="54" t="s">
        <v>228</v>
      </c>
      <c r="G21" s="35"/>
      <c r="H21" s="35"/>
      <c r="I21" s="35"/>
      <c r="J21" s="36"/>
    </row>
    <row r="22" spans="1:27" x14ac:dyDescent="0.2">
      <c r="A22" s="38"/>
      <c r="B22" s="35"/>
      <c r="C22" s="103">
        <v>43264</v>
      </c>
      <c r="D22" s="63">
        <v>2830170</v>
      </c>
      <c r="E22" s="63">
        <v>307900</v>
      </c>
      <c r="F22" s="63">
        <v>60000</v>
      </c>
      <c r="G22" s="35"/>
      <c r="H22" s="35"/>
      <c r="I22" s="35"/>
      <c r="J22" s="36"/>
      <c r="M22" s="37" t="s">
        <v>255</v>
      </c>
    </row>
    <row r="23" spans="1:27" ht="17" thickBot="1" x14ac:dyDescent="0.25">
      <c r="A23" s="38"/>
      <c r="B23" s="35"/>
      <c r="C23" s="103">
        <v>44857</v>
      </c>
      <c r="D23" s="63">
        <v>2079600</v>
      </c>
      <c r="E23" s="63">
        <v>709000</v>
      </c>
      <c r="F23" s="63">
        <v>5250000</v>
      </c>
      <c r="G23" s="35"/>
      <c r="H23" s="35"/>
      <c r="I23" s="35"/>
      <c r="J23" s="36"/>
      <c r="Z23" s="13"/>
      <c r="AA23" s="13"/>
    </row>
    <row r="24" spans="1:27" ht="32" customHeight="1" x14ac:dyDescent="0.2">
      <c r="A24" s="38"/>
      <c r="B24" s="56" t="s">
        <v>256</v>
      </c>
      <c r="C24" s="35"/>
      <c r="D24" s="35"/>
      <c r="E24" s="35"/>
      <c r="F24" s="35"/>
      <c r="G24" s="35"/>
      <c r="H24" s="35"/>
      <c r="I24" s="35"/>
      <c r="J24" s="36"/>
      <c r="N24" s="393" t="s">
        <v>254</v>
      </c>
      <c r="O24" s="393"/>
      <c r="P24" s="393"/>
      <c r="Q24" s="13"/>
      <c r="R24" s="387" t="s">
        <v>247</v>
      </c>
      <c r="S24" s="387"/>
      <c r="T24" s="387"/>
      <c r="U24" s="400" t="s">
        <v>283</v>
      </c>
      <c r="V24" s="13"/>
      <c r="W24" s="13"/>
      <c r="X24" s="13"/>
      <c r="Y24" s="13"/>
      <c r="Z24" s="13"/>
      <c r="AA24" s="13"/>
    </row>
    <row r="25" spans="1:27" ht="17" x14ac:dyDescent="0.2">
      <c r="A25" s="38"/>
      <c r="B25" s="35" t="s">
        <v>69</v>
      </c>
      <c r="C25" s="35"/>
      <c r="D25" s="35"/>
      <c r="E25" s="35"/>
      <c r="F25" s="35"/>
      <c r="G25" s="35"/>
      <c r="H25" s="35"/>
      <c r="I25" s="35"/>
      <c r="J25" s="36"/>
      <c r="M25" s="59" t="s">
        <v>240</v>
      </c>
      <c r="N25" s="60" t="s">
        <v>253</v>
      </c>
      <c r="O25" s="44" t="s">
        <v>219</v>
      </c>
      <c r="P25" s="44" t="s">
        <v>220</v>
      </c>
      <c r="Q25" s="44" t="s">
        <v>241</v>
      </c>
      <c r="R25" s="60" t="s">
        <v>246</v>
      </c>
      <c r="S25" s="44" t="s">
        <v>219</v>
      </c>
      <c r="T25" s="44" t="s">
        <v>220</v>
      </c>
      <c r="U25" s="401"/>
      <c r="V25" s="13"/>
      <c r="W25" s="13"/>
      <c r="X25" s="13"/>
      <c r="Y25" s="13"/>
    </row>
    <row r="26" spans="1:27" ht="16" customHeight="1" x14ac:dyDescent="0.2">
      <c r="A26" s="38"/>
      <c r="B26" s="35"/>
      <c r="C26" s="35"/>
      <c r="D26" s="35"/>
      <c r="E26" s="35"/>
      <c r="F26" s="35"/>
      <c r="G26" s="35"/>
      <c r="H26" s="35"/>
      <c r="I26" s="35"/>
      <c r="J26" s="36"/>
      <c r="M26" s="64">
        <v>2016</v>
      </c>
      <c r="N26" s="52">
        <f>Q7</f>
        <v>17562.366120218579</v>
      </c>
      <c r="O26" s="52">
        <f>N7</f>
        <v>15627</v>
      </c>
      <c r="P26" s="52">
        <f>O7</f>
        <v>15158.19</v>
      </c>
      <c r="Q26" s="104">
        <f>$E$29</f>
        <v>0.4</v>
      </c>
      <c r="R26" s="52">
        <f t="shared" ref="R26:T32" si="2">$Q26*N26</f>
        <v>7024.9464480874321</v>
      </c>
      <c r="S26" s="52">
        <f t="shared" si="2"/>
        <v>6250.8</v>
      </c>
      <c r="T26" s="52">
        <f t="shared" si="2"/>
        <v>6063.2760000000007</v>
      </c>
      <c r="U26" s="105">
        <f>N26-R26</f>
        <v>10537.419672131147</v>
      </c>
      <c r="V26" s="13"/>
      <c r="W26" s="13"/>
      <c r="X26" s="13"/>
      <c r="Y26" s="13"/>
    </row>
    <row r="27" spans="1:27" x14ac:dyDescent="0.2">
      <c r="A27" s="38"/>
      <c r="B27" s="21" t="s">
        <v>72</v>
      </c>
      <c r="C27" s="35"/>
      <c r="D27" s="35"/>
      <c r="E27" s="35"/>
      <c r="F27" s="35"/>
      <c r="G27" s="21" t="s">
        <v>258</v>
      </c>
      <c r="H27" s="35"/>
      <c r="I27" s="35"/>
      <c r="J27" s="36"/>
      <c r="M27" s="64">
        <v>2017</v>
      </c>
      <c r="N27" s="52">
        <f t="shared" ref="N27:N31" si="3">Q8</f>
        <v>18721.59504862953</v>
      </c>
      <c r="O27" s="52">
        <f t="shared" ref="O27:P27" si="4">N8</f>
        <v>16248</v>
      </c>
      <c r="P27" s="52">
        <f t="shared" si="4"/>
        <v>15435.6</v>
      </c>
      <c r="Q27" s="104">
        <f t="shared" ref="Q27:Q29" si="5">$E$29</f>
        <v>0.4</v>
      </c>
      <c r="R27" s="52">
        <f t="shared" si="2"/>
        <v>7488.6380194518124</v>
      </c>
      <c r="S27" s="52">
        <f t="shared" si="2"/>
        <v>6499.2000000000007</v>
      </c>
      <c r="T27" s="52">
        <f t="shared" si="2"/>
        <v>6174.2400000000007</v>
      </c>
      <c r="U27" s="105">
        <f t="shared" ref="U27:U32" si="6">N27-R27</f>
        <v>11232.957029177716</v>
      </c>
      <c r="V27" s="13"/>
      <c r="W27" s="13"/>
      <c r="X27" s="13"/>
      <c r="Y27" s="13"/>
    </row>
    <row r="28" spans="1:27" x14ac:dyDescent="0.2">
      <c r="A28" s="38"/>
      <c r="B28" s="56" t="s">
        <v>70</v>
      </c>
      <c r="C28" s="35"/>
      <c r="D28" s="35"/>
      <c r="E28" s="35"/>
      <c r="F28" s="35"/>
      <c r="G28" s="56" t="s">
        <v>79</v>
      </c>
      <c r="H28" s="35"/>
      <c r="I28" s="35"/>
      <c r="J28" s="36"/>
      <c r="M28" s="64">
        <v>2018</v>
      </c>
      <c r="N28" s="106">
        <f>Q9-P19/1000</f>
        <v>28859.814520884524</v>
      </c>
      <c r="O28" s="106">
        <f>N9-P19/1000</f>
        <v>24554.93</v>
      </c>
      <c r="P28" s="106">
        <f>O9-Q19/1000</f>
        <v>22039.63</v>
      </c>
      <c r="Q28" s="104">
        <f t="shared" si="5"/>
        <v>0.4</v>
      </c>
      <c r="R28" s="52">
        <f t="shared" si="2"/>
        <v>11543.92580835381</v>
      </c>
      <c r="S28" s="52">
        <f t="shared" si="2"/>
        <v>9821.9719999999998</v>
      </c>
      <c r="T28" s="52">
        <f t="shared" si="2"/>
        <v>8815.8520000000008</v>
      </c>
      <c r="U28" s="105">
        <f t="shared" si="6"/>
        <v>17315.888712530716</v>
      </c>
      <c r="V28" s="13"/>
      <c r="W28" s="13"/>
      <c r="X28" s="52"/>
      <c r="Y28" s="52"/>
    </row>
    <row r="29" spans="1:27" x14ac:dyDescent="0.2">
      <c r="A29" s="38"/>
      <c r="B29" s="56" t="s">
        <v>75</v>
      </c>
      <c r="C29" s="35"/>
      <c r="D29" s="35"/>
      <c r="E29" s="107">
        <v>0.4</v>
      </c>
      <c r="F29" s="35"/>
      <c r="G29" s="56" t="s">
        <v>73</v>
      </c>
      <c r="H29" s="35"/>
      <c r="I29" s="43">
        <v>5000000</v>
      </c>
      <c r="J29" s="36"/>
      <c r="M29" s="64">
        <v>2019</v>
      </c>
      <c r="N29" s="52">
        <f t="shared" si="3"/>
        <v>17095.328617886178</v>
      </c>
      <c r="O29" s="52">
        <f t="shared" ref="O29:P29" si="7">N10</f>
        <v>9573</v>
      </c>
      <c r="P29" s="52">
        <f t="shared" si="7"/>
        <v>8137.05</v>
      </c>
      <c r="Q29" s="104">
        <f t="shared" si="5"/>
        <v>0.4</v>
      </c>
      <c r="R29" s="52">
        <f t="shared" si="2"/>
        <v>6838.131447154472</v>
      </c>
      <c r="S29" s="52">
        <f t="shared" si="2"/>
        <v>3829.2000000000003</v>
      </c>
      <c r="T29" s="52">
        <f t="shared" si="2"/>
        <v>3254.82</v>
      </c>
      <c r="U29" s="105">
        <f t="shared" si="6"/>
        <v>10257.197170731706</v>
      </c>
      <c r="W29" s="52"/>
      <c r="X29" s="52"/>
      <c r="Y29" s="52"/>
    </row>
    <row r="30" spans="1:27" x14ac:dyDescent="0.2">
      <c r="A30" s="38"/>
      <c r="B30" s="56" t="s">
        <v>230</v>
      </c>
      <c r="C30" s="35"/>
      <c r="D30" s="35"/>
      <c r="E30" s="107">
        <v>0.2</v>
      </c>
      <c r="F30" s="35"/>
      <c r="G30" s="35"/>
      <c r="H30" s="35"/>
      <c r="I30" s="35"/>
      <c r="J30" s="36"/>
      <c r="M30" s="64">
        <v>2020</v>
      </c>
      <c r="N30" s="52">
        <f t="shared" si="3"/>
        <v>21731.252999417589</v>
      </c>
      <c r="O30" s="52">
        <f t="shared" ref="O30:P30" si="8">N11</f>
        <v>12107</v>
      </c>
      <c r="P30" s="52">
        <f t="shared" si="8"/>
        <v>9685.6</v>
      </c>
      <c r="Q30" s="104">
        <f>$E$30</f>
        <v>0.2</v>
      </c>
      <c r="R30" s="52">
        <f t="shared" si="2"/>
        <v>4346.2505998835177</v>
      </c>
      <c r="S30" s="52">
        <f t="shared" si="2"/>
        <v>2421.4</v>
      </c>
      <c r="T30" s="52">
        <f t="shared" si="2"/>
        <v>1937.1200000000001</v>
      </c>
      <c r="U30" s="105">
        <f t="shared" si="6"/>
        <v>17385.002399534071</v>
      </c>
      <c r="W30" s="52"/>
      <c r="X30" s="52"/>
      <c r="Y30" s="52"/>
    </row>
    <row r="31" spans="1:27" ht="16" customHeight="1" x14ac:dyDescent="0.2">
      <c r="A31" s="38"/>
      <c r="B31" s="35"/>
      <c r="C31" s="35"/>
      <c r="D31" s="35"/>
      <c r="E31" s="35"/>
      <c r="F31" s="35"/>
      <c r="G31" s="390" t="s">
        <v>63</v>
      </c>
      <c r="H31" s="388" t="s">
        <v>260</v>
      </c>
      <c r="I31" s="35"/>
      <c r="J31" s="36"/>
      <c r="M31" s="64">
        <v>2021</v>
      </c>
      <c r="N31" s="52">
        <f t="shared" si="3"/>
        <v>23358.761463640571</v>
      </c>
      <c r="O31" s="52">
        <f t="shared" ref="O31:P31" si="9">N12</f>
        <v>9549</v>
      </c>
      <c r="P31" s="52">
        <f t="shared" si="9"/>
        <v>5729.4</v>
      </c>
      <c r="Q31" s="104">
        <f t="shared" ref="Q31:Q32" si="10">$E$30</f>
        <v>0.2</v>
      </c>
      <c r="R31" s="52">
        <f t="shared" si="2"/>
        <v>4671.7522927281143</v>
      </c>
      <c r="S31" s="52">
        <f t="shared" si="2"/>
        <v>1909.8000000000002</v>
      </c>
      <c r="T31" s="52">
        <f t="shared" si="2"/>
        <v>1145.8799999999999</v>
      </c>
      <c r="U31" s="105">
        <f t="shared" si="6"/>
        <v>18687.009170912457</v>
      </c>
      <c r="W31" s="52"/>
      <c r="X31" s="52"/>
      <c r="Y31" s="52"/>
    </row>
    <row r="32" spans="1:27" x14ac:dyDescent="0.2">
      <c r="A32" s="38"/>
      <c r="B32" s="21" t="s">
        <v>71</v>
      </c>
      <c r="C32" s="35"/>
      <c r="D32" s="35"/>
      <c r="E32" s="35"/>
      <c r="F32" s="35"/>
      <c r="G32" s="391"/>
      <c r="H32" s="389"/>
      <c r="I32" s="35"/>
      <c r="J32" s="36"/>
      <c r="M32" s="68">
        <v>2022</v>
      </c>
      <c r="N32" s="108">
        <f>Q13-P20/1000</f>
        <v>26567.944996080478</v>
      </c>
      <c r="O32" s="108">
        <f>N13-P20/1000</f>
        <v>7094</v>
      </c>
      <c r="P32" s="108">
        <f>O13-Q20/1000</f>
        <v>3444.2999999999997</v>
      </c>
      <c r="Q32" s="109">
        <f t="shared" si="10"/>
        <v>0.2</v>
      </c>
      <c r="R32" s="69">
        <f t="shared" si="2"/>
        <v>5313.5889992160955</v>
      </c>
      <c r="S32" s="69">
        <f t="shared" si="2"/>
        <v>1418.8000000000002</v>
      </c>
      <c r="T32" s="69">
        <f t="shared" si="2"/>
        <v>688.86</v>
      </c>
      <c r="U32" s="110">
        <f t="shared" si="6"/>
        <v>21254.355996864382</v>
      </c>
      <c r="W32" s="52"/>
    </row>
    <row r="33" spans="1:21" ht="17" thickBot="1" x14ac:dyDescent="0.25">
      <c r="A33" s="38"/>
      <c r="B33" s="56" t="s">
        <v>74</v>
      </c>
      <c r="C33" s="35"/>
      <c r="D33" s="35"/>
      <c r="E33" s="43">
        <v>2000000</v>
      </c>
      <c r="F33" s="35"/>
      <c r="G33" s="61">
        <v>2016</v>
      </c>
      <c r="H33" s="111">
        <v>12500</v>
      </c>
      <c r="I33" s="35"/>
      <c r="J33" s="36"/>
      <c r="M33" s="64" t="s">
        <v>163</v>
      </c>
      <c r="N33" s="52">
        <f>SUM(N26:N32)</f>
        <v>153897.06376675743</v>
      </c>
      <c r="O33" s="52">
        <f t="shared" ref="O33" si="11">SUM(O26:O32)</f>
        <v>94752.93</v>
      </c>
      <c r="P33" s="52">
        <f t="shared" ref="P33" si="12">SUM(P26:P32)</f>
        <v>79629.77</v>
      </c>
      <c r="Q33" s="104"/>
      <c r="R33" s="52">
        <f t="shared" ref="R33" si="13">SUM(R26:R32)</f>
        <v>47227.233614875251</v>
      </c>
      <c r="S33" s="52">
        <f t="shared" ref="S33:T33" si="14">SUM(S26:S32)</f>
        <v>32151.172000000002</v>
      </c>
      <c r="T33" s="52">
        <f t="shared" si="14"/>
        <v>28080.048000000003</v>
      </c>
      <c r="U33" s="112">
        <f t="shared" ref="U33" si="15">SUM(U26:U32)</f>
        <v>106669.8301518822</v>
      </c>
    </row>
    <row r="34" spans="1:21" s="152" customFormat="1" x14ac:dyDescent="0.2">
      <c r="A34" s="149"/>
      <c r="B34" s="169" t="s">
        <v>73</v>
      </c>
      <c r="C34" s="150"/>
      <c r="D34" s="150"/>
      <c r="E34" s="170">
        <v>5000000</v>
      </c>
      <c r="F34" s="150"/>
      <c r="G34" s="158">
        <v>2017</v>
      </c>
      <c r="H34" s="171">
        <v>12500</v>
      </c>
      <c r="I34" s="150"/>
      <c r="J34" s="151"/>
      <c r="M34" s="172"/>
      <c r="N34" s="166"/>
      <c r="O34" s="166"/>
      <c r="P34" s="166"/>
      <c r="Q34" s="173"/>
      <c r="R34" s="166"/>
      <c r="S34" s="166"/>
      <c r="T34" s="166"/>
    </row>
    <row r="35" spans="1:21" s="152" customFormat="1" x14ac:dyDescent="0.2">
      <c r="A35" s="149"/>
      <c r="B35" s="169" t="s">
        <v>76</v>
      </c>
      <c r="C35" s="150"/>
      <c r="D35" s="150"/>
      <c r="E35" s="150"/>
      <c r="F35" s="150"/>
      <c r="G35" s="158">
        <v>2018</v>
      </c>
      <c r="H35" s="171">
        <v>12500</v>
      </c>
      <c r="I35" s="150"/>
      <c r="J35" s="151"/>
      <c r="L35" s="12" t="s">
        <v>4</v>
      </c>
    </row>
    <row r="36" spans="1:21" s="152" customFormat="1" x14ac:dyDescent="0.2">
      <c r="A36" s="149"/>
      <c r="B36" s="169" t="s">
        <v>77</v>
      </c>
      <c r="C36" s="150"/>
      <c r="D36" s="150"/>
      <c r="E36" s="150"/>
      <c r="F36" s="150"/>
      <c r="G36" s="158">
        <v>2019</v>
      </c>
      <c r="H36" s="171">
        <v>17500</v>
      </c>
      <c r="I36" s="150"/>
      <c r="J36" s="151"/>
    </row>
    <row r="37" spans="1:21" s="152" customFormat="1" x14ac:dyDescent="0.2">
      <c r="A37" s="149"/>
      <c r="B37" s="169" t="s">
        <v>78</v>
      </c>
      <c r="C37" s="150"/>
      <c r="D37" s="150"/>
      <c r="E37" s="150"/>
      <c r="F37" s="150"/>
      <c r="G37" s="158">
        <v>2020</v>
      </c>
      <c r="H37" s="171">
        <v>17500</v>
      </c>
      <c r="I37" s="150"/>
      <c r="J37" s="151"/>
      <c r="M37" s="152" t="s">
        <v>259</v>
      </c>
    </row>
    <row r="38" spans="1:21" s="152" customFormat="1" ht="17" thickBot="1" x14ac:dyDescent="0.25">
      <c r="A38" s="149"/>
      <c r="B38" s="150"/>
      <c r="C38" s="150"/>
      <c r="D38" s="150"/>
      <c r="E38" s="150"/>
      <c r="F38" s="150"/>
      <c r="G38" s="158">
        <v>2021</v>
      </c>
      <c r="H38" s="171">
        <v>17500</v>
      </c>
      <c r="I38" s="150"/>
      <c r="J38" s="151"/>
    </row>
    <row r="39" spans="1:21" s="152" customFormat="1" x14ac:dyDescent="0.2">
      <c r="A39" s="149"/>
      <c r="B39" s="150"/>
      <c r="C39" s="150"/>
      <c r="D39" s="150"/>
      <c r="E39" s="150"/>
      <c r="F39" s="150"/>
      <c r="G39" s="158">
        <v>2022</v>
      </c>
      <c r="H39" s="171">
        <v>20000</v>
      </c>
      <c r="I39" s="150"/>
      <c r="J39" s="151"/>
      <c r="N39" s="387" t="s">
        <v>248</v>
      </c>
      <c r="O39" s="387"/>
      <c r="P39" s="387"/>
      <c r="Q39" s="395" t="s">
        <v>250</v>
      </c>
      <c r="R39" s="396"/>
      <c r="S39" s="396"/>
      <c r="T39" s="396"/>
      <c r="U39" s="397"/>
    </row>
    <row r="40" spans="1:21" s="152" customFormat="1" ht="17" x14ac:dyDescent="0.2">
      <c r="A40" s="149"/>
      <c r="B40" s="150"/>
      <c r="C40" s="150"/>
      <c r="D40" s="150"/>
      <c r="E40" s="150"/>
      <c r="F40" s="150"/>
      <c r="G40" s="150"/>
      <c r="H40" s="150"/>
      <c r="I40" s="150"/>
      <c r="J40" s="151"/>
      <c r="M40" s="174" t="s">
        <v>240</v>
      </c>
      <c r="N40" s="175" t="s">
        <v>246</v>
      </c>
      <c r="O40" s="176" t="s">
        <v>219</v>
      </c>
      <c r="P40" s="176" t="s">
        <v>220</v>
      </c>
      <c r="Q40" s="177" t="s">
        <v>246</v>
      </c>
      <c r="R40" s="176" t="s">
        <v>219</v>
      </c>
      <c r="S40" s="178" t="s">
        <v>220</v>
      </c>
      <c r="T40" s="176" t="s">
        <v>257</v>
      </c>
      <c r="U40" s="179" t="s">
        <v>242</v>
      </c>
    </row>
    <row r="41" spans="1:21" s="152" customFormat="1" ht="16" customHeight="1" x14ac:dyDescent="0.2">
      <c r="A41" s="150" t="s">
        <v>0</v>
      </c>
      <c r="B41" s="380" t="s">
        <v>268</v>
      </c>
      <c r="C41" s="380"/>
      <c r="D41" s="380"/>
      <c r="E41" s="380"/>
      <c r="F41" s="380"/>
      <c r="G41" s="380"/>
      <c r="H41" s="380"/>
      <c r="I41" s="380"/>
      <c r="J41" s="151"/>
      <c r="M41" s="180">
        <v>2016</v>
      </c>
      <c r="N41" s="166">
        <f t="shared" ref="N41:P47" si="16">N26-R26</f>
        <v>10537.419672131147</v>
      </c>
      <c r="O41" s="166">
        <f t="shared" si="16"/>
        <v>9376.2000000000007</v>
      </c>
      <c r="P41" s="166">
        <f t="shared" si="16"/>
        <v>9094.9140000000007</v>
      </c>
      <c r="Q41" s="181">
        <f t="shared" ref="Q41:Q47" si="17">N41-MIN(MAX(N41-H33,0),$I$29/1000)</f>
        <v>10537.419672131147</v>
      </c>
      <c r="R41" s="166">
        <f t="shared" ref="R41:R47" si="18">O41-MIN(MAX(O41-H33,0),$I$29/1000)</f>
        <v>9376.2000000000007</v>
      </c>
      <c r="S41" s="182">
        <f t="shared" ref="S41:S47" si="19">P41-MIN(MAX(P41-H33,0),$I$29/1000)</f>
        <v>9094.9140000000007</v>
      </c>
      <c r="T41" s="166">
        <f>R41-S41</f>
        <v>281.28600000000006</v>
      </c>
      <c r="U41" s="183">
        <f t="shared" ref="U41:U47" si="20">Q41-R41</f>
        <v>1161.2196721311466</v>
      </c>
    </row>
    <row r="42" spans="1:21" s="152" customFormat="1" ht="16" customHeight="1" x14ac:dyDescent="0.2">
      <c r="A42" s="149"/>
      <c r="B42" s="380"/>
      <c r="C42" s="380"/>
      <c r="D42" s="380"/>
      <c r="E42" s="380"/>
      <c r="F42" s="380"/>
      <c r="G42" s="380"/>
      <c r="H42" s="380"/>
      <c r="I42" s="380"/>
      <c r="J42" s="151"/>
      <c r="M42" s="180">
        <v>2017</v>
      </c>
      <c r="N42" s="166">
        <f t="shared" si="16"/>
        <v>11232.957029177716</v>
      </c>
      <c r="O42" s="166">
        <f t="shared" si="16"/>
        <v>9748.7999999999993</v>
      </c>
      <c r="P42" s="166">
        <f t="shared" si="16"/>
        <v>9261.36</v>
      </c>
      <c r="Q42" s="181">
        <f t="shared" si="17"/>
        <v>11232.957029177716</v>
      </c>
      <c r="R42" s="166">
        <f t="shared" si="18"/>
        <v>9748.7999999999993</v>
      </c>
      <c r="S42" s="182">
        <f t="shared" si="19"/>
        <v>9261.36</v>
      </c>
      <c r="T42" s="166">
        <f t="shared" ref="T42:T47" si="21">R42-S42</f>
        <v>487.43999999999869</v>
      </c>
      <c r="U42" s="183">
        <f t="shared" si="20"/>
        <v>1484.157029177717</v>
      </c>
    </row>
    <row r="43" spans="1:21" s="152" customFormat="1" x14ac:dyDescent="0.2">
      <c r="A43" s="149"/>
      <c r="B43" s="150"/>
      <c r="C43" s="150"/>
      <c r="D43" s="150"/>
      <c r="E43" s="150"/>
      <c r="F43" s="150"/>
      <c r="G43" s="150"/>
      <c r="H43" s="150"/>
      <c r="I43" s="150"/>
      <c r="J43" s="151"/>
      <c r="M43" s="180">
        <v>2018</v>
      </c>
      <c r="N43" s="166">
        <f t="shared" si="16"/>
        <v>17315.888712530716</v>
      </c>
      <c r="O43" s="166">
        <f t="shared" si="16"/>
        <v>14732.958000000001</v>
      </c>
      <c r="P43" s="166">
        <f t="shared" si="16"/>
        <v>13223.778</v>
      </c>
      <c r="Q43" s="181">
        <f t="shared" si="17"/>
        <v>12500</v>
      </c>
      <c r="R43" s="166">
        <f t="shared" si="18"/>
        <v>12500</v>
      </c>
      <c r="S43" s="182">
        <f t="shared" si="19"/>
        <v>12500</v>
      </c>
      <c r="T43" s="166">
        <f t="shared" si="21"/>
        <v>0</v>
      </c>
      <c r="U43" s="183">
        <f t="shared" si="20"/>
        <v>0</v>
      </c>
    </row>
    <row r="44" spans="1:21" s="152" customFormat="1" x14ac:dyDescent="0.2">
      <c r="A44" s="150" t="s">
        <v>1</v>
      </c>
      <c r="B44" s="380" t="s">
        <v>251</v>
      </c>
      <c r="C44" s="380"/>
      <c r="D44" s="380"/>
      <c r="E44" s="380"/>
      <c r="F44" s="380"/>
      <c r="G44" s="380"/>
      <c r="H44" s="380"/>
      <c r="I44" s="380"/>
      <c r="J44" s="151"/>
      <c r="M44" s="180">
        <v>2019</v>
      </c>
      <c r="N44" s="166">
        <f t="shared" si="16"/>
        <v>10257.197170731706</v>
      </c>
      <c r="O44" s="166">
        <f t="shared" si="16"/>
        <v>5743.7999999999993</v>
      </c>
      <c r="P44" s="166">
        <f t="shared" si="16"/>
        <v>4882.2299999999996</v>
      </c>
      <c r="Q44" s="181">
        <f t="shared" si="17"/>
        <v>10257.197170731706</v>
      </c>
      <c r="R44" s="166">
        <f t="shared" si="18"/>
        <v>5743.7999999999993</v>
      </c>
      <c r="S44" s="182">
        <f t="shared" si="19"/>
        <v>4882.2299999999996</v>
      </c>
      <c r="T44" s="166">
        <f t="shared" si="21"/>
        <v>861.56999999999971</v>
      </c>
      <c r="U44" s="183">
        <f t="shared" si="20"/>
        <v>4513.3971707317069</v>
      </c>
    </row>
    <row r="45" spans="1:21" s="152" customFormat="1" ht="16" customHeight="1" x14ac:dyDescent="0.2">
      <c r="A45" s="149"/>
      <c r="B45" s="380"/>
      <c r="C45" s="380"/>
      <c r="D45" s="380"/>
      <c r="E45" s="380"/>
      <c r="F45" s="380"/>
      <c r="G45" s="380"/>
      <c r="H45" s="380"/>
      <c r="I45" s="380"/>
      <c r="J45" s="151"/>
      <c r="M45" s="180">
        <v>2020</v>
      </c>
      <c r="N45" s="166">
        <f t="shared" si="16"/>
        <v>17385.002399534071</v>
      </c>
      <c r="O45" s="166">
        <f t="shared" si="16"/>
        <v>9685.6</v>
      </c>
      <c r="P45" s="166">
        <f t="shared" si="16"/>
        <v>7748.4800000000005</v>
      </c>
      <c r="Q45" s="181">
        <f t="shared" si="17"/>
        <v>17385.002399534071</v>
      </c>
      <c r="R45" s="166">
        <f t="shared" si="18"/>
        <v>9685.6</v>
      </c>
      <c r="S45" s="182">
        <f t="shared" si="19"/>
        <v>7748.4800000000005</v>
      </c>
      <c r="T45" s="166">
        <f t="shared" si="21"/>
        <v>1937.12</v>
      </c>
      <c r="U45" s="183">
        <f t="shared" si="20"/>
        <v>7699.4023995340704</v>
      </c>
    </row>
    <row r="46" spans="1:21" s="152" customFormat="1" ht="16" customHeight="1" x14ac:dyDescent="0.2">
      <c r="A46" s="149"/>
      <c r="B46" s="184"/>
      <c r="C46" s="184"/>
      <c r="D46" s="184"/>
      <c r="E46" s="184"/>
      <c r="F46" s="184"/>
      <c r="G46" s="184"/>
      <c r="H46" s="184"/>
      <c r="I46" s="184"/>
      <c r="J46" s="151"/>
      <c r="M46" s="180">
        <v>2021</v>
      </c>
      <c r="N46" s="166">
        <f t="shared" si="16"/>
        <v>18687.009170912457</v>
      </c>
      <c r="O46" s="166">
        <f t="shared" si="16"/>
        <v>7639.2</v>
      </c>
      <c r="P46" s="166">
        <f t="shared" si="16"/>
        <v>4583.5199999999995</v>
      </c>
      <c r="Q46" s="181">
        <f t="shared" si="17"/>
        <v>17500</v>
      </c>
      <c r="R46" s="166">
        <f t="shared" si="18"/>
        <v>7639.2</v>
      </c>
      <c r="S46" s="182">
        <f t="shared" si="19"/>
        <v>4583.5199999999995</v>
      </c>
      <c r="T46" s="166">
        <f t="shared" si="21"/>
        <v>3055.6800000000003</v>
      </c>
      <c r="U46" s="183">
        <f t="shared" si="20"/>
        <v>9860.7999999999993</v>
      </c>
    </row>
    <row r="47" spans="1:21" s="152" customFormat="1" ht="17" thickBot="1" x14ac:dyDescent="0.25">
      <c r="A47" s="185"/>
      <c r="B47" s="186"/>
      <c r="C47" s="187"/>
      <c r="D47" s="187"/>
      <c r="E47" s="187"/>
      <c r="F47" s="186"/>
      <c r="G47" s="186"/>
      <c r="H47" s="186"/>
      <c r="I47" s="186"/>
      <c r="J47" s="188"/>
      <c r="M47" s="189">
        <v>2022</v>
      </c>
      <c r="N47" s="190">
        <f t="shared" si="16"/>
        <v>21254.355996864382</v>
      </c>
      <c r="O47" s="190">
        <f t="shared" si="16"/>
        <v>5675.2</v>
      </c>
      <c r="P47" s="190">
        <f t="shared" si="16"/>
        <v>2755.4399999999996</v>
      </c>
      <c r="Q47" s="191">
        <f t="shared" si="17"/>
        <v>20000</v>
      </c>
      <c r="R47" s="190">
        <f t="shared" si="18"/>
        <v>5675.2</v>
      </c>
      <c r="S47" s="192">
        <f t="shared" si="19"/>
        <v>2755.4399999999996</v>
      </c>
      <c r="T47" s="190">
        <f t="shared" si="21"/>
        <v>2919.76</v>
      </c>
      <c r="U47" s="193">
        <f t="shared" si="20"/>
        <v>14324.8</v>
      </c>
    </row>
    <row r="48" spans="1:21" s="152" customFormat="1" ht="17" thickBot="1" x14ac:dyDescent="0.25">
      <c r="A48" s="185" t="s">
        <v>7</v>
      </c>
      <c r="B48" s="186"/>
      <c r="C48" s="187"/>
      <c r="D48" s="187"/>
      <c r="E48" s="187"/>
      <c r="F48" s="186"/>
      <c r="G48" s="186"/>
      <c r="H48" s="186"/>
      <c r="I48" s="186"/>
      <c r="J48" s="188"/>
      <c r="M48" s="180" t="s">
        <v>163</v>
      </c>
      <c r="N48" s="166">
        <f>SUM(N41:N47)</f>
        <v>106669.8301518822</v>
      </c>
      <c r="O48" s="166">
        <f t="shared" ref="O48:U48" si="22">SUM(O41:O47)</f>
        <v>62601.757999999994</v>
      </c>
      <c r="P48" s="166">
        <f t="shared" si="22"/>
        <v>51549.722000000009</v>
      </c>
      <c r="Q48" s="194">
        <f t="shared" si="22"/>
        <v>99412.576271574639</v>
      </c>
      <c r="R48" s="195">
        <f t="shared" si="22"/>
        <v>60368.799999999996</v>
      </c>
      <c r="S48" s="196">
        <f t="shared" si="22"/>
        <v>50825.944000000003</v>
      </c>
      <c r="T48" s="195">
        <f t="shared" si="22"/>
        <v>9542.8559999999998</v>
      </c>
      <c r="U48" s="197">
        <f t="shared" si="22"/>
        <v>39043.776271574636</v>
      </c>
    </row>
    <row r="49" spans="12:21" s="152" customFormat="1" x14ac:dyDescent="0.2"/>
    <row r="50" spans="12:21" s="152" customFormat="1" ht="19" x14ac:dyDescent="0.2">
      <c r="L50" s="5" t="s">
        <v>8</v>
      </c>
    </row>
    <row r="51" spans="12:21" s="152" customFormat="1" ht="16" customHeight="1" x14ac:dyDescent="0.2">
      <c r="M51" s="383" t="s">
        <v>261</v>
      </c>
      <c r="N51" s="383"/>
      <c r="O51" s="383"/>
      <c r="P51" s="383"/>
      <c r="Q51" s="383"/>
      <c r="R51" s="383"/>
      <c r="S51" s="383"/>
      <c r="T51" s="383"/>
      <c r="U51" s="198"/>
    </row>
    <row r="52" spans="12:21" s="152" customFormat="1" x14ac:dyDescent="0.2">
      <c r="M52" s="383"/>
      <c r="N52" s="383"/>
      <c r="O52" s="383"/>
      <c r="P52" s="383"/>
      <c r="Q52" s="383"/>
      <c r="R52" s="383"/>
      <c r="S52" s="383"/>
      <c r="T52" s="383"/>
      <c r="U52" s="198"/>
    </row>
    <row r="53" spans="12:21" s="152" customFormat="1" x14ac:dyDescent="0.2">
      <c r="M53" s="383"/>
      <c r="N53" s="383"/>
      <c r="O53" s="383"/>
      <c r="P53" s="383"/>
      <c r="Q53" s="383"/>
      <c r="R53" s="383"/>
      <c r="S53" s="383"/>
      <c r="T53" s="383"/>
    </row>
    <row r="54" spans="12:21" s="152" customFormat="1" x14ac:dyDescent="0.2">
      <c r="N54" s="387" t="s">
        <v>249</v>
      </c>
      <c r="O54" s="387"/>
      <c r="P54" s="387"/>
    </row>
    <row r="55" spans="12:21" s="152" customFormat="1" ht="17" x14ac:dyDescent="0.2">
      <c r="M55" s="174" t="s">
        <v>240</v>
      </c>
      <c r="N55" s="175" t="s">
        <v>246</v>
      </c>
      <c r="O55" s="176" t="s">
        <v>219</v>
      </c>
      <c r="P55" s="176" t="s">
        <v>220</v>
      </c>
    </row>
    <row r="56" spans="12:21" s="152" customFormat="1" x14ac:dyDescent="0.2">
      <c r="M56" s="180">
        <v>2016</v>
      </c>
      <c r="N56" s="166">
        <f t="shared" ref="N56:N62" si="23">MIN(MAX(N41-H33,0),$I$29/1000)</f>
        <v>0</v>
      </c>
      <c r="O56" s="166">
        <f t="shared" ref="O56:O62" si="24">MIN(MAX(O41-H33,0),$I$29/1000)</f>
        <v>0</v>
      </c>
      <c r="P56" s="166">
        <f t="shared" ref="P56:P62" si="25">MIN(MAX(P41-H33,0),$I$29/1000)</f>
        <v>0</v>
      </c>
    </row>
    <row r="57" spans="12:21" s="152" customFormat="1" x14ac:dyDescent="0.2">
      <c r="M57" s="180">
        <v>2017</v>
      </c>
      <c r="N57" s="166">
        <f t="shared" si="23"/>
        <v>0</v>
      </c>
      <c r="O57" s="166">
        <f t="shared" si="24"/>
        <v>0</v>
      </c>
      <c r="P57" s="166">
        <f t="shared" si="25"/>
        <v>0</v>
      </c>
    </row>
    <row r="58" spans="12:21" s="152" customFormat="1" x14ac:dyDescent="0.2">
      <c r="M58" s="180">
        <v>2018</v>
      </c>
      <c r="N58" s="166">
        <f t="shared" si="23"/>
        <v>4815.8887125307156</v>
      </c>
      <c r="O58" s="166">
        <f t="shared" si="24"/>
        <v>2232.9580000000005</v>
      </c>
      <c r="P58" s="166">
        <f t="shared" si="25"/>
        <v>723.77800000000025</v>
      </c>
    </row>
    <row r="59" spans="12:21" s="152" customFormat="1" x14ac:dyDescent="0.2">
      <c r="M59" s="180">
        <v>2019</v>
      </c>
      <c r="N59" s="166">
        <f t="shared" si="23"/>
        <v>0</v>
      </c>
      <c r="O59" s="166">
        <f t="shared" si="24"/>
        <v>0</v>
      </c>
      <c r="P59" s="166">
        <f t="shared" si="25"/>
        <v>0</v>
      </c>
    </row>
    <row r="60" spans="12:21" s="152" customFormat="1" x14ac:dyDescent="0.2">
      <c r="M60" s="180">
        <v>2020</v>
      </c>
      <c r="N60" s="166">
        <f t="shared" si="23"/>
        <v>0</v>
      </c>
      <c r="O60" s="166">
        <f t="shared" si="24"/>
        <v>0</v>
      </c>
      <c r="P60" s="166">
        <f t="shared" si="25"/>
        <v>0</v>
      </c>
    </row>
    <row r="61" spans="12:21" s="152" customFormat="1" x14ac:dyDescent="0.2">
      <c r="M61" s="180">
        <v>2021</v>
      </c>
      <c r="N61" s="166">
        <f t="shared" si="23"/>
        <v>1187.0091709124572</v>
      </c>
      <c r="O61" s="166">
        <f t="shared" si="24"/>
        <v>0</v>
      </c>
      <c r="P61" s="166">
        <f t="shared" si="25"/>
        <v>0</v>
      </c>
    </row>
    <row r="62" spans="12:21" s="152" customFormat="1" x14ac:dyDescent="0.2">
      <c r="M62" s="189">
        <v>2022</v>
      </c>
      <c r="N62" s="199">
        <f t="shared" si="23"/>
        <v>1254.3559968643822</v>
      </c>
      <c r="O62" s="190">
        <f t="shared" si="24"/>
        <v>0</v>
      </c>
      <c r="P62" s="190">
        <f t="shared" si="25"/>
        <v>0</v>
      </c>
    </row>
    <row r="63" spans="12:21" s="152" customFormat="1" x14ac:dyDescent="0.2">
      <c r="M63" s="180" t="s">
        <v>163</v>
      </c>
      <c r="N63" s="166">
        <f>SUM(N56:N62)</f>
        <v>7257.2538803075549</v>
      </c>
      <c r="O63" s="166">
        <f t="shared" ref="O63" si="26">SUM(O56:O62)</f>
        <v>2232.9580000000005</v>
      </c>
      <c r="P63" s="166">
        <f t="shared" ref="P63" si="27">SUM(P56:P62)</f>
        <v>723.77800000000025</v>
      </c>
    </row>
    <row r="64" spans="12:21" s="152" customFormat="1" x14ac:dyDescent="0.2"/>
    <row r="65" spans="12:13" s="152" customFormat="1" ht="19" x14ac:dyDescent="0.2">
      <c r="L65" s="5" t="s">
        <v>19</v>
      </c>
    </row>
    <row r="66" spans="12:13" s="152" customFormat="1" x14ac:dyDescent="0.2">
      <c r="L66" s="152" t="s">
        <v>262</v>
      </c>
    </row>
    <row r="67" spans="12:13" s="152" customFormat="1" x14ac:dyDescent="0.2"/>
    <row r="68" spans="12:13" s="152" customFormat="1" ht="19" x14ac:dyDescent="0.25">
      <c r="L68" s="2" t="s">
        <v>290</v>
      </c>
    </row>
    <row r="69" spans="12:13" s="152" customFormat="1" x14ac:dyDescent="0.2">
      <c r="L69" s="152" t="s">
        <v>284</v>
      </c>
    </row>
    <row r="70" spans="12:13" s="152" customFormat="1" x14ac:dyDescent="0.2">
      <c r="L70" s="152" t="s">
        <v>286</v>
      </c>
    </row>
    <row r="71" spans="12:13" s="152" customFormat="1" x14ac:dyDescent="0.2">
      <c r="L71" s="152" t="s">
        <v>287</v>
      </c>
    </row>
    <row r="72" spans="12:13" s="152" customFormat="1" x14ac:dyDescent="0.2">
      <c r="L72" s="152" t="s">
        <v>289</v>
      </c>
    </row>
    <row r="73" spans="12:13" s="152" customFormat="1" x14ac:dyDescent="0.2"/>
    <row r="74" spans="12:13" s="152" customFormat="1" x14ac:dyDescent="0.2"/>
    <row r="75" spans="12:13" s="152" customFormat="1" x14ac:dyDescent="0.2"/>
    <row r="76" spans="12:13" s="152" customFormat="1" x14ac:dyDescent="0.2"/>
    <row r="77" spans="12:13" s="152" customFormat="1" x14ac:dyDescent="0.2"/>
    <row r="78" spans="12:13" s="152" customFormat="1" x14ac:dyDescent="0.2"/>
    <row r="79" spans="12:13" s="152" customFormat="1" x14ac:dyDescent="0.2"/>
    <row r="80" spans="12:13" s="152" customFormat="1" x14ac:dyDescent="0.2">
      <c r="M80" s="6"/>
    </row>
    <row r="81" s="152" customFormat="1" x14ac:dyDescent="0.2"/>
    <row r="82" s="152" customFormat="1" x14ac:dyDescent="0.2"/>
    <row r="83" s="152" customFormat="1" x14ac:dyDescent="0.2"/>
    <row r="84" s="152" customFormat="1" x14ac:dyDescent="0.2"/>
    <row r="85" s="152" customFormat="1" x14ac:dyDescent="0.2"/>
    <row r="86" s="152" customFormat="1" x14ac:dyDescent="0.2"/>
    <row r="87" s="152" customFormat="1" x14ac:dyDescent="0.2"/>
    <row r="88" s="152" customFormat="1" x14ac:dyDescent="0.2"/>
    <row r="89" s="152" customFormat="1" x14ac:dyDescent="0.2"/>
    <row r="90" s="152" customFormat="1" x14ac:dyDescent="0.2"/>
    <row r="91" s="152" customFormat="1" x14ac:dyDescent="0.2"/>
    <row r="92" s="152" customFormat="1" x14ac:dyDescent="0.2"/>
    <row r="93" s="152" customFormat="1" x14ac:dyDescent="0.2"/>
    <row r="94" s="152" customFormat="1" x14ac:dyDescent="0.2"/>
    <row r="95" s="152" customFormat="1" x14ac:dyDescent="0.2"/>
    <row r="96" s="152" customFormat="1" x14ac:dyDescent="0.2"/>
    <row r="97" s="152" customFormat="1" x14ac:dyDescent="0.2"/>
    <row r="98" s="152" customFormat="1" x14ac:dyDescent="0.2"/>
    <row r="99" s="152" customFormat="1" x14ac:dyDescent="0.2"/>
    <row r="100" s="152" customFormat="1" x14ac:dyDescent="0.2"/>
    <row r="101" s="152" customFormat="1" x14ac:dyDescent="0.2"/>
    <row r="102" s="152" customFormat="1" x14ac:dyDescent="0.2"/>
    <row r="103" s="152" customFormat="1" x14ac:dyDescent="0.2"/>
    <row r="104" s="152" customFormat="1" x14ac:dyDescent="0.2"/>
    <row r="105" s="152" customFormat="1" x14ac:dyDescent="0.2"/>
    <row r="106" s="152" customFormat="1" x14ac:dyDescent="0.2"/>
    <row r="107" s="152" customFormat="1" x14ac:dyDescent="0.2"/>
    <row r="108" s="152" customFormat="1" x14ac:dyDescent="0.2"/>
    <row r="109" s="152" customFormat="1" x14ac:dyDescent="0.2"/>
    <row r="110" s="152" customFormat="1" x14ac:dyDescent="0.2"/>
    <row r="111" s="152" customFormat="1" x14ac:dyDescent="0.2"/>
    <row r="112" s="152" customFormat="1" x14ac:dyDescent="0.2"/>
    <row r="113" spans="14:14" s="152" customFormat="1" x14ac:dyDescent="0.2"/>
    <row r="114" spans="14:14" s="152" customFormat="1" x14ac:dyDescent="0.2"/>
    <row r="115" spans="14:14" s="152" customFormat="1" x14ac:dyDescent="0.2"/>
    <row r="116" spans="14:14" s="152" customFormat="1" x14ac:dyDescent="0.2"/>
    <row r="117" spans="14:14" s="152" customFormat="1" x14ac:dyDescent="0.2"/>
    <row r="118" spans="14:14" s="152" customFormat="1" x14ac:dyDescent="0.2"/>
    <row r="119" spans="14:14" s="152" customFormat="1" x14ac:dyDescent="0.2"/>
    <row r="120" spans="14:14" s="152" customFormat="1" x14ac:dyDescent="0.2"/>
    <row r="121" spans="14:14" s="152" customFormat="1" x14ac:dyDescent="0.2"/>
    <row r="122" spans="14:14" s="152" customFormat="1" x14ac:dyDescent="0.2"/>
    <row r="123" spans="14:14" s="152" customFormat="1" x14ac:dyDescent="0.2"/>
    <row r="124" spans="14:14" s="152" customFormat="1" x14ac:dyDescent="0.2">
      <c r="N124" s="157"/>
    </row>
    <row r="125" spans="14:14" s="152" customFormat="1" x14ac:dyDescent="0.2"/>
    <row r="126" spans="14:14" s="152" customFormat="1" x14ac:dyDescent="0.2"/>
    <row r="127" spans="14:14" s="152" customFormat="1" x14ac:dyDescent="0.2"/>
    <row r="128" spans="14:14" s="152" customFormat="1" x14ac:dyDescent="0.2"/>
    <row r="129" spans="14:14" s="152" customFormat="1" x14ac:dyDescent="0.2"/>
    <row r="130" spans="14:14" s="152" customFormat="1" x14ac:dyDescent="0.2"/>
    <row r="131" spans="14:14" s="152" customFormat="1" x14ac:dyDescent="0.2"/>
    <row r="132" spans="14:14" s="152" customFormat="1" x14ac:dyDescent="0.2"/>
    <row r="133" spans="14:14" s="152" customFormat="1" x14ac:dyDescent="0.2"/>
    <row r="134" spans="14:14" s="152" customFormat="1" x14ac:dyDescent="0.2">
      <c r="N134" s="157"/>
    </row>
    <row r="135" spans="14:14" s="152" customFormat="1" x14ac:dyDescent="0.2"/>
    <row r="136" spans="14:14" s="152" customFormat="1" x14ac:dyDescent="0.2"/>
    <row r="137" spans="14:14" s="152" customFormat="1" x14ac:dyDescent="0.2"/>
    <row r="138" spans="14:14" s="152" customFormat="1" x14ac:dyDescent="0.2"/>
    <row r="139" spans="14:14" s="152" customFormat="1" x14ac:dyDescent="0.2"/>
    <row r="140" spans="14:14" s="152" customFormat="1" x14ac:dyDescent="0.2"/>
    <row r="141" spans="14:14" s="152" customFormat="1" x14ac:dyDescent="0.2"/>
    <row r="142" spans="14:14" s="152" customFormat="1" x14ac:dyDescent="0.2"/>
    <row r="143" spans="14:14" s="152" customFormat="1" x14ac:dyDescent="0.2"/>
    <row r="144" spans="14:14" s="152" customFormat="1" x14ac:dyDescent="0.2">
      <c r="N144" s="157"/>
    </row>
    <row r="145" s="152" customFormat="1" x14ac:dyDescent="0.2"/>
    <row r="146" s="152" customFormat="1" x14ac:dyDescent="0.2"/>
    <row r="147" s="152" customFormat="1" x14ac:dyDescent="0.2"/>
    <row r="148" s="152" customFormat="1" x14ac:dyDescent="0.2"/>
    <row r="149" s="152" customFormat="1" x14ac:dyDescent="0.2"/>
    <row r="150" s="152" customFormat="1" x14ac:dyDescent="0.2"/>
    <row r="151" s="152" customFormat="1" x14ac:dyDescent="0.2"/>
    <row r="152" s="152" customFormat="1" x14ac:dyDescent="0.2"/>
    <row r="153" s="152" customFormat="1" x14ac:dyDescent="0.2"/>
    <row r="154" s="152" customFormat="1" x14ac:dyDescent="0.2"/>
    <row r="155" s="152" customFormat="1" x14ac:dyDescent="0.2"/>
    <row r="156" s="152" customFormat="1" x14ac:dyDescent="0.2"/>
    <row r="157" s="152" customFormat="1" x14ac:dyDescent="0.2"/>
    <row r="158" s="152" customFormat="1" x14ac:dyDescent="0.2"/>
    <row r="159" s="152" customFormat="1" x14ac:dyDescent="0.2"/>
    <row r="160" s="152" customFormat="1" x14ac:dyDescent="0.2"/>
    <row r="161" s="152" customFormat="1" x14ac:dyDescent="0.2"/>
    <row r="162" s="152" customFormat="1" x14ac:dyDescent="0.2"/>
    <row r="163" s="152" customFormat="1" x14ac:dyDescent="0.2"/>
    <row r="164" s="152" customFormat="1" x14ac:dyDescent="0.2"/>
    <row r="165" s="152" customFormat="1" x14ac:dyDescent="0.2"/>
    <row r="166" s="152" customFormat="1" x14ac:dyDescent="0.2"/>
    <row r="167" s="152" customFormat="1" x14ac:dyDescent="0.2"/>
    <row r="168" s="152" customFormat="1" x14ac:dyDescent="0.2"/>
    <row r="169" s="152" customFormat="1" x14ac:dyDescent="0.2"/>
    <row r="170" s="152" customFormat="1" x14ac:dyDescent="0.2"/>
    <row r="171" s="152" customFormat="1" x14ac:dyDescent="0.2"/>
    <row r="172" s="152" customFormat="1" x14ac:dyDescent="0.2"/>
    <row r="173" s="152" customFormat="1" x14ac:dyDescent="0.2"/>
    <row r="174" s="152" customFormat="1" x14ac:dyDescent="0.2"/>
    <row r="175" s="152" customFormat="1" x14ac:dyDescent="0.2"/>
    <row r="176" s="152" customFormat="1" x14ac:dyDescent="0.2"/>
    <row r="177" s="152" customFormat="1" x14ac:dyDescent="0.2"/>
    <row r="178" s="152" customFormat="1" x14ac:dyDescent="0.2"/>
    <row r="179" s="152" customFormat="1" x14ac:dyDescent="0.2"/>
    <row r="180" s="152" customFormat="1" x14ac:dyDescent="0.2"/>
    <row r="181" s="152" customFormat="1" x14ac:dyDescent="0.2"/>
    <row r="182" s="152" customFormat="1" x14ac:dyDescent="0.2"/>
    <row r="183" s="152" customFormat="1" x14ac:dyDescent="0.2"/>
    <row r="184" s="152" customFormat="1" x14ac:dyDescent="0.2"/>
    <row r="185" s="152" customFormat="1" x14ac:dyDescent="0.2"/>
    <row r="186" s="152" customFormat="1" x14ac:dyDescent="0.2"/>
    <row r="187" s="152" customFormat="1" x14ac:dyDescent="0.2"/>
    <row r="188" s="152" customFormat="1" x14ac:dyDescent="0.2"/>
    <row r="189" s="152" customFormat="1" x14ac:dyDescent="0.2"/>
    <row r="190" s="152" customFormat="1" x14ac:dyDescent="0.2"/>
    <row r="191" s="152" customFormat="1" x14ac:dyDescent="0.2"/>
    <row r="192" s="152" customFormat="1" x14ac:dyDescent="0.2"/>
    <row r="193" s="152" customFormat="1" x14ac:dyDescent="0.2"/>
    <row r="194" s="152" customFormat="1" x14ac:dyDescent="0.2"/>
    <row r="195" s="152" customFormat="1" x14ac:dyDescent="0.2"/>
    <row r="196" s="152" customFormat="1" x14ac:dyDescent="0.2"/>
    <row r="197" s="152" customFormat="1" x14ac:dyDescent="0.2"/>
    <row r="198" s="152" customFormat="1" x14ac:dyDescent="0.2"/>
    <row r="199" s="152" customFormat="1" x14ac:dyDescent="0.2"/>
    <row r="200" s="152" customFormat="1" x14ac:dyDescent="0.2"/>
    <row r="201" s="152" customFormat="1" x14ac:dyDescent="0.2"/>
    <row r="202" s="152" customFormat="1" x14ac:dyDescent="0.2"/>
    <row r="203" s="152" customFormat="1" x14ac:dyDescent="0.2"/>
    <row r="204" s="152" customFormat="1" x14ac:dyDescent="0.2"/>
    <row r="205" s="152" customFormat="1" x14ac:dyDescent="0.2"/>
    <row r="206" s="152" customFormat="1" x14ac:dyDescent="0.2"/>
    <row r="207" s="152" customFormat="1" x14ac:dyDescent="0.2"/>
    <row r="208" s="152" customFormat="1" x14ac:dyDescent="0.2"/>
    <row r="209" s="152" customFormat="1" x14ac:dyDescent="0.2"/>
    <row r="210" s="152" customFormat="1" x14ac:dyDescent="0.2"/>
    <row r="211" s="152" customFormat="1" x14ac:dyDescent="0.2"/>
    <row r="212" s="152" customFormat="1" x14ac:dyDescent="0.2"/>
    <row r="213" s="152" customFormat="1" x14ac:dyDescent="0.2"/>
    <row r="214" s="152" customFormat="1" x14ac:dyDescent="0.2"/>
    <row r="215" s="152" customFormat="1" x14ac:dyDescent="0.2"/>
    <row r="216" s="152" customFormat="1" x14ac:dyDescent="0.2"/>
    <row r="217" s="152" customFormat="1" x14ac:dyDescent="0.2"/>
    <row r="218" s="152" customFormat="1" x14ac:dyDescent="0.2"/>
    <row r="219" s="152" customFormat="1" x14ac:dyDescent="0.2"/>
    <row r="220" s="152" customFormat="1" x14ac:dyDescent="0.2"/>
    <row r="221" s="152" customFormat="1" x14ac:dyDescent="0.2"/>
    <row r="222" s="152" customFormat="1" x14ac:dyDescent="0.2"/>
    <row r="223" s="152" customFormat="1" x14ac:dyDescent="0.2"/>
    <row r="224" s="152" customFormat="1" x14ac:dyDescent="0.2"/>
    <row r="225" s="152" customFormat="1" x14ac:dyDescent="0.2"/>
    <row r="226" s="152" customFormat="1" x14ac:dyDescent="0.2"/>
    <row r="227" s="152" customFormat="1" x14ac:dyDescent="0.2"/>
    <row r="228" s="152" customFormat="1" x14ac:dyDescent="0.2"/>
    <row r="229" s="152" customFormat="1" x14ac:dyDescent="0.2"/>
    <row r="230" s="152" customFormat="1" x14ac:dyDescent="0.2"/>
    <row r="231" s="152" customFormat="1" x14ac:dyDescent="0.2"/>
    <row r="232" s="152" customFormat="1" x14ac:dyDescent="0.2"/>
    <row r="233" s="152" customFormat="1" x14ac:dyDescent="0.2"/>
    <row r="234" s="152" customFormat="1" x14ac:dyDescent="0.2"/>
    <row r="235" s="152" customFormat="1" x14ac:dyDescent="0.2"/>
    <row r="236" s="152" customFormat="1" x14ac:dyDescent="0.2"/>
    <row r="237" s="152" customFormat="1" x14ac:dyDescent="0.2"/>
    <row r="238" s="152" customFormat="1" x14ac:dyDescent="0.2"/>
    <row r="239" s="152" customFormat="1" x14ac:dyDescent="0.2"/>
    <row r="240" s="152" customFormat="1" x14ac:dyDescent="0.2"/>
    <row r="241" s="152" customFormat="1" x14ac:dyDescent="0.2"/>
    <row r="242" s="152" customFormat="1" x14ac:dyDescent="0.2"/>
    <row r="243" s="152" customFormat="1" x14ac:dyDescent="0.2"/>
    <row r="244" s="152" customFormat="1" x14ac:dyDescent="0.2"/>
    <row r="245" s="152" customFormat="1" x14ac:dyDescent="0.2"/>
    <row r="246" s="152" customFormat="1" x14ac:dyDescent="0.2"/>
    <row r="247" s="152" customFormat="1" x14ac:dyDescent="0.2"/>
    <row r="248" s="152" customFormat="1" x14ac:dyDescent="0.2"/>
    <row r="249" s="152" customFormat="1" x14ac:dyDescent="0.2"/>
    <row r="250" s="152" customFormat="1" x14ac:dyDescent="0.2"/>
    <row r="251" s="152" customFormat="1" x14ac:dyDescent="0.2"/>
    <row r="252" s="152" customFormat="1" x14ac:dyDescent="0.2"/>
    <row r="253" s="152" customFormat="1" x14ac:dyDescent="0.2"/>
    <row r="254" s="152" customFormat="1" x14ac:dyDescent="0.2"/>
    <row r="255" s="152" customFormat="1" x14ac:dyDescent="0.2"/>
    <row r="256" s="152" customFormat="1" x14ac:dyDescent="0.2"/>
    <row r="257" s="152" customFormat="1" x14ac:dyDescent="0.2"/>
    <row r="258" s="152" customFormat="1" x14ac:dyDescent="0.2"/>
    <row r="259" s="152" customFormat="1" x14ac:dyDescent="0.2"/>
    <row r="260" s="152" customFormat="1" x14ac:dyDescent="0.2"/>
    <row r="261" s="152" customFormat="1" x14ac:dyDescent="0.2"/>
    <row r="262" s="152" customFormat="1" x14ac:dyDescent="0.2"/>
    <row r="263" s="152" customFormat="1" x14ac:dyDescent="0.2"/>
    <row r="264" s="152" customFormat="1" x14ac:dyDescent="0.2"/>
    <row r="265" s="152" customFormat="1" x14ac:dyDescent="0.2"/>
    <row r="266" s="152" customFormat="1" x14ac:dyDescent="0.2"/>
    <row r="267" s="152" customFormat="1" x14ac:dyDescent="0.2"/>
    <row r="268" s="152" customFormat="1" x14ac:dyDescent="0.2"/>
    <row r="269" s="152" customFormat="1" x14ac:dyDescent="0.2"/>
    <row r="270" s="152" customFormat="1" x14ac:dyDescent="0.2"/>
    <row r="271" s="152" customFormat="1" x14ac:dyDescent="0.2"/>
    <row r="272" s="152" customFormat="1" x14ac:dyDescent="0.2"/>
    <row r="273" s="152" customFormat="1" x14ac:dyDescent="0.2"/>
    <row r="274" s="152" customFormat="1" x14ac:dyDescent="0.2"/>
    <row r="275" s="152" customFormat="1" x14ac:dyDescent="0.2"/>
    <row r="276" s="152" customFormat="1" x14ac:dyDescent="0.2"/>
    <row r="277" s="152" customFormat="1" x14ac:dyDescent="0.2"/>
    <row r="278" s="152" customFormat="1" x14ac:dyDescent="0.2"/>
    <row r="279" s="152" customFormat="1" x14ac:dyDescent="0.2"/>
    <row r="280" s="152" customFormat="1" x14ac:dyDescent="0.2"/>
    <row r="281" s="152" customFormat="1" x14ac:dyDescent="0.2"/>
    <row r="282" s="152" customFormat="1" x14ac:dyDescent="0.2"/>
    <row r="283" s="152" customFormat="1" x14ac:dyDescent="0.2"/>
    <row r="284" s="152" customFormat="1" x14ac:dyDescent="0.2"/>
  </sheetData>
  <mergeCells count="18">
    <mergeCell ref="B3:I4"/>
    <mergeCell ref="D5:G5"/>
    <mergeCell ref="N24:P24"/>
    <mergeCell ref="N17:O17"/>
    <mergeCell ref="M51:T53"/>
    <mergeCell ref="R17:S17"/>
    <mergeCell ref="P17:Q17"/>
    <mergeCell ref="R24:T24"/>
    <mergeCell ref="C15:H15"/>
    <mergeCell ref="Q39:U39"/>
    <mergeCell ref="Q5:Q6"/>
    <mergeCell ref="U24:U25"/>
    <mergeCell ref="N54:P54"/>
    <mergeCell ref="N39:P39"/>
    <mergeCell ref="H31:H32"/>
    <mergeCell ref="B44:I45"/>
    <mergeCell ref="B41:I42"/>
    <mergeCell ref="G31:G32"/>
  </mergeCells>
  <phoneticPr fontId="14" type="noConversion"/>
  <pageMargins left="0.7" right="0.7" top="0.75" bottom="0.75" header="0.3" footer="0.3"/>
  <pageSetup scale="7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EB85-6E56-874A-B63E-7C51F816FBAA}">
  <sheetPr>
    <pageSetUpPr fitToPage="1"/>
  </sheetPr>
  <dimension ref="A1:T284"/>
  <sheetViews>
    <sheetView zoomScaleNormal="100" workbookViewId="0"/>
  </sheetViews>
  <sheetFormatPr baseColWidth="10" defaultColWidth="10.83203125" defaultRowHeight="16" outlineLevelCol="1" x14ac:dyDescent="0.2"/>
  <cols>
    <col min="1" max="1" width="4.6640625" style="29" customWidth="1"/>
    <col min="2" max="10" width="10.83203125" style="29" customWidth="1"/>
    <col min="11" max="11" width="10.83203125" style="29"/>
    <col min="12" max="19" width="10.83203125" style="29" hidden="1" customWidth="1" outlineLevel="1"/>
    <col min="20" max="20" width="10.83203125" style="29" customWidth="1" collapsed="1"/>
    <col min="21" max="16384" width="10.83203125" style="29"/>
  </cols>
  <sheetData>
    <row r="1" spans="1:19" ht="19" x14ac:dyDescent="0.25">
      <c r="A1" s="1" t="s">
        <v>279</v>
      </c>
      <c r="B1" s="3"/>
      <c r="C1" s="26"/>
      <c r="D1" s="26"/>
      <c r="E1" s="26"/>
      <c r="F1" s="27"/>
      <c r="G1" s="27"/>
      <c r="H1" s="27"/>
      <c r="I1" s="27"/>
      <c r="J1" s="28"/>
      <c r="K1" s="2" t="s">
        <v>6</v>
      </c>
      <c r="L1" s="2"/>
    </row>
    <row r="2" spans="1:19" x14ac:dyDescent="0.2">
      <c r="A2" s="30"/>
      <c r="B2" s="27"/>
      <c r="C2" s="27"/>
      <c r="D2" s="27"/>
      <c r="E2" s="27"/>
      <c r="F2" s="27"/>
      <c r="G2" s="27"/>
      <c r="H2" s="27"/>
      <c r="I2" s="27"/>
      <c r="J2" s="28"/>
      <c r="L2" s="25" t="s">
        <v>3</v>
      </c>
      <c r="O2" s="31"/>
    </row>
    <row r="3" spans="1:19" ht="16" customHeight="1" x14ac:dyDescent="0.2">
      <c r="A3" s="27" t="s">
        <v>0</v>
      </c>
      <c r="B3" s="375" t="s">
        <v>264</v>
      </c>
      <c r="C3" s="375"/>
      <c r="D3" s="375"/>
      <c r="E3" s="375"/>
      <c r="F3" s="375"/>
      <c r="G3" s="375"/>
      <c r="H3" s="375"/>
      <c r="I3" s="375"/>
      <c r="J3" s="82"/>
      <c r="M3" s="29" t="s">
        <v>143</v>
      </c>
    </row>
    <row r="4" spans="1:19" ht="16" customHeight="1" x14ac:dyDescent="0.2">
      <c r="A4" s="30"/>
      <c r="B4" s="375"/>
      <c r="C4" s="375"/>
      <c r="D4" s="375"/>
      <c r="E4" s="375"/>
      <c r="F4" s="375"/>
      <c r="G4" s="375"/>
      <c r="H4" s="375"/>
      <c r="I4" s="375"/>
      <c r="J4" s="82"/>
    </row>
    <row r="5" spans="1:19" ht="15" customHeight="1" x14ac:dyDescent="0.2">
      <c r="A5" s="30"/>
      <c r="B5" s="83"/>
      <c r="C5" s="84"/>
      <c r="D5" s="84"/>
      <c r="E5" s="84"/>
      <c r="F5" s="84"/>
      <c r="G5" s="84"/>
      <c r="H5" s="84"/>
      <c r="I5" s="84"/>
      <c r="J5" s="28"/>
      <c r="M5" s="374" t="s">
        <v>144</v>
      </c>
      <c r="N5" s="374"/>
      <c r="O5" s="374"/>
      <c r="P5" s="374"/>
      <c r="Q5" s="374"/>
      <c r="R5" s="374"/>
      <c r="S5" s="374"/>
    </row>
    <row r="6" spans="1:19" ht="16" customHeight="1" x14ac:dyDescent="0.2">
      <c r="A6" s="27" t="s">
        <v>1</v>
      </c>
      <c r="B6" s="375" t="s">
        <v>265</v>
      </c>
      <c r="C6" s="375"/>
      <c r="D6" s="375"/>
      <c r="E6" s="375"/>
      <c r="F6" s="375"/>
      <c r="G6" s="375"/>
      <c r="H6" s="375"/>
      <c r="I6" s="375"/>
      <c r="J6" s="82"/>
      <c r="M6" s="374"/>
      <c r="N6" s="374"/>
      <c r="O6" s="374"/>
      <c r="P6" s="374"/>
      <c r="Q6" s="374"/>
      <c r="R6" s="374"/>
      <c r="S6" s="374"/>
    </row>
    <row r="7" spans="1:19" x14ac:dyDescent="0.2">
      <c r="A7" s="30"/>
      <c r="B7" s="375"/>
      <c r="C7" s="375"/>
      <c r="D7" s="375"/>
      <c r="E7" s="375"/>
      <c r="F7" s="375"/>
      <c r="G7" s="375"/>
      <c r="H7" s="375"/>
      <c r="I7" s="375"/>
      <c r="J7" s="82"/>
      <c r="M7" s="374"/>
      <c r="N7" s="374"/>
      <c r="O7" s="374"/>
      <c r="P7" s="374"/>
      <c r="Q7" s="374"/>
      <c r="R7" s="374"/>
      <c r="S7" s="374"/>
    </row>
    <row r="8" spans="1:19" ht="16" customHeight="1" x14ac:dyDescent="0.2">
      <c r="A8" s="30"/>
      <c r="B8" s="27"/>
      <c r="C8" s="84"/>
      <c r="D8" s="84"/>
      <c r="E8" s="84"/>
      <c r="F8" s="84"/>
      <c r="G8" s="84"/>
      <c r="H8" s="84"/>
      <c r="I8" s="84"/>
      <c r="J8" s="28"/>
      <c r="M8" s="374"/>
      <c r="N8" s="374"/>
      <c r="O8" s="374"/>
      <c r="P8" s="374"/>
      <c r="Q8" s="374"/>
      <c r="R8" s="374"/>
      <c r="S8" s="374"/>
    </row>
    <row r="9" spans="1:19" ht="16" customHeight="1" x14ac:dyDescent="0.2">
      <c r="A9" s="27" t="s">
        <v>2</v>
      </c>
      <c r="B9" s="375" t="s">
        <v>266</v>
      </c>
      <c r="C9" s="375"/>
      <c r="D9" s="375"/>
      <c r="E9" s="375"/>
      <c r="F9" s="375"/>
      <c r="G9" s="375"/>
      <c r="H9" s="375"/>
      <c r="I9" s="375"/>
      <c r="J9" s="82"/>
      <c r="M9" s="33"/>
      <c r="N9" s="33"/>
      <c r="O9" s="33"/>
      <c r="P9" s="33"/>
      <c r="Q9" s="33"/>
      <c r="R9" s="33"/>
      <c r="S9" s="33"/>
    </row>
    <row r="10" spans="1:19" x14ac:dyDescent="0.2">
      <c r="A10" s="30"/>
      <c r="B10" s="375"/>
      <c r="C10" s="375"/>
      <c r="D10" s="375"/>
      <c r="E10" s="375"/>
      <c r="F10" s="375"/>
      <c r="G10" s="375"/>
      <c r="H10" s="375"/>
      <c r="I10" s="375"/>
      <c r="J10" s="82"/>
      <c r="L10" s="25" t="s">
        <v>4</v>
      </c>
    </row>
    <row r="11" spans="1:19" x14ac:dyDescent="0.2">
      <c r="A11" s="30"/>
      <c r="B11" s="84"/>
      <c r="C11" s="84"/>
      <c r="D11" s="84"/>
      <c r="E11" s="84"/>
      <c r="F11" s="84"/>
      <c r="G11" s="84"/>
      <c r="H11" s="84"/>
      <c r="I11" s="84"/>
      <c r="J11" s="28"/>
      <c r="M11" s="374" t="s">
        <v>145</v>
      </c>
      <c r="N11" s="374"/>
      <c r="O11" s="374"/>
      <c r="P11" s="374"/>
      <c r="Q11" s="374"/>
      <c r="R11" s="374"/>
      <c r="S11" s="374"/>
    </row>
    <row r="12" spans="1:19" ht="16" customHeight="1" thickBot="1" x14ac:dyDescent="0.25">
      <c r="A12" s="85"/>
      <c r="B12" s="86"/>
      <c r="C12" s="87"/>
      <c r="D12" s="87"/>
      <c r="E12" s="87"/>
      <c r="F12" s="86"/>
      <c r="G12" s="86"/>
      <c r="H12" s="86"/>
      <c r="I12" s="86"/>
      <c r="J12" s="88"/>
      <c r="M12" s="374"/>
      <c r="N12" s="374"/>
      <c r="O12" s="374"/>
      <c r="P12" s="374"/>
      <c r="Q12" s="374"/>
      <c r="R12" s="374"/>
      <c r="S12" s="374"/>
    </row>
    <row r="13" spans="1:19" ht="17" thickBot="1" x14ac:dyDescent="0.25">
      <c r="A13" s="85" t="s">
        <v>7</v>
      </c>
      <c r="B13" s="86"/>
      <c r="C13" s="87"/>
      <c r="D13" s="87"/>
      <c r="E13" s="87"/>
      <c r="F13" s="86"/>
      <c r="G13" s="86"/>
      <c r="H13" s="86"/>
      <c r="I13" s="86"/>
      <c r="J13" s="88"/>
    </row>
    <row r="14" spans="1:19" x14ac:dyDescent="0.2">
      <c r="M14" s="29" t="s">
        <v>146</v>
      </c>
    </row>
    <row r="15" spans="1:19" x14ac:dyDescent="0.2">
      <c r="M15" s="402" t="s">
        <v>147</v>
      </c>
      <c r="N15" s="402"/>
      <c r="O15" s="402"/>
      <c r="P15" s="402"/>
      <c r="Q15" s="402"/>
      <c r="R15" s="402"/>
      <c r="S15" s="402"/>
    </row>
    <row r="16" spans="1:19" ht="15" customHeight="1" x14ac:dyDescent="0.2">
      <c r="M16" s="402"/>
      <c r="N16" s="402"/>
      <c r="O16" s="402"/>
      <c r="P16" s="402"/>
      <c r="Q16" s="402"/>
      <c r="R16" s="402"/>
      <c r="S16" s="402"/>
    </row>
    <row r="17" spans="12:19" x14ac:dyDescent="0.2">
      <c r="M17" s="402"/>
      <c r="N17" s="402"/>
      <c r="O17" s="402"/>
      <c r="P17" s="402"/>
      <c r="Q17" s="402"/>
      <c r="R17" s="402"/>
      <c r="S17" s="402"/>
    </row>
    <row r="18" spans="12:19" x14ac:dyDescent="0.2">
      <c r="M18" s="402"/>
      <c r="N18" s="402"/>
      <c r="O18" s="402"/>
      <c r="P18" s="402"/>
      <c r="Q18" s="402"/>
      <c r="R18" s="402"/>
      <c r="S18" s="402"/>
    </row>
    <row r="19" spans="12:19" x14ac:dyDescent="0.2">
      <c r="M19" s="402"/>
      <c r="N19" s="402"/>
      <c r="O19" s="402"/>
      <c r="P19" s="402"/>
      <c r="Q19" s="402"/>
      <c r="R19" s="402"/>
      <c r="S19" s="402"/>
    </row>
    <row r="20" spans="12:19" x14ac:dyDescent="0.2">
      <c r="M20" s="33"/>
      <c r="N20" s="33"/>
      <c r="O20" s="33"/>
      <c r="P20" s="33"/>
      <c r="Q20" s="33"/>
      <c r="R20" s="33"/>
      <c r="S20" s="33"/>
    </row>
    <row r="21" spans="12:19" x14ac:dyDescent="0.2">
      <c r="L21" s="25" t="s">
        <v>5</v>
      </c>
    </row>
    <row r="22" spans="12:19" x14ac:dyDescent="0.2">
      <c r="M22" s="374" t="s">
        <v>267</v>
      </c>
      <c r="N22" s="374"/>
      <c r="O22" s="374"/>
      <c r="P22" s="374"/>
      <c r="Q22" s="374"/>
      <c r="R22" s="374"/>
      <c r="S22" s="374"/>
    </row>
    <row r="23" spans="12:19" ht="16" customHeight="1" x14ac:dyDescent="0.2">
      <c r="M23" s="374"/>
      <c r="N23" s="374"/>
      <c r="O23" s="374"/>
      <c r="P23" s="374"/>
      <c r="Q23" s="374"/>
      <c r="R23" s="374"/>
      <c r="S23" s="374"/>
    </row>
    <row r="24" spans="12:19" x14ac:dyDescent="0.2">
      <c r="M24" s="374"/>
      <c r="N24" s="374"/>
      <c r="O24" s="374"/>
      <c r="P24" s="374"/>
      <c r="Q24" s="374"/>
      <c r="R24" s="374"/>
      <c r="S24" s="374"/>
    </row>
    <row r="25" spans="12:19" x14ac:dyDescent="0.2">
      <c r="M25" s="374"/>
      <c r="N25" s="374"/>
      <c r="O25" s="374"/>
      <c r="P25" s="374"/>
      <c r="Q25" s="374"/>
      <c r="R25" s="374"/>
      <c r="S25" s="374"/>
    </row>
    <row r="26" spans="12:19" x14ac:dyDescent="0.2">
      <c r="M26" s="374"/>
      <c r="N26" s="374"/>
      <c r="O26" s="374"/>
      <c r="P26" s="374"/>
      <c r="Q26" s="374"/>
      <c r="R26" s="374"/>
      <c r="S26" s="374"/>
    </row>
    <row r="27" spans="12:19" x14ac:dyDescent="0.2">
      <c r="M27" s="374"/>
      <c r="N27" s="374"/>
      <c r="O27" s="374"/>
      <c r="P27" s="374"/>
      <c r="Q27" s="374"/>
      <c r="R27" s="374"/>
      <c r="S27" s="374"/>
    </row>
    <row r="28" spans="12:19" x14ac:dyDescent="0.2">
      <c r="M28" s="374"/>
      <c r="N28" s="374"/>
      <c r="O28" s="374"/>
      <c r="P28" s="374"/>
      <c r="Q28" s="374"/>
      <c r="R28" s="374"/>
      <c r="S28" s="374"/>
    </row>
    <row r="29" spans="12:19" x14ac:dyDescent="0.2">
      <c r="M29" s="374"/>
      <c r="N29" s="374"/>
      <c r="O29" s="374"/>
      <c r="P29" s="374"/>
      <c r="Q29" s="374"/>
      <c r="R29" s="374"/>
      <c r="S29" s="374"/>
    </row>
    <row r="30" spans="12:19" x14ac:dyDescent="0.2">
      <c r="M30" s="33"/>
      <c r="N30" s="33"/>
      <c r="O30" s="33"/>
      <c r="P30" s="33"/>
      <c r="Q30" s="33"/>
      <c r="R30" s="33"/>
      <c r="S30" s="33"/>
    </row>
    <row r="31" spans="12:19" ht="19" x14ac:dyDescent="0.25">
      <c r="L31" s="2" t="s">
        <v>8</v>
      </c>
    </row>
    <row r="32" spans="12:19" ht="16" customHeight="1" x14ac:dyDescent="0.2">
      <c r="L32" s="373" t="s">
        <v>148</v>
      </c>
      <c r="M32" s="373"/>
      <c r="N32" s="373"/>
      <c r="O32" s="373"/>
      <c r="P32" s="373"/>
      <c r="Q32" s="373"/>
      <c r="R32" s="373"/>
      <c r="S32" s="373"/>
    </row>
    <row r="33" spans="12:19" x14ac:dyDescent="0.2">
      <c r="L33" s="373"/>
      <c r="M33" s="373"/>
      <c r="N33" s="373"/>
      <c r="O33" s="373"/>
      <c r="P33" s="373"/>
      <c r="Q33" s="373"/>
      <c r="R33" s="373"/>
      <c r="S33" s="373"/>
    </row>
    <row r="34" spans="12:19" s="167" customFormat="1" x14ac:dyDescent="0.2"/>
    <row r="35" spans="12:19" s="167" customFormat="1" ht="19" x14ac:dyDescent="0.25">
      <c r="L35" s="2" t="s">
        <v>19</v>
      </c>
    </row>
    <row r="36" spans="12:19" s="167" customFormat="1" x14ac:dyDescent="0.2">
      <c r="L36" s="167" t="s">
        <v>149</v>
      </c>
    </row>
    <row r="37" spans="12:19" s="167" customFormat="1" x14ac:dyDescent="0.2"/>
    <row r="38" spans="12:19" s="167" customFormat="1" x14ac:dyDescent="0.2"/>
    <row r="39" spans="12:19" s="167" customFormat="1" x14ac:dyDescent="0.2"/>
    <row r="40" spans="12:19" s="167" customFormat="1" x14ac:dyDescent="0.2"/>
    <row r="41" spans="12:19" s="167" customFormat="1" x14ac:dyDescent="0.2"/>
    <row r="42" spans="12:19" s="167" customFormat="1" x14ac:dyDescent="0.2"/>
    <row r="43" spans="12:19" s="167" customFormat="1" x14ac:dyDescent="0.2"/>
    <row r="44" spans="12:19" s="167" customFormat="1" x14ac:dyDescent="0.2"/>
    <row r="45" spans="12:19" s="167" customFormat="1" x14ac:dyDescent="0.2"/>
    <row r="46" spans="12:19" s="167" customFormat="1" x14ac:dyDescent="0.2"/>
    <row r="47" spans="12:19" s="167" customFormat="1" x14ac:dyDescent="0.2"/>
    <row r="48" spans="12:19" s="167" customFormat="1" x14ac:dyDescent="0.2"/>
    <row r="49" s="167" customFormat="1" x14ac:dyDescent="0.2"/>
    <row r="50" s="167" customFormat="1" x14ac:dyDescent="0.2"/>
    <row r="51" s="167" customFormat="1" x14ac:dyDescent="0.2"/>
    <row r="52" s="167" customFormat="1" x14ac:dyDescent="0.2"/>
    <row r="53" s="167" customFormat="1" x14ac:dyDescent="0.2"/>
    <row r="54" s="167" customFormat="1" x14ac:dyDescent="0.2"/>
    <row r="55" s="167" customFormat="1" x14ac:dyDescent="0.2"/>
    <row r="56" s="167" customFormat="1" x14ac:dyDescent="0.2"/>
    <row r="57" s="167" customFormat="1" x14ac:dyDescent="0.2"/>
    <row r="58" s="167" customFormat="1" x14ac:dyDescent="0.2"/>
    <row r="59" s="167" customFormat="1" x14ac:dyDescent="0.2"/>
    <row r="60" s="167" customFormat="1" x14ac:dyDescent="0.2"/>
    <row r="61" s="167" customFormat="1" x14ac:dyDescent="0.2"/>
    <row r="62" s="167" customFormat="1" x14ac:dyDescent="0.2"/>
    <row r="63" s="167" customFormat="1" x14ac:dyDescent="0.2"/>
    <row r="64" s="167" customFormat="1" x14ac:dyDescent="0.2"/>
    <row r="65" spans="14:14" s="167" customFormat="1" x14ac:dyDescent="0.2">
      <c r="N65" s="168"/>
    </row>
    <row r="66" spans="14:14" s="167" customFormat="1" x14ac:dyDescent="0.2"/>
    <row r="67" spans="14:14" s="167" customFormat="1" x14ac:dyDescent="0.2"/>
    <row r="68" spans="14:14" s="167" customFormat="1" x14ac:dyDescent="0.2"/>
    <row r="69" spans="14:14" s="167" customFormat="1" x14ac:dyDescent="0.2"/>
    <row r="70" spans="14:14" s="167" customFormat="1" x14ac:dyDescent="0.2"/>
    <row r="71" spans="14:14" s="167" customFormat="1" x14ac:dyDescent="0.2"/>
    <row r="72" spans="14:14" s="167" customFormat="1" x14ac:dyDescent="0.2"/>
    <row r="73" spans="14:14" s="167" customFormat="1" x14ac:dyDescent="0.2"/>
    <row r="74" spans="14:14" s="167" customFormat="1" x14ac:dyDescent="0.2"/>
    <row r="75" spans="14:14" s="167" customFormat="1" x14ac:dyDescent="0.2">
      <c r="N75" s="168"/>
    </row>
    <row r="76" spans="14:14" s="167" customFormat="1" x14ac:dyDescent="0.2"/>
    <row r="77" spans="14:14" s="167" customFormat="1" x14ac:dyDescent="0.2"/>
    <row r="78" spans="14:14" s="167" customFormat="1" x14ac:dyDescent="0.2"/>
    <row r="79" spans="14:14" s="167" customFormat="1" x14ac:dyDescent="0.2"/>
    <row r="80" spans="14:14" s="167" customFormat="1" x14ac:dyDescent="0.2"/>
    <row r="81" spans="14:14" s="167" customFormat="1" x14ac:dyDescent="0.2"/>
    <row r="82" spans="14:14" s="167" customFormat="1" x14ac:dyDescent="0.2"/>
    <row r="83" spans="14:14" s="167" customFormat="1" x14ac:dyDescent="0.2"/>
    <row r="84" spans="14:14" s="167" customFormat="1" x14ac:dyDescent="0.2"/>
    <row r="85" spans="14:14" s="167" customFormat="1" x14ac:dyDescent="0.2">
      <c r="N85" s="168"/>
    </row>
    <row r="86" spans="14:14" s="167" customFormat="1" x14ac:dyDescent="0.2"/>
    <row r="87" spans="14:14" s="167" customFormat="1" x14ac:dyDescent="0.2"/>
    <row r="88" spans="14:14" s="167" customFormat="1" x14ac:dyDescent="0.2"/>
    <row r="89" spans="14:14" s="167" customFormat="1" x14ac:dyDescent="0.2"/>
    <row r="90" spans="14:14" s="167" customFormat="1" x14ac:dyDescent="0.2"/>
    <row r="91" spans="14:14" s="167" customFormat="1" x14ac:dyDescent="0.2"/>
    <row r="92" spans="14:14" s="167" customFormat="1" x14ac:dyDescent="0.2"/>
    <row r="93" spans="14:14" s="167" customFormat="1" x14ac:dyDescent="0.2"/>
    <row r="94" spans="14:14" s="167" customFormat="1" x14ac:dyDescent="0.2"/>
    <row r="95" spans="14:14" s="167" customFormat="1" x14ac:dyDescent="0.2"/>
    <row r="96" spans="14:14" s="167" customFormat="1" x14ac:dyDescent="0.2"/>
    <row r="97" s="167" customFormat="1" x14ac:dyDescent="0.2"/>
    <row r="98" s="167" customFormat="1" x14ac:dyDescent="0.2"/>
    <row r="99" s="167" customFormat="1" x14ac:dyDescent="0.2"/>
    <row r="100" s="167" customFormat="1" x14ac:dyDescent="0.2"/>
    <row r="101" s="167" customFormat="1" x14ac:dyDescent="0.2"/>
    <row r="102" s="167" customFormat="1" x14ac:dyDescent="0.2"/>
    <row r="103" s="167" customFormat="1" x14ac:dyDescent="0.2"/>
    <row r="104" s="167" customFormat="1" x14ac:dyDescent="0.2"/>
    <row r="105" s="167" customFormat="1" x14ac:dyDescent="0.2"/>
    <row r="106" s="167" customFormat="1" x14ac:dyDescent="0.2"/>
    <row r="107" s="167" customFormat="1" x14ac:dyDescent="0.2"/>
    <row r="108" s="167" customFormat="1" x14ac:dyDescent="0.2"/>
    <row r="109" s="167" customFormat="1" x14ac:dyDescent="0.2"/>
    <row r="110" s="167" customFormat="1" x14ac:dyDescent="0.2"/>
    <row r="111" s="167" customFormat="1" x14ac:dyDescent="0.2"/>
    <row r="112" s="167" customFormat="1" x14ac:dyDescent="0.2"/>
    <row r="113" s="167" customFormat="1" x14ac:dyDescent="0.2"/>
    <row r="114" s="167" customFormat="1" x14ac:dyDescent="0.2"/>
    <row r="115" s="167" customFormat="1" x14ac:dyDescent="0.2"/>
    <row r="116" s="167" customFormat="1" x14ac:dyDescent="0.2"/>
    <row r="117" s="167" customFormat="1" x14ac:dyDescent="0.2"/>
    <row r="118" s="167" customFormat="1" x14ac:dyDescent="0.2"/>
    <row r="119" s="167" customFormat="1" x14ac:dyDescent="0.2"/>
    <row r="120" s="167" customFormat="1" x14ac:dyDescent="0.2"/>
    <row r="121" s="167" customFormat="1" x14ac:dyDescent="0.2"/>
    <row r="122" s="167" customFormat="1" x14ac:dyDescent="0.2"/>
    <row r="123" s="167" customFormat="1" x14ac:dyDescent="0.2"/>
    <row r="124" s="167" customFormat="1" x14ac:dyDescent="0.2"/>
    <row r="125" s="167" customFormat="1" x14ac:dyDescent="0.2"/>
    <row r="126" s="167" customFormat="1" x14ac:dyDescent="0.2"/>
    <row r="127" s="167" customFormat="1" x14ac:dyDescent="0.2"/>
    <row r="128" s="167" customFormat="1" x14ac:dyDescent="0.2"/>
    <row r="129" s="167" customFormat="1" x14ac:dyDescent="0.2"/>
    <row r="130" s="167" customFormat="1" x14ac:dyDescent="0.2"/>
    <row r="131" s="167" customFormat="1" x14ac:dyDescent="0.2"/>
    <row r="132" s="167" customFormat="1" x14ac:dyDescent="0.2"/>
    <row r="133" s="167" customFormat="1" x14ac:dyDescent="0.2"/>
    <row r="134" s="167" customFormat="1" x14ac:dyDescent="0.2"/>
    <row r="135" s="167" customFormat="1" x14ac:dyDescent="0.2"/>
    <row r="136" s="167" customFormat="1" x14ac:dyDescent="0.2"/>
    <row r="137" s="167" customFormat="1" x14ac:dyDescent="0.2"/>
    <row r="138" s="167" customFormat="1" x14ac:dyDescent="0.2"/>
    <row r="139" s="167" customFormat="1" x14ac:dyDescent="0.2"/>
    <row r="140" s="167" customFormat="1" x14ac:dyDescent="0.2"/>
    <row r="141" s="167" customFormat="1" x14ac:dyDescent="0.2"/>
    <row r="142" s="167" customFormat="1" x14ac:dyDescent="0.2"/>
    <row r="143" s="167" customFormat="1" x14ac:dyDescent="0.2"/>
    <row r="144" s="167" customFormat="1" x14ac:dyDescent="0.2"/>
    <row r="145" s="167" customFormat="1" x14ac:dyDescent="0.2"/>
    <row r="146" s="167" customFormat="1" x14ac:dyDescent="0.2"/>
    <row r="147" s="167" customFormat="1" x14ac:dyDescent="0.2"/>
    <row r="148" s="167" customFormat="1" x14ac:dyDescent="0.2"/>
    <row r="149" s="167" customFormat="1" x14ac:dyDescent="0.2"/>
    <row r="150" s="167" customFormat="1" x14ac:dyDescent="0.2"/>
    <row r="151" s="167" customFormat="1" x14ac:dyDescent="0.2"/>
    <row r="152" s="167" customFormat="1" x14ac:dyDescent="0.2"/>
    <row r="153" s="167" customFormat="1" x14ac:dyDescent="0.2"/>
    <row r="154" s="167" customFormat="1" x14ac:dyDescent="0.2"/>
    <row r="155" s="167" customFormat="1" x14ac:dyDescent="0.2"/>
    <row r="156" s="167" customFormat="1" x14ac:dyDescent="0.2"/>
    <row r="157" s="167" customFormat="1" x14ac:dyDescent="0.2"/>
    <row r="158" s="167" customFormat="1" x14ac:dyDescent="0.2"/>
    <row r="159" s="167" customFormat="1" x14ac:dyDescent="0.2"/>
    <row r="160" s="167" customFormat="1" x14ac:dyDescent="0.2"/>
    <row r="161" s="167" customFormat="1" x14ac:dyDescent="0.2"/>
    <row r="162" s="167" customFormat="1" x14ac:dyDescent="0.2"/>
    <row r="163" s="167" customFormat="1" x14ac:dyDescent="0.2"/>
    <row r="164" s="167" customFormat="1" x14ac:dyDescent="0.2"/>
    <row r="165" s="167" customFormat="1" x14ac:dyDescent="0.2"/>
    <row r="166" s="167" customFormat="1" x14ac:dyDescent="0.2"/>
    <row r="167" s="167" customFormat="1" x14ac:dyDescent="0.2"/>
    <row r="168" s="167" customFormat="1" x14ac:dyDescent="0.2"/>
    <row r="169" s="167" customFormat="1" x14ac:dyDescent="0.2"/>
    <row r="170" s="167" customFormat="1" x14ac:dyDescent="0.2"/>
    <row r="171" s="167" customFormat="1" x14ac:dyDescent="0.2"/>
    <row r="172" s="167" customFormat="1" x14ac:dyDescent="0.2"/>
    <row r="173" s="167" customFormat="1" x14ac:dyDescent="0.2"/>
    <row r="174" s="167" customFormat="1" x14ac:dyDescent="0.2"/>
    <row r="175" s="167" customFormat="1" x14ac:dyDescent="0.2"/>
    <row r="176" s="167" customFormat="1" x14ac:dyDescent="0.2"/>
    <row r="177" s="167" customFormat="1" x14ac:dyDescent="0.2"/>
    <row r="178" s="167" customFormat="1" x14ac:dyDescent="0.2"/>
    <row r="179" s="167" customFormat="1" x14ac:dyDescent="0.2"/>
    <row r="180" s="167" customFormat="1" x14ac:dyDescent="0.2"/>
    <row r="181" s="167" customFormat="1" x14ac:dyDescent="0.2"/>
    <row r="182" s="167" customFormat="1" x14ac:dyDescent="0.2"/>
    <row r="183" s="167" customFormat="1" x14ac:dyDescent="0.2"/>
    <row r="184" s="167" customFormat="1" x14ac:dyDescent="0.2"/>
    <row r="185" s="167" customFormat="1" x14ac:dyDescent="0.2"/>
    <row r="186" s="167" customFormat="1" x14ac:dyDescent="0.2"/>
    <row r="187" s="167" customFormat="1" x14ac:dyDescent="0.2"/>
    <row r="188" s="167" customFormat="1" x14ac:dyDescent="0.2"/>
    <row r="189" s="167" customFormat="1" x14ac:dyDescent="0.2"/>
    <row r="190" s="167" customFormat="1" x14ac:dyDescent="0.2"/>
    <row r="191" s="167" customFormat="1" x14ac:dyDescent="0.2"/>
    <row r="192" s="167" customFormat="1" x14ac:dyDescent="0.2"/>
    <row r="193" s="167" customFormat="1" x14ac:dyDescent="0.2"/>
    <row r="194" s="167" customFormat="1" x14ac:dyDescent="0.2"/>
    <row r="195" s="167" customFormat="1" x14ac:dyDescent="0.2"/>
    <row r="196" s="167" customFormat="1" x14ac:dyDescent="0.2"/>
    <row r="197" s="167" customFormat="1" x14ac:dyDescent="0.2"/>
    <row r="198" s="167" customFormat="1" x14ac:dyDescent="0.2"/>
    <row r="199" s="167" customFormat="1" x14ac:dyDescent="0.2"/>
    <row r="200" s="167" customFormat="1" x14ac:dyDescent="0.2"/>
    <row r="201" s="167" customFormat="1" x14ac:dyDescent="0.2"/>
    <row r="202" s="167" customFormat="1" x14ac:dyDescent="0.2"/>
    <row r="203" s="167" customFormat="1" x14ac:dyDescent="0.2"/>
    <row r="204" s="167" customFormat="1" x14ac:dyDescent="0.2"/>
    <row r="205" s="167" customFormat="1" x14ac:dyDescent="0.2"/>
    <row r="206" s="167" customFormat="1" x14ac:dyDescent="0.2"/>
    <row r="207" s="167" customFormat="1" x14ac:dyDescent="0.2"/>
    <row r="208" s="167" customFormat="1" x14ac:dyDescent="0.2"/>
    <row r="209" s="167" customFormat="1" x14ac:dyDescent="0.2"/>
    <row r="210" s="167" customFormat="1" x14ac:dyDescent="0.2"/>
    <row r="211" s="167" customFormat="1" x14ac:dyDescent="0.2"/>
    <row r="212" s="167" customFormat="1" x14ac:dyDescent="0.2"/>
    <row r="213" s="167" customFormat="1" x14ac:dyDescent="0.2"/>
    <row r="214" s="167" customFormat="1" x14ac:dyDescent="0.2"/>
    <row r="215" s="167" customFormat="1" x14ac:dyDescent="0.2"/>
    <row r="216" s="167" customFormat="1" x14ac:dyDescent="0.2"/>
    <row r="217" s="167" customFormat="1" x14ac:dyDescent="0.2"/>
    <row r="218" s="167" customFormat="1" x14ac:dyDescent="0.2"/>
    <row r="219" s="167" customFormat="1" x14ac:dyDescent="0.2"/>
    <row r="220" s="167" customFormat="1" x14ac:dyDescent="0.2"/>
    <row r="221" s="167" customFormat="1" x14ac:dyDescent="0.2"/>
    <row r="222" s="167" customFormat="1" x14ac:dyDescent="0.2"/>
    <row r="223" s="167" customFormat="1" x14ac:dyDescent="0.2"/>
    <row r="224" s="167" customFormat="1" x14ac:dyDescent="0.2"/>
    <row r="225" s="167" customFormat="1" x14ac:dyDescent="0.2"/>
    <row r="226" s="167" customFormat="1" x14ac:dyDescent="0.2"/>
    <row r="227" s="167" customFormat="1" x14ac:dyDescent="0.2"/>
    <row r="228" s="167" customFormat="1" x14ac:dyDescent="0.2"/>
    <row r="229" s="167" customFormat="1" x14ac:dyDescent="0.2"/>
    <row r="230" s="167" customFormat="1" x14ac:dyDescent="0.2"/>
    <row r="231" s="167" customFormat="1" x14ac:dyDescent="0.2"/>
    <row r="232" s="167" customFormat="1" x14ac:dyDescent="0.2"/>
    <row r="233" s="167" customFormat="1" x14ac:dyDescent="0.2"/>
    <row r="234" s="167" customFormat="1" x14ac:dyDescent="0.2"/>
    <row r="235" s="167" customFormat="1" x14ac:dyDescent="0.2"/>
    <row r="236" s="167" customFormat="1" x14ac:dyDescent="0.2"/>
    <row r="237" s="167" customFormat="1" x14ac:dyDescent="0.2"/>
    <row r="238" s="167" customFormat="1" x14ac:dyDescent="0.2"/>
    <row r="239" s="167" customFormat="1" x14ac:dyDescent="0.2"/>
    <row r="240" s="167" customFormat="1" x14ac:dyDescent="0.2"/>
    <row r="241" s="167" customFormat="1" x14ac:dyDescent="0.2"/>
    <row r="242" s="167" customFormat="1" x14ac:dyDescent="0.2"/>
    <row r="243" s="167" customFormat="1" x14ac:dyDescent="0.2"/>
    <row r="244" s="167" customFormat="1" x14ac:dyDescent="0.2"/>
    <row r="245" s="167" customFormat="1" x14ac:dyDescent="0.2"/>
    <row r="246" s="167" customFormat="1" x14ac:dyDescent="0.2"/>
    <row r="247" s="167" customFormat="1" x14ac:dyDescent="0.2"/>
    <row r="248" s="167" customFormat="1" x14ac:dyDescent="0.2"/>
    <row r="249" s="167" customFormat="1" x14ac:dyDescent="0.2"/>
    <row r="250" s="167" customFormat="1" x14ac:dyDescent="0.2"/>
    <row r="251" s="167" customFormat="1" x14ac:dyDescent="0.2"/>
    <row r="252" s="167" customFormat="1" x14ac:dyDescent="0.2"/>
    <row r="253" s="167" customFormat="1" x14ac:dyDescent="0.2"/>
    <row r="254" s="167" customFormat="1" x14ac:dyDescent="0.2"/>
    <row r="255" s="167" customFormat="1" x14ac:dyDescent="0.2"/>
    <row r="256" s="167" customFormat="1" x14ac:dyDescent="0.2"/>
    <row r="257" s="167" customFormat="1" x14ac:dyDescent="0.2"/>
    <row r="258" s="167" customFormat="1" x14ac:dyDescent="0.2"/>
    <row r="259" s="167" customFormat="1" x14ac:dyDescent="0.2"/>
    <row r="260" s="167" customFormat="1" x14ac:dyDescent="0.2"/>
    <row r="261" s="167" customFormat="1" x14ac:dyDescent="0.2"/>
    <row r="262" s="167" customFormat="1" x14ac:dyDescent="0.2"/>
    <row r="263" s="167" customFormat="1" x14ac:dyDescent="0.2"/>
    <row r="264" s="167" customFormat="1" x14ac:dyDescent="0.2"/>
    <row r="265" s="167" customFormat="1" x14ac:dyDescent="0.2"/>
    <row r="266" s="167" customFormat="1" x14ac:dyDescent="0.2"/>
    <row r="267" s="167" customFormat="1" x14ac:dyDescent="0.2"/>
    <row r="268" s="167" customFormat="1" x14ac:dyDescent="0.2"/>
    <row r="269" s="167" customFormat="1" x14ac:dyDescent="0.2"/>
    <row r="270" s="167" customFormat="1" x14ac:dyDescent="0.2"/>
    <row r="271" s="167" customFormat="1" x14ac:dyDescent="0.2"/>
    <row r="272" s="167" customFormat="1" x14ac:dyDescent="0.2"/>
    <row r="273" s="167" customFormat="1" x14ac:dyDescent="0.2"/>
    <row r="274" s="167" customFormat="1" x14ac:dyDescent="0.2"/>
    <row r="275" s="167" customFormat="1" x14ac:dyDescent="0.2"/>
    <row r="276" s="167" customFormat="1" x14ac:dyDescent="0.2"/>
    <row r="277" s="167" customFormat="1" x14ac:dyDescent="0.2"/>
    <row r="278" s="167" customFormat="1" x14ac:dyDescent="0.2"/>
    <row r="279" s="167" customFormat="1" x14ac:dyDescent="0.2"/>
    <row r="280" s="167" customFormat="1" x14ac:dyDescent="0.2"/>
    <row r="281" s="167" customFormat="1" x14ac:dyDescent="0.2"/>
    <row r="282" s="167" customFormat="1" x14ac:dyDescent="0.2"/>
    <row r="283" s="167" customFormat="1" x14ac:dyDescent="0.2"/>
    <row r="284" s="167" customFormat="1" x14ac:dyDescent="0.2"/>
  </sheetData>
  <mergeCells count="8">
    <mergeCell ref="L32:S33"/>
    <mergeCell ref="B9:I10"/>
    <mergeCell ref="B6:I7"/>
    <mergeCell ref="B3:I4"/>
    <mergeCell ref="M15:S19"/>
    <mergeCell ref="M5:S8"/>
    <mergeCell ref="M11:S12"/>
    <mergeCell ref="M22:S29"/>
  </mergeCells>
  <pageMargins left="0.7" right="0.7" top="0.75" bottom="0.75" header="0.3" footer="0.3"/>
  <pageSetup scale="75" orientation="portrait" horizontalDpi="0" verticalDpi="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19D7-51A0-1B46-8734-1E416510CD58}">
  <sheetPr>
    <pageSetUpPr fitToPage="1"/>
  </sheetPr>
  <dimension ref="A1:W284"/>
  <sheetViews>
    <sheetView zoomScaleNormal="100" workbookViewId="0">
      <selection activeCell="B2" sqref="B2"/>
    </sheetView>
  </sheetViews>
  <sheetFormatPr baseColWidth="10" defaultColWidth="10.83203125" defaultRowHeight="16" outlineLevelCol="1" x14ac:dyDescent="0.2"/>
  <cols>
    <col min="1" max="1" width="4.6640625" style="37" customWidth="1"/>
    <col min="2" max="2" width="14.6640625" style="37" customWidth="1"/>
    <col min="3" max="10" width="10.83203125" style="37" customWidth="1"/>
    <col min="11" max="11" width="10.83203125" style="37"/>
    <col min="12" max="22" width="10.83203125" style="37" hidden="1" customWidth="1" outlineLevel="1"/>
    <col min="23" max="23" width="10.83203125" style="37" collapsed="1"/>
    <col min="24" max="16384" width="10.83203125" style="37"/>
  </cols>
  <sheetData>
    <row r="1" spans="1:22" ht="19" x14ac:dyDescent="0.25">
      <c r="A1" s="1" t="s">
        <v>280</v>
      </c>
      <c r="B1" s="3"/>
      <c r="C1" s="26"/>
      <c r="D1" s="26"/>
      <c r="E1" s="26"/>
      <c r="F1" s="57"/>
      <c r="G1" s="57"/>
      <c r="H1" s="57"/>
      <c r="I1" s="57"/>
      <c r="J1" s="58"/>
      <c r="K1" s="5" t="s">
        <v>6</v>
      </c>
      <c r="L1" s="12"/>
    </row>
    <row r="2" spans="1:22" x14ac:dyDescent="0.2">
      <c r="A2" s="38"/>
      <c r="B2" s="35"/>
      <c r="C2" s="35"/>
      <c r="D2" s="35"/>
      <c r="E2" s="35"/>
      <c r="F2" s="35"/>
      <c r="G2" s="35"/>
      <c r="H2" s="35"/>
      <c r="I2" s="35"/>
      <c r="J2" s="36"/>
      <c r="L2" s="12" t="s">
        <v>3</v>
      </c>
      <c r="O2" s="39"/>
    </row>
    <row r="3" spans="1:22" x14ac:dyDescent="0.2">
      <c r="A3" s="38"/>
      <c r="B3" s="403" t="s">
        <v>732</v>
      </c>
      <c r="C3" s="403"/>
      <c r="D3" s="403"/>
      <c r="E3" s="403"/>
      <c r="F3" s="403"/>
      <c r="G3" s="403"/>
      <c r="H3" s="403"/>
      <c r="I3" s="403"/>
      <c r="J3" s="36"/>
      <c r="M3" s="404" t="s">
        <v>740</v>
      </c>
      <c r="N3" s="372"/>
      <c r="O3" s="372"/>
      <c r="P3" s="372"/>
      <c r="Q3" s="372"/>
      <c r="R3" s="372"/>
      <c r="S3" s="372"/>
      <c r="T3" s="372"/>
      <c r="U3" s="372"/>
    </row>
    <row r="4" spans="1:22" x14ac:dyDescent="0.2">
      <c r="A4" s="38"/>
      <c r="B4" s="403"/>
      <c r="C4" s="403"/>
      <c r="D4" s="403"/>
      <c r="E4" s="403"/>
      <c r="F4" s="403"/>
      <c r="G4" s="403"/>
      <c r="H4" s="403"/>
      <c r="I4" s="403"/>
      <c r="J4" s="36"/>
      <c r="M4" s="372"/>
      <c r="N4" s="372"/>
      <c r="O4" s="372"/>
      <c r="P4" s="372"/>
      <c r="Q4" s="372"/>
      <c r="R4" s="372"/>
      <c r="S4" s="372"/>
      <c r="T4" s="372"/>
      <c r="U4" s="372"/>
    </row>
    <row r="5" spans="1:22" ht="16" customHeight="1" x14ac:dyDescent="0.2">
      <c r="A5" s="38"/>
      <c r="B5" s="40"/>
      <c r="C5" s="40"/>
      <c r="D5" s="40"/>
      <c r="E5" s="40"/>
      <c r="F5" s="40"/>
      <c r="G5" s="40"/>
      <c r="H5" s="40"/>
      <c r="I5" s="40"/>
      <c r="J5" s="36"/>
      <c r="M5" s="32"/>
      <c r="N5" s="32"/>
      <c r="O5" s="32"/>
      <c r="P5" s="32"/>
      <c r="Q5" s="32"/>
      <c r="R5" s="32"/>
      <c r="S5" s="32"/>
      <c r="T5" s="32"/>
      <c r="U5" s="393" t="s">
        <v>232</v>
      </c>
      <c r="V5" s="393"/>
    </row>
    <row r="6" spans="1:22" x14ac:dyDescent="0.2">
      <c r="A6" s="38"/>
      <c r="B6" s="35"/>
      <c r="C6" s="35"/>
      <c r="D6" s="35"/>
      <c r="E6" s="35"/>
      <c r="F6" s="35"/>
      <c r="G6" s="35"/>
      <c r="H6" s="35"/>
      <c r="I6" s="35"/>
      <c r="J6" s="36"/>
      <c r="P6" s="387" t="s">
        <v>738</v>
      </c>
      <c r="Q6" s="387"/>
      <c r="R6" s="387"/>
      <c r="S6" s="387" t="s">
        <v>739</v>
      </c>
      <c r="T6" s="387"/>
      <c r="U6" s="393"/>
      <c r="V6" s="393"/>
    </row>
    <row r="7" spans="1:22" ht="32" customHeight="1" x14ac:dyDescent="0.2">
      <c r="A7" s="38"/>
      <c r="B7" s="35"/>
      <c r="C7" s="53" t="s">
        <v>63</v>
      </c>
      <c r="D7" s="54" t="s">
        <v>225</v>
      </c>
      <c r="E7" s="54" t="s">
        <v>226</v>
      </c>
      <c r="F7" s="35"/>
      <c r="G7" s="35"/>
      <c r="H7" s="35"/>
      <c r="I7" s="35"/>
      <c r="J7" s="36"/>
      <c r="M7" s="59" t="s">
        <v>63</v>
      </c>
      <c r="N7" s="60" t="s">
        <v>225</v>
      </c>
      <c r="O7" s="59" t="s">
        <v>226</v>
      </c>
      <c r="P7" s="60" t="s">
        <v>219</v>
      </c>
      <c r="Q7" s="60" t="s">
        <v>220</v>
      </c>
      <c r="R7" s="59" t="s">
        <v>231</v>
      </c>
      <c r="S7" s="60" t="s">
        <v>219</v>
      </c>
      <c r="T7" s="59" t="s">
        <v>220</v>
      </c>
      <c r="U7" s="60" t="s">
        <v>219</v>
      </c>
      <c r="V7" s="60" t="s">
        <v>220</v>
      </c>
    </row>
    <row r="8" spans="1:22" x14ac:dyDescent="0.2">
      <c r="A8" s="38"/>
      <c r="B8" s="35"/>
      <c r="C8" s="61">
        <v>2016</v>
      </c>
      <c r="D8" s="62">
        <v>34018</v>
      </c>
      <c r="E8" s="63">
        <v>33848</v>
      </c>
      <c r="F8" s="23"/>
      <c r="G8" s="23"/>
      <c r="H8" s="35"/>
      <c r="I8" s="35"/>
      <c r="J8" s="36"/>
      <c r="M8" s="64">
        <v>2016</v>
      </c>
      <c r="N8" s="52">
        <f t="shared" ref="N8:O14" si="0">D8</f>
        <v>34018</v>
      </c>
      <c r="O8" s="65">
        <f t="shared" si="0"/>
        <v>33848</v>
      </c>
      <c r="R8" s="66"/>
      <c r="S8" s="39">
        <f>I21</f>
        <v>1.032</v>
      </c>
      <c r="T8" s="67">
        <f>I25</f>
        <v>1.0529999999999999</v>
      </c>
      <c r="U8" s="52">
        <f>(N8-P8)*S8+R8</f>
        <v>35106.576000000001</v>
      </c>
      <c r="V8" s="52">
        <f>(O8-Q8)*T8+R8</f>
        <v>35641.943999999996</v>
      </c>
    </row>
    <row r="9" spans="1:22" x14ac:dyDescent="0.2">
      <c r="A9" s="38"/>
      <c r="B9" s="35"/>
      <c r="C9" s="61">
        <v>2017</v>
      </c>
      <c r="D9" s="62">
        <v>16604</v>
      </c>
      <c r="E9" s="63">
        <v>16438</v>
      </c>
      <c r="F9" s="23"/>
      <c r="G9" s="23"/>
      <c r="H9" s="35"/>
      <c r="I9" s="35"/>
      <c r="J9" s="36"/>
      <c r="M9" s="64">
        <v>2017</v>
      </c>
      <c r="N9" s="52">
        <f t="shared" si="0"/>
        <v>16604</v>
      </c>
      <c r="O9" s="65">
        <f t="shared" si="0"/>
        <v>16438</v>
      </c>
      <c r="R9" s="66"/>
      <c r="S9" s="39">
        <f>H21</f>
        <v>1.0509999999999999</v>
      </c>
      <c r="T9" s="67">
        <f>H25</f>
        <v>1.1040000000000001</v>
      </c>
      <c r="U9" s="52">
        <f t="shared" ref="U9:U14" si="1">(N9-P9)*S9+R9</f>
        <v>17450.804</v>
      </c>
      <c r="V9" s="52">
        <f t="shared" ref="V9:V14" si="2">(O9-Q9)*T9+R9</f>
        <v>18147.552000000003</v>
      </c>
    </row>
    <row r="10" spans="1:22" x14ac:dyDescent="0.2">
      <c r="A10" s="38"/>
      <c r="B10" s="35"/>
      <c r="C10" s="61">
        <v>2018</v>
      </c>
      <c r="D10" s="62">
        <v>183403</v>
      </c>
      <c r="E10" s="63">
        <v>177901</v>
      </c>
      <c r="F10" s="23"/>
      <c r="G10" s="23"/>
      <c r="H10" s="35"/>
      <c r="I10" s="35"/>
      <c r="J10" s="36"/>
      <c r="M10" s="64">
        <v>2018</v>
      </c>
      <c r="N10" s="52">
        <f t="shared" si="0"/>
        <v>183403</v>
      </c>
      <c r="O10" s="65">
        <f t="shared" si="0"/>
        <v>177901</v>
      </c>
      <c r="P10" s="52">
        <f>E32</f>
        <v>156700</v>
      </c>
      <c r="Q10" s="52">
        <f>F32</f>
        <v>151500</v>
      </c>
      <c r="R10" s="65">
        <f>G32</f>
        <v>167300</v>
      </c>
      <c r="S10" s="39">
        <f>G21</f>
        <v>1.075</v>
      </c>
      <c r="T10" s="67">
        <f>G25</f>
        <v>1.1830000000000001</v>
      </c>
      <c r="U10" s="52">
        <f>(N10-P10)*S10+R10</f>
        <v>196005.72500000001</v>
      </c>
      <c r="V10" s="52">
        <f t="shared" si="2"/>
        <v>198532.383</v>
      </c>
    </row>
    <row r="11" spans="1:22" x14ac:dyDescent="0.2">
      <c r="A11" s="38"/>
      <c r="B11" s="35"/>
      <c r="C11" s="61">
        <v>2019</v>
      </c>
      <c r="D11" s="62">
        <v>66416</v>
      </c>
      <c r="E11" s="63">
        <v>65752</v>
      </c>
      <c r="F11" s="23"/>
      <c r="G11" s="23"/>
      <c r="H11" s="35"/>
      <c r="I11" s="35"/>
      <c r="J11" s="36"/>
      <c r="M11" s="64">
        <v>2019</v>
      </c>
      <c r="N11" s="52">
        <f t="shared" si="0"/>
        <v>66416</v>
      </c>
      <c r="O11" s="65">
        <f t="shared" si="0"/>
        <v>65752</v>
      </c>
      <c r="R11" s="66"/>
      <c r="S11" s="39">
        <f>F21</f>
        <v>1.157</v>
      </c>
      <c r="T11" s="67">
        <f>F25</f>
        <v>1.331</v>
      </c>
      <c r="U11" s="52">
        <f t="shared" si="1"/>
        <v>76843.312000000005</v>
      </c>
      <c r="V11" s="52">
        <f t="shared" si="2"/>
        <v>87515.911999999997</v>
      </c>
    </row>
    <row r="12" spans="1:22" x14ac:dyDescent="0.2">
      <c r="A12" s="38"/>
      <c r="B12" s="35"/>
      <c r="C12" s="61">
        <v>2020</v>
      </c>
      <c r="D12" s="62">
        <v>29654</v>
      </c>
      <c r="E12" s="63">
        <v>26688</v>
      </c>
      <c r="F12" s="23"/>
      <c r="G12" s="23"/>
      <c r="H12" s="35"/>
      <c r="I12" s="35"/>
      <c r="J12" s="36"/>
      <c r="M12" s="64">
        <v>2020</v>
      </c>
      <c r="N12" s="52">
        <f t="shared" si="0"/>
        <v>29654</v>
      </c>
      <c r="O12" s="65">
        <f t="shared" si="0"/>
        <v>26688</v>
      </c>
      <c r="R12" s="66"/>
      <c r="S12" s="39">
        <f>E21</f>
        <v>1.431</v>
      </c>
      <c r="T12" s="67">
        <f>E25</f>
        <v>1.7170000000000001</v>
      </c>
      <c r="U12" s="52">
        <f t="shared" si="1"/>
        <v>42434.874000000003</v>
      </c>
      <c r="V12" s="52">
        <f t="shared" si="2"/>
        <v>45823.296000000002</v>
      </c>
    </row>
    <row r="13" spans="1:22" x14ac:dyDescent="0.2">
      <c r="A13" s="38"/>
      <c r="B13" s="35"/>
      <c r="C13" s="61">
        <v>2021</v>
      </c>
      <c r="D13" s="62">
        <v>18094</v>
      </c>
      <c r="E13" s="63">
        <v>11276</v>
      </c>
      <c r="F13" s="23"/>
      <c r="G13" s="23"/>
      <c r="H13" s="35"/>
      <c r="I13" s="35"/>
      <c r="J13" s="36"/>
      <c r="M13" s="64">
        <v>2021</v>
      </c>
      <c r="N13" s="52">
        <f t="shared" si="0"/>
        <v>18094</v>
      </c>
      <c r="O13" s="65">
        <f t="shared" si="0"/>
        <v>11276</v>
      </c>
      <c r="R13" s="66"/>
      <c r="S13" s="39">
        <f>D21</f>
        <v>1.843</v>
      </c>
      <c r="T13" s="67">
        <f>D25</f>
        <v>2.3039999999999998</v>
      </c>
      <c r="U13" s="52">
        <f t="shared" si="1"/>
        <v>33347.241999999998</v>
      </c>
      <c r="V13" s="52">
        <f t="shared" si="2"/>
        <v>25979.903999999999</v>
      </c>
    </row>
    <row r="14" spans="1:22" x14ac:dyDescent="0.2">
      <c r="A14" s="38"/>
      <c r="B14" s="35"/>
      <c r="C14" s="61">
        <v>2022</v>
      </c>
      <c r="D14" s="62">
        <v>180492</v>
      </c>
      <c r="E14" s="63">
        <v>37498</v>
      </c>
      <c r="F14" s="23"/>
      <c r="G14" s="23"/>
      <c r="H14" s="35"/>
      <c r="I14" s="35"/>
      <c r="J14" s="36"/>
      <c r="M14" s="68">
        <v>2022</v>
      </c>
      <c r="N14" s="69">
        <f t="shared" si="0"/>
        <v>180492</v>
      </c>
      <c r="O14" s="70">
        <f t="shared" si="0"/>
        <v>37498</v>
      </c>
      <c r="P14" s="69">
        <f>E33</f>
        <v>167900</v>
      </c>
      <c r="Q14" s="69">
        <f>F33</f>
        <v>32492</v>
      </c>
      <c r="R14" s="70">
        <f>H33</f>
        <v>267470</v>
      </c>
      <c r="S14" s="71">
        <f>C21</f>
        <v>3.5609999999999999</v>
      </c>
      <c r="T14" s="72">
        <f>C25</f>
        <v>6.766</v>
      </c>
      <c r="U14" s="69">
        <f t="shared" si="1"/>
        <v>312310.11200000002</v>
      </c>
      <c r="V14" s="69">
        <f t="shared" si="2"/>
        <v>301340.59600000002</v>
      </c>
    </row>
    <row r="15" spans="1:22" x14ac:dyDescent="0.2">
      <c r="A15" s="38"/>
      <c r="B15" s="35"/>
      <c r="C15" s="73"/>
      <c r="D15" s="63"/>
      <c r="E15" s="63"/>
      <c r="F15" s="23"/>
      <c r="G15" s="23"/>
      <c r="H15" s="35"/>
      <c r="I15" s="35"/>
      <c r="J15" s="36"/>
      <c r="M15" s="74" t="s">
        <v>163</v>
      </c>
      <c r="N15" s="52">
        <f>SUM(N8:N14)</f>
        <v>528681</v>
      </c>
      <c r="O15" s="52">
        <f>SUM(O8:O14)</f>
        <v>369401</v>
      </c>
      <c r="P15" s="52">
        <f t="shared" ref="P15:R15" si="3">SUM(P8:P14)</f>
        <v>324600</v>
      </c>
      <c r="Q15" s="52">
        <f t="shared" si="3"/>
        <v>183992</v>
      </c>
      <c r="R15" s="52">
        <f t="shared" si="3"/>
        <v>434770</v>
      </c>
      <c r="U15" s="52">
        <f t="shared" ref="U15:V15" si="4">SUM(U8:U14)</f>
        <v>713498.64500000002</v>
      </c>
      <c r="V15" s="52">
        <f t="shared" si="4"/>
        <v>712981.58700000006</v>
      </c>
    </row>
    <row r="16" spans="1:22" x14ac:dyDescent="0.2">
      <c r="A16" s="38"/>
      <c r="B16" s="403" t="s">
        <v>733</v>
      </c>
      <c r="C16" s="379"/>
      <c r="D16" s="379"/>
      <c r="E16" s="379"/>
      <c r="F16" s="379"/>
      <c r="G16" s="379"/>
      <c r="H16" s="379"/>
      <c r="I16" s="379"/>
      <c r="J16" s="36"/>
    </row>
    <row r="17" spans="1:23" x14ac:dyDescent="0.2">
      <c r="A17" s="38"/>
      <c r="B17" s="379"/>
      <c r="C17" s="379"/>
      <c r="D17" s="379"/>
      <c r="E17" s="379"/>
      <c r="F17" s="379"/>
      <c r="G17" s="379"/>
      <c r="H17" s="379"/>
      <c r="I17" s="379"/>
      <c r="J17" s="36"/>
    </row>
    <row r="18" spans="1:23" x14ac:dyDescent="0.2">
      <c r="A18" s="38"/>
      <c r="B18" s="35"/>
      <c r="C18" s="35"/>
      <c r="D18" s="35"/>
      <c r="E18" s="35"/>
      <c r="F18" s="35"/>
      <c r="G18" s="35"/>
      <c r="H18" s="35"/>
      <c r="I18" s="35"/>
      <c r="J18" s="36"/>
      <c r="L18" s="12" t="s">
        <v>4</v>
      </c>
    </row>
    <row r="19" spans="1:23" ht="16" customHeight="1" x14ac:dyDescent="0.2">
      <c r="A19" s="38"/>
      <c r="B19" s="56"/>
      <c r="C19" s="394" t="s">
        <v>234</v>
      </c>
      <c r="D19" s="394"/>
      <c r="E19" s="394"/>
      <c r="F19" s="394"/>
      <c r="G19" s="394"/>
      <c r="H19" s="394"/>
      <c r="I19" s="24"/>
      <c r="J19" s="36"/>
      <c r="M19" s="404" t="s">
        <v>736</v>
      </c>
      <c r="N19" s="404"/>
      <c r="O19" s="404"/>
      <c r="P19" s="404"/>
      <c r="Q19" s="404"/>
      <c r="R19" s="404"/>
      <c r="S19" s="404"/>
      <c r="T19" s="404"/>
      <c r="U19" s="404"/>
    </row>
    <row r="20" spans="1:23" ht="17" x14ac:dyDescent="0.2">
      <c r="A20" s="38"/>
      <c r="B20" s="53" t="s">
        <v>67</v>
      </c>
      <c r="C20" s="75" t="s">
        <v>86</v>
      </c>
      <c r="D20" s="54" t="s">
        <v>87</v>
      </c>
      <c r="E20" s="54" t="s">
        <v>88</v>
      </c>
      <c r="F20" s="75" t="s">
        <v>89</v>
      </c>
      <c r="G20" s="54" t="s">
        <v>90</v>
      </c>
      <c r="H20" s="75" t="s">
        <v>91</v>
      </c>
      <c r="I20" s="75" t="s">
        <v>85</v>
      </c>
      <c r="J20" s="36"/>
      <c r="M20" s="404"/>
      <c r="N20" s="404"/>
      <c r="O20" s="404"/>
      <c r="P20" s="404"/>
      <c r="Q20" s="404"/>
      <c r="R20" s="404"/>
      <c r="S20" s="404"/>
      <c r="T20" s="404"/>
      <c r="U20" s="404"/>
    </row>
    <row r="21" spans="1:23" x14ac:dyDescent="0.2">
      <c r="A21" s="38"/>
      <c r="B21" s="61" t="s">
        <v>92</v>
      </c>
      <c r="C21" s="76">
        <v>3.5609999999999999</v>
      </c>
      <c r="D21" s="76">
        <v>1.843</v>
      </c>
      <c r="E21" s="76">
        <v>1.431</v>
      </c>
      <c r="F21" s="76">
        <v>1.157</v>
      </c>
      <c r="G21" s="76">
        <v>1.075</v>
      </c>
      <c r="H21" s="76">
        <v>1.0509999999999999</v>
      </c>
      <c r="I21" s="76">
        <v>1.032</v>
      </c>
      <c r="J21" s="36"/>
      <c r="M21" s="404"/>
      <c r="N21" s="404"/>
      <c r="O21" s="404"/>
      <c r="P21" s="404"/>
      <c r="Q21" s="404"/>
      <c r="R21" s="404"/>
      <c r="S21" s="404"/>
      <c r="T21" s="404"/>
      <c r="U21" s="404"/>
    </row>
    <row r="22" spans="1:23" x14ac:dyDescent="0.2">
      <c r="A22" s="38"/>
      <c r="B22" s="73"/>
      <c r="C22" s="73"/>
      <c r="D22" s="73"/>
      <c r="E22" s="73"/>
      <c r="F22" s="73"/>
      <c r="G22" s="73"/>
      <c r="H22" s="73"/>
      <c r="I22" s="73"/>
      <c r="J22" s="36"/>
      <c r="M22" s="404"/>
      <c r="N22" s="404"/>
      <c r="O22" s="404"/>
      <c r="P22" s="404"/>
      <c r="Q22" s="404"/>
      <c r="R22" s="404"/>
      <c r="S22" s="404"/>
      <c r="T22" s="404"/>
      <c r="U22" s="404"/>
    </row>
    <row r="23" spans="1:23" x14ac:dyDescent="0.2">
      <c r="A23" s="38"/>
      <c r="B23" s="56"/>
      <c r="C23" s="394" t="s">
        <v>235</v>
      </c>
      <c r="D23" s="394"/>
      <c r="E23" s="394"/>
      <c r="F23" s="394"/>
      <c r="G23" s="394"/>
      <c r="H23" s="394"/>
      <c r="I23" s="24"/>
      <c r="J23" s="36"/>
      <c r="M23" s="404"/>
      <c r="N23" s="404"/>
      <c r="O23" s="404"/>
      <c r="P23" s="404"/>
      <c r="Q23" s="404"/>
      <c r="R23" s="404"/>
      <c r="S23" s="404"/>
      <c r="T23" s="404"/>
      <c r="U23" s="404"/>
    </row>
    <row r="24" spans="1:23" ht="17" x14ac:dyDescent="0.2">
      <c r="A24" s="38"/>
      <c r="B24" s="53" t="s">
        <v>67</v>
      </c>
      <c r="C24" s="75" t="s">
        <v>86</v>
      </c>
      <c r="D24" s="54" t="s">
        <v>87</v>
      </c>
      <c r="E24" s="54" t="s">
        <v>88</v>
      </c>
      <c r="F24" s="75" t="s">
        <v>89</v>
      </c>
      <c r="G24" s="54" t="s">
        <v>90</v>
      </c>
      <c r="H24" s="75" t="s">
        <v>91</v>
      </c>
      <c r="I24" s="75" t="s">
        <v>85</v>
      </c>
      <c r="J24" s="36"/>
      <c r="M24" s="404"/>
      <c r="N24" s="404"/>
      <c r="O24" s="404"/>
      <c r="P24" s="404"/>
      <c r="Q24" s="404"/>
      <c r="R24" s="404"/>
      <c r="S24" s="404"/>
      <c r="T24" s="404"/>
      <c r="U24" s="404"/>
    </row>
    <row r="25" spans="1:23" x14ac:dyDescent="0.2">
      <c r="A25" s="38"/>
      <c r="B25" s="61" t="s">
        <v>92</v>
      </c>
      <c r="C25" s="76">
        <v>6.766</v>
      </c>
      <c r="D25" s="76">
        <v>2.3039999999999998</v>
      </c>
      <c r="E25" s="76">
        <v>1.7170000000000001</v>
      </c>
      <c r="F25" s="76">
        <v>1.331</v>
      </c>
      <c r="G25" s="76">
        <v>1.1830000000000001</v>
      </c>
      <c r="H25" s="76">
        <v>1.1040000000000001</v>
      </c>
      <c r="I25" s="76">
        <v>1.0529999999999999</v>
      </c>
      <c r="J25" s="36"/>
      <c r="M25" s="404"/>
      <c r="N25" s="404"/>
      <c r="O25" s="404"/>
      <c r="P25" s="404"/>
      <c r="Q25" s="404"/>
      <c r="R25" s="404"/>
      <c r="S25" s="404"/>
      <c r="T25" s="404"/>
      <c r="U25" s="404"/>
    </row>
    <row r="26" spans="1:23" x14ac:dyDescent="0.2">
      <c r="A26" s="38"/>
      <c r="B26" s="35"/>
      <c r="C26" s="73"/>
      <c r="D26" s="76"/>
      <c r="E26" s="76"/>
      <c r="F26" s="76"/>
      <c r="G26" s="76"/>
      <c r="H26" s="76"/>
      <c r="I26" s="76"/>
      <c r="J26" s="36"/>
    </row>
    <row r="27" spans="1:23" x14ac:dyDescent="0.2">
      <c r="A27" s="38"/>
      <c r="B27" s="403" t="s">
        <v>734</v>
      </c>
      <c r="C27" s="379"/>
      <c r="D27" s="379"/>
      <c r="E27" s="379"/>
      <c r="F27" s="379"/>
      <c r="G27" s="379"/>
      <c r="H27" s="379"/>
      <c r="I27" s="379"/>
      <c r="J27" s="36"/>
      <c r="L27" s="12" t="s">
        <v>5</v>
      </c>
    </row>
    <row r="28" spans="1:23" x14ac:dyDescent="0.2">
      <c r="A28" s="38"/>
      <c r="B28" s="379"/>
      <c r="C28" s="379"/>
      <c r="D28" s="379"/>
      <c r="E28" s="379"/>
      <c r="F28" s="379"/>
      <c r="G28" s="379"/>
      <c r="H28" s="379"/>
      <c r="I28" s="379"/>
      <c r="J28" s="36"/>
      <c r="M28" s="372" t="s">
        <v>236</v>
      </c>
      <c r="N28" s="372"/>
      <c r="O28" s="372"/>
      <c r="P28" s="372"/>
      <c r="Q28" s="372"/>
      <c r="R28" s="372"/>
      <c r="S28" s="372"/>
      <c r="T28" s="372"/>
      <c r="U28" s="372"/>
    </row>
    <row r="29" spans="1:23" ht="16" customHeight="1" x14ac:dyDescent="0.2">
      <c r="A29" s="38"/>
      <c r="B29" s="40"/>
      <c r="C29" s="40"/>
      <c r="D29" s="40"/>
      <c r="E29" s="40"/>
      <c r="F29" s="40"/>
      <c r="G29" s="40"/>
      <c r="H29" s="40"/>
      <c r="I29" s="40"/>
      <c r="J29" s="36"/>
      <c r="M29" s="372"/>
      <c r="N29" s="372"/>
      <c r="O29" s="372"/>
      <c r="P29" s="372"/>
      <c r="Q29" s="372"/>
      <c r="R29" s="372"/>
      <c r="S29" s="372"/>
      <c r="T29" s="372"/>
      <c r="U29" s="372"/>
    </row>
    <row r="30" spans="1:23" x14ac:dyDescent="0.2">
      <c r="A30" s="38"/>
      <c r="B30" s="35"/>
      <c r="C30" s="73"/>
      <c r="D30" s="76"/>
      <c r="E30" s="76"/>
      <c r="F30" s="76"/>
      <c r="G30" s="14" t="s">
        <v>93</v>
      </c>
      <c r="H30" s="76"/>
      <c r="I30" s="76"/>
      <c r="J30" s="36"/>
      <c r="M30" s="372"/>
      <c r="N30" s="372"/>
      <c r="O30" s="372"/>
      <c r="P30" s="372"/>
      <c r="Q30" s="372"/>
      <c r="R30" s="372"/>
      <c r="S30" s="372"/>
      <c r="T30" s="372"/>
      <c r="U30" s="372"/>
    </row>
    <row r="31" spans="1:23" ht="35" customHeight="1" x14ac:dyDescent="0.2">
      <c r="A31" s="38"/>
      <c r="B31" s="35"/>
      <c r="C31" s="362" t="s">
        <v>735</v>
      </c>
      <c r="D31" s="79" t="s">
        <v>81</v>
      </c>
      <c r="E31" s="54" t="s">
        <v>221</v>
      </c>
      <c r="F31" s="53" t="s">
        <v>222</v>
      </c>
      <c r="G31" s="54" t="s">
        <v>94</v>
      </c>
      <c r="H31" s="80" t="s">
        <v>95</v>
      </c>
      <c r="I31" s="76"/>
      <c r="J31" s="36"/>
      <c r="L31" s="152"/>
      <c r="M31" s="152"/>
      <c r="N31" s="152"/>
      <c r="O31" s="152"/>
      <c r="P31" s="152"/>
      <c r="Q31" s="152"/>
      <c r="R31" s="152"/>
      <c r="S31" s="152"/>
      <c r="T31" s="152"/>
      <c r="U31" s="152"/>
      <c r="V31" s="152"/>
      <c r="W31" s="152"/>
    </row>
    <row r="32" spans="1:23" ht="19" x14ac:dyDescent="0.2">
      <c r="A32" s="149"/>
      <c r="B32" s="150"/>
      <c r="C32" s="158" t="s">
        <v>223</v>
      </c>
      <c r="D32" s="159">
        <v>43264</v>
      </c>
      <c r="E32" s="160">
        <v>156700</v>
      </c>
      <c r="F32" s="161">
        <v>151500</v>
      </c>
      <c r="G32" s="160">
        <v>167300</v>
      </c>
      <c r="H32" s="160">
        <v>158365</v>
      </c>
      <c r="I32" s="162"/>
      <c r="J32" s="151"/>
      <c r="L32" s="5" t="s">
        <v>19</v>
      </c>
      <c r="M32" s="152"/>
      <c r="N32" s="152"/>
      <c r="O32" s="152"/>
      <c r="P32" s="152"/>
      <c r="Q32" s="152"/>
      <c r="R32" s="152"/>
      <c r="S32" s="152"/>
      <c r="T32" s="152"/>
      <c r="U32" s="152"/>
      <c r="V32" s="152"/>
      <c r="W32" s="152"/>
    </row>
    <row r="33" spans="1:23" x14ac:dyDescent="0.2">
      <c r="A33" s="149"/>
      <c r="B33" s="150"/>
      <c r="C33" s="158" t="s">
        <v>224</v>
      </c>
      <c r="D33" s="159">
        <v>44880</v>
      </c>
      <c r="E33" s="160">
        <v>167900</v>
      </c>
      <c r="F33" s="161">
        <v>32492</v>
      </c>
      <c r="G33" s="160">
        <v>230000</v>
      </c>
      <c r="H33" s="160">
        <v>267470</v>
      </c>
      <c r="I33" s="162"/>
      <c r="J33" s="151"/>
      <c r="L33" s="152" t="s">
        <v>237</v>
      </c>
      <c r="M33" s="152"/>
      <c r="N33" s="152"/>
      <c r="O33" s="152"/>
      <c r="P33" s="152"/>
      <c r="Q33" s="152"/>
      <c r="R33" s="152"/>
      <c r="S33" s="152"/>
      <c r="T33" s="152"/>
      <c r="U33" s="152"/>
      <c r="V33" s="152"/>
      <c r="W33" s="152"/>
    </row>
    <row r="34" spans="1:23" s="152" customFormat="1" x14ac:dyDescent="0.2">
      <c r="A34" s="149"/>
      <c r="B34" s="150"/>
      <c r="C34" s="150"/>
      <c r="D34" s="150"/>
      <c r="E34" s="150"/>
      <c r="F34" s="150"/>
      <c r="G34" s="150"/>
      <c r="H34" s="150"/>
      <c r="I34" s="150"/>
      <c r="J34" s="151"/>
    </row>
    <row r="35" spans="1:23" s="152" customFormat="1" ht="19" x14ac:dyDescent="0.25">
      <c r="A35" s="163" t="s">
        <v>0</v>
      </c>
      <c r="B35" s="150" t="s">
        <v>96</v>
      </c>
      <c r="C35" s="150"/>
      <c r="D35" s="150"/>
      <c r="E35" s="150"/>
      <c r="F35" s="150"/>
      <c r="G35" s="150"/>
      <c r="H35" s="150"/>
      <c r="I35" s="150"/>
      <c r="J35" s="151"/>
      <c r="L35" s="2" t="s">
        <v>290</v>
      </c>
    </row>
    <row r="36" spans="1:23" s="152" customFormat="1" x14ac:dyDescent="0.2">
      <c r="A36" s="149"/>
      <c r="B36" s="150"/>
      <c r="C36" s="150"/>
      <c r="D36" s="150"/>
      <c r="E36" s="150"/>
      <c r="F36" s="150"/>
      <c r="G36" s="150"/>
      <c r="H36" s="150"/>
      <c r="I36" s="150"/>
      <c r="J36" s="151"/>
      <c r="L36" s="152" t="s">
        <v>288</v>
      </c>
    </row>
    <row r="37" spans="1:23" s="152" customFormat="1" ht="16" customHeight="1" x14ac:dyDescent="0.2">
      <c r="A37" s="163" t="s">
        <v>1</v>
      </c>
      <c r="B37" s="363" t="s">
        <v>737</v>
      </c>
      <c r="C37" s="150"/>
      <c r="D37" s="150"/>
      <c r="E37" s="150"/>
      <c r="F37" s="150"/>
      <c r="G37" s="150"/>
      <c r="H37" s="150"/>
      <c r="I37" s="150"/>
      <c r="J37" s="151"/>
    </row>
    <row r="38" spans="1:23" s="152" customFormat="1" x14ac:dyDescent="0.2">
      <c r="A38" s="149"/>
      <c r="B38" s="150"/>
      <c r="C38" s="150"/>
      <c r="D38" s="150"/>
      <c r="E38" s="150"/>
      <c r="F38" s="150"/>
      <c r="G38" s="150"/>
      <c r="H38" s="150"/>
      <c r="I38" s="150"/>
      <c r="J38" s="151"/>
    </row>
    <row r="39" spans="1:23" s="152" customFormat="1" x14ac:dyDescent="0.2">
      <c r="A39" s="163" t="s">
        <v>2</v>
      </c>
      <c r="B39" s="380" t="s">
        <v>233</v>
      </c>
      <c r="C39" s="380"/>
      <c r="D39" s="380"/>
      <c r="E39" s="380"/>
      <c r="F39" s="380"/>
      <c r="G39" s="380"/>
      <c r="H39" s="380"/>
      <c r="I39" s="380"/>
      <c r="J39" s="151"/>
    </row>
    <row r="40" spans="1:23" s="152" customFormat="1" x14ac:dyDescent="0.2">
      <c r="A40" s="149"/>
      <c r="B40" s="380"/>
      <c r="C40" s="380"/>
      <c r="D40" s="380"/>
      <c r="E40" s="380"/>
      <c r="F40" s="380"/>
      <c r="G40" s="380"/>
      <c r="H40" s="380"/>
      <c r="I40" s="380"/>
      <c r="J40" s="151"/>
    </row>
    <row r="41" spans="1:23" s="152" customFormat="1" ht="16" customHeight="1" x14ac:dyDescent="0.2">
      <c r="A41" s="149"/>
      <c r="B41" s="150"/>
      <c r="C41" s="164"/>
      <c r="D41" s="164"/>
      <c r="E41" s="164"/>
      <c r="F41" s="164"/>
      <c r="G41" s="164"/>
      <c r="H41" s="164"/>
      <c r="I41" s="164"/>
      <c r="J41" s="165"/>
    </row>
    <row r="42" spans="1:23" s="152" customFormat="1" ht="17" thickBot="1" x14ac:dyDescent="0.25">
      <c r="A42" s="149"/>
      <c r="B42" s="150"/>
      <c r="C42" s="150"/>
      <c r="D42" s="150"/>
      <c r="E42" s="150"/>
      <c r="F42" s="150"/>
      <c r="G42" s="150"/>
      <c r="H42" s="150"/>
      <c r="I42" s="150"/>
      <c r="J42" s="151"/>
    </row>
    <row r="43" spans="1:23" s="152" customFormat="1" ht="17" thickBot="1" x14ac:dyDescent="0.25">
      <c r="A43" s="153" t="s">
        <v>7</v>
      </c>
      <c r="B43" s="154"/>
      <c r="C43" s="155"/>
      <c r="D43" s="155"/>
      <c r="E43" s="155"/>
      <c r="F43" s="154"/>
      <c r="G43" s="154"/>
      <c r="H43" s="154"/>
      <c r="I43" s="154"/>
      <c r="J43" s="156"/>
    </row>
    <row r="44" spans="1:23" s="152" customFormat="1" x14ac:dyDescent="0.2"/>
    <row r="45" spans="1:23" s="152" customFormat="1" ht="16" customHeight="1" x14ac:dyDescent="0.2">
      <c r="E45" s="166"/>
      <c r="F45" s="166"/>
      <c r="G45" s="166"/>
      <c r="H45" s="166"/>
    </row>
    <row r="46" spans="1:23" s="152" customFormat="1" x14ac:dyDescent="0.2">
      <c r="E46" s="166"/>
      <c r="F46" s="166"/>
      <c r="G46" s="166"/>
      <c r="H46" s="166"/>
    </row>
    <row r="47" spans="1:23" s="152" customFormat="1" x14ac:dyDescent="0.2"/>
    <row r="48" spans="1:23" s="152" customFormat="1" x14ac:dyDescent="0.2"/>
    <row r="49" s="152" customFormat="1" x14ac:dyDescent="0.2"/>
    <row r="50" s="152" customFormat="1" x14ac:dyDescent="0.2"/>
    <row r="51" s="152" customFormat="1" x14ac:dyDescent="0.2"/>
    <row r="52" s="152" customFormat="1" x14ac:dyDescent="0.2"/>
    <row r="53" s="152" customFormat="1" x14ac:dyDescent="0.2"/>
    <row r="54" s="152" customFormat="1" x14ac:dyDescent="0.2"/>
    <row r="55" s="152" customFormat="1" x14ac:dyDescent="0.2"/>
    <row r="56" s="152" customFormat="1" x14ac:dyDescent="0.2"/>
    <row r="57" s="152" customFormat="1" x14ac:dyDescent="0.2"/>
    <row r="58" s="152" customFormat="1" x14ac:dyDescent="0.2"/>
    <row r="59" s="152" customFormat="1" x14ac:dyDescent="0.2"/>
    <row r="60" s="152" customFormat="1" x14ac:dyDescent="0.2"/>
    <row r="61" s="152" customFormat="1" x14ac:dyDescent="0.2"/>
    <row r="62" s="152" customFormat="1" x14ac:dyDescent="0.2"/>
    <row r="63" s="152" customFormat="1" x14ac:dyDescent="0.2"/>
    <row r="64" s="152" customFormat="1" x14ac:dyDescent="0.2"/>
    <row r="65" spans="14:14" s="152" customFormat="1" x14ac:dyDescent="0.2"/>
    <row r="66" spans="14:14" s="152" customFormat="1" x14ac:dyDescent="0.2"/>
    <row r="67" spans="14:14" s="152" customFormat="1" x14ac:dyDescent="0.2"/>
    <row r="68" spans="14:14" s="152" customFormat="1" x14ac:dyDescent="0.2">
      <c r="N68" s="157"/>
    </row>
    <row r="69" spans="14:14" s="152" customFormat="1" x14ac:dyDescent="0.2"/>
    <row r="70" spans="14:14" s="152" customFormat="1" x14ac:dyDescent="0.2"/>
    <row r="71" spans="14:14" s="152" customFormat="1" x14ac:dyDescent="0.2"/>
    <row r="72" spans="14:14" s="152" customFormat="1" x14ac:dyDescent="0.2"/>
    <row r="73" spans="14:14" s="152" customFormat="1" x14ac:dyDescent="0.2"/>
    <row r="74" spans="14:14" s="152" customFormat="1" x14ac:dyDescent="0.2"/>
    <row r="75" spans="14:14" s="152" customFormat="1" x14ac:dyDescent="0.2"/>
    <row r="76" spans="14:14" s="152" customFormat="1" x14ac:dyDescent="0.2"/>
    <row r="77" spans="14:14" s="152" customFormat="1" x14ac:dyDescent="0.2"/>
    <row r="78" spans="14:14" s="152" customFormat="1" x14ac:dyDescent="0.2">
      <c r="N78" s="157"/>
    </row>
    <row r="79" spans="14:14" s="152" customFormat="1" x14ac:dyDescent="0.2"/>
    <row r="80" spans="14:14" s="152" customFormat="1" x14ac:dyDescent="0.2"/>
    <row r="81" spans="14:14" s="152" customFormat="1" x14ac:dyDescent="0.2"/>
    <row r="82" spans="14:14" s="152" customFormat="1" x14ac:dyDescent="0.2"/>
    <row r="83" spans="14:14" s="152" customFormat="1" x14ac:dyDescent="0.2"/>
    <row r="84" spans="14:14" s="152" customFormat="1" x14ac:dyDescent="0.2"/>
    <row r="85" spans="14:14" s="152" customFormat="1" x14ac:dyDescent="0.2"/>
    <row r="86" spans="14:14" s="152" customFormat="1" x14ac:dyDescent="0.2"/>
    <row r="87" spans="14:14" s="152" customFormat="1" x14ac:dyDescent="0.2"/>
    <row r="88" spans="14:14" s="152" customFormat="1" x14ac:dyDescent="0.2">
      <c r="N88" s="157"/>
    </row>
    <row r="89" spans="14:14" s="152" customFormat="1" x14ac:dyDescent="0.2"/>
    <row r="90" spans="14:14" s="152" customFormat="1" x14ac:dyDescent="0.2"/>
    <row r="91" spans="14:14" s="152" customFormat="1" x14ac:dyDescent="0.2"/>
    <row r="92" spans="14:14" s="152" customFormat="1" x14ac:dyDescent="0.2"/>
    <row r="93" spans="14:14" s="152" customFormat="1" x14ac:dyDescent="0.2"/>
    <row r="94" spans="14:14" s="152" customFormat="1" x14ac:dyDescent="0.2"/>
    <row r="95" spans="14:14" s="152" customFormat="1" x14ac:dyDescent="0.2"/>
    <row r="96" spans="14:14" s="152" customFormat="1" x14ac:dyDescent="0.2"/>
    <row r="97" s="152" customFormat="1" x14ac:dyDescent="0.2"/>
    <row r="98" s="152" customFormat="1" x14ac:dyDescent="0.2"/>
    <row r="99" s="152" customFormat="1" x14ac:dyDescent="0.2"/>
    <row r="100" s="152" customFormat="1" x14ac:dyDescent="0.2"/>
    <row r="101" s="152" customFormat="1" x14ac:dyDescent="0.2"/>
    <row r="102" s="152" customFormat="1" x14ac:dyDescent="0.2"/>
    <row r="103" s="152" customFormat="1" x14ac:dyDescent="0.2"/>
    <row r="104" s="152" customFormat="1" x14ac:dyDescent="0.2"/>
    <row r="105" s="152" customFormat="1" x14ac:dyDescent="0.2"/>
    <row r="106" s="152" customFormat="1" x14ac:dyDescent="0.2"/>
    <row r="107" s="152" customFormat="1" x14ac:dyDescent="0.2"/>
    <row r="108" s="152" customFormat="1" x14ac:dyDescent="0.2"/>
    <row r="109" s="152" customFormat="1" x14ac:dyDescent="0.2"/>
    <row r="110" s="152" customFormat="1" x14ac:dyDescent="0.2"/>
    <row r="111" s="152" customFormat="1" x14ac:dyDescent="0.2"/>
    <row r="112" s="152" customFormat="1" x14ac:dyDescent="0.2"/>
    <row r="113" s="152" customFormat="1" x14ac:dyDescent="0.2"/>
    <row r="114" s="152" customFormat="1" x14ac:dyDescent="0.2"/>
    <row r="115" s="152" customFormat="1" x14ac:dyDescent="0.2"/>
    <row r="116" s="152" customFormat="1" x14ac:dyDescent="0.2"/>
    <row r="117" s="152" customFormat="1" x14ac:dyDescent="0.2"/>
    <row r="118" s="152" customFormat="1" x14ac:dyDescent="0.2"/>
    <row r="119" s="152" customFormat="1" x14ac:dyDescent="0.2"/>
    <row r="120" s="152" customFormat="1" x14ac:dyDescent="0.2"/>
    <row r="121" s="152" customFormat="1" x14ac:dyDescent="0.2"/>
    <row r="122" s="152" customFormat="1" x14ac:dyDescent="0.2"/>
    <row r="123" s="152" customFormat="1" x14ac:dyDescent="0.2"/>
    <row r="124" s="152" customFormat="1" x14ac:dyDescent="0.2"/>
    <row r="125" s="152" customFormat="1" x14ac:dyDescent="0.2"/>
    <row r="126" s="152" customFormat="1" x14ac:dyDescent="0.2"/>
    <row r="127" s="152" customFormat="1" x14ac:dyDescent="0.2"/>
    <row r="128" s="152" customFormat="1" x14ac:dyDescent="0.2"/>
    <row r="129" s="152" customFormat="1" x14ac:dyDescent="0.2"/>
    <row r="130" s="152" customFormat="1" x14ac:dyDescent="0.2"/>
    <row r="131" s="152" customFormat="1" x14ac:dyDescent="0.2"/>
    <row r="132" s="152" customFormat="1" x14ac:dyDescent="0.2"/>
    <row r="133" s="152" customFormat="1" x14ac:dyDescent="0.2"/>
    <row r="134" s="152" customFormat="1" x14ac:dyDescent="0.2"/>
    <row r="135" s="152" customFormat="1" x14ac:dyDescent="0.2"/>
    <row r="136" s="152" customFormat="1" x14ac:dyDescent="0.2"/>
    <row r="137" s="152" customFormat="1" x14ac:dyDescent="0.2"/>
    <row r="138" s="152" customFormat="1" x14ac:dyDescent="0.2"/>
    <row r="139" s="152" customFormat="1" x14ac:dyDescent="0.2"/>
    <row r="140" s="152" customFormat="1" x14ac:dyDescent="0.2"/>
    <row r="141" s="152" customFormat="1" x14ac:dyDescent="0.2"/>
    <row r="142" s="152" customFormat="1" x14ac:dyDescent="0.2"/>
    <row r="143" s="152" customFormat="1" x14ac:dyDescent="0.2"/>
    <row r="144" s="152" customFormat="1" x14ac:dyDescent="0.2"/>
    <row r="145" s="152" customFormat="1" x14ac:dyDescent="0.2"/>
    <row r="146" s="152" customFormat="1" x14ac:dyDescent="0.2"/>
    <row r="147" s="152" customFormat="1" x14ac:dyDescent="0.2"/>
    <row r="148" s="152" customFormat="1" x14ac:dyDescent="0.2"/>
    <row r="149" s="152" customFormat="1" x14ac:dyDescent="0.2"/>
    <row r="150" s="152" customFormat="1" x14ac:dyDescent="0.2"/>
    <row r="151" s="152" customFormat="1" x14ac:dyDescent="0.2"/>
    <row r="152" s="152" customFormat="1" x14ac:dyDescent="0.2"/>
    <row r="153" s="152" customFormat="1" x14ac:dyDescent="0.2"/>
    <row r="154" s="152" customFormat="1" x14ac:dyDescent="0.2"/>
    <row r="155" s="152" customFormat="1" x14ac:dyDescent="0.2"/>
    <row r="156" s="152" customFormat="1" x14ac:dyDescent="0.2"/>
    <row r="157" s="152" customFormat="1" x14ac:dyDescent="0.2"/>
    <row r="158" s="152" customFormat="1" x14ac:dyDescent="0.2"/>
    <row r="159" s="152" customFormat="1" x14ac:dyDescent="0.2"/>
    <row r="160" s="152" customFormat="1" x14ac:dyDescent="0.2"/>
    <row r="161" s="152" customFormat="1" x14ac:dyDescent="0.2"/>
    <row r="162" s="152" customFormat="1" x14ac:dyDescent="0.2"/>
    <row r="163" s="152" customFormat="1" x14ac:dyDescent="0.2"/>
    <row r="164" s="152" customFormat="1" x14ac:dyDescent="0.2"/>
    <row r="165" s="152" customFormat="1" x14ac:dyDescent="0.2"/>
    <row r="166" s="152" customFormat="1" x14ac:dyDescent="0.2"/>
    <row r="167" s="152" customFormat="1" x14ac:dyDescent="0.2"/>
    <row r="168" s="152" customFormat="1" x14ac:dyDescent="0.2"/>
    <row r="169" s="152" customFormat="1" x14ac:dyDescent="0.2"/>
    <row r="170" s="152" customFormat="1" x14ac:dyDescent="0.2"/>
    <row r="171" s="152" customFormat="1" x14ac:dyDescent="0.2"/>
    <row r="172" s="152" customFormat="1" x14ac:dyDescent="0.2"/>
    <row r="173" s="152" customFormat="1" x14ac:dyDescent="0.2"/>
    <row r="174" s="152" customFormat="1" x14ac:dyDescent="0.2"/>
    <row r="175" s="152" customFormat="1" x14ac:dyDescent="0.2"/>
    <row r="176" s="152" customFormat="1" x14ac:dyDescent="0.2"/>
    <row r="177" s="152" customFormat="1" x14ac:dyDescent="0.2"/>
    <row r="178" s="152" customFormat="1" x14ac:dyDescent="0.2"/>
    <row r="179" s="152" customFormat="1" x14ac:dyDescent="0.2"/>
    <row r="180" s="152" customFormat="1" x14ac:dyDescent="0.2"/>
    <row r="181" s="152" customFormat="1" x14ac:dyDescent="0.2"/>
    <row r="182" s="152" customFormat="1" x14ac:dyDescent="0.2"/>
    <row r="183" s="152" customFormat="1" x14ac:dyDescent="0.2"/>
    <row r="184" s="152" customFormat="1" x14ac:dyDescent="0.2"/>
    <row r="185" s="152" customFormat="1" x14ac:dyDescent="0.2"/>
    <row r="186" s="152" customFormat="1" x14ac:dyDescent="0.2"/>
    <row r="187" s="152" customFormat="1" x14ac:dyDescent="0.2"/>
    <row r="188" s="152" customFormat="1" x14ac:dyDescent="0.2"/>
    <row r="189" s="152" customFormat="1" x14ac:dyDescent="0.2"/>
    <row r="190" s="152" customFormat="1" x14ac:dyDescent="0.2"/>
    <row r="191" s="152" customFormat="1" x14ac:dyDescent="0.2"/>
    <row r="192" s="152" customFormat="1" x14ac:dyDescent="0.2"/>
    <row r="193" s="152" customFormat="1" x14ac:dyDescent="0.2"/>
    <row r="194" s="152" customFormat="1" x14ac:dyDescent="0.2"/>
    <row r="195" s="152" customFormat="1" x14ac:dyDescent="0.2"/>
    <row r="196" s="152" customFormat="1" x14ac:dyDescent="0.2"/>
    <row r="197" s="152" customFormat="1" x14ac:dyDescent="0.2"/>
    <row r="198" s="152" customFormat="1" x14ac:dyDescent="0.2"/>
    <row r="199" s="152" customFormat="1" x14ac:dyDescent="0.2"/>
    <row r="200" s="152" customFormat="1" x14ac:dyDescent="0.2"/>
    <row r="201" s="152" customFormat="1" x14ac:dyDescent="0.2"/>
    <row r="202" s="152" customFormat="1" x14ac:dyDescent="0.2"/>
    <row r="203" s="152" customFormat="1" x14ac:dyDescent="0.2"/>
    <row r="204" s="152" customFormat="1" x14ac:dyDescent="0.2"/>
    <row r="205" s="152" customFormat="1" x14ac:dyDescent="0.2"/>
    <row r="206" s="152" customFormat="1" x14ac:dyDescent="0.2"/>
    <row r="207" s="152" customFormat="1" x14ac:dyDescent="0.2"/>
    <row r="208" s="152" customFormat="1" x14ac:dyDescent="0.2"/>
    <row r="209" s="152" customFormat="1" x14ac:dyDescent="0.2"/>
    <row r="210" s="152" customFormat="1" x14ac:dyDescent="0.2"/>
    <row r="211" s="152" customFormat="1" x14ac:dyDescent="0.2"/>
    <row r="212" s="152" customFormat="1" x14ac:dyDescent="0.2"/>
    <row r="213" s="152" customFormat="1" x14ac:dyDescent="0.2"/>
    <row r="214" s="152" customFormat="1" x14ac:dyDescent="0.2"/>
    <row r="215" s="152" customFormat="1" x14ac:dyDescent="0.2"/>
    <row r="216" s="152" customFormat="1" x14ac:dyDescent="0.2"/>
    <row r="217" s="152" customFormat="1" x14ac:dyDescent="0.2"/>
    <row r="218" s="152" customFormat="1" x14ac:dyDescent="0.2"/>
    <row r="219" s="152" customFormat="1" x14ac:dyDescent="0.2"/>
    <row r="220" s="152" customFormat="1" x14ac:dyDescent="0.2"/>
    <row r="221" s="152" customFormat="1" x14ac:dyDescent="0.2"/>
    <row r="222" s="152" customFormat="1" x14ac:dyDescent="0.2"/>
    <row r="223" s="152" customFormat="1" x14ac:dyDescent="0.2"/>
    <row r="224" s="152" customFormat="1" x14ac:dyDescent="0.2"/>
    <row r="225" s="152" customFormat="1" x14ac:dyDescent="0.2"/>
    <row r="226" s="152" customFormat="1" x14ac:dyDescent="0.2"/>
    <row r="227" s="152" customFormat="1" x14ac:dyDescent="0.2"/>
    <row r="228" s="152" customFormat="1" x14ac:dyDescent="0.2"/>
    <row r="229" s="152" customFormat="1" x14ac:dyDescent="0.2"/>
    <row r="230" s="152" customFormat="1" x14ac:dyDescent="0.2"/>
    <row r="231" s="152" customFormat="1" x14ac:dyDescent="0.2"/>
    <row r="232" s="152" customFormat="1" x14ac:dyDescent="0.2"/>
    <row r="233" s="152" customFormat="1" x14ac:dyDescent="0.2"/>
    <row r="234" s="152" customFormat="1" x14ac:dyDescent="0.2"/>
    <row r="235" s="152" customFormat="1" x14ac:dyDescent="0.2"/>
    <row r="236" s="152" customFormat="1" x14ac:dyDescent="0.2"/>
    <row r="237" s="152" customFormat="1" x14ac:dyDescent="0.2"/>
    <row r="238" s="152" customFormat="1" x14ac:dyDescent="0.2"/>
    <row r="239" s="152" customFormat="1" x14ac:dyDescent="0.2"/>
    <row r="240" s="152" customFormat="1" x14ac:dyDescent="0.2"/>
    <row r="241" s="152" customFormat="1" x14ac:dyDescent="0.2"/>
    <row r="242" s="152" customFormat="1" x14ac:dyDescent="0.2"/>
    <row r="243" s="152" customFormat="1" x14ac:dyDescent="0.2"/>
    <row r="244" s="152" customFormat="1" x14ac:dyDescent="0.2"/>
    <row r="245" s="152" customFormat="1" x14ac:dyDescent="0.2"/>
    <row r="246" s="152" customFormat="1" x14ac:dyDescent="0.2"/>
    <row r="247" s="152" customFormat="1" x14ac:dyDescent="0.2"/>
    <row r="248" s="152" customFormat="1" x14ac:dyDescent="0.2"/>
    <row r="249" s="152" customFormat="1" x14ac:dyDescent="0.2"/>
    <row r="250" s="152" customFormat="1" x14ac:dyDescent="0.2"/>
    <row r="251" s="152" customFormat="1" x14ac:dyDescent="0.2"/>
    <row r="252" s="152" customFormat="1" x14ac:dyDescent="0.2"/>
    <row r="253" s="152" customFormat="1" x14ac:dyDescent="0.2"/>
    <row r="254" s="152" customFormat="1" x14ac:dyDescent="0.2"/>
    <row r="255" s="152" customFormat="1" x14ac:dyDescent="0.2"/>
    <row r="256" s="152" customFormat="1" x14ac:dyDescent="0.2"/>
    <row r="257" s="152" customFormat="1" x14ac:dyDescent="0.2"/>
    <row r="258" s="152" customFormat="1" x14ac:dyDescent="0.2"/>
    <row r="259" s="152" customFormat="1" x14ac:dyDescent="0.2"/>
    <row r="260" s="152" customFormat="1" x14ac:dyDescent="0.2"/>
    <row r="261" s="152" customFormat="1" x14ac:dyDescent="0.2"/>
    <row r="262" s="152" customFormat="1" x14ac:dyDescent="0.2"/>
    <row r="263" s="152" customFormat="1" x14ac:dyDescent="0.2"/>
    <row r="264" s="152" customFormat="1" x14ac:dyDescent="0.2"/>
    <row r="265" s="152" customFormat="1" x14ac:dyDescent="0.2"/>
    <row r="266" s="152" customFormat="1" x14ac:dyDescent="0.2"/>
    <row r="267" s="152" customFormat="1" x14ac:dyDescent="0.2"/>
    <row r="268" s="152" customFormat="1" x14ac:dyDescent="0.2"/>
    <row r="269" s="152" customFormat="1" x14ac:dyDescent="0.2"/>
    <row r="270" s="152" customFormat="1" x14ac:dyDescent="0.2"/>
    <row r="271" s="152" customFormat="1" x14ac:dyDescent="0.2"/>
    <row r="272" s="152" customFormat="1" x14ac:dyDescent="0.2"/>
    <row r="273" spans="1:23" s="152" customFormat="1" x14ac:dyDescent="0.2"/>
    <row r="274" spans="1:23" s="152" customFormat="1" x14ac:dyDescent="0.2"/>
    <row r="275" spans="1:23" s="152" customFormat="1" x14ac:dyDescent="0.2"/>
    <row r="276" spans="1:23" s="152" customFormat="1" x14ac:dyDescent="0.2"/>
    <row r="277" spans="1:23" s="152" customFormat="1" x14ac:dyDescent="0.2"/>
    <row r="278" spans="1:23" s="152" customFormat="1" x14ac:dyDescent="0.2"/>
    <row r="279" spans="1:23" s="152" customFormat="1" x14ac:dyDescent="0.2"/>
    <row r="280" spans="1:23" s="152" customFormat="1" x14ac:dyDescent="0.2"/>
    <row r="281" spans="1:23" s="152" customFormat="1" x14ac:dyDescent="0.2"/>
    <row r="282" spans="1:23" s="152" customFormat="1" x14ac:dyDescent="0.2">
      <c r="A282" s="37"/>
      <c r="B282" s="37"/>
      <c r="C282" s="37"/>
      <c r="D282" s="37"/>
      <c r="E282" s="37"/>
      <c r="F282" s="37"/>
      <c r="G282" s="37"/>
      <c r="H282" s="37"/>
      <c r="I282" s="37"/>
      <c r="J282" s="37"/>
      <c r="L282" s="37"/>
      <c r="M282" s="37"/>
      <c r="N282" s="37"/>
      <c r="O282" s="37"/>
      <c r="P282" s="37"/>
      <c r="Q282" s="37"/>
      <c r="R282" s="37"/>
      <c r="S282" s="37"/>
      <c r="T282" s="37"/>
      <c r="U282" s="37"/>
      <c r="V282" s="37"/>
      <c r="W282" s="37"/>
    </row>
    <row r="283" spans="1:23" s="152" customFormat="1" x14ac:dyDescent="0.2">
      <c r="A283" s="37"/>
      <c r="B283" s="37"/>
      <c r="C283" s="37"/>
      <c r="D283" s="37"/>
      <c r="E283" s="37"/>
      <c r="F283" s="37"/>
      <c r="G283" s="37"/>
      <c r="H283" s="37"/>
      <c r="I283" s="37"/>
      <c r="J283" s="37"/>
      <c r="L283" s="37"/>
      <c r="M283" s="37"/>
      <c r="N283" s="37"/>
      <c r="O283" s="37"/>
      <c r="P283" s="37"/>
      <c r="Q283" s="37"/>
      <c r="R283" s="37"/>
      <c r="S283" s="37"/>
      <c r="T283" s="37"/>
      <c r="U283" s="37"/>
      <c r="V283" s="37"/>
      <c r="W283" s="37"/>
    </row>
    <row r="284" spans="1:23" s="152" customFormat="1" x14ac:dyDescent="0.2">
      <c r="A284" s="37"/>
      <c r="B284" s="37"/>
      <c r="C284" s="37"/>
      <c r="D284" s="37"/>
      <c r="E284" s="37"/>
      <c r="F284" s="37"/>
      <c r="G284" s="37"/>
      <c r="H284" s="37"/>
      <c r="I284" s="37"/>
      <c r="J284" s="37"/>
      <c r="K284" s="37"/>
      <c r="L284" s="37"/>
      <c r="M284" s="37"/>
      <c r="N284" s="37"/>
      <c r="O284" s="37"/>
      <c r="P284" s="37"/>
      <c r="Q284" s="37"/>
      <c r="R284" s="37"/>
      <c r="S284" s="37"/>
      <c r="T284" s="37"/>
      <c r="U284" s="37"/>
      <c r="V284" s="37"/>
      <c r="W284" s="37"/>
    </row>
  </sheetData>
  <mergeCells count="12">
    <mergeCell ref="M28:U30"/>
    <mergeCell ref="M3:U4"/>
    <mergeCell ref="P6:R6"/>
    <mergeCell ref="S6:T6"/>
    <mergeCell ref="U5:V6"/>
    <mergeCell ref="M19:U25"/>
    <mergeCell ref="B39:I40"/>
    <mergeCell ref="B3:I4"/>
    <mergeCell ref="C19:H19"/>
    <mergeCell ref="B16:I17"/>
    <mergeCell ref="B27:I28"/>
    <mergeCell ref="C23:H23"/>
  </mergeCells>
  <pageMargins left="0.7" right="0.7" top="0.75" bottom="0.75" header="0.3" footer="0.3"/>
  <pageSetup scale="83" orientation="portrait" horizontalDpi="0" verticalDpi="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8C4D-A1A2-2845-AA56-CDD2EADC0DE2}">
  <sheetPr>
    <pageSetUpPr fitToPage="1"/>
  </sheetPr>
  <dimension ref="A1:T284"/>
  <sheetViews>
    <sheetView zoomScaleNormal="100" workbookViewId="0"/>
  </sheetViews>
  <sheetFormatPr baseColWidth="10" defaultColWidth="10.83203125" defaultRowHeight="16" outlineLevelCol="1" x14ac:dyDescent="0.2"/>
  <cols>
    <col min="1" max="1" width="4.6640625" style="37" customWidth="1"/>
    <col min="2" max="4" width="10.83203125" style="37" customWidth="1"/>
    <col min="5" max="5" width="11.5" style="37" customWidth="1"/>
    <col min="6" max="10" width="10.83203125" style="37" customWidth="1"/>
    <col min="11" max="11" width="10.83203125" style="37"/>
    <col min="12" max="12" width="10.83203125" style="37" hidden="1" customWidth="1" outlineLevel="1"/>
    <col min="13" max="13" width="17" style="37" hidden="1" customWidth="1" outlineLevel="1"/>
    <col min="14" max="19" width="10.83203125" style="37" hidden="1" customWidth="1" outlineLevel="1"/>
    <col min="20" max="20" width="10.83203125" style="37" customWidth="1" collapsed="1"/>
    <col min="21" max="16384" width="10.83203125" style="37"/>
  </cols>
  <sheetData>
    <row r="1" spans="1:15" ht="19" x14ac:dyDescent="0.25">
      <c r="A1" s="1" t="s">
        <v>281</v>
      </c>
      <c r="B1" s="3"/>
      <c r="C1" s="26"/>
      <c r="D1" s="26"/>
      <c r="E1" s="26"/>
      <c r="F1" s="35"/>
      <c r="G1" s="35"/>
      <c r="H1" s="35"/>
      <c r="I1" s="35"/>
      <c r="J1" s="36"/>
      <c r="K1" s="5" t="s">
        <v>6</v>
      </c>
      <c r="L1" s="5"/>
    </row>
    <row r="2" spans="1:15" x14ac:dyDescent="0.2">
      <c r="A2" s="38"/>
      <c r="B2" s="35"/>
      <c r="C2" s="35"/>
      <c r="D2" s="35"/>
      <c r="E2" s="35"/>
      <c r="F2" s="35"/>
      <c r="G2" s="35"/>
      <c r="H2" s="35"/>
      <c r="I2" s="35"/>
      <c r="J2" s="36"/>
      <c r="L2" s="12" t="s">
        <v>3</v>
      </c>
      <c r="O2" s="39"/>
    </row>
    <row r="3" spans="1:15" x14ac:dyDescent="0.2">
      <c r="A3" s="38"/>
      <c r="B3" s="379" t="s">
        <v>263</v>
      </c>
      <c r="C3" s="379"/>
      <c r="D3" s="379"/>
      <c r="E3" s="379"/>
      <c r="F3" s="379"/>
      <c r="G3" s="379"/>
      <c r="H3" s="379"/>
      <c r="I3" s="379"/>
      <c r="J3" s="36"/>
      <c r="M3" s="37" t="s">
        <v>202</v>
      </c>
    </row>
    <row r="4" spans="1:15" x14ac:dyDescent="0.2">
      <c r="A4" s="38"/>
      <c r="B4" s="379"/>
      <c r="C4" s="379"/>
      <c r="D4" s="379"/>
      <c r="E4" s="379"/>
      <c r="F4" s="379"/>
      <c r="G4" s="379"/>
      <c r="H4" s="379"/>
      <c r="I4" s="379"/>
      <c r="J4" s="36"/>
    </row>
    <row r="5" spans="1:15" x14ac:dyDescent="0.2">
      <c r="A5" s="38"/>
      <c r="B5" s="35"/>
      <c r="C5" s="35"/>
      <c r="D5" s="35"/>
      <c r="E5" s="35"/>
      <c r="F5" s="35"/>
      <c r="G5" s="35"/>
      <c r="H5" s="35"/>
      <c r="I5" s="35"/>
      <c r="J5" s="36"/>
      <c r="M5" s="12" t="s">
        <v>217</v>
      </c>
    </row>
    <row r="6" spans="1:15" x14ac:dyDescent="0.2">
      <c r="A6" s="38"/>
      <c r="B6" s="35"/>
      <c r="C6" s="35" t="s">
        <v>33</v>
      </c>
      <c r="D6" s="35"/>
      <c r="E6" s="35" t="s">
        <v>57</v>
      </c>
      <c r="F6" s="35"/>
      <c r="G6" s="35"/>
      <c r="H6" s="35"/>
      <c r="I6" s="35"/>
      <c r="J6" s="36"/>
    </row>
    <row r="7" spans="1:15" x14ac:dyDescent="0.2">
      <c r="A7" s="38"/>
      <c r="B7" s="35"/>
      <c r="C7" s="35" t="s">
        <v>52</v>
      </c>
      <c r="D7" s="35"/>
      <c r="E7" s="41">
        <v>43936</v>
      </c>
      <c r="F7" s="35"/>
      <c r="G7" s="35"/>
      <c r="H7" s="35"/>
      <c r="I7" s="35"/>
      <c r="J7" s="36"/>
      <c r="M7" s="37" t="s">
        <v>203</v>
      </c>
      <c r="N7" s="42">
        <f>E11</f>
        <v>4000000</v>
      </c>
    </row>
    <row r="8" spans="1:15" x14ac:dyDescent="0.2">
      <c r="A8" s="38"/>
      <c r="B8" s="35"/>
      <c r="C8" s="35" t="s">
        <v>35</v>
      </c>
      <c r="D8" s="35"/>
      <c r="E8" s="41">
        <v>44242</v>
      </c>
      <c r="F8" s="35"/>
      <c r="G8" s="35"/>
      <c r="H8" s="35"/>
      <c r="I8" s="35"/>
      <c r="J8" s="36"/>
      <c r="M8" s="37" t="s">
        <v>204</v>
      </c>
      <c r="N8" s="42">
        <f>E12</f>
        <v>500000</v>
      </c>
    </row>
    <row r="9" spans="1:15" x14ac:dyDescent="0.2">
      <c r="A9" s="38"/>
      <c r="B9" s="35"/>
      <c r="C9" s="35" t="s">
        <v>23</v>
      </c>
      <c r="D9" s="35"/>
      <c r="E9" s="43">
        <v>10000000</v>
      </c>
      <c r="F9" s="35"/>
      <c r="G9" s="35"/>
      <c r="H9" s="35"/>
      <c r="I9" s="35"/>
      <c r="J9" s="36"/>
      <c r="M9" s="44" t="s">
        <v>205</v>
      </c>
      <c r="N9" s="45">
        <f>SUM(E13:E14,E10)</f>
        <v>1260000</v>
      </c>
    </row>
    <row r="10" spans="1:15" x14ac:dyDescent="0.2">
      <c r="A10" s="38"/>
      <c r="B10" s="35"/>
      <c r="C10" s="35" t="s">
        <v>62</v>
      </c>
      <c r="D10" s="35"/>
      <c r="E10" s="43">
        <v>10000</v>
      </c>
      <c r="F10" s="35"/>
      <c r="G10" s="35"/>
      <c r="H10" s="35"/>
      <c r="I10" s="35"/>
      <c r="J10" s="36"/>
      <c r="M10" s="37" t="s">
        <v>206</v>
      </c>
      <c r="N10" s="42">
        <f>SUM(N7:N8)-N9</f>
        <v>3240000</v>
      </c>
    </row>
    <row r="11" spans="1:15" x14ac:dyDescent="0.2">
      <c r="A11" s="38"/>
      <c r="B11" s="35"/>
      <c r="C11" s="35" t="s">
        <v>54</v>
      </c>
      <c r="D11" s="35"/>
      <c r="E11" s="43">
        <v>4000000</v>
      </c>
      <c r="F11" s="35"/>
      <c r="G11" s="35"/>
      <c r="H11" s="35"/>
      <c r="I11" s="35"/>
      <c r="J11" s="36"/>
    </row>
    <row r="12" spans="1:15" ht="17" thickBot="1" x14ac:dyDescent="0.25">
      <c r="A12" s="38"/>
      <c r="B12" s="35"/>
      <c r="C12" s="35" t="s">
        <v>58</v>
      </c>
      <c r="D12" s="35"/>
      <c r="E12" s="43">
        <v>500000</v>
      </c>
      <c r="F12" s="35"/>
      <c r="G12" s="35"/>
      <c r="H12" s="35"/>
      <c r="I12" s="35"/>
      <c r="J12" s="36"/>
      <c r="M12" s="37" t="s">
        <v>207</v>
      </c>
      <c r="N12" s="42">
        <f>N7-N9</f>
        <v>2740000</v>
      </c>
    </row>
    <row r="13" spans="1:15" x14ac:dyDescent="0.2">
      <c r="A13" s="38"/>
      <c r="B13" s="35"/>
      <c r="C13" s="35" t="s">
        <v>55</v>
      </c>
      <c r="D13" s="35"/>
      <c r="E13" s="43">
        <v>250000</v>
      </c>
      <c r="F13" s="35"/>
      <c r="G13" s="35"/>
      <c r="H13" s="35"/>
      <c r="I13" s="35"/>
      <c r="J13" s="36"/>
      <c r="M13" s="46" t="s">
        <v>208</v>
      </c>
      <c r="N13" s="47">
        <f>MAX(N12-$F$24,0)</f>
        <v>740000</v>
      </c>
    </row>
    <row r="14" spans="1:15" x14ac:dyDescent="0.2">
      <c r="A14" s="38"/>
      <c r="B14" s="35"/>
      <c r="C14" s="35" t="s">
        <v>56</v>
      </c>
      <c r="D14" s="35"/>
      <c r="E14" s="43">
        <v>1000000</v>
      </c>
      <c r="F14" s="35"/>
      <c r="G14" s="35"/>
      <c r="H14" s="35"/>
      <c r="I14" s="35"/>
      <c r="J14" s="36"/>
      <c r="M14" s="48" t="s">
        <v>210</v>
      </c>
      <c r="N14" s="49">
        <f>N8*N13/N7</f>
        <v>92500</v>
      </c>
    </row>
    <row r="15" spans="1:15" x14ac:dyDescent="0.2">
      <c r="A15" s="38"/>
      <c r="B15" s="35"/>
      <c r="C15" s="35"/>
      <c r="D15" s="35"/>
      <c r="E15" s="35"/>
      <c r="F15" s="35"/>
      <c r="G15" s="35"/>
      <c r="H15" s="35"/>
      <c r="I15" s="35"/>
      <c r="J15" s="36"/>
      <c r="M15" s="48" t="s">
        <v>209</v>
      </c>
      <c r="N15" s="49">
        <f>N12-N13</f>
        <v>2000000</v>
      </c>
    </row>
    <row r="16" spans="1:15" ht="17" thickBot="1" x14ac:dyDescent="0.25">
      <c r="A16" s="38"/>
      <c r="B16" s="35" t="s">
        <v>61</v>
      </c>
      <c r="C16" s="35"/>
      <c r="D16" s="35"/>
      <c r="E16" s="35"/>
      <c r="F16" s="35"/>
      <c r="G16" s="35"/>
      <c r="H16" s="35"/>
      <c r="I16" s="35"/>
      <c r="J16" s="36"/>
      <c r="M16" s="50" t="s">
        <v>211</v>
      </c>
      <c r="N16" s="51">
        <f>N8-N14</f>
        <v>407500</v>
      </c>
    </row>
    <row r="17" spans="1:16" x14ac:dyDescent="0.2">
      <c r="A17" s="38"/>
      <c r="B17" s="35"/>
      <c r="C17" s="35"/>
      <c r="D17" s="35"/>
      <c r="E17" s="35"/>
      <c r="F17" s="35"/>
      <c r="G17" s="35"/>
      <c r="H17" s="35"/>
      <c r="I17" s="35"/>
      <c r="J17" s="36"/>
    </row>
    <row r="18" spans="1:16" x14ac:dyDescent="0.2">
      <c r="A18" s="38"/>
      <c r="B18" s="403" t="s">
        <v>741</v>
      </c>
      <c r="C18" s="379"/>
      <c r="D18" s="379"/>
      <c r="E18" s="379"/>
      <c r="F18" s="379"/>
      <c r="G18" s="379"/>
      <c r="H18" s="379"/>
      <c r="I18" s="379"/>
      <c r="J18" s="36"/>
    </row>
    <row r="19" spans="1:16" x14ac:dyDescent="0.2">
      <c r="A19" s="38"/>
      <c r="B19" s="379"/>
      <c r="C19" s="379"/>
      <c r="D19" s="379"/>
      <c r="E19" s="379"/>
      <c r="F19" s="379"/>
      <c r="G19" s="379"/>
      <c r="H19" s="379"/>
      <c r="I19" s="379"/>
      <c r="J19" s="36"/>
      <c r="L19" s="12" t="s">
        <v>4</v>
      </c>
    </row>
    <row r="20" spans="1:16" x14ac:dyDescent="0.2">
      <c r="A20" s="38"/>
      <c r="B20" s="35"/>
      <c r="C20" s="35"/>
      <c r="D20" s="35"/>
      <c r="E20" s="35"/>
      <c r="F20" s="35"/>
      <c r="G20" s="35"/>
      <c r="H20" s="35"/>
      <c r="I20" s="35"/>
      <c r="J20" s="36"/>
      <c r="M20" s="37" t="s">
        <v>212</v>
      </c>
      <c r="P20" s="52">
        <v>2000000</v>
      </c>
    </row>
    <row r="21" spans="1:16" x14ac:dyDescent="0.2">
      <c r="A21" s="38"/>
      <c r="B21" s="35" t="s">
        <v>201</v>
      </c>
      <c r="C21" s="35"/>
      <c r="D21" s="35"/>
      <c r="E21" s="35"/>
      <c r="F21" s="35"/>
      <c r="G21" s="35"/>
      <c r="H21" s="35"/>
      <c r="I21" s="35"/>
      <c r="J21" s="36"/>
    </row>
    <row r="22" spans="1:16" x14ac:dyDescent="0.2">
      <c r="A22" s="38"/>
      <c r="B22" s="35"/>
      <c r="C22" s="35"/>
      <c r="D22" s="35"/>
      <c r="E22" s="35"/>
      <c r="F22" s="35"/>
      <c r="G22" s="35"/>
      <c r="H22" s="35"/>
      <c r="I22" s="35"/>
      <c r="J22" s="36"/>
      <c r="M22" s="12" t="s">
        <v>218</v>
      </c>
    </row>
    <row r="23" spans="1:16" ht="34" x14ac:dyDescent="0.2">
      <c r="A23" s="38"/>
      <c r="B23" s="35"/>
      <c r="C23" s="53" t="s">
        <v>26</v>
      </c>
      <c r="D23" s="54" t="s">
        <v>34</v>
      </c>
      <c r="E23" s="54" t="s">
        <v>40</v>
      </c>
      <c r="F23" s="54" t="s">
        <v>46</v>
      </c>
      <c r="G23" s="54" t="s">
        <v>47</v>
      </c>
      <c r="H23" s="35"/>
      <c r="I23" s="35"/>
      <c r="J23" s="36"/>
    </row>
    <row r="24" spans="1:16" x14ac:dyDescent="0.2">
      <c r="A24" s="38"/>
      <c r="B24" s="35"/>
      <c r="C24" s="55" t="s">
        <v>49</v>
      </c>
      <c r="D24" s="41">
        <v>43647</v>
      </c>
      <c r="E24" s="41">
        <v>44012</v>
      </c>
      <c r="F24" s="43">
        <v>2000000</v>
      </c>
      <c r="G24" s="43">
        <v>8000000</v>
      </c>
      <c r="H24" s="35"/>
      <c r="I24" s="35"/>
      <c r="J24" s="36"/>
      <c r="M24" s="37" t="s">
        <v>203</v>
      </c>
      <c r="N24" s="42">
        <f>E11</f>
        <v>4000000</v>
      </c>
    </row>
    <row r="25" spans="1:16" x14ac:dyDescent="0.2">
      <c r="A25" s="38"/>
      <c r="B25" s="35"/>
      <c r="C25" s="55" t="s">
        <v>50</v>
      </c>
      <c r="D25" s="41">
        <v>44013</v>
      </c>
      <c r="E25" s="41">
        <v>44377</v>
      </c>
      <c r="F25" s="43">
        <v>2500000</v>
      </c>
      <c r="G25" s="43">
        <v>7500000</v>
      </c>
      <c r="H25" s="35"/>
      <c r="I25" s="35"/>
      <c r="J25" s="36"/>
      <c r="M25" s="37" t="s">
        <v>204</v>
      </c>
      <c r="N25" s="42">
        <f>E12</f>
        <v>500000</v>
      </c>
    </row>
    <row r="26" spans="1:16" x14ac:dyDescent="0.2">
      <c r="A26" s="38"/>
      <c r="B26" s="35"/>
      <c r="C26" s="55" t="s">
        <v>51</v>
      </c>
      <c r="D26" s="41">
        <v>44378</v>
      </c>
      <c r="E26" s="41">
        <v>44742</v>
      </c>
      <c r="F26" s="43">
        <v>3000000</v>
      </c>
      <c r="G26" s="43">
        <v>7000000</v>
      </c>
      <c r="H26" s="35"/>
      <c r="I26" s="35"/>
      <c r="J26" s="36"/>
      <c r="M26" s="44" t="s">
        <v>205</v>
      </c>
      <c r="N26" s="45">
        <f>SUM(E13,E10,P20)</f>
        <v>2260000</v>
      </c>
    </row>
    <row r="27" spans="1:16" x14ac:dyDescent="0.2">
      <c r="A27" s="38"/>
      <c r="B27" s="35"/>
      <c r="C27" s="35"/>
      <c r="D27" s="35"/>
      <c r="E27" s="35"/>
      <c r="F27" s="35"/>
      <c r="G27" s="35"/>
      <c r="H27" s="35"/>
      <c r="I27" s="35"/>
      <c r="J27" s="36"/>
      <c r="M27" s="37" t="s">
        <v>206</v>
      </c>
      <c r="N27" s="42">
        <f>SUM(N24:N25)-N26</f>
        <v>2240000</v>
      </c>
    </row>
    <row r="28" spans="1:16" x14ac:dyDescent="0.2">
      <c r="A28" s="38"/>
      <c r="B28" s="56" t="s">
        <v>48</v>
      </c>
      <c r="C28" s="35"/>
      <c r="D28" s="35"/>
      <c r="E28" s="35"/>
      <c r="F28" s="35"/>
      <c r="G28" s="35"/>
      <c r="H28" s="35"/>
      <c r="I28" s="35"/>
      <c r="J28" s="36"/>
    </row>
    <row r="29" spans="1:16" ht="17" thickBot="1" x14ac:dyDescent="0.25">
      <c r="A29" s="38"/>
      <c r="B29" s="56" t="s">
        <v>215</v>
      </c>
      <c r="C29" s="35"/>
      <c r="D29" s="35"/>
      <c r="E29" s="35"/>
      <c r="F29" s="35"/>
      <c r="G29" s="35"/>
      <c r="H29" s="35"/>
      <c r="I29" s="35"/>
      <c r="J29" s="36"/>
      <c r="M29" s="37" t="s">
        <v>207</v>
      </c>
      <c r="N29" s="42">
        <f>N24-N26</f>
        <v>1740000</v>
      </c>
    </row>
    <row r="30" spans="1:16" x14ac:dyDescent="0.2">
      <c r="A30" s="38"/>
      <c r="B30" s="56" t="s">
        <v>53</v>
      </c>
      <c r="C30" s="35"/>
      <c r="D30" s="35"/>
      <c r="E30" s="35"/>
      <c r="F30" s="35"/>
      <c r="G30" s="35"/>
      <c r="H30" s="35"/>
      <c r="I30" s="35"/>
      <c r="J30" s="36"/>
      <c r="M30" s="46" t="s">
        <v>208</v>
      </c>
      <c r="N30" s="47">
        <f>MAX(N29-$F$24,0)</f>
        <v>0</v>
      </c>
    </row>
    <row r="31" spans="1:16" x14ac:dyDescent="0.2">
      <c r="A31" s="38"/>
      <c r="B31" s="35"/>
      <c r="C31" s="35"/>
      <c r="D31" s="35"/>
      <c r="E31" s="35"/>
      <c r="F31" s="35"/>
      <c r="G31" s="35"/>
      <c r="H31" s="35"/>
      <c r="I31" s="35"/>
      <c r="J31" s="36"/>
      <c r="M31" s="48" t="s">
        <v>210</v>
      </c>
      <c r="N31" s="49">
        <f>N25*N30/N24</f>
        <v>0</v>
      </c>
    </row>
    <row r="32" spans="1:16" x14ac:dyDescent="0.2">
      <c r="A32" s="38"/>
      <c r="B32" s="35"/>
      <c r="C32" s="35"/>
      <c r="D32" s="35"/>
      <c r="E32" s="35"/>
      <c r="F32" s="35"/>
      <c r="G32" s="35"/>
      <c r="H32" s="35"/>
      <c r="I32" s="35"/>
      <c r="J32" s="36"/>
      <c r="M32" s="48" t="s">
        <v>209</v>
      </c>
      <c r="N32" s="49">
        <f>N29-N30</f>
        <v>1740000</v>
      </c>
    </row>
    <row r="33" spans="1:19" ht="17" thickBot="1" x14ac:dyDescent="0.25">
      <c r="A33" s="35" t="s">
        <v>0</v>
      </c>
      <c r="B33" s="35" t="s">
        <v>59</v>
      </c>
      <c r="C33" s="35"/>
      <c r="D33" s="35"/>
      <c r="E33" s="35"/>
      <c r="F33" s="35"/>
      <c r="G33" s="35"/>
      <c r="H33" s="35"/>
      <c r="I33" s="35"/>
      <c r="J33" s="36"/>
      <c r="M33" s="50" t="s">
        <v>211</v>
      </c>
      <c r="N33" s="51">
        <f>N25-N31</f>
        <v>500000</v>
      </c>
    </row>
    <row r="34" spans="1:19" s="152" customFormat="1" x14ac:dyDescent="0.2">
      <c r="A34" s="149"/>
      <c r="B34" s="150"/>
      <c r="C34" s="150"/>
      <c r="D34" s="150"/>
      <c r="E34" s="150"/>
      <c r="F34" s="150"/>
      <c r="G34" s="150"/>
      <c r="H34" s="150"/>
      <c r="I34" s="150"/>
      <c r="J34" s="151"/>
    </row>
    <row r="35" spans="1:19" s="152" customFormat="1" x14ac:dyDescent="0.2">
      <c r="A35" s="150" t="s">
        <v>1</v>
      </c>
      <c r="B35" s="150" t="s">
        <v>60</v>
      </c>
      <c r="C35" s="150"/>
      <c r="D35" s="150"/>
      <c r="E35" s="150"/>
      <c r="F35" s="150"/>
      <c r="G35" s="150"/>
      <c r="H35" s="150"/>
      <c r="I35" s="150"/>
      <c r="J35" s="151"/>
    </row>
    <row r="36" spans="1:19" s="152" customFormat="1" x14ac:dyDescent="0.2">
      <c r="A36" s="149"/>
      <c r="B36" s="150"/>
      <c r="C36" s="150"/>
      <c r="D36" s="150"/>
      <c r="E36" s="150"/>
      <c r="F36" s="150"/>
      <c r="G36" s="150"/>
      <c r="H36" s="150"/>
      <c r="I36" s="150"/>
      <c r="J36" s="151"/>
      <c r="L36" s="12" t="s">
        <v>5</v>
      </c>
    </row>
    <row r="37" spans="1:19" s="152" customFormat="1" ht="16" customHeight="1" x14ac:dyDescent="0.2">
      <c r="A37" s="150" t="s">
        <v>2</v>
      </c>
      <c r="B37" s="150" t="s">
        <v>213</v>
      </c>
      <c r="C37" s="150"/>
      <c r="D37" s="150"/>
      <c r="E37" s="150"/>
      <c r="F37" s="150"/>
      <c r="G37" s="150"/>
      <c r="H37" s="150"/>
      <c r="I37" s="150"/>
      <c r="J37" s="151"/>
      <c r="M37" s="383" t="s">
        <v>214</v>
      </c>
      <c r="N37" s="383"/>
      <c r="O37" s="383"/>
      <c r="P37" s="383"/>
      <c r="Q37" s="383"/>
      <c r="R37" s="383"/>
      <c r="S37" s="383"/>
    </row>
    <row r="38" spans="1:19" s="152" customFormat="1" x14ac:dyDescent="0.2">
      <c r="A38" s="149"/>
      <c r="B38" s="150"/>
      <c r="C38" s="150"/>
      <c r="D38" s="150"/>
      <c r="E38" s="150"/>
      <c r="F38" s="150"/>
      <c r="G38" s="150"/>
      <c r="H38" s="150"/>
      <c r="I38" s="150"/>
      <c r="J38" s="151"/>
      <c r="M38" s="383"/>
      <c r="N38" s="383"/>
      <c r="O38" s="383"/>
      <c r="P38" s="383"/>
      <c r="Q38" s="383"/>
      <c r="R38" s="383"/>
      <c r="S38" s="383"/>
    </row>
    <row r="39" spans="1:19" s="152" customFormat="1" ht="17" thickBot="1" x14ac:dyDescent="0.25">
      <c r="A39" s="149"/>
      <c r="B39" s="150"/>
      <c r="C39" s="150"/>
      <c r="D39" s="150"/>
      <c r="E39" s="150"/>
      <c r="F39" s="150"/>
      <c r="G39" s="150"/>
      <c r="H39" s="150"/>
      <c r="I39" s="150"/>
      <c r="J39" s="151"/>
      <c r="M39" s="383"/>
      <c r="N39" s="383"/>
      <c r="O39" s="383"/>
      <c r="P39" s="383"/>
      <c r="Q39" s="383"/>
      <c r="R39" s="383"/>
      <c r="S39" s="383"/>
    </row>
    <row r="40" spans="1:19" s="152" customFormat="1" ht="17" thickBot="1" x14ac:dyDescent="0.25">
      <c r="A40" s="153" t="s">
        <v>7</v>
      </c>
      <c r="B40" s="154"/>
      <c r="C40" s="155"/>
      <c r="D40" s="155"/>
      <c r="E40" s="155"/>
      <c r="F40" s="154"/>
      <c r="G40" s="154"/>
      <c r="H40" s="154"/>
      <c r="I40" s="154"/>
      <c r="J40" s="156"/>
      <c r="M40" s="383"/>
      <c r="N40" s="383"/>
      <c r="O40" s="383"/>
      <c r="P40" s="383"/>
      <c r="Q40" s="383"/>
      <c r="R40" s="383"/>
      <c r="S40" s="383"/>
    </row>
    <row r="41" spans="1:19" s="152" customFormat="1" x14ac:dyDescent="0.2">
      <c r="M41" s="383"/>
      <c r="N41" s="383"/>
      <c r="O41" s="383"/>
      <c r="P41" s="383"/>
      <c r="Q41" s="383"/>
      <c r="R41" s="383"/>
      <c r="S41" s="383"/>
    </row>
    <row r="42" spans="1:19" s="152" customFormat="1" x14ac:dyDescent="0.2">
      <c r="M42" s="383"/>
      <c r="N42" s="383"/>
      <c r="O42" s="383"/>
      <c r="P42" s="383"/>
      <c r="Q42" s="383"/>
      <c r="R42" s="383"/>
      <c r="S42" s="383"/>
    </row>
    <row r="43" spans="1:19" s="152" customFormat="1" x14ac:dyDescent="0.2"/>
    <row r="44" spans="1:19" s="152" customFormat="1" ht="19" x14ac:dyDescent="0.2">
      <c r="L44" s="5" t="s">
        <v>19</v>
      </c>
    </row>
    <row r="45" spans="1:19" s="152" customFormat="1" x14ac:dyDescent="0.2">
      <c r="L45" s="152" t="s">
        <v>216</v>
      </c>
    </row>
    <row r="46" spans="1:19" s="152" customFormat="1" x14ac:dyDescent="0.2"/>
    <row r="47" spans="1:19" s="152" customFormat="1" x14ac:dyDescent="0.2"/>
    <row r="48" spans="1:19" s="152" customFormat="1" ht="19" x14ac:dyDescent="0.25">
      <c r="L48" s="2" t="s">
        <v>290</v>
      </c>
    </row>
    <row r="49" spans="12:12" s="152" customFormat="1" x14ac:dyDescent="0.2">
      <c r="L49" s="152" t="s">
        <v>285</v>
      </c>
    </row>
    <row r="50" spans="12:12" s="152" customFormat="1" x14ac:dyDescent="0.2"/>
    <row r="51" spans="12:12" s="152" customFormat="1" x14ac:dyDescent="0.2"/>
    <row r="52" spans="12:12" s="152" customFormat="1" x14ac:dyDescent="0.2"/>
    <row r="53" spans="12:12" s="152" customFormat="1" x14ac:dyDescent="0.2"/>
    <row r="54" spans="12:12" s="152" customFormat="1" x14ac:dyDescent="0.2"/>
    <row r="55" spans="12:12" s="152" customFormat="1" x14ac:dyDescent="0.2"/>
    <row r="56" spans="12:12" s="152" customFormat="1" x14ac:dyDescent="0.2"/>
    <row r="57" spans="12:12" s="152" customFormat="1" x14ac:dyDescent="0.2"/>
    <row r="58" spans="12:12" s="152" customFormat="1" x14ac:dyDescent="0.2"/>
    <row r="59" spans="12:12" s="152" customFormat="1" x14ac:dyDescent="0.2"/>
    <row r="60" spans="12:12" s="152" customFormat="1" x14ac:dyDescent="0.2"/>
    <row r="61" spans="12:12" s="152" customFormat="1" x14ac:dyDescent="0.2"/>
    <row r="62" spans="12:12" s="152" customFormat="1" x14ac:dyDescent="0.2"/>
    <row r="63" spans="12:12" s="152" customFormat="1" x14ac:dyDescent="0.2"/>
    <row r="64" spans="12:12" s="152" customFormat="1" x14ac:dyDescent="0.2"/>
    <row r="65" spans="14:14" s="152" customFormat="1" x14ac:dyDescent="0.2"/>
    <row r="66" spans="14:14" s="152" customFormat="1" x14ac:dyDescent="0.2"/>
    <row r="67" spans="14:14" s="152" customFormat="1" x14ac:dyDescent="0.2"/>
    <row r="68" spans="14:14" s="152" customFormat="1" x14ac:dyDescent="0.2"/>
    <row r="69" spans="14:14" s="152" customFormat="1" x14ac:dyDescent="0.2"/>
    <row r="70" spans="14:14" s="152" customFormat="1" x14ac:dyDescent="0.2"/>
    <row r="71" spans="14:14" s="152" customFormat="1" x14ac:dyDescent="0.2"/>
    <row r="72" spans="14:14" s="152" customFormat="1" x14ac:dyDescent="0.2"/>
    <row r="73" spans="14:14" s="152" customFormat="1" x14ac:dyDescent="0.2"/>
    <row r="74" spans="14:14" s="152" customFormat="1" x14ac:dyDescent="0.2"/>
    <row r="75" spans="14:14" s="152" customFormat="1" x14ac:dyDescent="0.2"/>
    <row r="76" spans="14:14" s="152" customFormat="1" x14ac:dyDescent="0.2">
      <c r="N76" s="157"/>
    </row>
    <row r="77" spans="14:14" s="152" customFormat="1" x14ac:dyDescent="0.2"/>
    <row r="78" spans="14:14" s="152" customFormat="1" x14ac:dyDescent="0.2"/>
    <row r="79" spans="14:14" s="152" customFormat="1" x14ac:dyDescent="0.2"/>
    <row r="80" spans="14:14" s="152" customFormat="1" x14ac:dyDescent="0.2"/>
    <row r="81" spans="14:14" s="152" customFormat="1" x14ac:dyDescent="0.2"/>
    <row r="82" spans="14:14" s="152" customFormat="1" x14ac:dyDescent="0.2"/>
    <row r="83" spans="14:14" s="152" customFormat="1" x14ac:dyDescent="0.2"/>
    <row r="84" spans="14:14" s="152" customFormat="1" x14ac:dyDescent="0.2"/>
    <row r="85" spans="14:14" s="152" customFormat="1" x14ac:dyDescent="0.2"/>
    <row r="86" spans="14:14" s="152" customFormat="1" x14ac:dyDescent="0.2">
      <c r="N86" s="157"/>
    </row>
    <row r="87" spans="14:14" s="152" customFormat="1" x14ac:dyDescent="0.2"/>
    <row r="88" spans="14:14" s="152" customFormat="1" x14ac:dyDescent="0.2"/>
    <row r="89" spans="14:14" s="152" customFormat="1" x14ac:dyDescent="0.2"/>
    <row r="90" spans="14:14" s="152" customFormat="1" x14ac:dyDescent="0.2"/>
    <row r="91" spans="14:14" s="152" customFormat="1" x14ac:dyDescent="0.2"/>
    <row r="92" spans="14:14" s="152" customFormat="1" x14ac:dyDescent="0.2"/>
    <row r="93" spans="14:14" s="152" customFormat="1" x14ac:dyDescent="0.2"/>
    <row r="94" spans="14:14" s="152" customFormat="1" x14ac:dyDescent="0.2"/>
    <row r="95" spans="14:14" s="152" customFormat="1" x14ac:dyDescent="0.2"/>
    <row r="96" spans="14:14" s="152" customFormat="1" x14ac:dyDescent="0.2">
      <c r="N96" s="157"/>
    </row>
    <row r="97" s="152" customFormat="1" x14ac:dyDescent="0.2"/>
    <row r="98" s="152" customFormat="1" x14ac:dyDescent="0.2"/>
    <row r="99" s="152" customFormat="1" x14ac:dyDescent="0.2"/>
    <row r="100" s="152" customFormat="1" x14ac:dyDescent="0.2"/>
    <row r="101" s="152" customFormat="1" x14ac:dyDescent="0.2"/>
    <row r="102" s="152" customFormat="1" x14ac:dyDescent="0.2"/>
    <row r="103" s="152" customFormat="1" x14ac:dyDescent="0.2"/>
    <row r="104" s="152" customFormat="1" x14ac:dyDescent="0.2"/>
    <row r="105" s="152" customFormat="1" x14ac:dyDescent="0.2"/>
    <row r="106" s="152" customFormat="1" x14ac:dyDescent="0.2"/>
    <row r="107" s="152" customFormat="1" x14ac:dyDescent="0.2"/>
    <row r="108" s="152" customFormat="1" x14ac:dyDescent="0.2"/>
    <row r="109" s="152" customFormat="1" x14ac:dyDescent="0.2"/>
    <row r="110" s="152" customFormat="1" x14ac:dyDescent="0.2"/>
    <row r="111" s="152" customFormat="1" x14ac:dyDescent="0.2"/>
    <row r="112" s="152" customFormat="1" x14ac:dyDescent="0.2"/>
    <row r="113" s="152" customFormat="1" x14ac:dyDescent="0.2"/>
    <row r="114" s="152" customFormat="1" x14ac:dyDescent="0.2"/>
    <row r="115" s="152" customFormat="1" x14ac:dyDescent="0.2"/>
    <row r="116" s="152" customFormat="1" x14ac:dyDescent="0.2"/>
    <row r="117" s="152" customFormat="1" x14ac:dyDescent="0.2"/>
    <row r="118" s="152" customFormat="1" x14ac:dyDescent="0.2"/>
    <row r="119" s="152" customFormat="1" x14ac:dyDescent="0.2"/>
    <row r="120" s="152" customFormat="1" x14ac:dyDescent="0.2"/>
    <row r="121" s="152" customFormat="1" x14ac:dyDescent="0.2"/>
    <row r="122" s="152" customFormat="1" x14ac:dyDescent="0.2"/>
    <row r="123" s="152" customFormat="1" x14ac:dyDescent="0.2"/>
    <row r="124" s="152" customFormat="1" x14ac:dyDescent="0.2"/>
    <row r="125" s="152" customFormat="1" x14ac:dyDescent="0.2"/>
    <row r="126" s="152" customFormat="1" x14ac:dyDescent="0.2"/>
    <row r="127" s="152" customFormat="1" x14ac:dyDescent="0.2"/>
    <row r="128" s="152" customFormat="1" x14ac:dyDescent="0.2"/>
    <row r="129" s="152" customFormat="1" x14ac:dyDescent="0.2"/>
    <row r="130" s="152" customFormat="1" x14ac:dyDescent="0.2"/>
    <row r="131" s="152" customFormat="1" x14ac:dyDescent="0.2"/>
    <row r="132" s="152" customFormat="1" x14ac:dyDescent="0.2"/>
    <row r="133" s="152" customFormat="1" x14ac:dyDescent="0.2"/>
    <row r="134" s="152" customFormat="1" x14ac:dyDescent="0.2"/>
    <row r="135" s="152" customFormat="1" x14ac:dyDescent="0.2"/>
    <row r="136" s="152" customFormat="1" x14ac:dyDescent="0.2"/>
    <row r="137" s="152" customFormat="1" x14ac:dyDescent="0.2"/>
    <row r="138" s="152" customFormat="1" x14ac:dyDescent="0.2"/>
    <row r="139" s="152" customFormat="1" x14ac:dyDescent="0.2"/>
    <row r="140" s="152" customFormat="1" x14ac:dyDescent="0.2"/>
    <row r="141" s="152" customFormat="1" x14ac:dyDescent="0.2"/>
    <row r="142" s="152" customFormat="1" x14ac:dyDescent="0.2"/>
    <row r="143" s="152" customFormat="1" x14ac:dyDescent="0.2"/>
    <row r="144" s="152" customFormat="1" x14ac:dyDescent="0.2"/>
    <row r="145" s="152" customFormat="1" x14ac:dyDescent="0.2"/>
    <row r="146" s="152" customFormat="1" x14ac:dyDescent="0.2"/>
    <row r="147" s="152" customFormat="1" x14ac:dyDescent="0.2"/>
    <row r="148" s="152" customFormat="1" x14ac:dyDescent="0.2"/>
    <row r="149" s="152" customFormat="1" x14ac:dyDescent="0.2"/>
    <row r="150" s="152" customFormat="1" x14ac:dyDescent="0.2"/>
    <row r="151" s="152" customFormat="1" x14ac:dyDescent="0.2"/>
    <row r="152" s="152" customFormat="1" x14ac:dyDescent="0.2"/>
    <row r="153" s="152" customFormat="1" x14ac:dyDescent="0.2"/>
    <row r="154" s="152" customFormat="1" x14ac:dyDescent="0.2"/>
    <row r="155" s="152" customFormat="1" x14ac:dyDescent="0.2"/>
    <row r="156" s="152" customFormat="1" x14ac:dyDescent="0.2"/>
    <row r="157" s="152" customFormat="1" x14ac:dyDescent="0.2"/>
    <row r="158" s="152" customFormat="1" x14ac:dyDescent="0.2"/>
    <row r="159" s="152" customFormat="1" x14ac:dyDescent="0.2"/>
    <row r="160" s="152" customFormat="1" x14ac:dyDescent="0.2"/>
    <row r="161" s="152" customFormat="1" x14ac:dyDescent="0.2"/>
    <row r="162" s="152" customFormat="1" x14ac:dyDescent="0.2"/>
    <row r="163" s="152" customFormat="1" x14ac:dyDescent="0.2"/>
    <row r="164" s="152" customFormat="1" x14ac:dyDescent="0.2"/>
    <row r="165" s="152" customFormat="1" x14ac:dyDescent="0.2"/>
    <row r="166" s="152" customFormat="1" x14ac:dyDescent="0.2"/>
    <row r="167" s="152" customFormat="1" x14ac:dyDescent="0.2"/>
    <row r="168" s="152" customFormat="1" x14ac:dyDescent="0.2"/>
    <row r="169" s="152" customFormat="1" x14ac:dyDescent="0.2"/>
    <row r="170" s="152" customFormat="1" x14ac:dyDescent="0.2"/>
    <row r="171" s="152" customFormat="1" x14ac:dyDescent="0.2"/>
    <row r="172" s="152" customFormat="1" x14ac:dyDescent="0.2"/>
    <row r="173" s="152" customFormat="1" x14ac:dyDescent="0.2"/>
    <row r="174" s="152" customFormat="1" x14ac:dyDescent="0.2"/>
    <row r="175" s="152" customFormat="1" x14ac:dyDescent="0.2"/>
    <row r="176" s="152" customFormat="1" x14ac:dyDescent="0.2"/>
    <row r="177" s="152" customFormat="1" x14ac:dyDescent="0.2"/>
    <row r="178" s="152" customFormat="1" x14ac:dyDescent="0.2"/>
    <row r="179" s="152" customFormat="1" x14ac:dyDescent="0.2"/>
    <row r="180" s="152" customFormat="1" x14ac:dyDescent="0.2"/>
    <row r="181" s="152" customFormat="1" x14ac:dyDescent="0.2"/>
    <row r="182" s="152" customFormat="1" x14ac:dyDescent="0.2"/>
    <row r="183" s="152" customFormat="1" x14ac:dyDescent="0.2"/>
    <row r="184" s="152" customFormat="1" x14ac:dyDescent="0.2"/>
    <row r="185" s="152" customFormat="1" x14ac:dyDescent="0.2"/>
    <row r="186" s="152" customFormat="1" x14ac:dyDescent="0.2"/>
    <row r="187" s="152" customFormat="1" x14ac:dyDescent="0.2"/>
    <row r="188" s="152" customFormat="1" x14ac:dyDescent="0.2"/>
    <row r="189" s="152" customFormat="1" x14ac:dyDescent="0.2"/>
    <row r="190" s="152" customFormat="1" x14ac:dyDescent="0.2"/>
    <row r="191" s="152" customFormat="1" x14ac:dyDescent="0.2"/>
    <row r="192" s="152" customFormat="1" x14ac:dyDescent="0.2"/>
    <row r="193" s="152" customFormat="1" x14ac:dyDescent="0.2"/>
    <row r="194" s="152" customFormat="1" x14ac:dyDescent="0.2"/>
    <row r="195" s="152" customFormat="1" x14ac:dyDescent="0.2"/>
    <row r="196" s="152" customFormat="1" x14ac:dyDescent="0.2"/>
    <row r="197" s="152" customFormat="1" x14ac:dyDescent="0.2"/>
    <row r="198" s="152" customFormat="1" x14ac:dyDescent="0.2"/>
    <row r="199" s="152" customFormat="1" x14ac:dyDescent="0.2"/>
    <row r="200" s="152" customFormat="1" x14ac:dyDescent="0.2"/>
    <row r="201" s="152" customFormat="1" x14ac:dyDescent="0.2"/>
    <row r="202" s="152" customFormat="1" x14ac:dyDescent="0.2"/>
    <row r="203" s="152" customFormat="1" x14ac:dyDescent="0.2"/>
    <row r="204" s="152" customFormat="1" x14ac:dyDescent="0.2"/>
    <row r="205" s="152" customFormat="1" x14ac:dyDescent="0.2"/>
    <row r="206" s="152" customFormat="1" x14ac:dyDescent="0.2"/>
    <row r="207" s="152" customFormat="1" x14ac:dyDescent="0.2"/>
    <row r="208" s="152" customFormat="1" x14ac:dyDescent="0.2"/>
    <row r="209" s="152" customFormat="1" x14ac:dyDescent="0.2"/>
    <row r="210" s="152" customFormat="1" x14ac:dyDescent="0.2"/>
    <row r="211" s="152" customFormat="1" x14ac:dyDescent="0.2"/>
    <row r="212" s="152" customFormat="1" x14ac:dyDescent="0.2"/>
    <row r="213" s="152" customFormat="1" x14ac:dyDescent="0.2"/>
    <row r="214" s="152" customFormat="1" x14ac:dyDescent="0.2"/>
    <row r="215" s="152" customFormat="1" x14ac:dyDescent="0.2"/>
    <row r="216" s="152" customFormat="1" x14ac:dyDescent="0.2"/>
    <row r="217" s="152" customFormat="1" x14ac:dyDescent="0.2"/>
    <row r="218" s="152" customFormat="1" x14ac:dyDescent="0.2"/>
    <row r="219" s="152" customFormat="1" x14ac:dyDescent="0.2"/>
    <row r="220" s="152" customFormat="1" x14ac:dyDescent="0.2"/>
    <row r="221" s="152" customFormat="1" x14ac:dyDescent="0.2"/>
    <row r="222" s="152" customFormat="1" x14ac:dyDescent="0.2"/>
    <row r="223" s="152" customFormat="1" x14ac:dyDescent="0.2"/>
    <row r="224" s="152" customFormat="1" x14ac:dyDescent="0.2"/>
    <row r="225" s="152" customFormat="1" x14ac:dyDescent="0.2"/>
    <row r="226" s="152" customFormat="1" x14ac:dyDescent="0.2"/>
    <row r="227" s="152" customFormat="1" x14ac:dyDescent="0.2"/>
    <row r="228" s="152" customFormat="1" x14ac:dyDescent="0.2"/>
    <row r="229" s="152" customFormat="1" x14ac:dyDescent="0.2"/>
    <row r="230" s="152" customFormat="1" x14ac:dyDescent="0.2"/>
    <row r="231" s="152" customFormat="1" x14ac:dyDescent="0.2"/>
    <row r="232" s="152" customFormat="1" x14ac:dyDescent="0.2"/>
    <row r="233" s="152" customFormat="1" x14ac:dyDescent="0.2"/>
    <row r="234" s="152" customFormat="1" x14ac:dyDescent="0.2"/>
    <row r="235" s="152" customFormat="1" x14ac:dyDescent="0.2"/>
    <row r="236" s="152" customFormat="1" x14ac:dyDescent="0.2"/>
    <row r="237" s="152" customFormat="1" x14ac:dyDescent="0.2"/>
    <row r="238" s="152" customFormat="1" x14ac:dyDescent="0.2"/>
    <row r="239" s="152" customFormat="1" x14ac:dyDescent="0.2"/>
    <row r="240" s="152" customFormat="1" x14ac:dyDescent="0.2"/>
    <row r="241" s="152" customFormat="1" x14ac:dyDescent="0.2"/>
    <row r="242" s="152" customFormat="1" x14ac:dyDescent="0.2"/>
    <row r="243" s="152" customFormat="1" x14ac:dyDescent="0.2"/>
    <row r="244" s="152" customFormat="1" x14ac:dyDescent="0.2"/>
    <row r="245" s="152" customFormat="1" x14ac:dyDescent="0.2"/>
    <row r="246" s="152" customFormat="1" x14ac:dyDescent="0.2"/>
    <row r="247" s="152" customFormat="1" x14ac:dyDescent="0.2"/>
    <row r="248" s="152" customFormat="1" x14ac:dyDescent="0.2"/>
    <row r="249" s="152" customFormat="1" x14ac:dyDescent="0.2"/>
    <row r="250" s="152" customFormat="1" x14ac:dyDescent="0.2"/>
    <row r="251" s="152" customFormat="1" x14ac:dyDescent="0.2"/>
    <row r="252" s="152" customFormat="1" x14ac:dyDescent="0.2"/>
    <row r="253" s="152" customFormat="1" x14ac:dyDescent="0.2"/>
    <row r="254" s="152" customFormat="1" x14ac:dyDescent="0.2"/>
    <row r="255" s="152" customFormat="1" x14ac:dyDescent="0.2"/>
    <row r="256" s="152" customFormat="1" x14ac:dyDescent="0.2"/>
    <row r="257" s="152" customFormat="1" x14ac:dyDescent="0.2"/>
    <row r="258" s="152" customFormat="1" x14ac:dyDescent="0.2"/>
    <row r="259" s="152" customFormat="1" x14ac:dyDescent="0.2"/>
    <row r="260" s="152" customFormat="1" x14ac:dyDescent="0.2"/>
    <row r="261" s="152" customFormat="1" x14ac:dyDescent="0.2"/>
    <row r="262" s="152" customFormat="1" x14ac:dyDescent="0.2"/>
    <row r="263" s="152" customFormat="1" x14ac:dyDescent="0.2"/>
    <row r="264" s="152" customFormat="1" x14ac:dyDescent="0.2"/>
    <row r="265" s="152" customFormat="1" x14ac:dyDescent="0.2"/>
    <row r="266" s="152" customFormat="1" x14ac:dyDescent="0.2"/>
    <row r="267" s="152" customFormat="1" x14ac:dyDescent="0.2"/>
    <row r="268" s="152" customFormat="1" x14ac:dyDescent="0.2"/>
    <row r="269" s="152" customFormat="1" x14ac:dyDescent="0.2"/>
    <row r="270" s="152" customFormat="1" x14ac:dyDescent="0.2"/>
    <row r="271" s="152" customFormat="1" x14ac:dyDescent="0.2"/>
    <row r="272" s="152" customFormat="1" x14ac:dyDescent="0.2"/>
    <row r="273" s="152" customFormat="1" x14ac:dyDescent="0.2"/>
    <row r="274" s="152" customFormat="1" x14ac:dyDescent="0.2"/>
    <row r="275" s="152" customFormat="1" x14ac:dyDescent="0.2"/>
    <row r="276" s="152" customFormat="1" x14ac:dyDescent="0.2"/>
    <row r="277" s="152" customFormat="1" x14ac:dyDescent="0.2"/>
    <row r="278" s="152" customFormat="1" x14ac:dyDescent="0.2"/>
    <row r="279" s="152" customFormat="1" x14ac:dyDescent="0.2"/>
    <row r="280" s="152" customFormat="1" x14ac:dyDescent="0.2"/>
    <row r="281" s="152" customFormat="1" x14ac:dyDescent="0.2"/>
    <row r="282" s="152" customFormat="1" x14ac:dyDescent="0.2"/>
    <row r="283" s="152" customFormat="1" x14ac:dyDescent="0.2"/>
    <row r="284" s="152" customFormat="1" x14ac:dyDescent="0.2"/>
  </sheetData>
  <mergeCells count="3">
    <mergeCell ref="B3:I4"/>
    <mergeCell ref="B18:I19"/>
    <mergeCell ref="M37:S42"/>
  </mergeCells>
  <pageMargins left="0.7" right="0.7" top="0.75" bottom="0.75" header="0.3" footer="0.3"/>
  <pageSetup scale="74"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61961-4595-C74F-9828-7DA1C10CD78E}">
  <dimension ref="A1:T39"/>
  <sheetViews>
    <sheetView zoomScaleNormal="100" workbookViewId="0">
      <selection activeCell="G44" sqref="G44"/>
    </sheetView>
  </sheetViews>
  <sheetFormatPr baseColWidth="10" defaultColWidth="11" defaultRowHeight="16" outlineLevelCol="1" x14ac:dyDescent="0.2"/>
  <cols>
    <col min="1" max="1" width="4.5" customWidth="1"/>
    <col min="2" max="11" width="10.83203125" customWidth="1"/>
    <col min="12" max="12" width="11.1640625" bestFit="1" customWidth="1"/>
    <col min="13" max="13" width="17.1640625" hidden="1" customWidth="1" outlineLevel="1"/>
    <col min="14" max="14" width="12.83203125" hidden="1" customWidth="1" outlineLevel="1"/>
    <col min="15" max="15" width="14.5" hidden="1" customWidth="1" outlineLevel="1"/>
    <col min="16" max="17" width="12.83203125" hidden="1" customWidth="1" outlineLevel="1"/>
    <col min="18" max="18" width="14.6640625" hidden="1" customWidth="1" outlineLevel="1"/>
    <col min="19" max="19" width="12.83203125" hidden="1" customWidth="1" outlineLevel="1"/>
    <col min="20" max="20" width="11.1640625" customWidth="1" collapsed="1"/>
    <col min="21" max="21" width="12.5" bestFit="1" customWidth="1"/>
  </cols>
  <sheetData>
    <row r="1" spans="1:19" ht="19" x14ac:dyDescent="0.25">
      <c r="A1" s="263" t="s">
        <v>321</v>
      </c>
      <c r="B1" s="262"/>
      <c r="C1" s="261"/>
      <c r="D1" s="261"/>
      <c r="E1" s="261"/>
      <c r="F1" s="260"/>
      <c r="G1" s="260"/>
      <c r="H1" s="260"/>
      <c r="I1" s="260"/>
      <c r="J1" s="259"/>
      <c r="L1" s="258" t="s">
        <v>320</v>
      </c>
    </row>
    <row r="2" spans="1:19" x14ac:dyDescent="0.2">
      <c r="A2" s="230"/>
      <c r="B2" s="229"/>
      <c r="C2" s="229"/>
      <c r="D2" s="229"/>
      <c r="E2" s="229"/>
      <c r="F2" s="229"/>
      <c r="G2" s="229"/>
      <c r="H2" s="229"/>
      <c r="I2" s="229"/>
      <c r="J2" s="228"/>
    </row>
    <row r="3" spans="1:19" ht="16" customHeight="1" x14ac:dyDescent="0.2">
      <c r="A3" s="230"/>
      <c r="B3" s="413" t="s">
        <v>319</v>
      </c>
      <c r="C3" s="413"/>
      <c r="D3" s="413"/>
      <c r="E3" s="413"/>
      <c r="F3" s="413"/>
      <c r="G3" s="413"/>
      <c r="H3" s="413"/>
      <c r="I3" s="413"/>
      <c r="J3" s="228"/>
      <c r="M3" s="257" t="s">
        <v>318</v>
      </c>
    </row>
    <row r="4" spans="1:19" x14ac:dyDescent="0.2">
      <c r="A4" s="230"/>
      <c r="B4" s="413"/>
      <c r="C4" s="413"/>
      <c r="D4" s="413"/>
      <c r="E4" s="413"/>
      <c r="F4" s="413"/>
      <c r="G4" s="413"/>
      <c r="H4" s="413"/>
      <c r="I4" s="413"/>
      <c r="J4" s="228"/>
    </row>
    <row r="5" spans="1:19" x14ac:dyDescent="0.2">
      <c r="A5" s="230"/>
      <c r="B5" s="413"/>
      <c r="C5" s="413"/>
      <c r="D5" s="413"/>
      <c r="E5" s="413"/>
      <c r="F5" s="413"/>
      <c r="G5" s="413"/>
      <c r="H5" s="413"/>
      <c r="I5" s="413"/>
      <c r="J5" s="228"/>
      <c r="M5" t="s">
        <v>317</v>
      </c>
      <c r="N5" s="233">
        <v>5</v>
      </c>
    </row>
    <row r="6" spans="1:19" x14ac:dyDescent="0.2">
      <c r="A6" s="230"/>
      <c r="B6" s="413"/>
      <c r="C6" s="413"/>
      <c r="D6" s="413"/>
      <c r="E6" s="413"/>
      <c r="F6" s="413"/>
      <c r="G6" s="413"/>
      <c r="H6" s="413"/>
      <c r="I6" s="413"/>
      <c r="J6" s="228"/>
      <c r="M6" t="s">
        <v>316</v>
      </c>
      <c r="N6" s="233">
        <f>N5*4</f>
        <v>20</v>
      </c>
    </row>
    <row r="7" spans="1:19" x14ac:dyDescent="0.2">
      <c r="A7" s="230"/>
      <c r="B7" s="229"/>
      <c r="C7" s="229"/>
      <c r="D7" s="229"/>
      <c r="E7" s="229"/>
      <c r="F7" s="229"/>
      <c r="G7" s="229"/>
      <c r="H7" s="229"/>
      <c r="I7" s="229"/>
      <c r="J7" s="228"/>
      <c r="N7" s="406" t="s">
        <v>160</v>
      </c>
      <c r="O7" s="406"/>
      <c r="P7" s="418"/>
      <c r="Q7" s="419" t="s">
        <v>161</v>
      </c>
      <c r="R7" s="419"/>
      <c r="S7" s="419"/>
    </row>
    <row r="8" spans="1:19" x14ac:dyDescent="0.2">
      <c r="A8" s="230"/>
      <c r="B8" s="229"/>
      <c r="C8" s="256"/>
      <c r="D8" s="255"/>
      <c r="E8" s="410" t="s">
        <v>315</v>
      </c>
      <c r="F8" s="407" t="s">
        <v>314</v>
      </c>
      <c r="G8" s="229"/>
      <c r="H8" s="229"/>
      <c r="I8" s="229"/>
      <c r="J8" s="228"/>
      <c r="M8" s="232"/>
      <c r="N8" s="416" t="s">
        <v>313</v>
      </c>
      <c r="O8" s="414" t="s">
        <v>315</v>
      </c>
      <c r="P8" s="414" t="s">
        <v>314</v>
      </c>
      <c r="R8" s="414" t="s">
        <v>315</v>
      </c>
      <c r="S8" s="414" t="s">
        <v>314</v>
      </c>
    </row>
    <row r="9" spans="1:19" x14ac:dyDescent="0.2">
      <c r="A9" s="230"/>
      <c r="B9" s="229"/>
      <c r="C9" s="254"/>
      <c r="D9" s="411" t="s">
        <v>313</v>
      </c>
      <c r="E9" s="411"/>
      <c r="F9" s="408"/>
      <c r="G9" s="229"/>
      <c r="H9" s="229"/>
      <c r="I9" s="229"/>
      <c r="J9" s="228"/>
      <c r="M9" s="224" t="s">
        <v>33</v>
      </c>
      <c r="N9" s="417"/>
      <c r="O9" s="415"/>
      <c r="P9" s="415"/>
      <c r="Q9" s="222" t="s">
        <v>305</v>
      </c>
      <c r="R9" s="415"/>
      <c r="S9" s="415"/>
    </row>
    <row r="10" spans="1:19" x14ac:dyDescent="0.2">
      <c r="A10" s="230"/>
      <c r="B10" s="229"/>
      <c r="C10" s="244" t="s">
        <v>33</v>
      </c>
      <c r="D10" s="412"/>
      <c r="E10" s="412"/>
      <c r="F10" s="409"/>
      <c r="G10" s="229"/>
      <c r="H10" s="229"/>
      <c r="I10" s="229"/>
      <c r="J10" s="228"/>
      <c r="M10" s="221" t="s">
        <v>304</v>
      </c>
      <c r="N10" s="252">
        <f t="shared" ref="N10:P15" si="0">D11</f>
        <v>3</v>
      </c>
      <c r="O10" s="219">
        <f t="shared" si="0"/>
        <v>2500</v>
      </c>
      <c r="P10" s="253">
        <f t="shared" si="0"/>
        <v>1500</v>
      </c>
      <c r="Q10" s="220">
        <f t="shared" ref="Q10:Q15" si="1">MAX(MIN(N10-$N$5,$N$6),0)/N10</f>
        <v>0</v>
      </c>
      <c r="R10" s="219">
        <f t="shared" ref="R10:R15" si="2">Q10*O10</f>
        <v>0</v>
      </c>
      <c r="S10" s="219">
        <f t="shared" ref="S10:S15" si="3">P10*Q10</f>
        <v>0</v>
      </c>
    </row>
    <row r="11" spans="1:19" x14ac:dyDescent="0.2">
      <c r="A11" s="230"/>
      <c r="B11" s="229"/>
      <c r="C11" s="251" t="s">
        <v>304</v>
      </c>
      <c r="D11" s="250">
        <v>3</v>
      </c>
      <c r="E11" s="249">
        <v>2500</v>
      </c>
      <c r="F11" s="248">
        <v>1500</v>
      </c>
      <c r="G11" s="229"/>
      <c r="H11" s="229"/>
      <c r="I11" s="229"/>
      <c r="J11" s="228"/>
      <c r="M11" s="221" t="s">
        <v>303</v>
      </c>
      <c r="N11" s="252">
        <f t="shared" si="0"/>
        <v>4</v>
      </c>
      <c r="O11" s="219">
        <f t="shared" si="0"/>
        <v>3750</v>
      </c>
      <c r="P11" s="239">
        <f t="shared" si="0"/>
        <v>2950</v>
      </c>
      <c r="Q11" s="220">
        <f t="shared" si="1"/>
        <v>0</v>
      </c>
      <c r="R11" s="219">
        <f t="shared" si="2"/>
        <v>0</v>
      </c>
      <c r="S11" s="219">
        <f t="shared" si="3"/>
        <v>0</v>
      </c>
    </row>
    <row r="12" spans="1:19" x14ac:dyDescent="0.2">
      <c r="A12" s="230"/>
      <c r="B12" s="229"/>
      <c r="C12" s="251" t="s">
        <v>303</v>
      </c>
      <c r="D12" s="250">
        <v>4</v>
      </c>
      <c r="E12" s="249">
        <v>3750</v>
      </c>
      <c r="F12" s="248">
        <v>2950</v>
      </c>
      <c r="G12" s="229"/>
      <c r="H12" s="229"/>
      <c r="I12" s="229"/>
      <c r="J12" s="228"/>
      <c r="M12" s="221" t="s">
        <v>302</v>
      </c>
      <c r="N12" s="252">
        <f t="shared" si="0"/>
        <v>5</v>
      </c>
      <c r="O12" s="219">
        <f t="shared" si="0"/>
        <v>5000</v>
      </c>
      <c r="P12" s="239">
        <f t="shared" si="0"/>
        <v>4500</v>
      </c>
      <c r="Q12" s="220">
        <f t="shared" si="1"/>
        <v>0</v>
      </c>
      <c r="R12" s="219">
        <f t="shared" si="2"/>
        <v>0</v>
      </c>
      <c r="S12" s="219">
        <f t="shared" si="3"/>
        <v>0</v>
      </c>
    </row>
    <row r="13" spans="1:19" x14ac:dyDescent="0.2">
      <c r="A13" s="230"/>
      <c r="B13" s="229"/>
      <c r="C13" s="251" t="s">
        <v>301</v>
      </c>
      <c r="D13" s="250">
        <v>5</v>
      </c>
      <c r="E13" s="249">
        <v>5000</v>
      </c>
      <c r="F13" s="248">
        <v>4500</v>
      </c>
      <c r="G13" s="229"/>
      <c r="H13" s="229"/>
      <c r="I13" s="229"/>
      <c r="J13" s="228"/>
      <c r="M13" s="221" t="s">
        <v>301</v>
      </c>
      <c r="N13" s="252">
        <f t="shared" si="0"/>
        <v>10</v>
      </c>
      <c r="O13" s="219">
        <f t="shared" si="0"/>
        <v>7500</v>
      </c>
      <c r="P13" s="239">
        <f t="shared" si="0"/>
        <v>6500</v>
      </c>
      <c r="Q13" s="220">
        <f t="shared" si="1"/>
        <v>0.5</v>
      </c>
      <c r="R13" s="219">
        <f t="shared" si="2"/>
        <v>3750</v>
      </c>
      <c r="S13" s="219">
        <f t="shared" si="3"/>
        <v>3250</v>
      </c>
    </row>
    <row r="14" spans="1:19" x14ac:dyDescent="0.2">
      <c r="A14" s="230"/>
      <c r="B14" s="229"/>
      <c r="C14" s="251" t="s">
        <v>302</v>
      </c>
      <c r="D14" s="250">
        <v>10</v>
      </c>
      <c r="E14" s="249">
        <v>7500</v>
      </c>
      <c r="F14" s="248">
        <v>6500</v>
      </c>
      <c r="G14" s="229"/>
      <c r="H14" s="229"/>
      <c r="I14" s="229"/>
      <c r="J14" s="228"/>
      <c r="M14" s="221" t="s">
        <v>300</v>
      </c>
      <c r="N14" s="252">
        <f t="shared" si="0"/>
        <v>15</v>
      </c>
      <c r="O14" s="219">
        <f t="shared" si="0"/>
        <v>8500</v>
      </c>
      <c r="P14" s="239">
        <f t="shared" si="0"/>
        <v>5600</v>
      </c>
      <c r="Q14" s="220">
        <f t="shared" si="1"/>
        <v>0.66666666666666663</v>
      </c>
      <c r="R14" s="219">
        <f t="shared" si="2"/>
        <v>5666.6666666666661</v>
      </c>
      <c r="S14" s="219">
        <f t="shared" si="3"/>
        <v>3733.333333333333</v>
      </c>
    </row>
    <row r="15" spans="1:19" x14ac:dyDescent="0.2">
      <c r="A15" s="230"/>
      <c r="B15" s="229"/>
      <c r="C15" s="251" t="s">
        <v>300</v>
      </c>
      <c r="D15" s="250">
        <v>15</v>
      </c>
      <c r="E15" s="249">
        <v>8500</v>
      </c>
      <c r="F15" s="248">
        <v>5600</v>
      </c>
      <c r="G15" s="229"/>
      <c r="H15" s="229"/>
      <c r="I15" s="229"/>
      <c r="J15" s="228"/>
      <c r="M15" s="224" t="s">
        <v>299</v>
      </c>
      <c r="N15" s="247">
        <f t="shared" si="0"/>
        <v>20</v>
      </c>
      <c r="O15" s="222">
        <f t="shared" si="0"/>
        <v>10000</v>
      </c>
      <c r="P15" s="246">
        <f t="shared" si="0"/>
        <v>6200</v>
      </c>
      <c r="Q15" s="245">
        <f t="shared" si="1"/>
        <v>0.75</v>
      </c>
      <c r="R15" s="222">
        <f t="shared" si="2"/>
        <v>7500</v>
      </c>
      <c r="S15" s="222">
        <f t="shared" si="3"/>
        <v>4650</v>
      </c>
    </row>
    <row r="16" spans="1:19" x14ac:dyDescent="0.2">
      <c r="A16" s="230"/>
      <c r="B16" s="229"/>
      <c r="C16" s="244" t="s">
        <v>299</v>
      </c>
      <c r="D16" s="243">
        <v>20</v>
      </c>
      <c r="E16" s="242">
        <v>10000</v>
      </c>
      <c r="F16" s="241">
        <v>6200</v>
      </c>
      <c r="G16" s="229"/>
      <c r="H16" s="229"/>
      <c r="I16" s="229"/>
      <c r="J16" s="228"/>
      <c r="M16" s="221" t="s">
        <v>163</v>
      </c>
      <c r="N16" s="240"/>
      <c r="O16" s="219">
        <f>SUM(O10:O15)</f>
        <v>37250</v>
      </c>
      <c r="P16" s="239">
        <f>SUM(P10:P15)</f>
        <v>27250</v>
      </c>
      <c r="Q16" s="233"/>
      <c r="R16" s="219">
        <f>SUM(R10:R15)</f>
        <v>16916.666666666664</v>
      </c>
      <c r="S16" s="219">
        <f>SUM(S10:S15)</f>
        <v>11633.333333333332</v>
      </c>
    </row>
    <row r="17" spans="1:19" x14ac:dyDescent="0.2">
      <c r="A17" s="230"/>
      <c r="B17" s="229"/>
      <c r="C17" s="229"/>
      <c r="D17" s="229"/>
      <c r="E17" s="229"/>
      <c r="F17" s="229"/>
      <c r="G17" s="229"/>
      <c r="H17" s="229"/>
      <c r="I17" s="229"/>
      <c r="J17" s="228"/>
      <c r="Q17" s="233"/>
      <c r="R17" s="233"/>
      <c r="S17" s="233"/>
    </row>
    <row r="18" spans="1:19" x14ac:dyDescent="0.2">
      <c r="A18" s="230"/>
      <c r="B18" s="229"/>
      <c r="C18" s="229"/>
      <c r="D18" s="229"/>
      <c r="E18" s="229"/>
      <c r="F18" s="229"/>
      <c r="G18" s="229"/>
      <c r="H18" s="229"/>
      <c r="I18" s="229"/>
      <c r="J18" s="228"/>
      <c r="M18" s="238" t="s">
        <v>312</v>
      </c>
      <c r="N18" s="219">
        <f>O16-R16</f>
        <v>20333.333333333336</v>
      </c>
      <c r="R18" s="233"/>
      <c r="S18" s="233"/>
    </row>
    <row r="19" spans="1:19" ht="17" thickBot="1" x14ac:dyDescent="0.25">
      <c r="A19" s="230"/>
      <c r="B19" s="235" t="s">
        <v>0</v>
      </c>
      <c r="C19" s="229"/>
      <c r="D19" s="229"/>
      <c r="E19" s="229"/>
      <c r="F19" s="229"/>
      <c r="G19" s="229"/>
      <c r="H19" s="229"/>
      <c r="I19" s="229"/>
      <c r="J19" s="228"/>
      <c r="M19" s="238" t="s">
        <v>311</v>
      </c>
      <c r="N19" s="219">
        <f>P16-S16</f>
        <v>15616.666666666668</v>
      </c>
      <c r="R19" s="233"/>
      <c r="S19" s="233"/>
    </row>
    <row r="20" spans="1:19" ht="17" thickBot="1" x14ac:dyDescent="0.25">
      <c r="A20" s="230"/>
      <c r="B20" s="229" t="s">
        <v>310</v>
      </c>
      <c r="C20" s="229"/>
      <c r="D20" s="229"/>
      <c r="E20" s="229"/>
      <c r="F20" s="229"/>
      <c r="G20" s="229"/>
      <c r="H20" s="229"/>
      <c r="I20" s="229"/>
      <c r="J20" s="228"/>
      <c r="M20" s="237" t="s">
        <v>309</v>
      </c>
      <c r="N20" s="236">
        <f>N19/N18</f>
        <v>0.7680327868852459</v>
      </c>
      <c r="R20" s="233"/>
      <c r="S20" s="233"/>
    </row>
    <row r="21" spans="1:19" x14ac:dyDescent="0.2">
      <c r="A21" s="230"/>
      <c r="B21" s="229"/>
      <c r="C21" s="229"/>
      <c r="D21" s="229"/>
      <c r="E21" s="229"/>
      <c r="F21" s="229"/>
      <c r="G21" s="229"/>
      <c r="H21" s="229"/>
      <c r="I21" s="229"/>
      <c r="J21" s="228"/>
      <c r="M21" s="233"/>
      <c r="N21" s="233"/>
      <c r="O21" s="233"/>
    </row>
    <row r="22" spans="1:19" ht="16" customHeight="1" x14ac:dyDescent="0.2">
      <c r="A22" s="230"/>
      <c r="B22" s="235" t="s">
        <v>1</v>
      </c>
      <c r="C22" s="229"/>
      <c r="D22" s="229"/>
      <c r="E22" s="229"/>
      <c r="F22" s="229"/>
      <c r="G22" s="229"/>
      <c r="H22" s="229"/>
      <c r="I22" s="229"/>
      <c r="J22" s="228"/>
      <c r="M22" s="234" t="s">
        <v>308</v>
      </c>
    </row>
    <row r="23" spans="1:19" x14ac:dyDescent="0.2">
      <c r="A23" s="230"/>
      <c r="B23" s="413" t="s">
        <v>307</v>
      </c>
      <c r="C23" s="413"/>
      <c r="D23" s="413"/>
      <c r="E23" s="413"/>
      <c r="F23" s="413"/>
      <c r="G23" s="413"/>
      <c r="H23" s="413"/>
      <c r="I23" s="413"/>
      <c r="J23" s="228"/>
      <c r="N23" s="405" t="s">
        <v>161</v>
      </c>
      <c r="O23" s="406"/>
    </row>
    <row r="24" spans="1:19" x14ac:dyDescent="0.2">
      <c r="A24" s="230"/>
      <c r="B24" s="413"/>
      <c r="C24" s="413"/>
      <c r="D24" s="413"/>
      <c r="E24" s="413"/>
      <c r="F24" s="413"/>
      <c r="G24" s="413"/>
      <c r="H24" s="413"/>
      <c r="I24" s="413"/>
      <c r="J24" s="228"/>
      <c r="M24" s="232"/>
      <c r="O24" s="414" t="s">
        <v>306</v>
      </c>
    </row>
    <row r="25" spans="1:19" x14ac:dyDescent="0.2">
      <c r="A25" s="230"/>
      <c r="B25" s="413"/>
      <c r="C25" s="413"/>
      <c r="D25" s="413"/>
      <c r="E25" s="413"/>
      <c r="F25" s="413"/>
      <c r="G25" s="413"/>
      <c r="H25" s="413"/>
      <c r="I25" s="413"/>
      <c r="J25" s="228"/>
      <c r="M25" s="224" t="s">
        <v>33</v>
      </c>
      <c r="N25" s="222" t="s">
        <v>305</v>
      </c>
      <c r="O25" s="415"/>
    </row>
    <row r="26" spans="1:19" ht="17" thickBot="1" x14ac:dyDescent="0.25">
      <c r="A26" s="230"/>
      <c r="B26" s="229"/>
      <c r="C26" s="229"/>
      <c r="D26" s="229"/>
      <c r="E26" s="229"/>
      <c r="F26" s="229"/>
      <c r="G26" s="229"/>
      <c r="H26" s="229"/>
      <c r="I26" s="229"/>
      <c r="J26" s="228"/>
      <c r="M26" s="221" t="s">
        <v>304</v>
      </c>
      <c r="N26" s="220">
        <v>0.65</v>
      </c>
      <c r="O26" s="219">
        <f t="shared" ref="O26:O31" si="4">N26*P10</f>
        <v>975</v>
      </c>
    </row>
    <row r="27" spans="1:19" ht="17" thickBot="1" x14ac:dyDescent="0.25">
      <c r="A27" s="227" t="s">
        <v>7</v>
      </c>
      <c r="B27" s="226"/>
      <c r="C27" s="226"/>
      <c r="D27" s="226"/>
      <c r="E27" s="226"/>
      <c r="F27" s="226"/>
      <c r="G27" s="226"/>
      <c r="H27" s="226"/>
      <c r="I27" s="226"/>
      <c r="J27" s="225"/>
      <c r="M27" s="221" t="s">
        <v>303</v>
      </c>
      <c r="N27" s="220">
        <f>N26</f>
        <v>0.65</v>
      </c>
      <c r="O27" s="219">
        <f t="shared" si="4"/>
        <v>1917.5</v>
      </c>
    </row>
    <row r="28" spans="1:19" x14ac:dyDescent="0.2">
      <c r="M28" s="221" t="s">
        <v>302</v>
      </c>
      <c r="N28" s="220">
        <f>N27</f>
        <v>0.65</v>
      </c>
      <c r="O28" s="219">
        <f t="shared" si="4"/>
        <v>2925</v>
      </c>
    </row>
    <row r="29" spans="1:19" x14ac:dyDescent="0.2">
      <c r="M29" s="221" t="s">
        <v>301</v>
      </c>
      <c r="N29" s="220">
        <f>N28</f>
        <v>0.65</v>
      </c>
      <c r="O29" s="219">
        <f t="shared" si="4"/>
        <v>4225</v>
      </c>
    </row>
    <row r="30" spans="1:19" x14ac:dyDescent="0.2">
      <c r="M30" s="221" t="s">
        <v>300</v>
      </c>
      <c r="N30" s="220">
        <f>N29</f>
        <v>0.65</v>
      </c>
      <c r="O30" s="219">
        <f t="shared" si="4"/>
        <v>3640</v>
      </c>
    </row>
    <row r="31" spans="1:19" x14ac:dyDescent="0.2">
      <c r="M31" s="224" t="s">
        <v>299</v>
      </c>
      <c r="N31" s="223">
        <f>N30</f>
        <v>0.65</v>
      </c>
      <c r="O31" s="222">
        <f t="shared" si="4"/>
        <v>4030</v>
      </c>
    </row>
    <row r="32" spans="1:19" x14ac:dyDescent="0.2">
      <c r="M32" s="221" t="s">
        <v>163</v>
      </c>
      <c r="N32" s="220">
        <v>0.65</v>
      </c>
      <c r="O32" s="219">
        <f>SUM(O26:O31)</f>
        <v>17712.5</v>
      </c>
    </row>
    <row r="33" spans="13:14" ht="17" thickBot="1" x14ac:dyDescent="0.25"/>
    <row r="34" spans="13:14" ht="17" thickBot="1" x14ac:dyDescent="0.25">
      <c r="M34" s="218" t="s">
        <v>298</v>
      </c>
      <c r="N34" s="217">
        <f>O32-S16</f>
        <v>6079.1666666666679</v>
      </c>
    </row>
    <row r="38" spans="13:14" ht="19" x14ac:dyDescent="0.25">
      <c r="M38" s="216" t="s">
        <v>290</v>
      </c>
    </row>
    <row r="39" spans="13:14" x14ac:dyDescent="0.2">
      <c r="M39" t="s">
        <v>284</v>
      </c>
    </row>
  </sheetData>
  <mergeCells count="14">
    <mergeCell ref="B3:I6"/>
    <mergeCell ref="S8:S9"/>
    <mergeCell ref="R8:R9"/>
    <mergeCell ref="P8:P9"/>
    <mergeCell ref="O8:O9"/>
    <mergeCell ref="N8:N9"/>
    <mergeCell ref="N7:P7"/>
    <mergeCell ref="Q7:S7"/>
    <mergeCell ref="N23:O23"/>
    <mergeCell ref="F8:F10"/>
    <mergeCell ref="E8:E10"/>
    <mergeCell ref="D9:D10"/>
    <mergeCell ref="B23:I25"/>
    <mergeCell ref="O24:O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A95EB-0238-C04F-BB15-30EB5BA49C15}">
  <dimension ref="A1:S39"/>
  <sheetViews>
    <sheetView zoomScaleNormal="100" workbookViewId="0"/>
  </sheetViews>
  <sheetFormatPr baseColWidth="10" defaultColWidth="11" defaultRowHeight="16" outlineLevelCol="1" x14ac:dyDescent="0.2"/>
  <cols>
    <col min="1" max="1" width="4.5" customWidth="1"/>
    <col min="2" max="5" width="10.83203125" customWidth="1"/>
    <col min="6" max="6" width="11.5" customWidth="1"/>
    <col min="7" max="12" width="10.83203125" customWidth="1"/>
    <col min="13" max="13" width="17.1640625" hidden="1" customWidth="1" outlineLevel="1"/>
    <col min="14" max="14" width="12.5" hidden="1" customWidth="1" outlineLevel="1"/>
    <col min="15" max="15" width="11.83203125" hidden="1" customWidth="1" outlineLevel="1"/>
    <col min="16" max="16" width="13" hidden="1" customWidth="1" outlineLevel="1"/>
    <col min="17" max="18" width="10.83203125" hidden="1" customWidth="1" outlineLevel="1"/>
    <col min="19" max="19" width="10.83203125" customWidth="1" collapsed="1"/>
    <col min="20" max="20" width="10.83203125" customWidth="1"/>
  </cols>
  <sheetData>
    <row r="1" spans="1:17" ht="19" x14ac:dyDescent="0.25">
      <c r="A1" s="263" t="s">
        <v>721</v>
      </c>
      <c r="B1" s="262"/>
      <c r="C1" s="261"/>
      <c r="D1" s="261"/>
      <c r="E1" s="261"/>
      <c r="F1" s="260"/>
      <c r="G1" s="260"/>
      <c r="H1" s="260"/>
      <c r="I1" s="260"/>
      <c r="J1" s="259"/>
      <c r="L1" s="258" t="s">
        <v>320</v>
      </c>
    </row>
    <row r="2" spans="1:17" x14ac:dyDescent="0.2">
      <c r="A2" s="230"/>
      <c r="B2" s="229"/>
      <c r="C2" s="229"/>
      <c r="D2" s="229"/>
      <c r="E2" s="229"/>
      <c r="F2" s="229"/>
      <c r="G2" s="229"/>
      <c r="H2" s="229"/>
      <c r="I2" s="229"/>
      <c r="J2" s="228"/>
    </row>
    <row r="3" spans="1:17" x14ac:dyDescent="0.2">
      <c r="A3" s="230"/>
      <c r="B3" s="229" t="s">
        <v>340</v>
      </c>
      <c r="C3" s="264"/>
      <c r="D3" s="229"/>
      <c r="E3" s="229"/>
      <c r="F3" s="229"/>
      <c r="G3" s="229"/>
      <c r="H3" s="229"/>
      <c r="I3" s="229"/>
      <c r="J3" s="228"/>
      <c r="M3" s="257" t="s">
        <v>318</v>
      </c>
    </row>
    <row r="4" spans="1:17" x14ac:dyDescent="0.2">
      <c r="A4" s="230"/>
      <c r="B4" s="229"/>
      <c r="C4" s="229"/>
      <c r="D4" s="229"/>
      <c r="E4" s="229"/>
      <c r="F4" s="229"/>
      <c r="G4" s="229"/>
      <c r="H4" s="229"/>
      <c r="I4" s="229"/>
      <c r="J4" s="228"/>
      <c r="M4" s="238" t="s">
        <v>339</v>
      </c>
    </row>
    <row r="5" spans="1:17" x14ac:dyDescent="0.2">
      <c r="A5" s="230"/>
      <c r="B5" s="229"/>
      <c r="C5" s="256"/>
      <c r="D5" s="407" t="s">
        <v>107</v>
      </c>
      <c r="E5" s="229"/>
      <c r="F5" s="229"/>
      <c r="G5" s="229"/>
      <c r="H5" s="229"/>
      <c r="I5" s="229"/>
      <c r="J5" s="228"/>
      <c r="N5" s="284"/>
      <c r="O5" s="219"/>
      <c r="P5" s="219"/>
      <c r="Q5" s="219"/>
    </row>
    <row r="6" spans="1:17" x14ac:dyDescent="0.2">
      <c r="A6" s="230"/>
      <c r="B6" s="229"/>
      <c r="C6" s="244" t="s">
        <v>23</v>
      </c>
      <c r="D6" s="409"/>
      <c r="E6" s="229"/>
      <c r="F6" s="229"/>
      <c r="G6" s="229"/>
      <c r="H6" s="229"/>
      <c r="I6" s="229"/>
      <c r="J6" s="228"/>
      <c r="M6" s="425" t="s">
        <v>326</v>
      </c>
      <c r="N6" s="414" t="s">
        <v>109</v>
      </c>
      <c r="O6" s="423" t="s">
        <v>338</v>
      </c>
      <c r="P6" s="423" t="s">
        <v>337</v>
      </c>
      <c r="Q6" s="219"/>
    </row>
    <row r="7" spans="1:17" x14ac:dyDescent="0.2">
      <c r="A7" s="230"/>
      <c r="B7" s="229"/>
      <c r="C7" s="269">
        <v>250000</v>
      </c>
      <c r="D7" s="268">
        <v>150</v>
      </c>
      <c r="E7" s="229"/>
      <c r="F7" s="229"/>
      <c r="G7" s="229"/>
      <c r="H7" s="229"/>
      <c r="I7" s="229"/>
      <c r="J7" s="228"/>
      <c r="M7" s="425"/>
      <c r="N7" s="414"/>
      <c r="O7" s="423"/>
      <c r="P7" s="423"/>
      <c r="Q7" s="219"/>
    </row>
    <row r="8" spans="1:17" x14ac:dyDescent="0.2">
      <c r="A8" s="230"/>
      <c r="B8" s="229"/>
      <c r="C8" s="269">
        <v>500000</v>
      </c>
      <c r="D8" s="268">
        <v>50</v>
      </c>
      <c r="E8" s="229"/>
      <c r="F8" s="229"/>
      <c r="G8" s="229"/>
      <c r="H8" s="229"/>
      <c r="I8" s="229"/>
      <c r="J8" s="228"/>
      <c r="M8" s="426"/>
      <c r="N8" s="415"/>
      <c r="O8" s="424"/>
      <c r="P8" s="424"/>
      <c r="Q8" s="219"/>
    </row>
    <row r="9" spans="1:17" x14ac:dyDescent="0.2">
      <c r="A9" s="230"/>
      <c r="B9" s="229"/>
      <c r="C9" s="269">
        <v>750000</v>
      </c>
      <c r="D9" s="268">
        <v>30</v>
      </c>
      <c r="E9" s="229"/>
      <c r="F9" s="229"/>
      <c r="G9" s="229"/>
      <c r="H9" s="229"/>
      <c r="I9" s="229"/>
      <c r="J9" s="228"/>
      <c r="M9" s="283">
        <f t="shared" ref="M9:N12" si="0">C26</f>
        <v>300000</v>
      </c>
      <c r="N9" s="233">
        <f t="shared" si="0"/>
        <v>30</v>
      </c>
      <c r="O9" s="277">
        <f>M9*N9</f>
        <v>9000000</v>
      </c>
      <c r="P9" s="219">
        <v>0</v>
      </c>
      <c r="Q9" s="219"/>
    </row>
    <row r="10" spans="1:17" x14ac:dyDescent="0.2">
      <c r="A10" s="230"/>
      <c r="B10" s="229"/>
      <c r="C10" s="269">
        <v>1000000</v>
      </c>
      <c r="D10" s="268">
        <v>15</v>
      </c>
      <c r="E10" s="229"/>
      <c r="F10" s="229"/>
      <c r="G10" s="229"/>
      <c r="H10" s="229"/>
      <c r="I10" s="229"/>
      <c r="J10" s="228"/>
      <c r="M10" s="283">
        <f t="shared" si="0"/>
        <v>800000</v>
      </c>
      <c r="N10" s="233">
        <f t="shared" si="0"/>
        <v>6</v>
      </c>
      <c r="O10" s="277">
        <f>M10*N10</f>
        <v>4800000</v>
      </c>
      <c r="P10" s="277">
        <f>MIN(M10-$C$16,$C$17)*N10</f>
        <v>2400000</v>
      </c>
    </row>
    <row r="11" spans="1:17" x14ac:dyDescent="0.2">
      <c r="A11" s="230"/>
      <c r="B11" s="229"/>
      <c r="C11" s="267">
        <v>1500000</v>
      </c>
      <c r="D11" s="266">
        <v>5</v>
      </c>
      <c r="E11" s="229"/>
      <c r="F11" s="229"/>
      <c r="G11" s="229"/>
      <c r="H11" s="229"/>
      <c r="I11" s="229"/>
      <c r="J11" s="228"/>
      <c r="M11" s="283">
        <f t="shared" si="0"/>
        <v>1200000</v>
      </c>
      <c r="N11" s="233">
        <f t="shared" si="0"/>
        <v>3</v>
      </c>
      <c r="O11" s="277">
        <f>M11*N11</f>
        <v>3600000</v>
      </c>
      <c r="P11" s="277">
        <f>MIN(M11-$C$16,$C$17)*N11</f>
        <v>2400000</v>
      </c>
    </row>
    <row r="12" spans="1:17" x14ac:dyDescent="0.2">
      <c r="A12" s="230"/>
      <c r="B12" s="229"/>
      <c r="C12" s="229"/>
      <c r="D12" s="229"/>
      <c r="E12" s="229"/>
      <c r="F12" s="229"/>
      <c r="G12" s="229"/>
      <c r="H12" s="229"/>
      <c r="I12" s="229"/>
      <c r="J12" s="228"/>
      <c r="M12" s="283">
        <f t="shared" si="0"/>
        <v>1500000</v>
      </c>
      <c r="N12" s="233">
        <f t="shared" si="0"/>
        <v>1</v>
      </c>
      <c r="O12" s="277">
        <f>M12*N12</f>
        <v>1500000</v>
      </c>
      <c r="P12" s="277">
        <f>MIN(M12-$C$16,$C$17)*N12</f>
        <v>800000</v>
      </c>
    </row>
    <row r="13" spans="1:17" ht="17" thickBot="1" x14ac:dyDescent="0.25">
      <c r="A13" s="230"/>
      <c r="B13" s="229" t="s">
        <v>336</v>
      </c>
      <c r="C13" s="229"/>
      <c r="D13" s="229"/>
      <c r="E13" s="229"/>
      <c r="F13" s="229"/>
      <c r="G13" s="229"/>
      <c r="H13" s="229"/>
      <c r="I13" s="229"/>
      <c r="J13" s="228"/>
    </row>
    <row r="14" spans="1:17" ht="17" thickBot="1" x14ac:dyDescent="0.25">
      <c r="A14" s="230"/>
      <c r="B14" s="229"/>
      <c r="C14" s="229"/>
      <c r="D14" s="229"/>
      <c r="E14" s="229"/>
      <c r="F14" s="229"/>
      <c r="G14" s="229"/>
      <c r="H14" s="229"/>
      <c r="I14" s="229"/>
      <c r="J14" s="228"/>
      <c r="M14" s="237" t="s">
        <v>335</v>
      </c>
      <c r="N14" s="276"/>
      <c r="O14" s="274">
        <f>SUM(P9:P12)</f>
        <v>5600000</v>
      </c>
    </row>
    <row r="15" spans="1:17" x14ac:dyDescent="0.2">
      <c r="A15" s="230"/>
      <c r="B15" s="282" t="s">
        <v>334</v>
      </c>
      <c r="C15" s="229"/>
      <c r="D15" s="229"/>
      <c r="E15" s="282" t="s">
        <v>112</v>
      </c>
      <c r="F15" s="229"/>
      <c r="G15" s="229"/>
      <c r="H15" s="229"/>
      <c r="I15" s="229"/>
      <c r="J15" s="228"/>
      <c r="M15" s="238"/>
    </row>
    <row r="16" spans="1:17" x14ac:dyDescent="0.2">
      <c r="A16" s="230"/>
      <c r="B16" s="229" t="s">
        <v>46</v>
      </c>
      <c r="C16" s="281">
        <v>400000</v>
      </c>
      <c r="D16" s="229"/>
      <c r="E16" s="229" t="s">
        <v>46</v>
      </c>
      <c r="F16" s="281">
        <v>12000000</v>
      </c>
      <c r="G16" s="281"/>
      <c r="H16" s="281"/>
      <c r="I16" s="281"/>
      <c r="J16" s="280"/>
      <c r="K16" s="279"/>
      <c r="M16" s="238" t="s">
        <v>333</v>
      </c>
    </row>
    <row r="17" spans="1:19" x14ac:dyDescent="0.2">
      <c r="A17" s="230"/>
      <c r="B17" s="229" t="s">
        <v>332</v>
      </c>
      <c r="C17" s="281">
        <v>800000</v>
      </c>
      <c r="D17" s="229"/>
      <c r="E17" s="229" t="s">
        <v>332</v>
      </c>
      <c r="F17" s="281">
        <v>36000000</v>
      </c>
      <c r="G17" s="281"/>
      <c r="H17" s="281"/>
      <c r="I17" s="281"/>
      <c r="J17" s="280"/>
      <c r="K17" s="279"/>
      <c r="M17" s="238"/>
      <c r="N17" s="278"/>
    </row>
    <row r="18" spans="1:19" x14ac:dyDescent="0.2">
      <c r="A18" s="230"/>
      <c r="B18" s="229"/>
      <c r="C18" s="229"/>
      <c r="D18" s="229"/>
      <c r="E18" s="229"/>
      <c r="F18" s="229"/>
      <c r="G18" s="229"/>
      <c r="H18" s="229"/>
      <c r="I18" s="229"/>
      <c r="J18" s="228"/>
      <c r="M18" s="238" t="s">
        <v>331</v>
      </c>
      <c r="O18" s="277">
        <f>SUM(O9:O12)</f>
        <v>18900000</v>
      </c>
    </row>
    <row r="19" spans="1:19" ht="17" thickBot="1" x14ac:dyDescent="0.25">
      <c r="A19" s="230"/>
      <c r="B19" s="229" t="s">
        <v>330</v>
      </c>
      <c r="C19" s="229"/>
      <c r="D19" s="229"/>
      <c r="E19" s="229"/>
      <c r="F19" s="229"/>
      <c r="G19" s="229"/>
      <c r="H19" s="229"/>
      <c r="I19" s="229"/>
      <c r="J19" s="228"/>
      <c r="M19" s="238" t="s">
        <v>329</v>
      </c>
      <c r="O19" s="277">
        <f>O18-O14</f>
        <v>13300000</v>
      </c>
    </row>
    <row r="20" spans="1:19" ht="17" thickBot="1" x14ac:dyDescent="0.25">
      <c r="A20" s="230"/>
      <c r="B20" s="229"/>
      <c r="C20" s="229"/>
      <c r="D20" s="229"/>
      <c r="E20" s="229"/>
      <c r="F20" s="229"/>
      <c r="G20" s="229"/>
      <c r="H20" s="229"/>
      <c r="I20" s="229"/>
      <c r="J20" s="228"/>
      <c r="M20" s="237" t="s">
        <v>328</v>
      </c>
      <c r="N20" s="276"/>
      <c r="O20" s="274">
        <f>O19-F16</f>
        <v>1300000</v>
      </c>
    </row>
    <row r="21" spans="1:19" x14ac:dyDescent="0.2">
      <c r="A21" s="230"/>
      <c r="B21" s="229" t="s">
        <v>327</v>
      </c>
      <c r="C21" s="229"/>
      <c r="D21" s="229"/>
      <c r="E21" s="229"/>
      <c r="F21" s="229"/>
      <c r="G21" s="229"/>
      <c r="H21" s="229"/>
      <c r="I21" s="229"/>
      <c r="J21" s="228"/>
    </row>
    <row r="22" spans="1:19" x14ac:dyDescent="0.2">
      <c r="A22" s="230"/>
      <c r="B22" s="229"/>
      <c r="C22" s="229"/>
      <c r="D22" s="229"/>
      <c r="E22" s="229"/>
      <c r="F22" s="229"/>
      <c r="G22" s="229"/>
      <c r="H22" s="229"/>
      <c r="I22" s="229"/>
      <c r="J22" s="228"/>
      <c r="M22" s="275" t="s">
        <v>308</v>
      </c>
    </row>
    <row r="23" spans="1:19" s="270" customFormat="1" ht="17" thickBot="1" x14ac:dyDescent="0.25">
      <c r="A23" s="230"/>
      <c r="B23" s="229"/>
      <c r="C23" s="420" t="s">
        <v>326</v>
      </c>
      <c r="D23" s="407" t="s">
        <v>109</v>
      </c>
      <c r="E23" s="229"/>
      <c r="F23" s="229"/>
      <c r="G23" s="229"/>
      <c r="H23" s="229"/>
      <c r="I23" s="229"/>
      <c r="J23" s="228"/>
      <c r="L23"/>
      <c r="M23"/>
      <c r="N23"/>
      <c r="O23"/>
      <c r="P23"/>
      <c r="Q23"/>
      <c r="R23"/>
      <c r="S23"/>
    </row>
    <row r="24" spans="1:19" ht="17" thickBot="1" x14ac:dyDescent="0.25">
      <c r="A24" s="230"/>
      <c r="B24" s="229"/>
      <c r="C24" s="421"/>
      <c r="D24" s="408"/>
      <c r="E24" s="229"/>
      <c r="F24" s="229"/>
      <c r="G24" s="229"/>
      <c r="H24" s="229"/>
      <c r="I24" s="229"/>
      <c r="J24" s="228"/>
      <c r="L24" s="270"/>
      <c r="M24" s="237" t="s">
        <v>325</v>
      </c>
      <c r="N24" s="274">
        <f>O19-O20</f>
        <v>12000000</v>
      </c>
    </row>
    <row r="25" spans="1:19" x14ac:dyDescent="0.2">
      <c r="A25" s="273"/>
      <c r="B25" s="229"/>
      <c r="C25" s="422"/>
      <c r="D25" s="409"/>
      <c r="E25" s="272"/>
      <c r="F25" s="272"/>
      <c r="G25" s="272"/>
      <c r="H25" s="272"/>
      <c r="I25" s="272"/>
      <c r="J25" s="271"/>
      <c r="M25" s="270"/>
      <c r="N25" s="270"/>
    </row>
    <row r="26" spans="1:19" x14ac:dyDescent="0.2">
      <c r="A26" s="230"/>
      <c r="B26" s="229"/>
      <c r="C26" s="269">
        <v>300000</v>
      </c>
      <c r="D26" s="268">
        <v>30</v>
      </c>
      <c r="E26" s="229"/>
      <c r="F26" s="229"/>
      <c r="G26" s="229"/>
      <c r="H26" s="229"/>
      <c r="I26" s="229"/>
      <c r="J26" s="228"/>
      <c r="O26" s="270"/>
      <c r="P26" s="270"/>
      <c r="Q26" s="270"/>
      <c r="R26" s="270"/>
      <c r="S26" s="270"/>
    </row>
    <row r="27" spans="1:19" x14ac:dyDescent="0.2">
      <c r="A27" s="230"/>
      <c r="B27" s="229"/>
      <c r="C27" s="269">
        <v>800000</v>
      </c>
      <c r="D27" s="268">
        <v>6</v>
      </c>
      <c r="E27" s="229"/>
      <c r="F27" s="229"/>
      <c r="G27" s="229"/>
      <c r="H27" s="229"/>
      <c r="I27" s="229"/>
      <c r="J27" s="228"/>
    </row>
    <row r="28" spans="1:19" x14ac:dyDescent="0.2">
      <c r="A28" s="230"/>
      <c r="B28" s="229"/>
      <c r="C28" s="269">
        <v>1200000</v>
      </c>
      <c r="D28" s="268">
        <v>3</v>
      </c>
      <c r="E28" s="229"/>
      <c r="F28" s="229"/>
      <c r="G28" s="229"/>
      <c r="H28" s="229"/>
      <c r="I28" s="229"/>
      <c r="J28" s="228"/>
    </row>
    <row r="29" spans="1:19" ht="19" x14ac:dyDescent="0.25">
      <c r="A29" s="230"/>
      <c r="B29" s="229"/>
      <c r="C29" s="267">
        <v>1500000</v>
      </c>
      <c r="D29" s="266">
        <v>1</v>
      </c>
      <c r="E29" s="229"/>
      <c r="F29" s="229"/>
      <c r="G29" s="229"/>
      <c r="H29" s="229"/>
      <c r="I29" s="229"/>
      <c r="J29" s="228"/>
      <c r="M29" s="216" t="s">
        <v>290</v>
      </c>
    </row>
    <row r="30" spans="1:19" x14ac:dyDescent="0.2">
      <c r="A30" s="230"/>
      <c r="B30" s="229"/>
      <c r="C30" s="229"/>
      <c r="D30" s="229"/>
      <c r="E30" s="229"/>
      <c r="F30" s="229"/>
      <c r="G30" s="229"/>
      <c r="H30" s="229"/>
      <c r="I30" s="229"/>
      <c r="J30" s="228"/>
      <c r="M30" t="s">
        <v>286</v>
      </c>
    </row>
    <row r="31" spans="1:19" x14ac:dyDescent="0.2">
      <c r="A31" s="230"/>
      <c r="B31" s="265" t="s">
        <v>324</v>
      </c>
      <c r="C31" s="229"/>
      <c r="D31" s="229"/>
      <c r="E31" s="229"/>
      <c r="F31" s="229"/>
      <c r="G31" s="229"/>
      <c r="H31" s="229"/>
      <c r="I31" s="229"/>
      <c r="J31" s="228"/>
    </row>
    <row r="32" spans="1:19" x14ac:dyDescent="0.2">
      <c r="A32" s="230"/>
      <c r="B32" s="229"/>
      <c r="C32" s="229"/>
      <c r="D32" s="229"/>
      <c r="E32" s="229"/>
      <c r="F32" s="229"/>
      <c r="G32" s="229"/>
      <c r="H32" s="229"/>
      <c r="I32" s="229"/>
      <c r="J32" s="228"/>
    </row>
    <row r="33" spans="1:10" x14ac:dyDescent="0.2">
      <c r="A33" s="230"/>
      <c r="B33" s="235" t="s">
        <v>0</v>
      </c>
      <c r="C33" s="229"/>
      <c r="D33" s="229"/>
      <c r="E33" s="229"/>
      <c r="F33" s="229"/>
      <c r="G33" s="229"/>
      <c r="H33" s="229"/>
      <c r="I33" s="229"/>
      <c r="J33" s="228"/>
    </row>
    <row r="34" spans="1:10" x14ac:dyDescent="0.2">
      <c r="A34" s="230"/>
      <c r="B34" s="229" t="s">
        <v>323</v>
      </c>
      <c r="C34" s="229"/>
      <c r="D34" s="229"/>
      <c r="E34" s="229"/>
      <c r="F34" s="229"/>
      <c r="G34" s="229"/>
      <c r="H34" s="229"/>
      <c r="I34" s="229"/>
      <c r="J34" s="228"/>
    </row>
    <row r="35" spans="1:10" x14ac:dyDescent="0.2">
      <c r="A35" s="230"/>
      <c r="B35" s="264"/>
      <c r="C35" s="229"/>
      <c r="D35" s="229"/>
      <c r="E35" s="229"/>
      <c r="F35" s="229"/>
      <c r="G35" s="229"/>
      <c r="H35" s="229"/>
      <c r="I35" s="229"/>
      <c r="J35" s="228"/>
    </row>
    <row r="36" spans="1:10" x14ac:dyDescent="0.2">
      <c r="A36" s="230"/>
      <c r="B36" s="235" t="s">
        <v>1</v>
      </c>
      <c r="C36" s="229"/>
      <c r="D36" s="229"/>
      <c r="E36" s="229"/>
      <c r="F36" s="229"/>
      <c r="G36" s="229"/>
      <c r="H36" s="229"/>
      <c r="I36" s="229"/>
      <c r="J36" s="228"/>
    </row>
    <row r="37" spans="1:10" x14ac:dyDescent="0.2">
      <c r="A37" s="230"/>
      <c r="B37" s="229" t="s">
        <v>322</v>
      </c>
      <c r="C37" s="229"/>
      <c r="D37" s="229"/>
      <c r="E37" s="229"/>
      <c r="F37" s="229"/>
      <c r="G37" s="229"/>
      <c r="H37" s="229"/>
      <c r="I37" s="229"/>
      <c r="J37" s="228"/>
    </row>
    <row r="38" spans="1:10" ht="17" thickBot="1" x14ac:dyDescent="0.25">
      <c r="A38" s="230"/>
      <c r="B38" s="229"/>
      <c r="C38" s="229"/>
      <c r="D38" s="229"/>
      <c r="E38" s="229"/>
      <c r="F38" s="229"/>
      <c r="G38" s="229"/>
      <c r="H38" s="229"/>
      <c r="I38" s="229"/>
      <c r="J38" s="228"/>
    </row>
    <row r="39" spans="1:10" ht="17" thickBot="1" x14ac:dyDescent="0.25">
      <c r="A39" s="227" t="s">
        <v>7</v>
      </c>
      <c r="B39" s="226"/>
      <c r="C39" s="226"/>
      <c r="D39" s="226"/>
      <c r="E39" s="226"/>
      <c r="F39" s="226"/>
      <c r="G39" s="226"/>
      <c r="H39" s="226"/>
      <c r="I39" s="226"/>
      <c r="J39" s="225"/>
    </row>
  </sheetData>
  <mergeCells count="7">
    <mergeCell ref="D5:D6"/>
    <mergeCell ref="D23:D25"/>
    <mergeCell ref="C23:C25"/>
    <mergeCell ref="P6:P8"/>
    <mergeCell ref="O6:O8"/>
    <mergeCell ref="N6:N8"/>
    <mergeCell ref="M6:M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B9B49-8E60-D14E-A672-5D32171FD763}">
  <dimension ref="A1:U30"/>
  <sheetViews>
    <sheetView zoomScaleNormal="100" workbookViewId="0"/>
  </sheetViews>
  <sheetFormatPr baseColWidth="10" defaultColWidth="11" defaultRowHeight="16" outlineLevelCol="1" x14ac:dyDescent="0.2"/>
  <cols>
    <col min="1" max="1" width="4.5" customWidth="1"/>
    <col min="2" max="12" width="10.83203125" customWidth="1"/>
    <col min="13" max="13" width="19.5" hidden="1" customWidth="1" outlineLevel="1"/>
    <col min="14" max="20" width="10.83203125" hidden="1" customWidth="1" outlineLevel="1"/>
    <col min="21" max="21" width="11" collapsed="1"/>
  </cols>
  <sheetData>
    <row r="1" spans="1:19" ht="19" x14ac:dyDescent="0.25">
      <c r="A1" s="263" t="s">
        <v>722</v>
      </c>
      <c r="B1" s="262"/>
      <c r="C1" s="261"/>
      <c r="D1" s="261"/>
      <c r="E1" s="261"/>
      <c r="F1" s="261"/>
      <c r="G1" s="261"/>
      <c r="H1" s="260"/>
      <c r="I1" s="260"/>
      <c r="J1" s="259"/>
      <c r="L1" s="258" t="s">
        <v>320</v>
      </c>
    </row>
    <row r="2" spans="1:19" x14ac:dyDescent="0.2">
      <c r="A2" s="230"/>
      <c r="B2" s="229"/>
      <c r="C2" s="229"/>
      <c r="D2" s="229"/>
      <c r="E2" s="229"/>
      <c r="F2" s="229"/>
      <c r="G2" s="229"/>
      <c r="H2" s="229"/>
      <c r="I2" s="229"/>
      <c r="J2" s="228"/>
    </row>
    <row r="3" spans="1:19" x14ac:dyDescent="0.2">
      <c r="A3" s="230"/>
      <c r="B3" s="229" t="s">
        <v>356</v>
      </c>
      <c r="C3" s="264"/>
      <c r="D3" s="229"/>
      <c r="E3" s="229"/>
      <c r="F3" s="229"/>
      <c r="G3" s="229"/>
      <c r="H3" s="229"/>
      <c r="I3" s="229"/>
      <c r="J3" s="228"/>
      <c r="M3" s="257" t="s">
        <v>318</v>
      </c>
    </row>
    <row r="4" spans="1:19" x14ac:dyDescent="0.2">
      <c r="A4" s="230"/>
      <c r="B4" s="229"/>
      <c r="C4" s="229"/>
      <c r="D4" s="229"/>
      <c r="E4" s="229"/>
      <c r="F4" s="229"/>
      <c r="G4" s="229"/>
      <c r="H4" s="229"/>
      <c r="I4" s="229"/>
      <c r="J4" s="228"/>
    </row>
    <row r="5" spans="1:19" x14ac:dyDescent="0.2">
      <c r="A5" s="230"/>
      <c r="B5" s="256"/>
      <c r="C5" s="410" t="s">
        <v>34</v>
      </c>
      <c r="D5" s="410" t="s">
        <v>40</v>
      </c>
      <c r="E5" s="255"/>
      <c r="F5" s="255"/>
      <c r="G5" s="255"/>
      <c r="H5" s="292"/>
      <c r="I5" s="229"/>
      <c r="J5" s="228"/>
      <c r="K5" s="233"/>
      <c r="M5" s="224" t="s">
        <v>184</v>
      </c>
      <c r="N5" s="287" t="s">
        <v>351</v>
      </c>
      <c r="O5" s="287" t="s">
        <v>82</v>
      </c>
      <c r="P5" s="287" t="s">
        <v>83</v>
      </c>
      <c r="Q5" s="287" t="s">
        <v>116</v>
      </c>
      <c r="R5" s="287" t="s">
        <v>191</v>
      </c>
    </row>
    <row r="6" spans="1:19" x14ac:dyDescent="0.2">
      <c r="A6" s="230"/>
      <c r="B6" s="244" t="s">
        <v>184</v>
      </c>
      <c r="C6" s="412"/>
      <c r="D6" s="412"/>
      <c r="E6" s="291" t="s">
        <v>81</v>
      </c>
      <c r="F6" s="291" t="s">
        <v>23</v>
      </c>
      <c r="G6" s="291" t="s">
        <v>355</v>
      </c>
      <c r="H6" s="266" t="s">
        <v>58</v>
      </c>
      <c r="I6" s="264"/>
      <c r="J6" s="290"/>
      <c r="K6" s="219"/>
      <c r="M6" s="221" t="s">
        <v>304</v>
      </c>
      <c r="N6" s="233" t="s">
        <v>185</v>
      </c>
      <c r="O6" s="219">
        <f t="shared" ref="O6:P9" si="0">G7</f>
        <v>500000</v>
      </c>
      <c r="P6" s="219">
        <f t="shared" si="0"/>
        <v>250000</v>
      </c>
      <c r="Q6" s="219">
        <f>MAX(0,O6-$D$17)</f>
        <v>0</v>
      </c>
      <c r="R6" s="219">
        <f>Q6/O6*P6</f>
        <v>0</v>
      </c>
      <c r="S6" t="s">
        <v>354</v>
      </c>
    </row>
    <row r="7" spans="1:19" x14ac:dyDescent="0.2">
      <c r="A7" s="230"/>
      <c r="B7" s="269" t="s">
        <v>304</v>
      </c>
      <c r="C7" s="286">
        <v>44027</v>
      </c>
      <c r="D7" s="286">
        <v>44391</v>
      </c>
      <c r="E7" s="286">
        <v>44055</v>
      </c>
      <c r="F7" s="249">
        <v>1000000</v>
      </c>
      <c r="G7" s="249">
        <v>500000</v>
      </c>
      <c r="H7" s="248">
        <v>250000</v>
      </c>
      <c r="I7" s="249"/>
      <c r="J7" s="288"/>
      <c r="K7" s="219"/>
      <c r="M7" s="221" t="s">
        <v>303</v>
      </c>
      <c r="N7" s="233" t="s">
        <v>185</v>
      </c>
      <c r="O7" s="219">
        <f t="shared" si="0"/>
        <v>800000</v>
      </c>
      <c r="P7" s="219">
        <f t="shared" si="0"/>
        <v>400000</v>
      </c>
      <c r="Q7" s="219">
        <f>MAX(0,O7-$D$17)</f>
        <v>0</v>
      </c>
      <c r="R7" s="219">
        <f>Q7/O7*P7</f>
        <v>0</v>
      </c>
      <c r="S7" t="s">
        <v>354</v>
      </c>
    </row>
    <row r="8" spans="1:19" x14ac:dyDescent="0.2">
      <c r="A8" s="230"/>
      <c r="B8" s="269" t="s">
        <v>303</v>
      </c>
      <c r="C8" s="286">
        <v>44132</v>
      </c>
      <c r="D8" s="286">
        <v>44496</v>
      </c>
      <c r="E8" s="286">
        <v>44198</v>
      </c>
      <c r="F8" s="249">
        <v>2000000</v>
      </c>
      <c r="G8" s="249">
        <v>800000</v>
      </c>
      <c r="H8" s="248">
        <v>400000</v>
      </c>
      <c r="I8" s="249"/>
      <c r="J8" s="288"/>
      <c r="K8" s="219"/>
      <c r="M8" s="221" t="s">
        <v>302</v>
      </c>
      <c r="N8" s="233" t="s">
        <v>187</v>
      </c>
      <c r="O8" s="219">
        <f t="shared" si="0"/>
        <v>2200000</v>
      </c>
      <c r="P8" s="219">
        <f t="shared" si="0"/>
        <v>200000</v>
      </c>
      <c r="Q8" s="219">
        <f>MAX(0,O8-$D$17)</f>
        <v>700000</v>
      </c>
      <c r="R8" s="219">
        <f>Q8/O8*P8</f>
        <v>63636.363636363632</v>
      </c>
    </row>
    <row r="9" spans="1:19" x14ac:dyDescent="0.2">
      <c r="A9" s="230"/>
      <c r="B9" s="269" t="s">
        <v>302</v>
      </c>
      <c r="C9" s="286">
        <v>44259</v>
      </c>
      <c r="D9" s="286">
        <v>44623</v>
      </c>
      <c r="E9" s="286">
        <v>44294</v>
      </c>
      <c r="F9" s="249">
        <v>3000000</v>
      </c>
      <c r="G9" s="249">
        <v>2200000</v>
      </c>
      <c r="H9" s="248">
        <v>200000</v>
      </c>
      <c r="I9" s="249"/>
      <c r="J9" s="288"/>
      <c r="K9" s="219"/>
      <c r="M9" s="221" t="s">
        <v>301</v>
      </c>
      <c r="N9" s="233" t="s">
        <v>187</v>
      </c>
      <c r="O9" s="219">
        <f t="shared" si="0"/>
        <v>3000000</v>
      </c>
      <c r="P9" s="219">
        <f t="shared" si="0"/>
        <v>800000</v>
      </c>
      <c r="Q9" s="219">
        <f>MAX(0,O9-$D$17)</f>
        <v>1500000</v>
      </c>
      <c r="R9" s="219">
        <f>Q9/O9*P9</f>
        <v>400000</v>
      </c>
    </row>
    <row r="10" spans="1:19" ht="17" thickBot="1" x14ac:dyDescent="0.25">
      <c r="A10" s="230"/>
      <c r="B10" s="267" t="s">
        <v>301</v>
      </c>
      <c r="C10" s="289">
        <v>44461</v>
      </c>
      <c r="D10" s="289">
        <v>44825</v>
      </c>
      <c r="E10" s="289">
        <v>44618</v>
      </c>
      <c r="F10" s="242">
        <v>4000000</v>
      </c>
      <c r="G10" s="242">
        <v>3000000</v>
      </c>
      <c r="H10" s="241">
        <v>800000</v>
      </c>
      <c r="I10" s="249"/>
      <c r="J10" s="288"/>
    </row>
    <row r="11" spans="1:19" ht="17" thickBot="1" x14ac:dyDescent="0.25">
      <c r="A11" s="230"/>
      <c r="B11" s="229"/>
      <c r="C11" s="229"/>
      <c r="D11" s="229"/>
      <c r="E11" s="229"/>
      <c r="F11" s="229"/>
      <c r="G11" s="229"/>
      <c r="H11" s="229"/>
      <c r="I11" s="229"/>
      <c r="J11" s="228"/>
      <c r="M11" s="218" t="s">
        <v>343</v>
      </c>
      <c r="N11" s="285">
        <f>SUM(Q6:R9)</f>
        <v>2663636.3636363638</v>
      </c>
    </row>
    <row r="12" spans="1:19" x14ac:dyDescent="0.2">
      <c r="A12" s="230"/>
      <c r="B12" s="413" t="s">
        <v>353</v>
      </c>
      <c r="C12" s="413"/>
      <c r="D12" s="413"/>
      <c r="E12" s="413"/>
      <c r="F12" s="413"/>
      <c r="G12" s="413"/>
      <c r="H12" s="413"/>
      <c r="I12" s="413"/>
      <c r="J12" s="228"/>
    </row>
    <row r="13" spans="1:19" x14ac:dyDescent="0.2">
      <c r="A13" s="230"/>
      <c r="B13" s="413"/>
      <c r="C13" s="413"/>
      <c r="D13" s="413"/>
      <c r="E13" s="413"/>
      <c r="F13" s="413"/>
      <c r="G13" s="413"/>
      <c r="H13" s="413"/>
      <c r="I13" s="413"/>
      <c r="J13" s="228"/>
      <c r="M13" s="275" t="s">
        <v>308</v>
      </c>
    </row>
    <row r="14" spans="1:19" x14ac:dyDescent="0.2">
      <c r="A14" s="230"/>
      <c r="B14" s="229"/>
      <c r="C14" s="229"/>
      <c r="D14" s="229"/>
      <c r="E14" s="229"/>
      <c r="F14" s="229"/>
      <c r="G14" s="229"/>
      <c r="H14" s="229"/>
      <c r="I14" s="229"/>
      <c r="J14" s="228"/>
      <c r="O14" s="414" t="s">
        <v>197</v>
      </c>
      <c r="P14" s="414" t="s">
        <v>243</v>
      </c>
    </row>
    <row r="15" spans="1:19" x14ac:dyDescent="0.2">
      <c r="A15" s="230"/>
      <c r="B15" s="265" t="s">
        <v>352</v>
      </c>
      <c r="C15" s="229"/>
      <c r="D15" s="286">
        <v>44197</v>
      </c>
      <c r="E15" s="229"/>
      <c r="F15" s="229"/>
      <c r="G15" s="229"/>
      <c r="H15" s="229"/>
      <c r="I15" s="229"/>
      <c r="J15" s="228"/>
      <c r="M15" s="224" t="s">
        <v>184</v>
      </c>
      <c r="N15" s="287" t="s">
        <v>351</v>
      </c>
      <c r="O15" s="415"/>
      <c r="P15" s="415"/>
      <c r="Q15" s="233"/>
      <c r="R15" s="233"/>
    </row>
    <row r="16" spans="1:19" x14ac:dyDescent="0.2">
      <c r="A16" s="230"/>
      <c r="B16" s="265" t="s">
        <v>350</v>
      </c>
      <c r="C16" s="229"/>
      <c r="D16" s="286">
        <v>44561</v>
      </c>
      <c r="E16" s="229"/>
      <c r="F16" s="229"/>
      <c r="G16" s="229"/>
      <c r="H16" s="229"/>
      <c r="I16" s="229"/>
      <c r="J16" s="228"/>
      <c r="M16" s="221" t="s">
        <v>304</v>
      </c>
      <c r="N16" s="233" t="s">
        <v>185</v>
      </c>
      <c r="O16" s="219">
        <f>G7+H7</f>
        <v>750000</v>
      </c>
      <c r="P16" s="219">
        <f>MAX(0,O16-$D$17)</f>
        <v>0</v>
      </c>
      <c r="Q16" t="s">
        <v>349</v>
      </c>
      <c r="R16" s="233"/>
    </row>
    <row r="17" spans="1:18" x14ac:dyDescent="0.2">
      <c r="A17" s="230"/>
      <c r="B17" s="265" t="s">
        <v>348</v>
      </c>
      <c r="C17" s="229"/>
      <c r="D17" s="249">
        <v>1500000</v>
      </c>
      <c r="E17" s="229"/>
      <c r="F17" s="229"/>
      <c r="G17" s="229"/>
      <c r="H17" s="229"/>
      <c r="I17" s="229"/>
      <c r="J17" s="228"/>
      <c r="M17" s="221" t="s">
        <v>303</v>
      </c>
      <c r="N17" s="233" t="s">
        <v>187</v>
      </c>
      <c r="O17" s="219">
        <f>G8+H8</f>
        <v>1200000</v>
      </c>
      <c r="P17" s="219">
        <f>MAX(0,O17-$D$17)</f>
        <v>0</v>
      </c>
      <c r="R17" s="233"/>
    </row>
    <row r="18" spans="1:18" x14ac:dyDescent="0.2">
      <c r="A18" s="230"/>
      <c r="B18" s="265" t="s">
        <v>347</v>
      </c>
      <c r="C18" s="229"/>
      <c r="D18" s="249">
        <v>12000000</v>
      </c>
      <c r="E18" s="229"/>
      <c r="F18" s="229"/>
      <c r="G18" s="229"/>
      <c r="H18" s="229"/>
      <c r="I18" s="229"/>
      <c r="J18" s="228"/>
      <c r="M18" s="221" t="s">
        <v>302</v>
      </c>
      <c r="N18" s="233" t="s">
        <v>187</v>
      </c>
      <c r="O18" s="219">
        <f>G9+H9</f>
        <v>2400000</v>
      </c>
      <c r="P18" s="219">
        <f>MAX(0,O18-$D$17)</f>
        <v>900000</v>
      </c>
      <c r="R18" s="233"/>
    </row>
    <row r="19" spans="1:18" x14ac:dyDescent="0.2">
      <c r="A19" s="230"/>
      <c r="B19" s="265" t="s">
        <v>346</v>
      </c>
      <c r="C19" s="229"/>
      <c r="D19" s="264"/>
      <c r="E19" s="229"/>
      <c r="F19" s="229"/>
      <c r="G19" s="229"/>
      <c r="H19" s="229"/>
      <c r="I19" s="229"/>
      <c r="J19" s="228"/>
      <c r="M19" s="221" t="s">
        <v>301</v>
      </c>
      <c r="N19" s="233" t="s">
        <v>185</v>
      </c>
      <c r="O19" s="219">
        <f>G10+H10</f>
        <v>3800000</v>
      </c>
      <c r="P19" s="219">
        <v>0</v>
      </c>
      <c r="Q19" t="s">
        <v>345</v>
      </c>
      <c r="R19" s="233"/>
    </row>
    <row r="20" spans="1:18" ht="17" thickBot="1" x14ac:dyDescent="0.25">
      <c r="A20" s="230"/>
      <c r="B20" s="265" t="s">
        <v>344</v>
      </c>
      <c r="C20" s="264"/>
      <c r="D20" s="229"/>
      <c r="E20" s="229"/>
      <c r="F20" s="229"/>
      <c r="G20" s="229"/>
      <c r="H20" s="229"/>
      <c r="I20" s="229"/>
      <c r="J20" s="228"/>
    </row>
    <row r="21" spans="1:18" ht="17" thickBot="1" x14ac:dyDescent="0.25">
      <c r="A21" s="230"/>
      <c r="B21" s="229"/>
      <c r="C21" s="229"/>
      <c r="D21" s="229"/>
      <c r="E21" s="229"/>
      <c r="F21" s="229"/>
      <c r="G21" s="229"/>
      <c r="H21" s="229"/>
      <c r="I21" s="229"/>
      <c r="J21" s="228"/>
      <c r="M21" s="218" t="s">
        <v>343</v>
      </c>
      <c r="N21" s="285">
        <f>SUM(P16:P19)</f>
        <v>900000</v>
      </c>
    </row>
    <row r="22" spans="1:18" x14ac:dyDescent="0.2">
      <c r="A22" s="230"/>
      <c r="B22" s="235" t="s">
        <v>0</v>
      </c>
      <c r="C22" s="229"/>
      <c r="D22" s="229"/>
      <c r="E22" s="229"/>
      <c r="F22" s="229"/>
      <c r="G22" s="229"/>
      <c r="H22" s="229"/>
      <c r="I22" s="229"/>
      <c r="J22" s="228"/>
    </row>
    <row r="23" spans="1:18" x14ac:dyDescent="0.2">
      <c r="A23" s="230"/>
      <c r="B23" s="229" t="s">
        <v>342</v>
      </c>
      <c r="C23" s="229"/>
      <c r="D23" s="229"/>
      <c r="E23" s="229"/>
      <c r="F23" s="229"/>
      <c r="G23" s="229"/>
      <c r="H23" s="229"/>
      <c r="I23" s="229"/>
      <c r="J23" s="228"/>
    </row>
    <row r="24" spans="1:18" x14ac:dyDescent="0.2">
      <c r="A24" s="230"/>
      <c r="B24" s="264"/>
      <c r="C24" s="229"/>
      <c r="D24" s="229"/>
      <c r="E24" s="229"/>
      <c r="F24" s="229"/>
      <c r="G24" s="229"/>
      <c r="H24" s="229"/>
      <c r="I24" s="229"/>
      <c r="J24" s="228"/>
    </row>
    <row r="25" spans="1:18" ht="19" x14ac:dyDescent="0.25">
      <c r="A25" s="230"/>
      <c r="B25" s="235" t="s">
        <v>1</v>
      </c>
      <c r="C25" s="229"/>
      <c r="D25" s="229"/>
      <c r="E25" s="229"/>
      <c r="F25" s="229"/>
      <c r="G25" s="229"/>
      <c r="H25" s="229"/>
      <c r="I25" s="229"/>
      <c r="J25" s="228"/>
      <c r="M25" s="216" t="s">
        <v>290</v>
      </c>
    </row>
    <row r="26" spans="1:18" ht="16" customHeight="1" x14ac:dyDescent="0.2">
      <c r="A26" s="230"/>
      <c r="B26" s="413" t="s">
        <v>341</v>
      </c>
      <c r="C26" s="413"/>
      <c r="D26" s="413"/>
      <c r="E26" s="413"/>
      <c r="F26" s="413"/>
      <c r="G26" s="413"/>
      <c r="H26" s="413"/>
      <c r="I26" s="413"/>
      <c r="J26" s="228"/>
      <c r="M26" t="s">
        <v>285</v>
      </c>
    </row>
    <row r="27" spans="1:18" ht="16" customHeight="1" x14ac:dyDescent="0.2">
      <c r="A27" s="230"/>
      <c r="B27" s="413"/>
      <c r="C27" s="413"/>
      <c r="D27" s="413"/>
      <c r="E27" s="413"/>
      <c r="F27" s="413"/>
      <c r="G27" s="413"/>
      <c r="H27" s="413"/>
      <c r="I27" s="413"/>
      <c r="J27" s="228"/>
    </row>
    <row r="28" spans="1:18" x14ac:dyDescent="0.2">
      <c r="A28" s="230"/>
      <c r="B28" s="413"/>
      <c r="C28" s="413"/>
      <c r="D28" s="413"/>
      <c r="E28" s="413"/>
      <c r="F28" s="413"/>
      <c r="G28" s="413"/>
      <c r="H28" s="413"/>
      <c r="I28" s="413"/>
      <c r="J28" s="228"/>
    </row>
    <row r="29" spans="1:18" ht="17" thickBot="1" x14ac:dyDescent="0.25">
      <c r="A29" s="230"/>
      <c r="B29" s="229"/>
      <c r="C29" s="229"/>
      <c r="D29" s="229"/>
      <c r="E29" s="229"/>
      <c r="F29" s="229"/>
      <c r="G29" s="229"/>
      <c r="H29" s="229"/>
      <c r="I29" s="229"/>
      <c r="J29" s="228"/>
    </row>
    <row r="30" spans="1:18" ht="17" thickBot="1" x14ac:dyDescent="0.25">
      <c r="A30" s="227" t="s">
        <v>7</v>
      </c>
      <c r="B30" s="226"/>
      <c r="C30" s="226"/>
      <c r="D30" s="226"/>
      <c r="E30" s="226"/>
      <c r="F30" s="226"/>
      <c r="G30" s="226"/>
      <c r="H30" s="226"/>
      <c r="I30" s="226"/>
      <c r="J30" s="225"/>
    </row>
  </sheetData>
  <mergeCells count="6">
    <mergeCell ref="B12:I13"/>
    <mergeCell ref="D5:D6"/>
    <mergeCell ref="C5:C6"/>
    <mergeCell ref="B26:I28"/>
    <mergeCell ref="P14:P15"/>
    <mergeCell ref="O14:O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7C054-995C-5E49-BE03-26BAF0C54608}">
  <dimension ref="A1:U48"/>
  <sheetViews>
    <sheetView zoomScaleNormal="100" workbookViewId="0"/>
  </sheetViews>
  <sheetFormatPr baseColWidth="10" defaultColWidth="11" defaultRowHeight="16" outlineLevelCol="1" x14ac:dyDescent="0.2"/>
  <cols>
    <col min="1" max="1" width="4.5" customWidth="1"/>
    <col min="2" max="2" width="18.6640625" customWidth="1"/>
    <col min="3" max="12" width="10.83203125" customWidth="1"/>
    <col min="13" max="14" width="12.1640625" hidden="1" customWidth="1" outlineLevel="1"/>
    <col min="15" max="15" width="10.83203125" hidden="1" customWidth="1" outlineLevel="1"/>
    <col min="16" max="16" width="12.5" hidden="1" customWidth="1" outlineLevel="1"/>
    <col min="17" max="20" width="10.83203125" hidden="1" customWidth="1" outlineLevel="1"/>
    <col min="21" max="21" width="11" collapsed="1"/>
  </cols>
  <sheetData>
    <row r="1" spans="1:20" ht="19" x14ac:dyDescent="0.25">
      <c r="A1" s="263" t="s">
        <v>723</v>
      </c>
      <c r="B1" s="262"/>
      <c r="C1" s="261"/>
      <c r="D1" s="261"/>
      <c r="E1" s="261"/>
      <c r="F1" s="261"/>
      <c r="G1" s="261"/>
      <c r="H1" s="261"/>
      <c r="I1" s="261"/>
      <c r="J1" s="311"/>
      <c r="K1" s="233"/>
      <c r="L1" s="258" t="s">
        <v>320</v>
      </c>
    </row>
    <row r="2" spans="1:20" x14ac:dyDescent="0.2">
      <c r="A2" s="230"/>
      <c r="B2" s="229"/>
      <c r="C2" s="229"/>
      <c r="D2" s="229"/>
      <c r="E2" s="229"/>
      <c r="F2" s="229"/>
      <c r="G2" s="229"/>
      <c r="H2" s="229"/>
      <c r="I2" s="229"/>
      <c r="J2" s="228"/>
    </row>
    <row r="3" spans="1:20" x14ac:dyDescent="0.2">
      <c r="A3" s="230"/>
      <c r="B3" s="229" t="s">
        <v>400</v>
      </c>
      <c r="C3" s="229"/>
      <c r="D3" s="229"/>
      <c r="E3" s="229"/>
      <c r="F3" s="229"/>
      <c r="G3" s="229"/>
      <c r="H3" s="229"/>
      <c r="I3" s="229"/>
      <c r="J3" s="228"/>
      <c r="M3" s="310" t="s">
        <v>399</v>
      </c>
    </row>
    <row r="4" spans="1:20" x14ac:dyDescent="0.2">
      <c r="A4" s="230"/>
      <c r="B4" s="229"/>
      <c r="C4" s="229"/>
      <c r="D4" s="229"/>
      <c r="E4" s="229"/>
      <c r="F4" s="229"/>
      <c r="G4" s="229"/>
      <c r="H4" s="229"/>
      <c r="I4" s="229"/>
      <c r="J4" s="228"/>
    </row>
    <row r="5" spans="1:20" s="270" customFormat="1" ht="51" x14ac:dyDescent="0.2">
      <c r="A5" s="273"/>
      <c r="B5" s="229"/>
      <c r="C5" s="309" t="s">
        <v>63</v>
      </c>
      <c r="D5" s="308" t="s">
        <v>398</v>
      </c>
      <c r="E5" s="307" t="s">
        <v>397</v>
      </c>
      <c r="F5" s="272"/>
      <c r="G5" s="272"/>
      <c r="H5" s="272"/>
      <c r="I5" s="272"/>
      <c r="J5" s="271"/>
      <c r="M5" s="224" t="s">
        <v>240</v>
      </c>
      <c r="N5" s="231" t="s">
        <v>66</v>
      </c>
      <c r="O5" s="231" t="s">
        <v>396</v>
      </c>
      <c r="P5"/>
      <c r="Q5"/>
      <c r="R5"/>
      <c r="S5"/>
      <c r="T5"/>
    </row>
    <row r="6" spans="1:20" x14ac:dyDescent="0.2">
      <c r="A6" s="230"/>
      <c r="B6" s="229"/>
      <c r="C6" s="251">
        <v>2018</v>
      </c>
      <c r="D6" s="249">
        <v>6333333.3333333321</v>
      </c>
      <c r="E6" s="248">
        <v>6000000</v>
      </c>
      <c r="F6" s="229"/>
      <c r="G6" s="229"/>
      <c r="H6" s="229"/>
      <c r="I6" s="229"/>
      <c r="J6" s="228"/>
      <c r="M6" s="221">
        <f t="shared" ref="M6:N10" si="0">C6</f>
        <v>2018</v>
      </c>
      <c r="N6" s="219">
        <f t="shared" si="0"/>
        <v>6333333.3333333321</v>
      </c>
      <c r="O6" s="219">
        <f>N6*H16</f>
        <v>6459999.9999999991</v>
      </c>
    </row>
    <row r="7" spans="1:20" x14ac:dyDescent="0.2">
      <c r="A7" s="230"/>
      <c r="B7" s="229"/>
      <c r="C7" s="251">
        <v>2019</v>
      </c>
      <c r="D7" s="249">
        <v>10000000</v>
      </c>
      <c r="E7" s="248">
        <v>8000000</v>
      </c>
      <c r="F7" s="229"/>
      <c r="G7" s="229"/>
      <c r="H7" s="229"/>
      <c r="I7" s="229"/>
      <c r="J7" s="228"/>
      <c r="M7" s="221">
        <f t="shared" si="0"/>
        <v>2019</v>
      </c>
      <c r="N7" s="219">
        <f t="shared" si="0"/>
        <v>10000000</v>
      </c>
      <c r="O7" s="219">
        <f>N7*PRODUCT(G16:H16)</f>
        <v>10710000.000000002</v>
      </c>
      <c r="P7" s="270"/>
      <c r="Q7" s="270"/>
      <c r="R7" s="270"/>
      <c r="S7" s="270"/>
      <c r="T7" s="270"/>
    </row>
    <row r="8" spans="1:20" x14ac:dyDescent="0.2">
      <c r="A8" s="230"/>
      <c r="B8" s="229"/>
      <c r="C8" s="251">
        <v>2020</v>
      </c>
      <c r="D8" s="249">
        <v>5333333.333333334</v>
      </c>
      <c r="E8" s="248">
        <v>4300000</v>
      </c>
      <c r="F8" s="229"/>
      <c r="G8" s="229"/>
      <c r="H8" s="229"/>
      <c r="I8" s="229"/>
      <c r="J8" s="228"/>
      <c r="M8" s="221">
        <f t="shared" si="0"/>
        <v>2020</v>
      </c>
      <c r="N8" s="219">
        <f t="shared" si="0"/>
        <v>5333333.333333334</v>
      </c>
      <c r="O8" s="219">
        <f>N8*PRODUCT(F16:H16)</f>
        <v>6283200.0000000028</v>
      </c>
    </row>
    <row r="9" spans="1:20" x14ac:dyDescent="0.2">
      <c r="A9" s="230"/>
      <c r="B9" s="229"/>
      <c r="C9" s="251">
        <v>2021</v>
      </c>
      <c r="D9" s="249">
        <v>4000000</v>
      </c>
      <c r="E9" s="248">
        <v>2400000</v>
      </c>
      <c r="F9" s="229"/>
      <c r="G9" s="229"/>
      <c r="H9" s="229"/>
      <c r="I9" s="229"/>
      <c r="J9" s="228"/>
      <c r="M9" s="221">
        <f t="shared" si="0"/>
        <v>2021</v>
      </c>
      <c r="N9" s="219">
        <f t="shared" si="0"/>
        <v>4000000</v>
      </c>
      <c r="O9" s="219">
        <f>N9*PRODUCT(E16:H16)</f>
        <v>6126120.0000000009</v>
      </c>
    </row>
    <row r="10" spans="1:20" x14ac:dyDescent="0.2">
      <c r="A10" s="230"/>
      <c r="B10" s="229"/>
      <c r="C10" s="244">
        <v>2022</v>
      </c>
      <c r="D10" s="242">
        <v>2000000</v>
      </c>
      <c r="E10" s="241">
        <v>750000</v>
      </c>
      <c r="F10" s="229"/>
      <c r="G10" s="229"/>
      <c r="H10" s="229"/>
      <c r="I10" s="229"/>
      <c r="J10" s="228"/>
      <c r="M10" s="221">
        <f t="shared" si="0"/>
        <v>2022</v>
      </c>
      <c r="N10" s="219">
        <f t="shared" si="0"/>
        <v>2000000</v>
      </c>
      <c r="O10" s="219">
        <f>N10*PRODUCT(D16:H16)</f>
        <v>6279273.0000000019</v>
      </c>
    </row>
    <row r="11" spans="1:20" x14ac:dyDescent="0.2">
      <c r="A11" s="230"/>
      <c r="B11" s="229"/>
      <c r="C11" s="229"/>
      <c r="D11" s="229"/>
      <c r="E11" s="229"/>
      <c r="F11" s="229"/>
      <c r="G11" s="229"/>
      <c r="H11" s="229"/>
      <c r="I11" s="229"/>
      <c r="J11" s="228"/>
    </row>
    <row r="12" spans="1:20" x14ac:dyDescent="0.2">
      <c r="A12" s="230"/>
      <c r="B12" s="229" t="s">
        <v>395</v>
      </c>
      <c r="C12" s="229"/>
      <c r="D12" s="229"/>
      <c r="E12" s="229"/>
      <c r="F12" s="229"/>
      <c r="G12" s="229"/>
      <c r="H12" s="229"/>
      <c r="I12" s="229"/>
      <c r="J12" s="228"/>
      <c r="M12" s="297" t="s">
        <v>394</v>
      </c>
    </row>
    <row r="13" spans="1:20" x14ac:dyDescent="0.2">
      <c r="A13" s="230"/>
      <c r="B13" s="229" t="s">
        <v>393</v>
      </c>
      <c r="C13" s="229"/>
      <c r="D13" s="229"/>
      <c r="E13" s="229"/>
      <c r="F13" s="229"/>
      <c r="G13" s="229"/>
      <c r="H13" s="229"/>
      <c r="I13" s="229"/>
      <c r="J13" s="228"/>
    </row>
    <row r="14" spans="1:20" x14ac:dyDescent="0.2">
      <c r="A14" s="230"/>
      <c r="B14" s="229"/>
      <c r="C14" s="229"/>
      <c r="D14" s="229"/>
      <c r="E14" s="229"/>
      <c r="F14" s="229"/>
      <c r="G14" s="229"/>
      <c r="H14" s="229"/>
      <c r="I14" s="229"/>
      <c r="J14" s="228"/>
      <c r="N14" s="414" t="s">
        <v>392</v>
      </c>
      <c r="O14" s="414" t="s">
        <v>391</v>
      </c>
      <c r="P14" s="414" t="s">
        <v>390</v>
      </c>
      <c r="Q14" s="414" t="s">
        <v>377</v>
      </c>
    </row>
    <row r="15" spans="1:20" x14ac:dyDescent="0.2">
      <c r="A15" s="230"/>
      <c r="B15" s="229"/>
      <c r="C15" s="306" t="s">
        <v>389</v>
      </c>
      <c r="D15" s="305" t="s">
        <v>388</v>
      </c>
      <c r="E15" s="304" t="s">
        <v>387</v>
      </c>
      <c r="F15" s="304" t="s">
        <v>386</v>
      </c>
      <c r="G15" s="304" t="s">
        <v>385</v>
      </c>
      <c r="H15" s="303" t="s">
        <v>90</v>
      </c>
      <c r="I15" s="302"/>
      <c r="J15" s="301"/>
      <c r="K15" s="240"/>
      <c r="M15" s="232"/>
      <c r="N15" s="414"/>
      <c r="O15" s="414"/>
      <c r="P15" s="414"/>
      <c r="Q15" s="414"/>
    </row>
    <row r="16" spans="1:20" x14ac:dyDescent="0.2">
      <c r="A16" s="230"/>
      <c r="B16" s="229"/>
      <c r="C16" s="300" t="s">
        <v>384</v>
      </c>
      <c r="D16" s="291">
        <v>2.0499999999999998</v>
      </c>
      <c r="E16" s="291">
        <v>1.3</v>
      </c>
      <c r="F16" s="291">
        <v>1.1000000000000001</v>
      </c>
      <c r="G16" s="291">
        <v>1.05</v>
      </c>
      <c r="H16" s="266">
        <v>1.02</v>
      </c>
      <c r="I16" s="264"/>
      <c r="J16" s="290"/>
      <c r="K16" s="233"/>
      <c r="M16" s="224" t="str">
        <f t="shared" ref="M16:M21" si="1">M5</f>
        <v>AY</v>
      </c>
      <c r="N16" s="415"/>
      <c r="O16" s="415"/>
      <c r="P16" s="415"/>
      <c r="Q16" s="415"/>
    </row>
    <row r="17" spans="1:17" x14ac:dyDescent="0.2">
      <c r="A17" s="230"/>
      <c r="B17" s="229"/>
      <c r="C17" s="264"/>
      <c r="D17" s="264"/>
      <c r="E17" s="264"/>
      <c r="F17" s="264"/>
      <c r="G17" s="264"/>
      <c r="H17" s="264"/>
      <c r="I17" s="264"/>
      <c r="J17" s="290"/>
      <c r="K17" s="233"/>
      <c r="M17" s="221">
        <f t="shared" si="1"/>
        <v>2018</v>
      </c>
      <c r="N17" s="219">
        <f>O6</f>
        <v>6459999.9999999991</v>
      </c>
      <c r="O17" s="233">
        <v>0</v>
      </c>
      <c r="P17" s="233">
        <v>0</v>
      </c>
      <c r="Q17" s="219">
        <f>N17-P17</f>
        <v>6459999.9999999991</v>
      </c>
    </row>
    <row r="18" spans="1:17" x14ac:dyDescent="0.2">
      <c r="A18" s="230"/>
      <c r="B18" s="265" t="s">
        <v>383</v>
      </c>
      <c r="C18" s="229"/>
      <c r="D18" s="229"/>
      <c r="E18" s="229"/>
      <c r="F18" s="229"/>
      <c r="G18" s="229"/>
      <c r="H18" s="229"/>
      <c r="I18" s="229"/>
      <c r="J18" s="228"/>
      <c r="M18" s="221">
        <f t="shared" si="1"/>
        <v>2019</v>
      </c>
      <c r="N18" s="219">
        <f>O7</f>
        <v>10710000.000000002</v>
      </c>
      <c r="O18" s="277">
        <f>E21</f>
        <v>4000000</v>
      </c>
      <c r="P18" s="277">
        <f>MAX(MIN((O18-D32),D33),0)</f>
        <v>2500000</v>
      </c>
      <c r="Q18" s="219">
        <f>N18-P18</f>
        <v>8210000.0000000019</v>
      </c>
    </row>
    <row r="19" spans="1:17" x14ac:dyDescent="0.2">
      <c r="A19" s="230"/>
      <c r="B19" s="229" t="s">
        <v>382</v>
      </c>
      <c r="C19" s="229"/>
      <c r="D19" s="229"/>
      <c r="E19" s="229"/>
      <c r="F19" s="229"/>
      <c r="G19" s="229"/>
      <c r="H19" s="229"/>
      <c r="I19" s="229"/>
      <c r="J19" s="228"/>
      <c r="M19" s="221">
        <f t="shared" si="1"/>
        <v>2020</v>
      </c>
      <c r="N19" s="219">
        <f>O8</f>
        <v>6283200.0000000028</v>
      </c>
      <c r="O19" s="233">
        <v>0</v>
      </c>
      <c r="P19" s="233">
        <v>0</v>
      </c>
      <c r="Q19" s="219">
        <f>N19-P19</f>
        <v>6283200.0000000028</v>
      </c>
    </row>
    <row r="20" spans="1:17" x14ac:dyDescent="0.2">
      <c r="A20" s="230"/>
      <c r="B20" s="229"/>
      <c r="C20" s="229"/>
      <c r="D20" s="229"/>
      <c r="E20" s="229"/>
      <c r="F20" s="229"/>
      <c r="G20" s="229"/>
      <c r="H20" s="229"/>
      <c r="I20" s="229"/>
      <c r="J20" s="228"/>
      <c r="M20" s="221">
        <f t="shared" si="1"/>
        <v>2021</v>
      </c>
      <c r="N20" s="219">
        <f>O9</f>
        <v>6126120.0000000009</v>
      </c>
      <c r="O20" s="233">
        <v>0</v>
      </c>
      <c r="P20" s="233">
        <v>0</v>
      </c>
      <c r="Q20" s="219">
        <f>N20-P20</f>
        <v>6126120.0000000009</v>
      </c>
    </row>
    <row r="21" spans="1:17" x14ac:dyDescent="0.2">
      <c r="A21" s="230"/>
      <c r="B21" s="265" t="s">
        <v>381</v>
      </c>
      <c r="C21" s="229"/>
      <c r="D21" s="229"/>
      <c r="E21" s="295">
        <v>4000000</v>
      </c>
      <c r="F21" s="229"/>
      <c r="G21" s="229"/>
      <c r="H21" s="229"/>
      <c r="I21" s="229"/>
      <c r="J21" s="228"/>
      <c r="M21" s="221">
        <f t="shared" si="1"/>
        <v>2022</v>
      </c>
      <c r="N21" s="219">
        <f>O10</f>
        <v>6279273.0000000019</v>
      </c>
      <c r="O21" s="233">
        <v>0</v>
      </c>
      <c r="P21" s="233">
        <v>0</v>
      </c>
      <c r="Q21" s="219">
        <f>N21-P21</f>
        <v>6279273.0000000019</v>
      </c>
    </row>
    <row r="22" spans="1:17" x14ac:dyDescent="0.2">
      <c r="A22" s="230"/>
      <c r="B22" s="229"/>
      <c r="C22" s="229"/>
      <c r="D22" s="229"/>
      <c r="E22" s="229"/>
      <c r="F22" s="229"/>
      <c r="G22" s="229"/>
      <c r="H22" s="229"/>
      <c r="I22" s="229"/>
      <c r="J22" s="228"/>
    </row>
    <row r="23" spans="1:17" x14ac:dyDescent="0.2">
      <c r="A23" s="230"/>
      <c r="B23" s="229" t="s">
        <v>380</v>
      </c>
      <c r="C23" s="229"/>
      <c r="D23" s="229"/>
      <c r="E23" s="229"/>
      <c r="F23" s="229"/>
      <c r="G23" s="229"/>
      <c r="H23" s="229"/>
      <c r="I23" s="229"/>
      <c r="J23" s="228"/>
      <c r="M23" s="297" t="s">
        <v>379</v>
      </c>
    </row>
    <row r="24" spans="1:17" x14ac:dyDescent="0.2">
      <c r="A24" s="230"/>
      <c r="B24" s="229" t="s">
        <v>378</v>
      </c>
      <c r="C24" s="229"/>
      <c r="D24" s="229"/>
      <c r="E24" s="229"/>
      <c r="F24" s="229"/>
      <c r="G24" s="229"/>
      <c r="H24" s="229"/>
      <c r="I24" s="229"/>
      <c r="J24" s="228"/>
      <c r="N24" s="414" t="s">
        <v>377</v>
      </c>
      <c r="P24" s="414" t="s">
        <v>365</v>
      </c>
    </row>
    <row r="25" spans="1:17" ht="16" customHeight="1" x14ac:dyDescent="0.2">
      <c r="A25" s="230"/>
      <c r="B25" s="229"/>
      <c r="C25" s="229"/>
      <c r="D25" s="229"/>
      <c r="E25" s="229"/>
      <c r="F25" s="229"/>
      <c r="G25" s="229"/>
      <c r="H25" s="229"/>
      <c r="I25" s="229"/>
      <c r="J25" s="228"/>
      <c r="N25" s="414"/>
      <c r="O25" s="414" t="s">
        <v>376</v>
      </c>
      <c r="P25" s="414"/>
    </row>
    <row r="26" spans="1:17" x14ac:dyDescent="0.2">
      <c r="A26" s="230"/>
      <c r="B26" s="296" t="s">
        <v>375</v>
      </c>
      <c r="C26" s="229"/>
      <c r="D26" s="229"/>
      <c r="E26" s="229"/>
      <c r="F26" s="229"/>
      <c r="G26" s="229"/>
      <c r="H26" s="229"/>
      <c r="I26" s="229"/>
      <c r="J26" s="228"/>
      <c r="M26" s="224" t="str">
        <f t="shared" ref="M26:M31" si="2">M16</f>
        <v>AY</v>
      </c>
      <c r="N26" s="415"/>
      <c r="O26" s="415"/>
      <c r="P26" s="415"/>
    </row>
    <row r="27" spans="1:17" x14ac:dyDescent="0.2">
      <c r="A27" s="230"/>
      <c r="B27" s="265" t="s">
        <v>372</v>
      </c>
      <c r="C27" s="229"/>
      <c r="D27" s="264" t="s">
        <v>371</v>
      </c>
      <c r="E27" s="229"/>
      <c r="F27" s="229"/>
      <c r="G27" s="229"/>
      <c r="H27" s="229"/>
      <c r="I27" s="229"/>
      <c r="J27" s="228"/>
      <c r="M27" s="221">
        <f t="shared" si="2"/>
        <v>2018</v>
      </c>
      <c r="N27" s="219">
        <f>Q17</f>
        <v>6459999.9999999991</v>
      </c>
      <c r="O27" s="219">
        <f>N27*$D$28</f>
        <v>2584000</v>
      </c>
      <c r="P27" s="219">
        <f>N27-O27</f>
        <v>3875999.9999999991</v>
      </c>
      <c r="Q27" s="298"/>
    </row>
    <row r="28" spans="1:17" x14ac:dyDescent="0.2">
      <c r="A28" s="230"/>
      <c r="B28" s="265" t="s">
        <v>374</v>
      </c>
      <c r="C28" s="229"/>
      <c r="D28" s="299">
        <v>0.4</v>
      </c>
      <c r="E28" s="229"/>
      <c r="F28" s="229"/>
      <c r="G28" s="229"/>
      <c r="H28" s="229"/>
      <c r="I28" s="229"/>
      <c r="J28" s="228"/>
      <c r="M28" s="221">
        <f t="shared" si="2"/>
        <v>2019</v>
      </c>
      <c r="N28" s="219">
        <f>Q18</f>
        <v>8210000.0000000019</v>
      </c>
      <c r="O28" s="219">
        <f>N28*$D$28</f>
        <v>3284000.0000000009</v>
      </c>
      <c r="P28" s="219">
        <f>N28-O28</f>
        <v>4926000.0000000009</v>
      </c>
      <c r="Q28" s="298"/>
    </row>
    <row r="29" spans="1:17" x14ac:dyDescent="0.2">
      <c r="A29" s="230"/>
      <c r="B29" s="229"/>
      <c r="C29" s="229"/>
      <c r="D29" s="229"/>
      <c r="E29" s="229"/>
      <c r="F29" s="229"/>
      <c r="G29" s="229"/>
      <c r="H29" s="229"/>
      <c r="I29" s="229"/>
      <c r="J29" s="228"/>
      <c r="M29" s="221">
        <f t="shared" si="2"/>
        <v>2020</v>
      </c>
      <c r="N29" s="219">
        <f>Q19</f>
        <v>6283200.0000000028</v>
      </c>
      <c r="O29" s="219">
        <f>N29*$D$28</f>
        <v>2513280.0000000014</v>
      </c>
      <c r="P29" s="219">
        <f>N29-O29</f>
        <v>3769920.0000000014</v>
      </c>
      <c r="Q29" s="298"/>
    </row>
    <row r="30" spans="1:17" x14ac:dyDescent="0.2">
      <c r="A30" s="230"/>
      <c r="B30" s="296" t="s">
        <v>373</v>
      </c>
      <c r="C30" s="229"/>
      <c r="D30" s="229"/>
      <c r="E30" s="229"/>
      <c r="F30" s="229"/>
      <c r="G30" s="229"/>
      <c r="H30" s="229"/>
      <c r="I30" s="229"/>
      <c r="J30" s="228"/>
      <c r="M30" s="221">
        <f t="shared" si="2"/>
        <v>2021</v>
      </c>
      <c r="N30" s="219">
        <f>Q20</f>
        <v>6126120.0000000009</v>
      </c>
      <c r="O30" s="219">
        <f>N30*$D$28</f>
        <v>2450448.0000000005</v>
      </c>
      <c r="P30" s="219">
        <f>N30-O30</f>
        <v>3675672.0000000005</v>
      </c>
      <c r="Q30" s="298"/>
    </row>
    <row r="31" spans="1:17" x14ac:dyDescent="0.2">
      <c r="A31" s="230"/>
      <c r="B31" s="265" t="s">
        <v>372</v>
      </c>
      <c r="C31" s="229"/>
      <c r="D31" s="264" t="s">
        <v>371</v>
      </c>
      <c r="E31" s="229"/>
      <c r="F31" s="229"/>
      <c r="G31" s="229"/>
      <c r="H31" s="229"/>
      <c r="I31" s="229"/>
      <c r="J31" s="228"/>
      <c r="M31" s="221">
        <f t="shared" si="2"/>
        <v>2022</v>
      </c>
      <c r="N31" s="219">
        <f>Q21</f>
        <v>6279273.0000000019</v>
      </c>
      <c r="O31" s="219">
        <f>N31*$D$28</f>
        <v>2511709.2000000007</v>
      </c>
      <c r="P31" s="219">
        <f>N31-O31</f>
        <v>3767563.8000000012</v>
      </c>
      <c r="Q31" s="298"/>
    </row>
    <row r="32" spans="1:17" x14ac:dyDescent="0.2">
      <c r="A32" s="230"/>
      <c r="B32" s="265" t="s">
        <v>370</v>
      </c>
      <c r="C32" s="229"/>
      <c r="D32" s="295">
        <v>1000000</v>
      </c>
      <c r="E32" s="229"/>
      <c r="F32" s="229"/>
      <c r="G32" s="229"/>
      <c r="H32" s="229"/>
      <c r="I32" s="229"/>
      <c r="J32" s="228"/>
    </row>
    <row r="33" spans="1:16" x14ac:dyDescent="0.2">
      <c r="A33" s="230"/>
      <c r="B33" s="265" t="s">
        <v>369</v>
      </c>
      <c r="C33" s="229"/>
      <c r="D33" s="295">
        <v>2500000</v>
      </c>
      <c r="E33" s="229"/>
      <c r="F33" s="229"/>
      <c r="G33" s="229"/>
      <c r="H33" s="229"/>
      <c r="I33" s="229"/>
      <c r="J33" s="228"/>
      <c r="M33" s="297" t="s">
        <v>368</v>
      </c>
    </row>
    <row r="34" spans="1:16" x14ac:dyDescent="0.2">
      <c r="A34" s="230"/>
      <c r="B34" s="265" t="s">
        <v>367</v>
      </c>
      <c r="C34" s="229"/>
      <c r="D34" s="264" t="s">
        <v>366</v>
      </c>
      <c r="E34" s="229"/>
      <c r="F34" s="229"/>
      <c r="G34" s="229"/>
      <c r="H34" s="229"/>
      <c r="I34" s="229"/>
      <c r="J34" s="228"/>
      <c r="O34" s="414" t="s">
        <v>365</v>
      </c>
      <c r="P34" s="414" t="s">
        <v>364</v>
      </c>
    </row>
    <row r="35" spans="1:16" x14ac:dyDescent="0.2">
      <c r="A35" s="230"/>
      <c r="B35" s="265" t="s">
        <v>363</v>
      </c>
      <c r="C35" s="229"/>
      <c r="D35" s="229"/>
      <c r="E35" s="229"/>
      <c r="F35" s="229"/>
      <c r="G35" s="229"/>
      <c r="H35" s="229"/>
      <c r="I35" s="229"/>
      <c r="J35" s="228"/>
      <c r="O35" s="414"/>
      <c r="P35" s="414"/>
    </row>
    <row r="36" spans="1:16" x14ac:dyDescent="0.2">
      <c r="A36" s="230"/>
      <c r="B36" s="229"/>
      <c r="C36" s="229"/>
      <c r="D36" s="229"/>
      <c r="E36" s="229"/>
      <c r="F36" s="229"/>
      <c r="G36" s="229"/>
      <c r="H36" s="229"/>
      <c r="I36" s="229"/>
      <c r="J36" s="228"/>
      <c r="M36" s="224" t="str">
        <f t="shared" ref="M36:M41" si="3">M26</f>
        <v>AY</v>
      </c>
      <c r="N36" s="287" t="s">
        <v>362</v>
      </c>
      <c r="O36" s="415"/>
      <c r="P36" s="415"/>
    </row>
    <row r="37" spans="1:16" x14ac:dyDescent="0.2">
      <c r="A37" s="230"/>
      <c r="B37" s="296" t="s">
        <v>361</v>
      </c>
      <c r="C37" s="229"/>
      <c r="D37" s="229"/>
      <c r="E37" s="229"/>
      <c r="F37" s="229"/>
      <c r="G37" s="229"/>
      <c r="H37" s="229"/>
      <c r="I37" s="229"/>
      <c r="J37" s="228"/>
      <c r="M37" s="221">
        <f t="shared" si="3"/>
        <v>2018</v>
      </c>
      <c r="N37" s="219">
        <f>C38</f>
        <v>4000000</v>
      </c>
      <c r="O37" s="219">
        <f>P27</f>
        <v>3875999.9999999991</v>
      </c>
      <c r="P37" s="219">
        <f>MIN(O37,N37)</f>
        <v>3875999.9999999991</v>
      </c>
    </row>
    <row r="38" spans="1:16" x14ac:dyDescent="0.2">
      <c r="A38" s="230"/>
      <c r="B38" s="265" t="s">
        <v>360</v>
      </c>
      <c r="C38" s="295">
        <v>4000000</v>
      </c>
      <c r="D38" s="229"/>
      <c r="E38" s="229"/>
      <c r="F38" s="229"/>
      <c r="G38" s="229"/>
      <c r="H38" s="229"/>
      <c r="I38" s="229"/>
      <c r="J38" s="228"/>
      <c r="M38" s="221">
        <f t="shared" si="3"/>
        <v>2019</v>
      </c>
      <c r="N38" s="219">
        <f>N37</f>
        <v>4000000</v>
      </c>
      <c r="O38" s="219">
        <f>P28</f>
        <v>4926000.0000000009</v>
      </c>
      <c r="P38" s="219">
        <f>MIN(O38,N38)</f>
        <v>4000000</v>
      </c>
    </row>
    <row r="39" spans="1:16" x14ac:dyDescent="0.2">
      <c r="A39" s="230"/>
      <c r="B39" s="265" t="s">
        <v>359</v>
      </c>
      <c r="C39" s="229"/>
      <c r="D39" s="229"/>
      <c r="E39" s="229"/>
      <c r="F39" s="229"/>
      <c r="G39" s="229"/>
      <c r="H39" s="229"/>
      <c r="I39" s="229"/>
      <c r="J39" s="228"/>
      <c r="M39" s="221">
        <f t="shared" si="3"/>
        <v>2020</v>
      </c>
      <c r="N39" s="219">
        <f>N38</f>
        <v>4000000</v>
      </c>
      <c r="O39" s="219">
        <f>P29</f>
        <v>3769920.0000000014</v>
      </c>
      <c r="P39" s="219">
        <f>MIN(O39,N39)</f>
        <v>3769920.0000000014</v>
      </c>
    </row>
    <row r="40" spans="1:16" x14ac:dyDescent="0.2">
      <c r="A40" s="230"/>
      <c r="B40" s="229"/>
      <c r="C40" s="229"/>
      <c r="D40" s="229"/>
      <c r="E40" s="229"/>
      <c r="F40" s="229"/>
      <c r="G40" s="229"/>
      <c r="H40" s="229"/>
      <c r="I40" s="229"/>
      <c r="J40" s="228"/>
      <c r="M40" s="221">
        <f t="shared" si="3"/>
        <v>2021</v>
      </c>
      <c r="N40" s="219">
        <f>N39</f>
        <v>4000000</v>
      </c>
      <c r="O40" s="219">
        <f>P30</f>
        <v>3675672.0000000005</v>
      </c>
      <c r="P40" s="219">
        <f>MIN(O40,N40)</f>
        <v>3675672.0000000005</v>
      </c>
    </row>
    <row r="41" spans="1:16" ht="19" customHeight="1" x14ac:dyDescent="0.2">
      <c r="A41" s="230"/>
      <c r="B41" s="413" t="s">
        <v>358</v>
      </c>
      <c r="C41" s="413"/>
      <c r="D41" s="413"/>
      <c r="E41" s="413"/>
      <c r="F41" s="413"/>
      <c r="G41" s="413"/>
      <c r="H41" s="413"/>
      <c r="I41" s="413"/>
      <c r="J41" s="228"/>
      <c r="M41" s="221">
        <f t="shared" si="3"/>
        <v>2022</v>
      </c>
      <c r="N41" s="219">
        <f>N40</f>
        <v>4000000</v>
      </c>
      <c r="O41" s="219">
        <f>P31</f>
        <v>3767563.8000000012</v>
      </c>
      <c r="P41" s="219">
        <f>MIN(O41,N41)</f>
        <v>3767563.8000000012</v>
      </c>
    </row>
    <row r="42" spans="1:16" ht="17" thickBot="1" x14ac:dyDescent="0.25">
      <c r="A42" s="230"/>
      <c r="B42" s="413"/>
      <c r="C42" s="413"/>
      <c r="D42" s="413"/>
      <c r="E42" s="413"/>
      <c r="F42" s="413"/>
      <c r="G42" s="413"/>
      <c r="H42" s="413"/>
      <c r="I42" s="413"/>
      <c r="J42" s="228"/>
    </row>
    <row r="43" spans="1:16" ht="17" thickBot="1" x14ac:dyDescent="0.25">
      <c r="A43" s="230"/>
      <c r="B43" s="229"/>
      <c r="C43" s="229"/>
      <c r="D43" s="229"/>
      <c r="E43" s="229"/>
      <c r="F43" s="229"/>
      <c r="G43" s="229"/>
      <c r="H43" s="229"/>
      <c r="I43" s="229"/>
      <c r="J43" s="228"/>
      <c r="M43" s="294" t="s">
        <v>357</v>
      </c>
      <c r="N43" s="276"/>
      <c r="O43" s="293">
        <f>SUM(P37:P41)</f>
        <v>19089155.800000001</v>
      </c>
    </row>
    <row r="44" spans="1:16" ht="17" thickBot="1" x14ac:dyDescent="0.25">
      <c r="A44" s="227" t="s">
        <v>7</v>
      </c>
      <c r="B44" s="226"/>
      <c r="C44" s="226"/>
      <c r="D44" s="226"/>
      <c r="E44" s="226"/>
      <c r="F44" s="226"/>
      <c r="G44" s="226"/>
      <c r="H44" s="226"/>
      <c r="I44" s="226"/>
      <c r="J44" s="225"/>
    </row>
    <row r="47" spans="1:16" ht="19" x14ac:dyDescent="0.25">
      <c r="M47" s="216" t="s">
        <v>290</v>
      </c>
    </row>
    <row r="48" spans="1:16" x14ac:dyDescent="0.2">
      <c r="M48" t="s">
        <v>287</v>
      </c>
    </row>
  </sheetData>
  <mergeCells count="10">
    <mergeCell ref="B41:I42"/>
    <mergeCell ref="Q14:Q16"/>
    <mergeCell ref="P14:P16"/>
    <mergeCell ref="O14:O16"/>
    <mergeCell ref="N14:N16"/>
    <mergeCell ref="O25:O26"/>
    <mergeCell ref="N24:N26"/>
    <mergeCell ref="P24:P26"/>
    <mergeCell ref="P34:P36"/>
    <mergeCell ref="O34:O3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58F8-5305-A649-ADF9-E74C363E4C32}">
  <dimension ref="A1:T47"/>
  <sheetViews>
    <sheetView zoomScaleNormal="100" workbookViewId="0"/>
  </sheetViews>
  <sheetFormatPr baseColWidth="10" defaultColWidth="11" defaultRowHeight="16" outlineLevelCol="1" x14ac:dyDescent="0.2"/>
  <cols>
    <col min="1" max="1" width="4.5" customWidth="1"/>
    <col min="2" max="2" width="11.6640625" customWidth="1"/>
    <col min="3" max="3" width="11.6640625" style="233" customWidth="1"/>
    <col min="4" max="4" width="10.83203125" style="233" customWidth="1"/>
    <col min="5" max="12" width="10.83203125" customWidth="1"/>
    <col min="13" max="13" width="25.5" hidden="1" customWidth="1" outlineLevel="1"/>
    <col min="14" max="19" width="10.83203125" hidden="1" customWidth="1" outlineLevel="1"/>
    <col min="20" max="20" width="10.83203125" customWidth="1" collapsed="1"/>
    <col min="21" max="23" width="10.83203125" customWidth="1"/>
  </cols>
  <sheetData>
    <row r="1" spans="1:14" ht="19" x14ac:dyDescent="0.25">
      <c r="A1" s="263" t="s">
        <v>724</v>
      </c>
      <c r="B1" s="262"/>
      <c r="C1" s="261"/>
      <c r="D1" s="261"/>
      <c r="E1" s="261"/>
      <c r="F1" s="261"/>
      <c r="G1" s="261"/>
      <c r="H1" s="261"/>
      <c r="I1" s="261"/>
      <c r="J1" s="311"/>
      <c r="K1" s="233"/>
      <c r="L1" s="258" t="s">
        <v>320</v>
      </c>
    </row>
    <row r="2" spans="1:14" x14ac:dyDescent="0.2">
      <c r="A2" s="230"/>
      <c r="B2" s="229"/>
      <c r="C2" s="264"/>
      <c r="D2" s="264"/>
      <c r="E2" s="229"/>
      <c r="F2" s="229"/>
      <c r="G2" s="229"/>
      <c r="H2" s="229"/>
      <c r="I2" s="229"/>
      <c r="J2" s="228"/>
    </row>
    <row r="3" spans="1:14" ht="16" customHeight="1" x14ac:dyDescent="0.2">
      <c r="A3" s="230"/>
      <c r="B3" s="427" t="s">
        <v>419</v>
      </c>
      <c r="C3" s="427"/>
      <c r="D3" s="427"/>
      <c r="E3" s="427"/>
      <c r="F3" s="427"/>
      <c r="G3" s="427"/>
      <c r="H3" s="427"/>
      <c r="I3" s="427"/>
      <c r="J3" s="228"/>
      <c r="M3" s="275" t="s">
        <v>318</v>
      </c>
    </row>
    <row r="4" spans="1:14" x14ac:dyDescent="0.2">
      <c r="A4" s="230"/>
      <c r="B4" s="427"/>
      <c r="C4" s="427"/>
      <c r="D4" s="427"/>
      <c r="E4" s="427"/>
      <c r="F4" s="427"/>
      <c r="G4" s="427"/>
      <c r="H4" s="427"/>
      <c r="I4" s="427"/>
      <c r="J4" s="228"/>
    </row>
    <row r="5" spans="1:14" x14ac:dyDescent="0.2">
      <c r="A5" s="230"/>
      <c r="B5" s="229"/>
      <c r="C5" s="264"/>
      <c r="D5" s="264"/>
      <c r="E5" s="229"/>
      <c r="F5" s="229"/>
      <c r="G5" s="229"/>
      <c r="H5" s="229"/>
      <c r="I5" s="229"/>
      <c r="J5" s="228"/>
      <c r="M5" t="s">
        <v>405</v>
      </c>
      <c r="N5" s="320">
        <v>3000000</v>
      </c>
    </row>
    <row r="6" spans="1:14" x14ac:dyDescent="0.2">
      <c r="A6" s="230"/>
      <c r="B6" s="265" t="s">
        <v>418</v>
      </c>
      <c r="C6" s="264"/>
      <c r="D6" s="286">
        <v>44562</v>
      </c>
      <c r="E6" s="229"/>
      <c r="F6" s="229"/>
      <c r="G6" s="229"/>
      <c r="H6" s="229"/>
      <c r="I6" s="229"/>
      <c r="J6" s="228"/>
      <c r="M6" t="s">
        <v>404</v>
      </c>
      <c r="N6" s="320">
        <f>750000</f>
        <v>750000</v>
      </c>
    </row>
    <row r="7" spans="1:14" x14ac:dyDescent="0.2">
      <c r="A7" s="230"/>
      <c r="B7" s="265" t="s">
        <v>417</v>
      </c>
      <c r="C7" s="264"/>
      <c r="D7" s="286">
        <v>44926</v>
      </c>
      <c r="E7" s="229"/>
      <c r="F7" s="229"/>
      <c r="G7" s="229"/>
      <c r="H7" s="229"/>
      <c r="I7" s="229"/>
      <c r="J7" s="228"/>
      <c r="M7" t="s">
        <v>402</v>
      </c>
      <c r="N7" s="320">
        <f>N5-N6</f>
        <v>2250000</v>
      </c>
    </row>
    <row r="8" spans="1:14" x14ac:dyDescent="0.2">
      <c r="A8" s="230"/>
      <c r="B8" s="265" t="s">
        <v>416</v>
      </c>
      <c r="C8" s="264"/>
      <c r="D8" s="235" t="s">
        <v>415</v>
      </c>
      <c r="E8" s="229"/>
      <c r="F8" s="229"/>
      <c r="G8" s="229"/>
      <c r="H8" s="229"/>
      <c r="I8" s="229"/>
      <c r="J8" s="228"/>
    </row>
    <row r="9" spans="1:14" x14ac:dyDescent="0.2">
      <c r="A9" s="230"/>
      <c r="B9" s="265" t="s">
        <v>370</v>
      </c>
      <c r="C9" s="264"/>
      <c r="D9" s="295">
        <v>1000000</v>
      </c>
      <c r="E9" s="229"/>
      <c r="F9" s="229"/>
      <c r="G9" s="229"/>
      <c r="H9" s="229"/>
      <c r="I9" s="229"/>
      <c r="J9" s="228"/>
      <c r="M9" t="s">
        <v>406</v>
      </c>
      <c r="N9" s="319">
        <f>MIN(D10,MAX(N7-D9,0))</f>
        <v>1250000</v>
      </c>
    </row>
    <row r="10" spans="1:14" ht="17" thickBot="1" x14ac:dyDescent="0.25">
      <c r="A10" s="230"/>
      <c r="B10" s="265" t="s">
        <v>369</v>
      </c>
      <c r="C10" s="264"/>
      <c r="D10" s="295">
        <v>4000000</v>
      </c>
      <c r="E10" s="229"/>
      <c r="F10" s="229"/>
      <c r="G10" s="229"/>
      <c r="H10" s="229"/>
      <c r="I10" s="229"/>
      <c r="J10" s="228"/>
    </row>
    <row r="11" spans="1:14" ht="17" thickBot="1" x14ac:dyDescent="0.25">
      <c r="A11" s="230"/>
      <c r="B11" s="265" t="s">
        <v>367</v>
      </c>
      <c r="C11" s="295" t="s">
        <v>366</v>
      </c>
      <c r="D11" s="264"/>
      <c r="E11" s="229"/>
      <c r="F11" s="229"/>
      <c r="G11" s="229"/>
      <c r="H11" s="229"/>
      <c r="I11" s="229"/>
      <c r="J11" s="228"/>
      <c r="M11" s="294" t="s">
        <v>200</v>
      </c>
      <c r="N11" s="321">
        <f>N7-N9</f>
        <v>1000000</v>
      </c>
    </row>
    <row r="12" spans="1:14" x14ac:dyDescent="0.2">
      <c r="A12" s="230"/>
      <c r="B12" s="229"/>
      <c r="C12" s="264"/>
      <c r="D12" s="264"/>
      <c r="E12" s="229"/>
      <c r="F12" s="229"/>
      <c r="G12" s="229"/>
      <c r="H12" s="229"/>
      <c r="I12" s="229"/>
      <c r="J12" s="228"/>
    </row>
    <row r="13" spans="1:14" x14ac:dyDescent="0.2">
      <c r="A13" s="230"/>
      <c r="B13" s="229" t="s">
        <v>414</v>
      </c>
      <c r="C13" s="264"/>
      <c r="D13" s="264"/>
      <c r="E13" s="229"/>
      <c r="F13" s="229"/>
      <c r="G13" s="229"/>
      <c r="H13" s="229"/>
      <c r="I13" s="229"/>
      <c r="J13" s="228"/>
      <c r="M13" s="257" t="s">
        <v>308</v>
      </c>
    </row>
    <row r="14" spans="1:14" x14ac:dyDescent="0.2">
      <c r="A14" s="230"/>
      <c r="B14" s="229"/>
      <c r="C14" s="264"/>
      <c r="D14" s="264"/>
      <c r="E14" s="229"/>
      <c r="F14" s="229"/>
      <c r="G14" s="229"/>
      <c r="H14" s="229"/>
      <c r="I14" s="229"/>
      <c r="J14" s="228"/>
    </row>
    <row r="15" spans="1:14" x14ac:dyDescent="0.2">
      <c r="A15" s="230"/>
      <c r="B15" s="428" t="s">
        <v>413</v>
      </c>
      <c r="C15" s="428"/>
      <c r="D15" s="428"/>
      <c r="E15" s="428"/>
      <c r="F15" s="428"/>
      <c r="G15" s="428"/>
      <c r="H15" s="229"/>
      <c r="I15" s="229"/>
      <c r="J15" s="228"/>
      <c r="M15" t="s">
        <v>405</v>
      </c>
      <c r="N15" s="320">
        <v>3000000</v>
      </c>
    </row>
    <row r="16" spans="1:14" x14ac:dyDescent="0.2">
      <c r="A16" s="230"/>
      <c r="B16" s="428"/>
      <c r="C16" s="428"/>
      <c r="D16" s="428"/>
      <c r="E16" s="428"/>
      <c r="F16" s="428"/>
      <c r="G16" s="428"/>
      <c r="H16" s="229"/>
      <c r="I16" s="229"/>
      <c r="J16" s="228"/>
      <c r="M16" t="s">
        <v>404</v>
      </c>
      <c r="N16" s="320">
        <f>750000</f>
        <v>750000</v>
      </c>
    </row>
    <row r="17" spans="1:14" x14ac:dyDescent="0.2">
      <c r="A17" s="230"/>
      <c r="B17" s="229"/>
      <c r="C17" s="264"/>
      <c r="D17" s="264"/>
      <c r="E17" s="229"/>
      <c r="F17" s="229"/>
      <c r="G17" s="229"/>
      <c r="H17" s="229"/>
      <c r="I17" s="229"/>
      <c r="J17" s="228"/>
      <c r="M17" t="s">
        <v>403</v>
      </c>
      <c r="N17" s="320">
        <f>100000</f>
        <v>100000</v>
      </c>
    </row>
    <row r="18" spans="1:14" x14ac:dyDescent="0.2">
      <c r="A18" s="230"/>
      <c r="B18" s="229" t="s">
        <v>412</v>
      </c>
      <c r="C18" s="264"/>
      <c r="D18" s="264"/>
      <c r="E18" s="229"/>
      <c r="F18" s="229"/>
      <c r="G18" s="229"/>
      <c r="H18" s="229"/>
      <c r="I18" s="229"/>
      <c r="J18" s="228"/>
      <c r="M18" t="s">
        <v>402</v>
      </c>
      <c r="N18" s="319">
        <f>N15-N16-N17</f>
        <v>2150000</v>
      </c>
    </row>
    <row r="19" spans="1:14" x14ac:dyDescent="0.2">
      <c r="A19" s="230"/>
      <c r="B19" s="229"/>
      <c r="C19" s="264"/>
      <c r="D19" s="264"/>
      <c r="E19" s="229"/>
      <c r="F19" s="229"/>
      <c r="G19" s="229"/>
      <c r="H19" s="229"/>
      <c r="I19" s="229"/>
      <c r="J19" s="228"/>
    </row>
    <row r="20" spans="1:14" x14ac:dyDescent="0.2">
      <c r="A20" s="230"/>
      <c r="B20" s="235" t="s">
        <v>0</v>
      </c>
      <c r="C20" s="264"/>
      <c r="D20" s="264"/>
      <c r="E20" s="229"/>
      <c r="F20" s="229"/>
      <c r="G20" s="229"/>
      <c r="H20" s="229"/>
      <c r="I20" s="229"/>
      <c r="J20" s="228"/>
      <c r="M20" t="s">
        <v>406</v>
      </c>
      <c r="N20" s="319">
        <f>MIN(D10,MAX(N18-D9,0))</f>
        <v>1150000</v>
      </c>
    </row>
    <row r="21" spans="1:14" ht="17" thickBot="1" x14ac:dyDescent="0.25">
      <c r="A21" s="230"/>
      <c r="B21" s="413" t="s">
        <v>411</v>
      </c>
      <c r="C21" s="413"/>
      <c r="D21" s="413"/>
      <c r="E21" s="413"/>
      <c r="F21" s="413"/>
      <c r="G21" s="413"/>
      <c r="H21" s="413"/>
      <c r="I21" s="413"/>
      <c r="J21" s="228"/>
    </row>
    <row r="22" spans="1:14" ht="17" thickBot="1" x14ac:dyDescent="0.25">
      <c r="A22" s="230"/>
      <c r="B22" s="413"/>
      <c r="C22" s="413"/>
      <c r="D22" s="413"/>
      <c r="E22" s="413"/>
      <c r="F22" s="413"/>
      <c r="G22" s="413"/>
      <c r="H22" s="413"/>
      <c r="I22" s="413"/>
      <c r="J22" s="228"/>
      <c r="M22" s="294" t="s">
        <v>410</v>
      </c>
      <c r="N22" s="321">
        <f>N18-N20</f>
        <v>1000000</v>
      </c>
    </row>
    <row r="23" spans="1:14" x14ac:dyDescent="0.2">
      <c r="A23" s="230"/>
      <c r="B23" s="229"/>
      <c r="C23" s="264"/>
      <c r="D23" s="264"/>
      <c r="E23" s="229"/>
      <c r="F23" s="229"/>
      <c r="G23" s="229"/>
      <c r="H23" s="229"/>
      <c r="I23" s="229"/>
      <c r="J23" s="228"/>
    </row>
    <row r="24" spans="1:14" x14ac:dyDescent="0.2">
      <c r="A24" s="230"/>
      <c r="B24" s="235" t="s">
        <v>1</v>
      </c>
      <c r="C24" s="235"/>
      <c r="D24" s="264"/>
      <c r="E24" s="229"/>
      <c r="F24" s="229"/>
      <c r="G24" s="229"/>
      <c r="H24" s="229"/>
      <c r="I24" s="229"/>
      <c r="J24" s="228"/>
      <c r="M24" s="257" t="s">
        <v>409</v>
      </c>
    </row>
    <row r="25" spans="1:14" ht="16" customHeight="1" x14ac:dyDescent="0.2">
      <c r="A25" s="230"/>
      <c r="B25" s="413" t="s">
        <v>408</v>
      </c>
      <c r="C25" s="413"/>
      <c r="D25" s="413"/>
      <c r="E25" s="413"/>
      <c r="F25" s="413"/>
      <c r="G25" s="413"/>
      <c r="H25" s="413"/>
      <c r="I25" s="413"/>
      <c r="J25" s="228"/>
    </row>
    <row r="26" spans="1:14" ht="16" customHeight="1" x14ac:dyDescent="0.2">
      <c r="A26" s="230"/>
      <c r="B26" s="413"/>
      <c r="C26" s="413"/>
      <c r="D26" s="413"/>
      <c r="E26" s="413"/>
      <c r="F26" s="413"/>
      <c r="G26" s="413"/>
      <c r="H26" s="413"/>
      <c r="I26" s="413"/>
      <c r="J26" s="228"/>
    </row>
    <row r="27" spans="1:14" x14ac:dyDescent="0.2">
      <c r="A27" s="230"/>
      <c r="B27" s="413"/>
      <c r="C27" s="413"/>
      <c r="D27" s="413"/>
      <c r="E27" s="413"/>
      <c r="F27" s="413"/>
      <c r="G27" s="413"/>
      <c r="H27" s="413"/>
      <c r="I27" s="413"/>
      <c r="J27" s="228"/>
      <c r="M27" s="310">
        <v>2022</v>
      </c>
    </row>
    <row r="28" spans="1:14" x14ac:dyDescent="0.2">
      <c r="A28" s="230"/>
      <c r="B28" s="264"/>
      <c r="C28" s="264"/>
      <c r="D28" s="264"/>
      <c r="E28" s="229"/>
      <c r="F28" s="229"/>
      <c r="G28" s="229"/>
      <c r="H28" s="229"/>
      <c r="I28" s="229"/>
      <c r="J28" s="228"/>
    </row>
    <row r="29" spans="1:14" x14ac:dyDescent="0.2">
      <c r="A29" s="230"/>
      <c r="B29" s="235" t="s">
        <v>2</v>
      </c>
      <c r="C29" s="235"/>
      <c r="D29" s="264"/>
      <c r="E29" s="229"/>
      <c r="F29" s="229"/>
      <c r="G29" s="229"/>
      <c r="H29" s="229"/>
      <c r="I29" s="229"/>
      <c r="J29" s="228"/>
      <c r="M29" t="s">
        <v>405</v>
      </c>
      <c r="N29" s="320">
        <v>1800000</v>
      </c>
    </row>
    <row r="30" spans="1:14" ht="16" customHeight="1" x14ac:dyDescent="0.2">
      <c r="A30" s="230"/>
      <c r="B30" s="413" t="s">
        <v>407</v>
      </c>
      <c r="C30" s="413"/>
      <c r="D30" s="413"/>
      <c r="E30" s="413"/>
      <c r="F30" s="413"/>
      <c r="G30" s="413"/>
      <c r="H30" s="413"/>
      <c r="I30" s="413"/>
      <c r="J30" s="228"/>
      <c r="M30" t="s">
        <v>404</v>
      </c>
      <c r="N30" s="320">
        <f>750000</f>
        <v>750000</v>
      </c>
    </row>
    <row r="31" spans="1:14" x14ac:dyDescent="0.2">
      <c r="A31" s="230"/>
      <c r="B31" s="413"/>
      <c r="C31" s="413"/>
      <c r="D31" s="413"/>
      <c r="E31" s="413"/>
      <c r="F31" s="413"/>
      <c r="G31" s="413"/>
      <c r="H31" s="413"/>
      <c r="I31" s="413"/>
      <c r="J31" s="228"/>
      <c r="M31" t="s">
        <v>402</v>
      </c>
      <c r="N31" s="320">
        <f>N29-N30</f>
        <v>1050000</v>
      </c>
    </row>
    <row r="32" spans="1:14" x14ac:dyDescent="0.2">
      <c r="A32" s="230"/>
      <c r="B32" s="413"/>
      <c r="C32" s="413"/>
      <c r="D32" s="413"/>
      <c r="E32" s="413"/>
      <c r="F32" s="413"/>
      <c r="G32" s="413"/>
      <c r="H32" s="413"/>
      <c r="I32" s="413"/>
      <c r="J32" s="228"/>
    </row>
    <row r="33" spans="1:19" ht="17" thickBot="1" x14ac:dyDescent="0.25">
      <c r="A33" s="230"/>
      <c r="B33" s="229"/>
      <c r="C33" s="264"/>
      <c r="D33" s="264"/>
      <c r="E33" s="229"/>
      <c r="F33" s="229"/>
      <c r="G33" s="229"/>
      <c r="H33" s="229"/>
      <c r="I33" s="229"/>
      <c r="J33" s="228"/>
      <c r="M33" t="s">
        <v>406</v>
      </c>
      <c r="N33" s="319">
        <f>MIN(D10,MAX(N31-D9,0))</f>
        <v>50000</v>
      </c>
    </row>
    <row r="34" spans="1:19" ht="17" thickBot="1" x14ac:dyDescent="0.25">
      <c r="A34" s="227" t="s">
        <v>7</v>
      </c>
      <c r="B34" s="226"/>
      <c r="C34" s="312"/>
      <c r="D34" s="312"/>
      <c r="E34" s="226"/>
      <c r="F34" s="226"/>
      <c r="G34" s="226"/>
      <c r="H34" s="226"/>
      <c r="I34" s="226"/>
      <c r="J34" s="225"/>
    </row>
    <row r="35" spans="1:19" x14ac:dyDescent="0.2">
      <c r="M35" s="310">
        <v>2023</v>
      </c>
    </row>
    <row r="37" spans="1:19" x14ac:dyDescent="0.2">
      <c r="M37" t="s">
        <v>405</v>
      </c>
      <c r="N37" s="320">
        <v>1800000</v>
      </c>
    </row>
    <row r="38" spans="1:19" x14ac:dyDescent="0.2">
      <c r="M38" t="s">
        <v>404</v>
      </c>
      <c r="N38" s="320">
        <f>750000</f>
        <v>750000</v>
      </c>
    </row>
    <row r="39" spans="1:19" x14ac:dyDescent="0.2">
      <c r="M39" t="s">
        <v>403</v>
      </c>
      <c r="N39" s="320">
        <f>100000</f>
        <v>100000</v>
      </c>
    </row>
    <row r="40" spans="1:19" x14ac:dyDescent="0.2">
      <c r="M40" t="s">
        <v>402</v>
      </c>
      <c r="N40" s="320">
        <f>N37-N38-N39</f>
        <v>950000</v>
      </c>
    </row>
    <row r="42" spans="1:19" x14ac:dyDescent="0.2">
      <c r="M42" t="s">
        <v>243</v>
      </c>
      <c r="N42" s="319">
        <f>MIN(D10,MAX(N40-D9,0))</f>
        <v>0</v>
      </c>
    </row>
    <row r="43" spans="1:19" ht="17" thickBot="1" x14ac:dyDescent="0.25"/>
    <row r="44" spans="1:19" ht="15.75" customHeight="1" x14ac:dyDescent="0.2">
      <c r="M44" s="429" t="s">
        <v>401</v>
      </c>
      <c r="N44" s="430"/>
      <c r="O44" s="430"/>
      <c r="P44" s="430"/>
      <c r="Q44" s="430"/>
      <c r="R44" s="430"/>
      <c r="S44" s="431"/>
    </row>
    <row r="45" spans="1:19" x14ac:dyDescent="0.2">
      <c r="M45" s="432"/>
      <c r="N45" s="433"/>
      <c r="O45" s="433"/>
      <c r="P45" s="433"/>
      <c r="Q45" s="433"/>
      <c r="R45" s="433"/>
      <c r="S45" s="434"/>
    </row>
    <row r="46" spans="1:19" ht="17" thickBot="1" x14ac:dyDescent="0.25">
      <c r="M46" s="435"/>
      <c r="N46" s="436"/>
      <c r="O46" s="436"/>
      <c r="P46" s="436"/>
      <c r="Q46" s="436"/>
      <c r="R46" s="436"/>
      <c r="S46" s="437"/>
    </row>
    <row r="47" spans="1:19" x14ac:dyDescent="0.2">
      <c r="M47" s="318"/>
      <c r="N47" s="318"/>
      <c r="O47" s="318"/>
      <c r="P47" s="318"/>
      <c r="Q47" s="318"/>
      <c r="R47" s="318"/>
      <c r="S47" s="318"/>
    </row>
  </sheetData>
  <mergeCells count="6">
    <mergeCell ref="B3:I4"/>
    <mergeCell ref="B15:G16"/>
    <mergeCell ref="M44:S46"/>
    <mergeCell ref="B21:I22"/>
    <mergeCell ref="B25:I27"/>
    <mergeCell ref="B30:I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FBB1-8569-5045-90A9-88B6E74A1A7D}">
  <dimension ref="A1:U37"/>
  <sheetViews>
    <sheetView zoomScaleNormal="100" workbookViewId="0">
      <selection activeCell="AD41" sqref="AD41"/>
    </sheetView>
  </sheetViews>
  <sheetFormatPr baseColWidth="10" defaultColWidth="11" defaultRowHeight="16" outlineLevelCol="1" x14ac:dyDescent="0.2"/>
  <cols>
    <col min="1" max="1" width="4.5" customWidth="1"/>
    <col min="2" max="2" width="10.83203125" customWidth="1"/>
    <col min="3" max="4" width="10.83203125" style="233" customWidth="1"/>
    <col min="5" max="12" width="10.83203125" customWidth="1"/>
    <col min="13" max="20" width="10.83203125" hidden="1" customWidth="1" outlineLevel="1"/>
    <col min="21" max="21" width="11" collapsed="1"/>
  </cols>
  <sheetData>
    <row r="1" spans="1:18" ht="19" x14ac:dyDescent="0.25">
      <c r="A1" s="263" t="s">
        <v>725</v>
      </c>
      <c r="B1" s="262"/>
      <c r="C1" s="261"/>
      <c r="D1" s="261"/>
      <c r="E1" s="261"/>
      <c r="F1" s="261"/>
      <c r="G1" s="261"/>
      <c r="H1" s="261"/>
      <c r="I1" s="261"/>
      <c r="J1" s="311"/>
      <c r="K1" s="233"/>
      <c r="L1" s="258" t="s">
        <v>320</v>
      </c>
    </row>
    <row r="2" spans="1:18" x14ac:dyDescent="0.2">
      <c r="A2" s="230"/>
      <c r="B2" s="229"/>
      <c r="C2" s="264"/>
      <c r="D2" s="264"/>
      <c r="E2" s="229"/>
      <c r="F2" s="229"/>
      <c r="G2" s="229"/>
      <c r="H2" s="229"/>
      <c r="I2" s="229"/>
      <c r="J2" s="228"/>
    </row>
    <row r="3" spans="1:18" ht="16" customHeight="1" x14ac:dyDescent="0.2">
      <c r="A3" s="230"/>
      <c r="B3" s="413" t="s">
        <v>428</v>
      </c>
      <c r="C3" s="413"/>
      <c r="D3" s="413"/>
      <c r="E3" s="413"/>
      <c r="F3" s="413"/>
      <c r="G3" s="413"/>
      <c r="H3" s="413"/>
      <c r="I3" s="413"/>
      <c r="J3" s="228"/>
      <c r="M3" s="278"/>
      <c r="N3" s="442" t="s">
        <v>427</v>
      </c>
      <c r="O3" s="442"/>
      <c r="P3" s="442"/>
      <c r="Q3" s="442"/>
      <c r="R3" s="442"/>
    </row>
    <row r="4" spans="1:18" x14ac:dyDescent="0.2">
      <c r="A4" s="230"/>
      <c r="B4" s="413"/>
      <c r="C4" s="413"/>
      <c r="D4" s="413"/>
      <c r="E4" s="413"/>
      <c r="F4" s="413"/>
      <c r="G4" s="413"/>
      <c r="H4" s="413"/>
      <c r="I4" s="413"/>
      <c r="J4" s="228"/>
      <c r="M4" s="287" t="s">
        <v>240</v>
      </c>
      <c r="N4" s="287">
        <v>12</v>
      </c>
      <c r="O4" s="287">
        <v>24</v>
      </c>
      <c r="P4" s="287">
        <v>36</v>
      </c>
      <c r="Q4" s="287">
        <v>48</v>
      </c>
      <c r="R4" s="287">
        <v>60</v>
      </c>
    </row>
    <row r="5" spans="1:18" x14ac:dyDescent="0.2">
      <c r="A5" s="230"/>
      <c r="B5" s="229"/>
      <c r="C5" s="264"/>
      <c r="D5" s="264"/>
      <c r="E5" s="229"/>
      <c r="F5" s="229"/>
      <c r="G5" s="229"/>
      <c r="H5" s="229"/>
      <c r="I5" s="229"/>
      <c r="J5" s="228"/>
      <c r="M5" s="343">
        <v>2018</v>
      </c>
      <c r="N5" s="233">
        <v>200</v>
      </c>
      <c r="O5" s="233">
        <v>625</v>
      </c>
      <c r="P5" s="233">
        <v>973</v>
      </c>
      <c r="Q5" s="233">
        <v>1075</v>
      </c>
      <c r="R5" s="233">
        <v>1085</v>
      </c>
    </row>
    <row r="6" spans="1:18" x14ac:dyDescent="0.2">
      <c r="A6" s="230"/>
      <c r="B6" s="337"/>
      <c r="C6" s="439" t="s">
        <v>427</v>
      </c>
      <c r="D6" s="440"/>
      <c r="E6" s="440"/>
      <c r="F6" s="440"/>
      <c r="G6" s="441"/>
      <c r="H6" s="295"/>
      <c r="I6" s="295"/>
      <c r="J6" s="336"/>
      <c r="K6" s="277"/>
      <c r="M6" s="221">
        <v>2019</v>
      </c>
      <c r="N6" s="233">
        <v>264</v>
      </c>
      <c r="O6" s="233">
        <v>721</v>
      </c>
      <c r="P6" s="233">
        <v>1025</v>
      </c>
      <c r="Q6" s="233">
        <v>1135</v>
      </c>
      <c r="R6" s="233"/>
    </row>
    <row r="7" spans="1:18" x14ac:dyDescent="0.2">
      <c r="A7" s="230"/>
      <c r="B7" s="244" t="s">
        <v>240</v>
      </c>
      <c r="C7" s="335">
        <v>12</v>
      </c>
      <c r="D7" s="314">
        <v>24</v>
      </c>
      <c r="E7" s="314">
        <v>36</v>
      </c>
      <c r="F7" s="314">
        <v>48</v>
      </c>
      <c r="G7" s="313">
        <v>60</v>
      </c>
      <c r="H7" s="264"/>
      <c r="I7" s="264"/>
      <c r="J7" s="290"/>
      <c r="K7" s="233"/>
      <c r="M7" s="221">
        <v>2020</v>
      </c>
      <c r="N7" s="233">
        <v>240</v>
      </c>
      <c r="O7" s="233">
        <v>700</v>
      </c>
      <c r="P7" s="233">
        <v>1080</v>
      </c>
      <c r="Q7" s="233"/>
      <c r="R7" s="233"/>
    </row>
    <row r="8" spans="1:18" x14ac:dyDescent="0.2">
      <c r="A8" s="230"/>
      <c r="B8" s="317">
        <v>2018</v>
      </c>
      <c r="C8" s="316">
        <v>200</v>
      </c>
      <c r="D8" s="264">
        <v>625</v>
      </c>
      <c r="E8" s="264">
        <v>973</v>
      </c>
      <c r="F8" s="264">
        <v>1075</v>
      </c>
      <c r="G8" s="268">
        <v>1085</v>
      </c>
      <c r="H8" s="264"/>
      <c r="I8" s="264"/>
      <c r="J8" s="290"/>
      <c r="K8" s="233"/>
      <c r="M8" s="221">
        <v>2021</v>
      </c>
      <c r="N8" s="233">
        <v>253</v>
      </c>
      <c r="O8" s="233">
        <v>723</v>
      </c>
      <c r="P8" s="233"/>
      <c r="Q8" s="233"/>
      <c r="R8" s="233"/>
    </row>
    <row r="9" spans="1:18" x14ac:dyDescent="0.2">
      <c r="A9" s="230"/>
      <c r="B9" s="251">
        <v>2019</v>
      </c>
      <c r="C9" s="316">
        <v>264</v>
      </c>
      <c r="D9" s="264">
        <v>721</v>
      </c>
      <c r="E9" s="264">
        <v>1025</v>
      </c>
      <c r="F9" s="264">
        <v>1135</v>
      </c>
      <c r="G9" s="268"/>
      <c r="H9" s="264"/>
      <c r="I9" s="264"/>
      <c r="J9" s="290"/>
      <c r="K9" s="233"/>
      <c r="M9" s="221">
        <v>2022</v>
      </c>
      <c r="N9" s="233">
        <v>320</v>
      </c>
      <c r="O9" s="233"/>
      <c r="P9" s="233"/>
      <c r="Q9" s="233"/>
      <c r="R9" s="233"/>
    </row>
    <row r="10" spans="1:18" x14ac:dyDescent="0.2">
      <c r="A10" s="230"/>
      <c r="B10" s="251">
        <v>2020</v>
      </c>
      <c r="C10" s="316">
        <v>240</v>
      </c>
      <c r="D10" s="264">
        <v>700</v>
      </c>
      <c r="E10" s="264">
        <v>1080</v>
      </c>
      <c r="F10" s="264"/>
      <c r="G10" s="268"/>
      <c r="H10" s="264"/>
      <c r="I10" s="264"/>
      <c r="J10" s="290"/>
      <c r="K10" s="233"/>
    </row>
    <row r="11" spans="1:18" x14ac:dyDescent="0.2">
      <c r="A11" s="230"/>
      <c r="B11" s="251">
        <v>2021</v>
      </c>
      <c r="C11" s="316">
        <v>253</v>
      </c>
      <c r="D11" s="264">
        <v>723</v>
      </c>
      <c r="E11" s="264"/>
      <c r="F11" s="264"/>
      <c r="G11" s="268"/>
      <c r="H11" s="264"/>
      <c r="I11" s="264"/>
      <c r="J11" s="290"/>
      <c r="K11" s="233"/>
      <c r="M11" s="278"/>
      <c r="N11" s="442" t="s">
        <v>426</v>
      </c>
      <c r="O11" s="442"/>
      <c r="P11" s="442"/>
      <c r="Q11" s="442"/>
      <c r="R11" s="442"/>
    </row>
    <row r="12" spans="1:18" x14ac:dyDescent="0.2">
      <c r="A12" s="230"/>
      <c r="B12" s="244">
        <v>2022</v>
      </c>
      <c r="C12" s="315">
        <v>320</v>
      </c>
      <c r="D12" s="291"/>
      <c r="E12" s="291"/>
      <c r="F12" s="291"/>
      <c r="G12" s="266"/>
      <c r="H12" s="264"/>
      <c r="I12" s="264"/>
      <c r="J12" s="290"/>
      <c r="K12" s="233"/>
      <c r="M12" s="287" t="s">
        <v>240</v>
      </c>
      <c r="N12" s="287">
        <v>12</v>
      </c>
      <c r="O12" s="287">
        <v>24</v>
      </c>
      <c r="P12" s="287">
        <v>36</v>
      </c>
      <c r="Q12" s="287">
        <v>48</v>
      </c>
      <c r="R12" s="287">
        <v>60</v>
      </c>
    </row>
    <row r="13" spans="1:18" x14ac:dyDescent="0.2">
      <c r="A13" s="230"/>
      <c r="B13" s="229"/>
      <c r="C13" s="264"/>
      <c r="D13" s="264"/>
      <c r="E13" s="229"/>
      <c r="F13" s="229"/>
      <c r="G13" s="229"/>
      <c r="H13" s="229"/>
      <c r="I13" s="229"/>
      <c r="J13" s="228"/>
      <c r="M13" s="343">
        <v>2018</v>
      </c>
      <c r="N13" s="219">
        <f>C16*$C$28</f>
        <v>67.361999999999995</v>
      </c>
      <c r="O13" s="219">
        <f>D16*$C$28</f>
        <v>175.1412</v>
      </c>
      <c r="P13" s="219">
        <f>E16*$C$28</f>
        <v>263.83449999999999</v>
      </c>
      <c r="Q13" s="219">
        <f>F16*$C$28</f>
        <v>294.1474</v>
      </c>
      <c r="R13" s="219">
        <f>G16*$C$28</f>
        <v>295.27010000000001</v>
      </c>
    </row>
    <row r="14" spans="1:18" x14ac:dyDescent="0.2">
      <c r="A14" s="230"/>
      <c r="B14" s="337"/>
      <c r="C14" s="439" t="s">
        <v>425</v>
      </c>
      <c r="D14" s="440"/>
      <c r="E14" s="440"/>
      <c r="F14" s="440"/>
      <c r="G14" s="441"/>
      <c r="H14" s="295"/>
      <c r="I14" s="295"/>
      <c r="J14" s="336"/>
      <c r="K14" s="277"/>
      <c r="M14" s="221">
        <v>2019</v>
      </c>
      <c r="N14" s="219">
        <f>C17*$C$28</f>
        <v>69.607399999999998</v>
      </c>
      <c r="O14" s="219">
        <f>D17*$C$28</f>
        <v>190.85900000000001</v>
      </c>
      <c r="P14" s="219">
        <f>E17*$C$28</f>
        <v>280.67500000000001</v>
      </c>
      <c r="Q14" s="219">
        <f>F17*$C$28</f>
        <v>304.25170000000003</v>
      </c>
      <c r="R14" s="219"/>
    </row>
    <row r="15" spans="1:18" x14ac:dyDescent="0.2">
      <c r="A15" s="230"/>
      <c r="B15" s="244" t="s">
        <v>240</v>
      </c>
      <c r="C15" s="335">
        <v>12</v>
      </c>
      <c r="D15" s="314">
        <v>24</v>
      </c>
      <c r="E15" s="314">
        <v>36</v>
      </c>
      <c r="F15" s="314">
        <v>48</v>
      </c>
      <c r="G15" s="313">
        <v>60</v>
      </c>
      <c r="H15" s="264"/>
      <c r="I15" s="264"/>
      <c r="J15" s="290"/>
      <c r="K15" s="233"/>
      <c r="M15" s="221">
        <v>2020</v>
      </c>
      <c r="N15" s="219">
        <f>C18*$C$28</f>
        <v>70.730100000000007</v>
      </c>
      <c r="O15" s="219">
        <f>D18*$C$28</f>
        <v>202.08600000000001</v>
      </c>
      <c r="P15" s="219">
        <f>E18*$C$28</f>
        <v>288.53390000000002</v>
      </c>
      <c r="Q15" s="219"/>
      <c r="R15" s="219"/>
    </row>
    <row r="16" spans="1:18" x14ac:dyDescent="0.2">
      <c r="A16" s="230"/>
      <c r="B16" s="317">
        <v>2018</v>
      </c>
      <c r="C16" s="316">
        <v>60</v>
      </c>
      <c r="D16" s="264">
        <v>156</v>
      </c>
      <c r="E16" s="264">
        <v>235</v>
      </c>
      <c r="F16" s="264">
        <v>262</v>
      </c>
      <c r="G16" s="268">
        <v>263</v>
      </c>
      <c r="H16" s="264"/>
      <c r="I16" s="264"/>
      <c r="J16" s="290"/>
      <c r="K16" s="233"/>
      <c r="M16" s="221">
        <v>2021</v>
      </c>
      <c r="N16" s="219">
        <f>C19*$C$28</f>
        <v>60.625799999999998</v>
      </c>
      <c r="O16" s="219">
        <f>D19*$C$28</f>
        <v>215.55840000000001</v>
      </c>
      <c r="P16" s="219"/>
      <c r="Q16" s="219"/>
      <c r="R16" s="219"/>
    </row>
    <row r="17" spans="1:20" x14ac:dyDescent="0.2">
      <c r="A17" s="230"/>
      <c r="B17" s="251">
        <v>2019</v>
      </c>
      <c r="C17" s="316">
        <v>62</v>
      </c>
      <c r="D17" s="264">
        <v>170</v>
      </c>
      <c r="E17" s="264">
        <v>250</v>
      </c>
      <c r="F17" s="264">
        <v>271</v>
      </c>
      <c r="G17" s="268"/>
      <c r="H17" s="264"/>
      <c r="I17" s="264"/>
      <c r="J17" s="290"/>
      <c r="K17" s="233"/>
      <c r="M17" s="221">
        <v>2022</v>
      </c>
      <c r="N17" s="219">
        <f>C20*$C$28</f>
        <v>65.116600000000005</v>
      </c>
      <c r="O17" s="219"/>
      <c r="P17" s="219"/>
      <c r="Q17" s="219"/>
      <c r="R17" s="219"/>
    </row>
    <row r="18" spans="1:20" x14ac:dyDescent="0.2">
      <c r="A18" s="230"/>
      <c r="B18" s="251">
        <v>2020</v>
      </c>
      <c r="C18" s="316">
        <v>63</v>
      </c>
      <c r="D18" s="264">
        <v>180</v>
      </c>
      <c r="E18" s="264">
        <v>257</v>
      </c>
      <c r="F18" s="264"/>
      <c r="G18" s="268"/>
      <c r="H18" s="264"/>
      <c r="I18" s="264"/>
      <c r="J18" s="290"/>
      <c r="K18" s="233"/>
    </row>
    <row r="19" spans="1:20" x14ac:dyDescent="0.2">
      <c r="A19" s="230"/>
      <c r="B19" s="251">
        <v>2021</v>
      </c>
      <c r="C19" s="316">
        <v>54</v>
      </c>
      <c r="D19" s="264">
        <v>192</v>
      </c>
      <c r="E19" s="264"/>
      <c r="F19" s="264"/>
      <c r="G19" s="268"/>
      <c r="H19" s="264"/>
      <c r="I19" s="264"/>
      <c r="J19" s="290"/>
      <c r="K19" s="233"/>
      <c r="M19" s="278"/>
      <c r="N19" s="442" t="s">
        <v>424</v>
      </c>
      <c r="O19" s="442"/>
      <c r="P19" s="442"/>
      <c r="Q19" s="442"/>
      <c r="R19" s="442"/>
    </row>
    <row r="20" spans="1:20" ht="17" thickBot="1" x14ac:dyDescent="0.25">
      <c r="A20" s="230"/>
      <c r="B20" s="244">
        <v>2022</v>
      </c>
      <c r="C20" s="315">
        <v>58</v>
      </c>
      <c r="D20" s="291"/>
      <c r="E20" s="291"/>
      <c r="F20" s="291"/>
      <c r="G20" s="266"/>
      <c r="H20" s="264"/>
      <c r="I20" s="264"/>
      <c r="J20" s="290"/>
      <c r="K20" s="233"/>
      <c r="M20" s="287" t="s">
        <v>240</v>
      </c>
      <c r="N20" s="233">
        <v>12</v>
      </c>
      <c r="O20" s="233">
        <v>24</v>
      </c>
      <c r="P20" s="233">
        <v>36</v>
      </c>
      <c r="Q20" s="233">
        <v>48</v>
      </c>
      <c r="R20" s="233">
        <v>60</v>
      </c>
    </row>
    <row r="21" spans="1:20" x14ac:dyDescent="0.2">
      <c r="A21" s="230"/>
      <c r="B21" s="229"/>
      <c r="C21" s="342"/>
      <c r="D21" s="264"/>
      <c r="E21" s="229"/>
      <c r="F21" s="229"/>
      <c r="G21" s="229"/>
      <c r="H21" s="229"/>
      <c r="I21" s="229"/>
      <c r="J21" s="228"/>
      <c r="M21" s="341">
        <v>2018</v>
      </c>
      <c r="N21" s="340">
        <f>N5+N13</f>
        <v>267.36199999999997</v>
      </c>
      <c r="O21" s="339">
        <f>O5+O13</f>
        <v>800.14120000000003</v>
      </c>
      <c r="P21" s="339">
        <f>P5+P13</f>
        <v>1236.8344999999999</v>
      </c>
      <c r="Q21" s="339">
        <f>Q5+Q13</f>
        <v>1369.1474000000001</v>
      </c>
      <c r="R21" s="338">
        <f>R5+R13</f>
        <v>1380.2701</v>
      </c>
    </row>
    <row r="22" spans="1:20" x14ac:dyDescent="0.2">
      <c r="A22" s="230"/>
      <c r="B22" s="337"/>
      <c r="C22" s="439" t="s">
        <v>423</v>
      </c>
      <c r="D22" s="440"/>
      <c r="E22" s="440"/>
      <c r="F22" s="440"/>
      <c r="G22" s="441"/>
      <c r="H22" s="295"/>
      <c r="I22" s="295"/>
      <c r="J22" s="336"/>
      <c r="K22" s="277"/>
      <c r="M22" s="233">
        <v>2019</v>
      </c>
      <c r="N22" s="332">
        <f>N6+N14</f>
        <v>333.60739999999998</v>
      </c>
      <c r="O22" s="219">
        <f>O6+O14</f>
        <v>911.85900000000004</v>
      </c>
      <c r="P22" s="219">
        <f>P6+P14</f>
        <v>1305.675</v>
      </c>
      <c r="Q22" s="219">
        <f>Q6+Q14</f>
        <v>1439.2517</v>
      </c>
      <c r="R22" s="331"/>
    </row>
    <row r="23" spans="1:20" x14ac:dyDescent="0.2">
      <c r="A23" s="230"/>
      <c r="B23" s="244" t="s">
        <v>240</v>
      </c>
      <c r="C23" s="335">
        <v>12</v>
      </c>
      <c r="D23" s="314">
        <v>24</v>
      </c>
      <c r="E23" s="314">
        <v>36</v>
      </c>
      <c r="F23" s="314">
        <v>48</v>
      </c>
      <c r="G23" s="313">
        <v>60</v>
      </c>
      <c r="H23" s="264"/>
      <c r="I23" s="264"/>
      <c r="J23" s="290"/>
      <c r="K23" s="233"/>
      <c r="M23" s="233">
        <v>2020</v>
      </c>
      <c r="N23" s="332">
        <f>N7+N15</f>
        <v>310.73009999999999</v>
      </c>
      <c r="O23" s="219">
        <f>O7+O15</f>
        <v>902.08600000000001</v>
      </c>
      <c r="P23" s="219">
        <f>P7+P15</f>
        <v>1368.5338999999999</v>
      </c>
      <c r="Q23" s="219"/>
      <c r="R23" s="331"/>
    </row>
    <row r="24" spans="1:20" x14ac:dyDescent="0.2">
      <c r="A24" s="230"/>
      <c r="B24" s="317">
        <v>2018</v>
      </c>
      <c r="C24" s="334">
        <v>1.0866</v>
      </c>
      <c r="D24" s="334">
        <v>1.0522499999999999</v>
      </c>
      <c r="E24" s="334">
        <v>1.1999</v>
      </c>
      <c r="F24" s="334">
        <v>1.1455</v>
      </c>
      <c r="G24" s="333">
        <v>1.1227</v>
      </c>
      <c r="H24" s="324"/>
      <c r="I24" s="324"/>
      <c r="J24" s="323"/>
      <c r="K24" s="322"/>
      <c r="M24" s="233">
        <v>2021</v>
      </c>
      <c r="N24" s="332">
        <f>N8+N16</f>
        <v>313.62580000000003</v>
      </c>
      <c r="O24" s="219">
        <f>O8+O16</f>
        <v>938.55840000000001</v>
      </c>
      <c r="P24" s="219"/>
      <c r="Q24" s="219"/>
      <c r="R24" s="331"/>
    </row>
    <row r="25" spans="1:20" ht="17" thickBot="1" x14ac:dyDescent="0.25">
      <c r="A25" s="230"/>
      <c r="B25" s="251">
        <v>2019</v>
      </c>
      <c r="C25" s="324">
        <v>1.0522499999999999</v>
      </c>
      <c r="D25" s="324">
        <v>1.1999</v>
      </c>
      <c r="E25" s="324">
        <v>1.1455</v>
      </c>
      <c r="F25" s="324">
        <v>1.1227</v>
      </c>
      <c r="G25" s="327"/>
      <c r="H25" s="324"/>
      <c r="I25" s="324"/>
      <c r="J25" s="323"/>
      <c r="K25" s="322"/>
      <c r="M25" s="233">
        <v>2022</v>
      </c>
      <c r="N25" s="330">
        <f>N9+N17</f>
        <v>385.11660000000001</v>
      </c>
      <c r="O25" s="329"/>
      <c r="P25" s="329"/>
      <c r="Q25" s="329"/>
      <c r="R25" s="328"/>
    </row>
    <row r="26" spans="1:20" x14ac:dyDescent="0.2">
      <c r="A26" s="230"/>
      <c r="B26" s="251">
        <v>2020</v>
      </c>
      <c r="C26" s="324">
        <v>1.1999</v>
      </c>
      <c r="D26" s="324">
        <v>1.1455</v>
      </c>
      <c r="E26" s="324">
        <v>1.1227</v>
      </c>
      <c r="F26" s="324"/>
      <c r="G26" s="327"/>
      <c r="H26" s="324"/>
      <c r="I26" s="324"/>
      <c r="J26" s="323"/>
      <c r="K26" s="322"/>
    </row>
    <row r="27" spans="1:20" ht="16" customHeight="1" x14ac:dyDescent="0.2">
      <c r="A27" s="230"/>
      <c r="B27" s="251">
        <v>2021</v>
      </c>
      <c r="C27" s="324">
        <v>1.1455</v>
      </c>
      <c r="D27" s="324">
        <v>1.1227</v>
      </c>
      <c r="E27" s="324"/>
      <c r="F27" s="324"/>
      <c r="G27" s="327"/>
      <c r="H27" s="324"/>
      <c r="I27" s="324"/>
      <c r="J27" s="323"/>
      <c r="K27" s="322"/>
      <c r="M27" s="438" t="s">
        <v>422</v>
      </c>
      <c r="N27" s="438"/>
      <c r="O27" s="438"/>
      <c r="P27" s="438"/>
      <c r="Q27" s="438"/>
      <c r="R27" s="438"/>
      <c r="S27" s="438"/>
      <c r="T27" s="438"/>
    </row>
    <row r="28" spans="1:20" x14ac:dyDescent="0.2">
      <c r="A28" s="230"/>
      <c r="B28" s="244">
        <v>2022</v>
      </c>
      <c r="C28" s="326">
        <v>1.1227</v>
      </c>
      <c r="D28" s="326"/>
      <c r="E28" s="326"/>
      <c r="F28" s="326"/>
      <c r="G28" s="325"/>
      <c r="H28" s="324"/>
      <c r="I28" s="324"/>
      <c r="J28" s="323"/>
      <c r="K28" s="322"/>
      <c r="M28" s="438"/>
      <c r="N28" s="438"/>
      <c r="O28" s="438"/>
      <c r="P28" s="438"/>
      <c r="Q28" s="438"/>
      <c r="R28" s="438"/>
      <c r="S28" s="438"/>
      <c r="T28" s="438"/>
    </row>
    <row r="29" spans="1:20" x14ac:dyDescent="0.2">
      <c r="A29" s="230"/>
      <c r="B29" s="229"/>
      <c r="C29" s="264"/>
      <c r="D29" s="264"/>
      <c r="E29" s="229"/>
      <c r="F29" s="229"/>
      <c r="G29" s="229"/>
      <c r="H29" s="229"/>
      <c r="I29" s="229"/>
      <c r="J29" s="228"/>
      <c r="M29" s="438"/>
      <c r="N29" s="438"/>
      <c r="O29" s="438"/>
      <c r="P29" s="438"/>
      <c r="Q29" s="438"/>
      <c r="R29" s="438"/>
      <c r="S29" s="438"/>
      <c r="T29" s="438"/>
    </row>
    <row r="30" spans="1:20" x14ac:dyDescent="0.2">
      <c r="A30" s="230"/>
      <c r="B30" s="229" t="s">
        <v>421</v>
      </c>
      <c r="C30" s="264"/>
      <c r="D30" s="264"/>
      <c r="E30" s="229"/>
      <c r="F30" s="229"/>
      <c r="G30" s="229"/>
      <c r="H30" s="229"/>
      <c r="I30" s="229"/>
      <c r="J30" s="228"/>
    </row>
    <row r="31" spans="1:20" ht="17" thickBot="1" x14ac:dyDescent="0.25">
      <c r="A31" s="230"/>
      <c r="B31" s="229"/>
      <c r="C31" s="264"/>
      <c r="D31" s="264"/>
      <c r="E31" s="229"/>
      <c r="F31" s="229"/>
      <c r="G31" s="229"/>
      <c r="H31" s="229"/>
      <c r="I31" s="229"/>
      <c r="J31" s="228"/>
    </row>
    <row r="32" spans="1:20" ht="17" thickBot="1" x14ac:dyDescent="0.25">
      <c r="A32" s="227" t="s">
        <v>7</v>
      </c>
      <c r="B32" s="226"/>
      <c r="C32" s="312"/>
      <c r="D32" s="312"/>
      <c r="E32" s="226"/>
      <c r="F32" s="226"/>
      <c r="G32" s="226"/>
      <c r="H32" s="226"/>
      <c r="I32" s="226"/>
      <c r="J32" s="225"/>
    </row>
    <row r="36" spans="13:13" ht="19" x14ac:dyDescent="0.25">
      <c r="M36" s="216" t="s">
        <v>290</v>
      </c>
    </row>
    <row r="37" spans="13:13" x14ac:dyDescent="0.2">
      <c r="M37" t="s">
        <v>420</v>
      </c>
    </row>
  </sheetData>
  <mergeCells count="8">
    <mergeCell ref="M27:T29"/>
    <mergeCell ref="C6:G6"/>
    <mergeCell ref="C14:G14"/>
    <mergeCell ref="C22:G22"/>
    <mergeCell ref="N3:R3"/>
    <mergeCell ref="N11:R11"/>
    <mergeCell ref="N19:R19"/>
    <mergeCell ref="B3:I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BBA3-6E69-F74C-A8B5-1D0AA941D478}">
  <dimension ref="A1:T557"/>
  <sheetViews>
    <sheetView zoomScaleNormal="100" workbookViewId="0"/>
  </sheetViews>
  <sheetFormatPr baseColWidth="10" defaultColWidth="10.83203125" defaultRowHeight="16" outlineLevelCol="1" x14ac:dyDescent="0.2"/>
  <cols>
    <col min="1" max="1" width="4.5" style="238" customWidth="1"/>
    <col min="2" max="2" width="10.83203125" style="238"/>
    <col min="3" max="3" width="13.83203125" style="238" bestFit="1" customWidth="1"/>
    <col min="4" max="7" width="10.83203125" style="238"/>
    <col min="8" max="8" width="11.5" style="238" customWidth="1"/>
    <col min="9" max="11" width="10.83203125" style="238"/>
    <col min="12" max="12" width="12.1640625" style="238" bestFit="1" customWidth="1"/>
    <col min="13" max="19" width="10.83203125" style="238" hidden="1" customWidth="1" outlineLevel="1"/>
    <col min="20" max="20" width="10.83203125" style="238" collapsed="1"/>
    <col min="21" max="16384" width="10.83203125" style="238"/>
  </cols>
  <sheetData>
    <row r="1" spans="1:19" ht="19" x14ac:dyDescent="0.25">
      <c r="A1" s="361" t="s">
        <v>720</v>
      </c>
      <c r="B1" s="262"/>
      <c r="C1" s="261"/>
      <c r="D1" s="261"/>
      <c r="E1" s="261"/>
      <c r="F1" s="360"/>
      <c r="G1" s="360"/>
      <c r="H1" s="360"/>
      <c r="I1" s="360"/>
      <c r="J1" s="359"/>
      <c r="L1" s="258" t="s">
        <v>719</v>
      </c>
    </row>
    <row r="2" spans="1:19" x14ac:dyDescent="0.2">
      <c r="A2" s="350"/>
      <c r="B2" s="235"/>
      <c r="C2" s="235"/>
      <c r="D2" s="235"/>
      <c r="E2" s="235"/>
      <c r="F2" s="235"/>
      <c r="G2" s="235"/>
      <c r="H2" s="235"/>
      <c r="I2" s="235"/>
      <c r="J2" s="349"/>
    </row>
    <row r="3" spans="1:19" x14ac:dyDescent="0.2">
      <c r="A3" s="350"/>
      <c r="B3" s="351" t="s">
        <v>718</v>
      </c>
      <c r="C3" s="235"/>
      <c r="D3" s="235"/>
      <c r="E3" s="235"/>
      <c r="F3" s="235"/>
      <c r="G3" s="235"/>
      <c r="H3" s="235"/>
      <c r="I3" s="235"/>
      <c r="J3" s="349"/>
      <c r="M3" s="344" t="s">
        <v>718</v>
      </c>
    </row>
    <row r="4" spans="1:19" x14ac:dyDescent="0.2">
      <c r="A4" s="350"/>
      <c r="B4" s="235"/>
      <c r="C4" s="235"/>
      <c r="D4" s="235"/>
      <c r="E4" s="235"/>
      <c r="F4" s="235"/>
      <c r="G4" s="235"/>
      <c r="H4" s="235"/>
      <c r="I4" s="235"/>
      <c r="J4" s="349"/>
      <c r="M4" s="345"/>
    </row>
    <row r="5" spans="1:19" x14ac:dyDescent="0.2">
      <c r="A5" s="350"/>
      <c r="B5" s="358" t="s">
        <v>717</v>
      </c>
      <c r="C5" s="235"/>
      <c r="D5" s="235"/>
      <c r="E5" s="235"/>
      <c r="F5" s="235"/>
      <c r="G5" s="235"/>
      <c r="H5" s="235"/>
      <c r="I5" s="235"/>
      <c r="J5" s="349"/>
      <c r="M5" s="443" t="s">
        <v>716</v>
      </c>
      <c r="N5" s="443"/>
      <c r="O5" s="443"/>
      <c r="P5" s="443"/>
      <c r="Q5" s="443"/>
      <c r="R5" s="443"/>
      <c r="S5" s="443"/>
    </row>
    <row r="6" spans="1:19" x14ac:dyDescent="0.2">
      <c r="A6" s="350"/>
      <c r="B6" s="235" t="s">
        <v>715</v>
      </c>
      <c r="C6" s="235"/>
      <c r="D6" s="235"/>
      <c r="E6" s="235"/>
      <c r="F6" s="235"/>
      <c r="G6" s="235"/>
      <c r="H6" s="235"/>
      <c r="I6" s="235"/>
      <c r="J6" s="349"/>
      <c r="M6" s="443"/>
      <c r="N6" s="443"/>
      <c r="O6" s="443"/>
      <c r="P6" s="443"/>
      <c r="Q6" s="443"/>
      <c r="R6" s="443"/>
      <c r="S6" s="443"/>
    </row>
    <row r="7" spans="1:19" x14ac:dyDescent="0.2">
      <c r="A7" s="350"/>
      <c r="B7" s="235"/>
      <c r="C7" s="235"/>
      <c r="D7" s="235"/>
      <c r="E7" s="235"/>
      <c r="F7" s="235"/>
      <c r="G7" s="235"/>
      <c r="H7" s="235"/>
      <c r="I7" s="235"/>
      <c r="J7" s="349"/>
      <c r="M7" s="345"/>
    </row>
    <row r="8" spans="1:19" x14ac:dyDescent="0.2">
      <c r="A8" s="350"/>
      <c r="B8" s="352" t="s">
        <v>714</v>
      </c>
      <c r="C8" s="235"/>
      <c r="D8" s="235"/>
      <c r="E8" s="235"/>
      <c r="F8" s="235"/>
      <c r="G8" s="235"/>
      <c r="H8" s="235"/>
      <c r="I8" s="235"/>
      <c r="J8" s="349"/>
      <c r="M8" s="433" t="s">
        <v>713</v>
      </c>
      <c r="N8" s="433"/>
      <c r="O8" s="433"/>
      <c r="P8" s="433"/>
      <c r="Q8" s="433"/>
      <c r="R8" s="433"/>
      <c r="S8" s="433"/>
    </row>
    <row r="9" spans="1:19" x14ac:dyDescent="0.2">
      <c r="A9" s="350"/>
      <c r="B9" s="352" t="s">
        <v>712</v>
      </c>
      <c r="C9" s="235"/>
      <c r="D9" s="235"/>
      <c r="E9" s="235"/>
      <c r="F9" s="235"/>
      <c r="G9" s="235"/>
      <c r="H9" s="235"/>
      <c r="I9" s="235"/>
      <c r="J9" s="349"/>
      <c r="M9" s="433"/>
      <c r="N9" s="433"/>
      <c r="O9" s="433"/>
      <c r="P9" s="433"/>
      <c r="Q9" s="433"/>
      <c r="R9" s="433"/>
      <c r="S9" s="433"/>
    </row>
    <row r="10" spans="1:19" x14ac:dyDescent="0.2">
      <c r="A10" s="350"/>
      <c r="B10" s="352" t="s">
        <v>711</v>
      </c>
      <c r="C10" s="235"/>
      <c r="D10" s="235"/>
      <c r="E10" s="235"/>
      <c r="F10" s="235"/>
      <c r="G10" s="235"/>
      <c r="H10" s="235"/>
      <c r="I10" s="235"/>
      <c r="J10" s="349"/>
    </row>
    <row r="11" spans="1:19" x14ac:dyDescent="0.2">
      <c r="A11" s="350"/>
      <c r="B11" s="352" t="s">
        <v>710</v>
      </c>
      <c r="C11" s="235"/>
      <c r="D11" s="235"/>
      <c r="E11" s="235"/>
      <c r="F11" s="235"/>
      <c r="G11" s="235"/>
      <c r="H11" s="235"/>
      <c r="I11" s="235"/>
      <c r="J11" s="349"/>
      <c r="M11" s="433" t="s">
        <v>709</v>
      </c>
      <c r="N11" s="433"/>
      <c r="O11" s="433"/>
      <c r="P11" s="433"/>
      <c r="Q11" s="433"/>
      <c r="R11" s="433"/>
      <c r="S11" s="433"/>
    </row>
    <row r="12" spans="1:19" x14ac:dyDescent="0.2">
      <c r="A12" s="350"/>
      <c r="B12" s="235"/>
      <c r="C12" s="235"/>
      <c r="D12" s="235"/>
      <c r="E12" s="235"/>
      <c r="F12" s="235"/>
      <c r="G12" s="235"/>
      <c r="H12" s="235"/>
      <c r="I12" s="235"/>
      <c r="J12" s="349"/>
      <c r="M12" s="433"/>
      <c r="N12" s="433"/>
      <c r="O12" s="433"/>
      <c r="P12" s="433"/>
      <c r="Q12" s="433"/>
      <c r="R12" s="433"/>
      <c r="S12" s="433"/>
    </row>
    <row r="13" spans="1:19" x14ac:dyDescent="0.2">
      <c r="A13" s="350"/>
      <c r="B13" s="351" t="s">
        <v>706</v>
      </c>
      <c r="C13" s="235"/>
      <c r="D13" s="235"/>
      <c r="E13" s="235"/>
      <c r="F13" s="235"/>
      <c r="G13" s="235"/>
      <c r="H13" s="235"/>
      <c r="I13" s="235"/>
      <c r="J13" s="349"/>
    </row>
    <row r="14" spans="1:19" x14ac:dyDescent="0.2">
      <c r="A14" s="350"/>
      <c r="B14" s="235"/>
      <c r="C14" s="235"/>
      <c r="D14" s="235"/>
      <c r="E14" s="235"/>
      <c r="F14" s="235"/>
      <c r="G14" s="235"/>
      <c r="H14" s="235"/>
      <c r="I14" s="235"/>
      <c r="J14" s="349"/>
      <c r="M14" s="433" t="s">
        <v>708</v>
      </c>
      <c r="N14" s="433"/>
      <c r="O14" s="433"/>
      <c r="P14" s="433"/>
      <c r="Q14" s="433"/>
      <c r="R14" s="433"/>
      <c r="S14" s="433"/>
    </row>
    <row r="15" spans="1:19" x14ac:dyDescent="0.2">
      <c r="A15" s="350"/>
      <c r="B15" s="352" t="s">
        <v>707</v>
      </c>
      <c r="C15" s="235"/>
      <c r="D15" s="235"/>
      <c r="E15" s="235"/>
      <c r="F15" s="357"/>
      <c r="G15" s="235"/>
      <c r="H15" s="235"/>
      <c r="I15" s="235"/>
      <c r="J15" s="349"/>
      <c r="M15" s="433"/>
      <c r="N15" s="433"/>
      <c r="O15" s="433"/>
      <c r="P15" s="433"/>
      <c r="Q15" s="433"/>
      <c r="R15" s="433"/>
      <c r="S15" s="433"/>
    </row>
    <row r="16" spans="1:19" x14ac:dyDescent="0.2">
      <c r="A16" s="350"/>
      <c r="B16" s="235"/>
      <c r="C16" s="235"/>
      <c r="D16" s="235"/>
      <c r="E16" s="235"/>
      <c r="F16" s="235"/>
      <c r="G16" s="235"/>
      <c r="H16" s="235"/>
      <c r="I16" s="235"/>
      <c r="J16" s="349"/>
      <c r="M16" s="433"/>
      <c r="N16" s="433"/>
      <c r="O16" s="433"/>
      <c r="P16" s="433"/>
      <c r="Q16" s="433"/>
      <c r="R16" s="433"/>
      <c r="S16" s="433"/>
    </row>
    <row r="17" spans="1:19" x14ac:dyDescent="0.2">
      <c r="A17" s="350"/>
      <c r="B17" s="351" t="s">
        <v>702</v>
      </c>
      <c r="C17" s="235"/>
      <c r="D17" s="235"/>
      <c r="E17" s="235"/>
      <c r="F17" s="235"/>
      <c r="G17" s="235"/>
      <c r="H17" s="235"/>
      <c r="I17" s="235"/>
      <c r="J17" s="349"/>
    </row>
    <row r="18" spans="1:19" x14ac:dyDescent="0.2">
      <c r="A18" s="350"/>
      <c r="B18" s="235"/>
      <c r="C18" s="235"/>
      <c r="D18" s="235"/>
      <c r="E18" s="235"/>
      <c r="F18" s="235"/>
      <c r="G18" s="235"/>
      <c r="H18" s="235"/>
      <c r="I18" s="235"/>
      <c r="J18" s="349"/>
      <c r="M18" s="344" t="s">
        <v>706</v>
      </c>
    </row>
    <row r="19" spans="1:19" x14ac:dyDescent="0.2">
      <c r="A19" s="350"/>
      <c r="B19" s="235" t="s">
        <v>705</v>
      </c>
      <c r="C19" s="235"/>
      <c r="D19" s="235"/>
      <c r="E19" s="235"/>
      <c r="F19" s="235"/>
      <c r="G19" s="235"/>
      <c r="H19" s="235"/>
      <c r="I19" s="235"/>
      <c r="J19" s="349"/>
    </row>
    <row r="20" spans="1:19" x14ac:dyDescent="0.2">
      <c r="A20" s="350"/>
      <c r="B20" s="235"/>
      <c r="C20" s="235"/>
      <c r="D20" s="235"/>
      <c r="E20" s="235"/>
      <c r="F20" s="235"/>
      <c r="G20" s="235"/>
      <c r="H20" s="235"/>
      <c r="I20" s="235"/>
      <c r="J20" s="349"/>
      <c r="M20" s="433" t="s">
        <v>704</v>
      </c>
      <c r="N20" s="433"/>
      <c r="O20" s="433"/>
      <c r="P20" s="433"/>
      <c r="Q20" s="433"/>
      <c r="R20" s="433"/>
      <c r="S20" s="433"/>
    </row>
    <row r="21" spans="1:19" x14ac:dyDescent="0.2">
      <c r="A21" s="350"/>
      <c r="B21" s="351" t="s">
        <v>691</v>
      </c>
      <c r="C21" s="235"/>
      <c r="D21" s="235"/>
      <c r="E21" s="235"/>
      <c r="F21" s="235"/>
      <c r="G21" s="235"/>
      <c r="H21" s="235"/>
      <c r="I21" s="235"/>
      <c r="J21" s="349"/>
      <c r="M21" s="433"/>
      <c r="N21" s="433"/>
      <c r="O21" s="433"/>
      <c r="P21" s="433"/>
      <c r="Q21" s="433"/>
      <c r="R21" s="433"/>
      <c r="S21" s="433"/>
    </row>
    <row r="22" spans="1:19" x14ac:dyDescent="0.2">
      <c r="A22" s="350"/>
      <c r="B22" s="235"/>
      <c r="C22" s="235"/>
      <c r="D22" s="235"/>
      <c r="E22" s="235"/>
      <c r="F22" s="235"/>
      <c r="G22" s="235"/>
      <c r="H22" s="235"/>
      <c r="I22" s="235"/>
      <c r="J22" s="349"/>
    </row>
    <row r="23" spans="1:19" x14ac:dyDescent="0.2">
      <c r="A23" s="350"/>
      <c r="B23" s="235" t="s">
        <v>703</v>
      </c>
      <c r="C23" s="235"/>
      <c r="D23" s="235"/>
      <c r="E23" s="235"/>
      <c r="F23" s="235"/>
      <c r="G23" s="235"/>
      <c r="H23" s="235"/>
      <c r="I23" s="235"/>
      <c r="J23" s="349"/>
      <c r="M23" s="344" t="s">
        <v>702</v>
      </c>
    </row>
    <row r="24" spans="1:19" x14ac:dyDescent="0.2">
      <c r="A24" s="350"/>
      <c r="B24" s="235"/>
      <c r="C24" s="235"/>
      <c r="D24" s="235"/>
      <c r="E24" s="235"/>
      <c r="F24" s="235"/>
      <c r="G24" s="235"/>
      <c r="H24" s="235"/>
      <c r="I24" s="235"/>
      <c r="J24" s="349"/>
      <c r="M24" s="354"/>
      <c r="N24" s="354"/>
    </row>
    <row r="25" spans="1:19" x14ac:dyDescent="0.2">
      <c r="A25" s="350"/>
      <c r="B25" s="352" t="s">
        <v>701</v>
      </c>
      <c r="C25" s="235"/>
      <c r="D25" s="235"/>
      <c r="E25" s="235"/>
      <c r="F25" s="235"/>
      <c r="G25" s="235"/>
      <c r="H25" s="235"/>
      <c r="I25" s="235"/>
      <c r="J25" s="349"/>
      <c r="M25" s="444" t="s">
        <v>700</v>
      </c>
      <c r="N25" s="444"/>
      <c r="O25" s="444"/>
      <c r="P25" s="444"/>
      <c r="Q25" s="444"/>
      <c r="R25" s="444"/>
      <c r="S25" s="444"/>
    </row>
    <row r="26" spans="1:19" x14ac:dyDescent="0.2">
      <c r="A26" s="350"/>
      <c r="B26" s="352" t="s">
        <v>699</v>
      </c>
      <c r="C26" s="235"/>
      <c r="D26" s="235"/>
      <c r="E26" s="235"/>
      <c r="F26" s="235"/>
      <c r="G26" s="235"/>
      <c r="H26" s="235"/>
      <c r="I26" s="235"/>
      <c r="J26" s="349"/>
      <c r="M26" s="444"/>
      <c r="N26" s="444"/>
      <c r="O26" s="444"/>
      <c r="P26" s="444"/>
      <c r="Q26" s="444"/>
      <c r="R26" s="444"/>
      <c r="S26" s="444"/>
    </row>
    <row r="27" spans="1:19" x14ac:dyDescent="0.2">
      <c r="A27" s="350"/>
      <c r="B27" s="235"/>
      <c r="C27" s="235"/>
      <c r="D27" s="235"/>
      <c r="E27" s="235"/>
      <c r="F27" s="235"/>
      <c r="G27" s="235"/>
      <c r="H27" s="235"/>
      <c r="I27" s="235"/>
      <c r="J27" s="349"/>
      <c r="M27" s="354"/>
      <c r="N27" s="356"/>
    </row>
    <row r="28" spans="1:19" x14ac:dyDescent="0.2">
      <c r="A28" s="350"/>
      <c r="B28" s="351" t="s">
        <v>685</v>
      </c>
      <c r="C28" s="235"/>
      <c r="D28" s="235"/>
      <c r="E28" s="235"/>
      <c r="F28" s="235"/>
      <c r="G28" s="235"/>
      <c r="H28" s="235"/>
      <c r="I28" s="235"/>
      <c r="J28" s="349"/>
      <c r="M28" s="444" t="s">
        <v>698</v>
      </c>
      <c r="N28" s="444"/>
      <c r="O28" s="444"/>
      <c r="P28" s="444"/>
      <c r="Q28" s="444"/>
      <c r="R28" s="444"/>
      <c r="S28" s="444"/>
    </row>
    <row r="29" spans="1:19" x14ac:dyDescent="0.2">
      <c r="A29" s="350"/>
      <c r="B29" s="235"/>
      <c r="C29" s="235"/>
      <c r="D29" s="235"/>
      <c r="E29" s="235"/>
      <c r="F29" s="235"/>
      <c r="G29" s="235"/>
      <c r="H29" s="235"/>
      <c r="I29" s="235"/>
      <c r="J29" s="349"/>
      <c r="M29" s="444"/>
      <c r="N29" s="444"/>
      <c r="O29" s="444"/>
      <c r="P29" s="444"/>
      <c r="Q29" s="444"/>
      <c r="R29" s="444"/>
      <c r="S29" s="444"/>
    </row>
    <row r="30" spans="1:19" x14ac:dyDescent="0.2">
      <c r="A30" s="350"/>
      <c r="B30" s="235" t="s">
        <v>618</v>
      </c>
      <c r="C30" s="235"/>
      <c r="D30" s="235"/>
      <c r="E30" s="235"/>
      <c r="F30" s="235"/>
      <c r="G30" s="235"/>
      <c r="H30" s="235"/>
      <c r="I30" s="235"/>
      <c r="J30" s="349"/>
      <c r="M30" s="354"/>
      <c r="N30" s="356"/>
    </row>
    <row r="31" spans="1:19" x14ac:dyDescent="0.2">
      <c r="A31" s="350"/>
      <c r="B31" s="235" t="s">
        <v>697</v>
      </c>
      <c r="C31" s="235"/>
      <c r="D31" s="235"/>
      <c r="E31" s="235"/>
      <c r="F31" s="235"/>
      <c r="G31" s="235"/>
      <c r="H31" s="235"/>
      <c r="I31" s="235"/>
      <c r="J31" s="349"/>
      <c r="M31" s="444" t="s">
        <v>696</v>
      </c>
      <c r="N31" s="444"/>
      <c r="O31" s="444"/>
      <c r="P31" s="444"/>
      <c r="Q31" s="444"/>
      <c r="R31" s="444"/>
      <c r="S31" s="444"/>
    </row>
    <row r="32" spans="1:19" x14ac:dyDescent="0.2">
      <c r="A32" s="350"/>
      <c r="B32" s="235"/>
      <c r="C32" s="235"/>
      <c r="D32" s="235"/>
      <c r="E32" s="235"/>
      <c r="F32" s="235"/>
      <c r="G32" s="235"/>
      <c r="H32" s="235"/>
      <c r="I32" s="235"/>
      <c r="J32" s="349"/>
      <c r="M32" s="444"/>
      <c r="N32" s="444"/>
      <c r="O32" s="444"/>
      <c r="P32" s="444"/>
      <c r="Q32" s="444"/>
      <c r="R32" s="444"/>
      <c r="S32" s="444"/>
    </row>
    <row r="33" spans="1:19" x14ac:dyDescent="0.2">
      <c r="A33" s="350"/>
      <c r="B33" s="235" t="s">
        <v>614</v>
      </c>
      <c r="C33" s="235"/>
      <c r="D33" s="235"/>
      <c r="E33" s="235"/>
      <c r="F33" s="235"/>
      <c r="G33" s="235"/>
      <c r="H33" s="235"/>
      <c r="I33" s="235"/>
      <c r="J33" s="349"/>
      <c r="M33" s="444"/>
      <c r="N33" s="444"/>
      <c r="O33" s="444"/>
      <c r="P33" s="444"/>
      <c r="Q33" s="444"/>
      <c r="R33" s="444"/>
      <c r="S33" s="444"/>
    </row>
    <row r="34" spans="1:19" x14ac:dyDescent="0.2">
      <c r="A34" s="350"/>
      <c r="B34" s="235" t="s">
        <v>695</v>
      </c>
      <c r="C34" s="235"/>
      <c r="D34" s="235"/>
      <c r="E34" s="235"/>
      <c r="F34" s="235"/>
      <c r="G34" s="235"/>
      <c r="H34" s="235"/>
      <c r="I34" s="235"/>
      <c r="J34" s="349"/>
      <c r="M34" s="354"/>
      <c r="N34" s="356"/>
    </row>
    <row r="35" spans="1:19" x14ac:dyDescent="0.2">
      <c r="A35" s="350"/>
      <c r="B35" s="235"/>
      <c r="C35" s="235"/>
      <c r="D35" s="235"/>
      <c r="E35" s="235"/>
      <c r="F35" s="235"/>
      <c r="G35" s="235"/>
      <c r="H35" s="235"/>
      <c r="I35" s="235"/>
      <c r="J35" s="349"/>
      <c r="M35" s="444" t="s">
        <v>694</v>
      </c>
      <c r="N35" s="444"/>
      <c r="O35" s="444"/>
      <c r="P35" s="444"/>
      <c r="Q35" s="444"/>
      <c r="R35" s="444"/>
      <c r="S35" s="444"/>
    </row>
    <row r="36" spans="1:19" x14ac:dyDescent="0.2">
      <c r="A36" s="350"/>
      <c r="B36" s="351" t="s">
        <v>679</v>
      </c>
      <c r="C36" s="235"/>
      <c r="D36" s="235"/>
      <c r="E36" s="235"/>
      <c r="F36" s="235"/>
      <c r="G36" s="235"/>
      <c r="H36" s="235"/>
      <c r="I36" s="235"/>
      <c r="J36" s="349"/>
      <c r="M36" s="444"/>
      <c r="N36" s="444"/>
      <c r="O36" s="444"/>
      <c r="P36" s="444"/>
      <c r="Q36" s="444"/>
      <c r="R36" s="444"/>
      <c r="S36" s="444"/>
    </row>
    <row r="37" spans="1:19" x14ac:dyDescent="0.2">
      <c r="A37" s="350"/>
      <c r="B37" s="235"/>
      <c r="C37" s="235"/>
      <c r="D37" s="235"/>
      <c r="E37" s="235"/>
      <c r="F37" s="235"/>
      <c r="G37" s="235"/>
      <c r="H37" s="235"/>
      <c r="I37" s="235"/>
      <c r="J37" s="349"/>
      <c r="M37" s="354"/>
      <c r="N37" s="354"/>
    </row>
    <row r="38" spans="1:19" x14ac:dyDescent="0.2">
      <c r="A38" s="350"/>
      <c r="B38" s="235" t="s">
        <v>693</v>
      </c>
      <c r="C38" s="235"/>
      <c r="D38" s="235"/>
      <c r="E38" s="235"/>
      <c r="F38" s="235"/>
      <c r="G38" s="235"/>
      <c r="H38" s="235"/>
      <c r="I38" s="235"/>
      <c r="J38" s="349"/>
      <c r="M38" s="444" t="s">
        <v>692</v>
      </c>
      <c r="N38" s="444"/>
      <c r="O38" s="444"/>
      <c r="P38" s="444"/>
      <c r="Q38" s="444"/>
      <c r="R38" s="444"/>
      <c r="S38" s="444"/>
    </row>
    <row r="39" spans="1:19" x14ac:dyDescent="0.2">
      <c r="A39" s="350"/>
      <c r="B39" s="235"/>
      <c r="C39" s="235"/>
      <c r="D39" s="235"/>
      <c r="E39" s="235"/>
      <c r="F39" s="235"/>
      <c r="G39" s="235"/>
      <c r="H39" s="235"/>
      <c r="I39" s="235"/>
      <c r="J39" s="349"/>
      <c r="M39" s="444"/>
      <c r="N39" s="444"/>
      <c r="O39" s="444"/>
      <c r="P39" s="444"/>
      <c r="Q39" s="444"/>
      <c r="R39" s="444"/>
      <c r="S39" s="444"/>
    </row>
    <row r="40" spans="1:19" x14ac:dyDescent="0.2">
      <c r="A40" s="350"/>
      <c r="B40" s="351" t="s">
        <v>674</v>
      </c>
      <c r="C40" s="235"/>
      <c r="D40" s="235"/>
      <c r="E40" s="235"/>
      <c r="F40" s="235"/>
      <c r="G40" s="235"/>
      <c r="H40" s="235"/>
      <c r="I40" s="235"/>
      <c r="J40" s="349"/>
      <c r="M40" s="354"/>
      <c r="N40" s="353"/>
    </row>
    <row r="41" spans="1:19" x14ac:dyDescent="0.2">
      <c r="A41" s="350"/>
      <c r="B41" s="235"/>
      <c r="C41" s="235"/>
      <c r="D41" s="235"/>
      <c r="E41" s="235"/>
      <c r="F41" s="235"/>
      <c r="G41" s="235"/>
      <c r="H41" s="235"/>
      <c r="I41" s="235"/>
      <c r="J41" s="349"/>
      <c r="M41" s="355" t="s">
        <v>691</v>
      </c>
      <c r="N41" s="353"/>
    </row>
    <row r="42" spans="1:19" x14ac:dyDescent="0.2">
      <c r="A42" s="350"/>
      <c r="B42" s="235" t="s">
        <v>618</v>
      </c>
      <c r="C42" s="235"/>
      <c r="D42" s="235"/>
      <c r="E42" s="235"/>
      <c r="F42" s="235"/>
      <c r="G42" s="235"/>
      <c r="H42" s="235"/>
      <c r="I42" s="235"/>
      <c r="J42" s="349"/>
      <c r="M42" s="354"/>
      <c r="N42" s="353"/>
    </row>
    <row r="43" spans="1:19" x14ac:dyDescent="0.2">
      <c r="A43" s="350"/>
      <c r="B43" s="235" t="s">
        <v>690</v>
      </c>
      <c r="C43" s="235"/>
      <c r="D43" s="235"/>
      <c r="E43" s="235"/>
      <c r="F43" s="235"/>
      <c r="G43" s="235"/>
      <c r="H43" s="235"/>
      <c r="I43" s="235"/>
      <c r="J43" s="349"/>
      <c r="M43" s="444" t="s">
        <v>689</v>
      </c>
      <c r="N43" s="444"/>
      <c r="O43" s="444"/>
      <c r="P43" s="444"/>
      <c r="Q43" s="444"/>
      <c r="R43" s="444"/>
      <c r="S43" s="444"/>
    </row>
    <row r="44" spans="1:19" x14ac:dyDescent="0.2">
      <c r="A44" s="350"/>
      <c r="B44" s="264"/>
      <c r="C44" s="235"/>
      <c r="D44" s="235"/>
      <c r="E44" s="235"/>
      <c r="F44" s="235"/>
      <c r="G44" s="235"/>
      <c r="H44" s="235"/>
      <c r="I44" s="235"/>
      <c r="J44" s="349"/>
      <c r="M44" s="444"/>
      <c r="N44" s="444"/>
      <c r="O44" s="444"/>
      <c r="P44" s="444"/>
      <c r="Q44" s="444"/>
      <c r="R44" s="444"/>
      <c r="S44" s="444"/>
    </row>
    <row r="45" spans="1:19" x14ac:dyDescent="0.2">
      <c r="A45" s="350"/>
      <c r="B45" s="235" t="s">
        <v>614</v>
      </c>
      <c r="C45" s="235"/>
      <c r="D45" s="235"/>
      <c r="E45" s="235"/>
      <c r="F45" s="235"/>
      <c r="G45" s="235"/>
      <c r="H45" s="235"/>
      <c r="I45" s="235"/>
      <c r="J45" s="349"/>
      <c r="M45" s="354"/>
      <c r="N45" s="353"/>
    </row>
    <row r="46" spans="1:19" x14ac:dyDescent="0.2">
      <c r="A46" s="350"/>
      <c r="B46" s="235" t="s">
        <v>688</v>
      </c>
      <c r="C46" s="235"/>
      <c r="D46" s="235"/>
      <c r="E46" s="235"/>
      <c r="F46" s="235"/>
      <c r="G46" s="235"/>
      <c r="H46" s="235"/>
      <c r="I46" s="235"/>
      <c r="J46" s="349"/>
      <c r="M46" s="444" t="s">
        <v>687</v>
      </c>
      <c r="N46" s="444"/>
      <c r="O46" s="444"/>
      <c r="P46" s="444"/>
      <c r="Q46" s="444"/>
      <c r="R46" s="444"/>
      <c r="S46" s="444"/>
    </row>
    <row r="47" spans="1:19" x14ac:dyDescent="0.2">
      <c r="A47" s="350"/>
      <c r="B47" s="264"/>
      <c r="C47" s="235"/>
      <c r="D47" s="235"/>
      <c r="E47" s="235"/>
      <c r="F47" s="235"/>
      <c r="G47" s="235"/>
      <c r="H47" s="235"/>
      <c r="I47" s="235"/>
      <c r="J47" s="349"/>
      <c r="M47" s="444"/>
      <c r="N47" s="444"/>
      <c r="O47" s="444"/>
      <c r="P47" s="444"/>
      <c r="Q47" s="444"/>
      <c r="R47" s="444"/>
      <c r="S47" s="444"/>
    </row>
    <row r="48" spans="1:19" x14ac:dyDescent="0.2">
      <c r="A48" s="350"/>
      <c r="B48" s="235" t="s">
        <v>611</v>
      </c>
      <c r="C48" s="235"/>
      <c r="D48" s="235"/>
      <c r="E48" s="235"/>
      <c r="F48" s="235"/>
      <c r="G48" s="235"/>
      <c r="H48" s="235"/>
      <c r="I48" s="235"/>
      <c r="J48" s="349"/>
    </row>
    <row r="49" spans="1:19" x14ac:dyDescent="0.2">
      <c r="A49" s="350"/>
      <c r="B49" s="235" t="s">
        <v>686</v>
      </c>
      <c r="C49" s="235"/>
      <c r="D49" s="235"/>
      <c r="E49" s="235"/>
      <c r="F49" s="235"/>
      <c r="G49" s="235"/>
      <c r="H49" s="235"/>
      <c r="I49" s="235"/>
      <c r="J49" s="349"/>
      <c r="M49" s="344" t="s">
        <v>685</v>
      </c>
    </row>
    <row r="50" spans="1:19" x14ac:dyDescent="0.2">
      <c r="A50" s="350"/>
      <c r="B50" s="235"/>
      <c r="C50" s="235"/>
      <c r="D50" s="235"/>
      <c r="E50" s="235"/>
      <c r="F50" s="235"/>
      <c r="G50" s="235"/>
      <c r="H50" s="235"/>
      <c r="I50" s="235"/>
      <c r="J50" s="349"/>
    </row>
    <row r="51" spans="1:19" x14ac:dyDescent="0.2">
      <c r="A51" s="350"/>
      <c r="B51" s="351" t="s">
        <v>654</v>
      </c>
      <c r="C51" s="235"/>
      <c r="D51" s="235"/>
      <c r="E51" s="235"/>
      <c r="F51" s="235"/>
      <c r="G51" s="235"/>
      <c r="H51" s="235"/>
      <c r="I51" s="235"/>
      <c r="J51" s="349"/>
      <c r="M51" s="310" t="s">
        <v>318</v>
      </c>
    </row>
    <row r="52" spans="1:19" x14ac:dyDescent="0.2">
      <c r="A52" s="350"/>
      <c r="B52" s="235"/>
      <c r="C52" s="235"/>
      <c r="D52" s="235"/>
      <c r="E52" s="235"/>
      <c r="F52" s="235"/>
      <c r="G52" s="235"/>
      <c r="H52" s="235"/>
      <c r="I52" s="235"/>
      <c r="J52" s="349"/>
    </row>
    <row r="53" spans="1:19" x14ac:dyDescent="0.2">
      <c r="A53" s="350"/>
      <c r="B53" s="235" t="s">
        <v>684</v>
      </c>
      <c r="C53" s="235"/>
      <c r="D53" s="235"/>
      <c r="E53" s="235"/>
      <c r="F53" s="235"/>
      <c r="G53" s="235"/>
      <c r="H53" s="235"/>
      <c r="I53" s="235"/>
      <c r="J53" s="349"/>
      <c r="M53" s="433" t="s">
        <v>683</v>
      </c>
      <c r="N53" s="433"/>
      <c r="O53" s="433"/>
      <c r="P53" s="433"/>
      <c r="Q53" s="433"/>
      <c r="R53" s="433"/>
      <c r="S53" s="433"/>
    </row>
    <row r="54" spans="1:19" x14ac:dyDescent="0.2">
      <c r="A54" s="350"/>
      <c r="B54" s="235"/>
      <c r="C54" s="235"/>
      <c r="D54" s="235"/>
      <c r="E54" s="235"/>
      <c r="F54" s="235"/>
      <c r="G54" s="235"/>
      <c r="H54" s="235"/>
      <c r="I54" s="235"/>
      <c r="J54" s="349"/>
      <c r="M54" s="433"/>
      <c r="N54" s="433"/>
      <c r="O54" s="433"/>
      <c r="P54" s="433"/>
      <c r="Q54" s="433"/>
      <c r="R54" s="433"/>
      <c r="S54" s="433"/>
    </row>
    <row r="55" spans="1:19" x14ac:dyDescent="0.2">
      <c r="A55" s="350"/>
      <c r="B55" s="351" t="s">
        <v>649</v>
      </c>
      <c r="C55" s="235"/>
      <c r="D55" s="235"/>
      <c r="E55" s="235"/>
      <c r="F55" s="235"/>
      <c r="G55" s="235"/>
      <c r="H55" s="235"/>
      <c r="I55" s="235"/>
      <c r="J55" s="349"/>
    </row>
    <row r="56" spans="1:19" x14ac:dyDescent="0.2">
      <c r="A56" s="350"/>
      <c r="B56" s="235"/>
      <c r="C56" s="235"/>
      <c r="D56" s="235"/>
      <c r="E56" s="235"/>
      <c r="F56" s="235"/>
      <c r="G56" s="235"/>
      <c r="H56" s="235"/>
      <c r="I56" s="235"/>
      <c r="J56" s="349"/>
      <c r="M56" s="433" t="s">
        <v>682</v>
      </c>
      <c r="N56" s="433"/>
      <c r="O56" s="433"/>
      <c r="P56" s="433"/>
      <c r="Q56" s="433"/>
      <c r="R56" s="433"/>
      <c r="S56" s="433"/>
    </row>
    <row r="57" spans="1:19" x14ac:dyDescent="0.2">
      <c r="A57" s="350"/>
      <c r="B57" s="427" t="s">
        <v>681</v>
      </c>
      <c r="C57" s="427"/>
      <c r="D57" s="427"/>
      <c r="E57" s="427"/>
      <c r="F57" s="427"/>
      <c r="G57" s="427"/>
      <c r="H57" s="427"/>
      <c r="I57" s="427"/>
      <c r="J57" s="349"/>
      <c r="M57" s="433"/>
      <c r="N57" s="433"/>
      <c r="O57" s="433"/>
      <c r="P57" s="433"/>
      <c r="Q57" s="433"/>
      <c r="R57" s="433"/>
      <c r="S57" s="433"/>
    </row>
    <row r="58" spans="1:19" x14ac:dyDescent="0.2">
      <c r="A58" s="350"/>
      <c r="B58" s="427"/>
      <c r="C58" s="427"/>
      <c r="D58" s="427"/>
      <c r="E58" s="427"/>
      <c r="F58" s="427"/>
      <c r="G58" s="427"/>
      <c r="H58" s="427"/>
      <c r="I58" s="427"/>
      <c r="J58" s="349"/>
      <c r="M58" s="433"/>
      <c r="N58" s="433"/>
      <c r="O58" s="433"/>
      <c r="P58" s="433"/>
      <c r="Q58" s="433"/>
      <c r="R58" s="433"/>
      <c r="S58" s="433"/>
    </row>
    <row r="59" spans="1:19" x14ac:dyDescent="0.2">
      <c r="A59" s="350"/>
      <c r="B59" s="235"/>
      <c r="C59" s="235"/>
      <c r="D59" s="235"/>
      <c r="E59" s="235"/>
      <c r="F59" s="235"/>
      <c r="G59" s="235"/>
      <c r="H59" s="235"/>
      <c r="I59" s="235"/>
      <c r="J59" s="349"/>
    </row>
    <row r="60" spans="1:19" x14ac:dyDescent="0.2">
      <c r="A60" s="350"/>
      <c r="B60" s="351" t="s">
        <v>645</v>
      </c>
      <c r="C60" s="235"/>
      <c r="D60" s="235"/>
      <c r="E60" s="235"/>
      <c r="F60" s="235"/>
      <c r="G60" s="235"/>
      <c r="H60" s="235"/>
      <c r="I60" s="235"/>
      <c r="J60" s="349"/>
      <c r="M60" s="310" t="s">
        <v>308</v>
      </c>
    </row>
    <row r="61" spans="1:19" x14ac:dyDescent="0.2">
      <c r="A61" s="350"/>
      <c r="B61" s="235"/>
      <c r="C61" s="235"/>
      <c r="D61" s="235"/>
      <c r="E61" s="235"/>
      <c r="F61" s="235"/>
      <c r="G61" s="235"/>
      <c r="H61" s="235"/>
      <c r="I61" s="235"/>
      <c r="J61" s="349"/>
    </row>
    <row r="62" spans="1:19" x14ac:dyDescent="0.2">
      <c r="A62" s="350"/>
      <c r="B62" s="235" t="s">
        <v>730</v>
      </c>
      <c r="C62" s="235"/>
      <c r="D62" s="235"/>
      <c r="E62" s="235"/>
      <c r="F62" s="235"/>
      <c r="G62" s="235"/>
      <c r="H62" s="235"/>
      <c r="I62" s="235"/>
      <c r="J62" s="349"/>
      <c r="M62" s="433" t="s">
        <v>680</v>
      </c>
      <c r="N62" s="433"/>
      <c r="O62" s="433"/>
      <c r="P62" s="433"/>
      <c r="Q62" s="433"/>
      <c r="R62" s="433"/>
      <c r="S62" s="433"/>
    </row>
    <row r="63" spans="1:19" x14ac:dyDescent="0.2">
      <c r="A63" s="350"/>
      <c r="B63" s="235"/>
      <c r="C63" s="235"/>
      <c r="D63" s="235"/>
      <c r="E63" s="235"/>
      <c r="F63" s="235"/>
      <c r="G63" s="235"/>
      <c r="H63" s="235"/>
      <c r="I63" s="235"/>
      <c r="J63" s="349"/>
      <c r="M63" s="433"/>
      <c r="N63" s="433"/>
      <c r="O63" s="433"/>
      <c r="P63" s="433"/>
      <c r="Q63" s="433"/>
      <c r="R63" s="433"/>
      <c r="S63" s="433"/>
    </row>
    <row r="64" spans="1:19" x14ac:dyDescent="0.2">
      <c r="A64" s="350"/>
      <c r="B64" s="351" t="s">
        <v>641</v>
      </c>
      <c r="C64" s="235"/>
      <c r="D64" s="235"/>
      <c r="E64" s="235"/>
      <c r="F64" s="235"/>
      <c r="G64" s="235"/>
      <c r="H64" s="235"/>
      <c r="I64" s="235"/>
      <c r="J64" s="349"/>
    </row>
    <row r="65" spans="1:19" x14ac:dyDescent="0.2">
      <c r="A65" s="350"/>
      <c r="B65" s="235"/>
      <c r="C65" s="235"/>
      <c r="D65" s="235"/>
      <c r="E65" s="235"/>
      <c r="F65" s="235"/>
      <c r="G65" s="235"/>
      <c r="H65" s="235"/>
      <c r="I65" s="235"/>
      <c r="J65" s="349"/>
      <c r="M65" s="344" t="s">
        <v>679</v>
      </c>
    </row>
    <row r="66" spans="1:19" x14ac:dyDescent="0.2">
      <c r="A66" s="350"/>
      <c r="B66" s="235" t="s">
        <v>678</v>
      </c>
      <c r="C66" s="235"/>
      <c r="D66" s="235"/>
      <c r="E66" s="235"/>
      <c r="F66" s="235"/>
      <c r="G66" s="235"/>
      <c r="H66" s="235"/>
      <c r="I66" s="235"/>
      <c r="J66" s="349"/>
    </row>
    <row r="67" spans="1:19" x14ac:dyDescent="0.2">
      <c r="A67" s="350"/>
      <c r="B67" s="235"/>
      <c r="C67" s="235"/>
      <c r="D67" s="235"/>
      <c r="E67" s="235"/>
      <c r="F67" s="235"/>
      <c r="G67" s="235"/>
      <c r="H67" s="235"/>
      <c r="I67" s="235"/>
      <c r="J67" s="349"/>
      <c r="M67" s="433" t="s">
        <v>677</v>
      </c>
      <c r="N67" s="433"/>
      <c r="O67" s="433"/>
      <c r="P67" s="433"/>
      <c r="Q67" s="433"/>
      <c r="R67" s="433"/>
      <c r="S67" s="433"/>
    </row>
    <row r="68" spans="1:19" x14ac:dyDescent="0.2">
      <c r="A68" s="350"/>
      <c r="B68" s="351" t="s">
        <v>638</v>
      </c>
      <c r="C68" s="235"/>
      <c r="D68" s="235"/>
      <c r="E68" s="235"/>
      <c r="F68" s="235"/>
      <c r="G68" s="235"/>
      <c r="H68" s="235"/>
      <c r="I68" s="235"/>
      <c r="J68" s="349"/>
      <c r="M68" s="433"/>
      <c r="N68" s="433"/>
      <c r="O68" s="433"/>
      <c r="P68" s="433"/>
      <c r="Q68" s="433"/>
      <c r="R68" s="433"/>
      <c r="S68" s="433"/>
    </row>
    <row r="69" spans="1:19" x14ac:dyDescent="0.2">
      <c r="A69" s="350"/>
      <c r="B69" s="235"/>
      <c r="C69" s="235"/>
      <c r="D69" s="235"/>
      <c r="E69" s="235"/>
      <c r="F69" s="235"/>
      <c r="G69" s="235"/>
      <c r="H69" s="235"/>
      <c r="I69" s="235"/>
      <c r="J69" s="349"/>
    </row>
    <row r="70" spans="1:19" x14ac:dyDescent="0.2">
      <c r="A70" s="350"/>
      <c r="B70" s="235" t="s">
        <v>618</v>
      </c>
      <c r="C70" s="235"/>
      <c r="D70" s="235"/>
      <c r="E70" s="235"/>
      <c r="F70" s="235"/>
      <c r="G70" s="235"/>
      <c r="H70" s="235"/>
      <c r="I70" s="235"/>
      <c r="J70" s="349"/>
      <c r="M70" s="433" t="s">
        <v>676</v>
      </c>
      <c r="N70" s="433"/>
      <c r="O70" s="433"/>
      <c r="P70" s="433"/>
      <c r="Q70" s="433"/>
      <c r="R70" s="433"/>
      <c r="S70" s="433"/>
    </row>
    <row r="71" spans="1:19" x14ac:dyDescent="0.2">
      <c r="A71" s="350"/>
      <c r="B71" s="235" t="s">
        <v>675</v>
      </c>
      <c r="C71" s="235"/>
      <c r="D71" s="235"/>
      <c r="E71" s="235"/>
      <c r="F71" s="235"/>
      <c r="G71" s="235"/>
      <c r="H71" s="235"/>
      <c r="I71" s="235"/>
      <c r="J71" s="349"/>
      <c r="M71" s="433"/>
      <c r="N71" s="433"/>
      <c r="O71" s="433"/>
      <c r="P71" s="433"/>
      <c r="Q71" s="433"/>
      <c r="R71" s="433"/>
      <c r="S71" s="433"/>
    </row>
    <row r="72" spans="1:19" x14ac:dyDescent="0.2">
      <c r="A72" s="350"/>
      <c r="B72" s="264"/>
      <c r="C72" s="235"/>
      <c r="D72" s="235"/>
      <c r="E72" s="235"/>
      <c r="F72" s="235"/>
      <c r="G72" s="235"/>
      <c r="H72" s="235"/>
      <c r="I72" s="235"/>
      <c r="J72" s="349"/>
    </row>
    <row r="73" spans="1:19" x14ac:dyDescent="0.2">
      <c r="A73" s="350"/>
      <c r="B73" s="235" t="s">
        <v>614</v>
      </c>
      <c r="C73" s="235"/>
      <c r="D73" s="235"/>
      <c r="E73" s="235"/>
      <c r="F73" s="235"/>
      <c r="G73" s="235"/>
      <c r="H73" s="235"/>
      <c r="I73" s="235"/>
      <c r="J73" s="349"/>
      <c r="M73" s="344" t="s">
        <v>674</v>
      </c>
    </row>
    <row r="74" spans="1:19" x14ac:dyDescent="0.2">
      <c r="A74" s="350"/>
      <c r="B74" s="235" t="s">
        <v>673</v>
      </c>
      <c r="C74" s="235"/>
      <c r="D74" s="235"/>
      <c r="E74" s="235"/>
      <c r="F74" s="235"/>
      <c r="G74" s="235"/>
      <c r="H74" s="235"/>
      <c r="I74" s="235"/>
      <c r="J74" s="349"/>
    </row>
    <row r="75" spans="1:19" x14ac:dyDescent="0.2">
      <c r="A75" s="350"/>
      <c r="B75" s="264"/>
      <c r="C75" s="235"/>
      <c r="D75" s="235"/>
      <c r="E75" s="235"/>
      <c r="F75" s="235"/>
      <c r="G75" s="235"/>
      <c r="H75" s="235"/>
      <c r="I75" s="235"/>
      <c r="J75" s="349"/>
      <c r="M75" s="310" t="s">
        <v>318</v>
      </c>
    </row>
    <row r="76" spans="1:19" x14ac:dyDescent="0.2">
      <c r="A76" s="350"/>
      <c r="B76" s="235" t="s">
        <v>611</v>
      </c>
      <c r="C76" s="235"/>
      <c r="D76" s="235"/>
      <c r="E76" s="235"/>
      <c r="F76" s="235"/>
      <c r="G76" s="235"/>
      <c r="H76" s="235"/>
      <c r="I76" s="235"/>
      <c r="J76" s="349"/>
    </row>
    <row r="77" spans="1:19" ht="15.75" customHeight="1" x14ac:dyDescent="0.2">
      <c r="A77" s="350"/>
      <c r="B77" s="235" t="s">
        <v>672</v>
      </c>
      <c r="C77" s="235"/>
      <c r="D77" s="235"/>
      <c r="E77" s="235"/>
      <c r="F77" s="235"/>
      <c r="G77" s="235"/>
      <c r="H77" s="235"/>
      <c r="I77" s="235"/>
      <c r="J77" s="349"/>
      <c r="M77" s="433" t="s">
        <v>728</v>
      </c>
      <c r="N77" s="433"/>
      <c r="O77" s="433"/>
      <c r="P77" s="433"/>
      <c r="Q77" s="433"/>
      <c r="R77" s="433"/>
      <c r="S77" s="433"/>
    </row>
    <row r="78" spans="1:19" x14ac:dyDescent="0.2">
      <c r="A78" s="350"/>
      <c r="B78" s="235"/>
      <c r="C78" s="235"/>
      <c r="D78" s="235"/>
      <c r="E78" s="235"/>
      <c r="F78" s="235"/>
      <c r="G78" s="235"/>
      <c r="H78" s="235"/>
      <c r="I78" s="235"/>
      <c r="J78" s="349"/>
      <c r="M78" s="433"/>
      <c r="N78" s="433"/>
      <c r="O78" s="433"/>
      <c r="P78" s="433"/>
      <c r="Q78" s="433"/>
      <c r="R78" s="433"/>
      <c r="S78" s="433"/>
    </row>
    <row r="79" spans="1:19" x14ac:dyDescent="0.2">
      <c r="A79" s="350"/>
      <c r="B79" s="351" t="s">
        <v>631</v>
      </c>
      <c r="C79" s="235"/>
      <c r="D79" s="235"/>
      <c r="E79" s="235"/>
      <c r="F79" s="235"/>
      <c r="G79" s="235"/>
      <c r="H79" s="235"/>
      <c r="I79" s="235"/>
      <c r="J79" s="349"/>
      <c r="M79" s="433"/>
      <c r="N79" s="433"/>
      <c r="O79" s="433"/>
      <c r="P79" s="433"/>
      <c r="Q79" s="433"/>
      <c r="R79" s="433"/>
      <c r="S79" s="433"/>
    </row>
    <row r="80" spans="1:19" x14ac:dyDescent="0.2">
      <c r="A80" s="350"/>
      <c r="B80" s="235"/>
      <c r="C80" s="235"/>
      <c r="D80" s="235"/>
      <c r="E80" s="235"/>
      <c r="F80" s="235"/>
      <c r="G80" s="235"/>
      <c r="H80" s="235"/>
      <c r="I80" s="235"/>
      <c r="J80" s="349"/>
      <c r="M80" s="433"/>
      <c r="N80" s="433"/>
      <c r="O80" s="433"/>
      <c r="P80" s="433"/>
      <c r="Q80" s="433"/>
      <c r="R80" s="433"/>
      <c r="S80" s="433"/>
    </row>
    <row r="81" spans="1:19" ht="15.75" customHeight="1" x14ac:dyDescent="0.2">
      <c r="A81" s="350"/>
      <c r="B81" s="235" t="s">
        <v>671</v>
      </c>
      <c r="C81" s="235"/>
      <c r="D81" s="235"/>
      <c r="E81" s="235"/>
      <c r="F81" s="235"/>
      <c r="G81" s="235"/>
      <c r="H81" s="235"/>
      <c r="I81" s="235"/>
      <c r="J81" s="349"/>
    </row>
    <row r="82" spans="1:19" x14ac:dyDescent="0.2">
      <c r="A82" s="350"/>
      <c r="B82" s="235"/>
      <c r="C82" s="235"/>
      <c r="D82" s="235"/>
      <c r="E82" s="235"/>
      <c r="F82" s="235"/>
      <c r="G82" s="235"/>
      <c r="H82" s="235"/>
      <c r="I82" s="235"/>
      <c r="J82" s="349"/>
      <c r="M82" s="433" t="s">
        <v>729</v>
      </c>
      <c r="N82" s="433"/>
      <c r="O82" s="433"/>
      <c r="P82" s="433"/>
      <c r="Q82" s="433"/>
      <c r="R82" s="433"/>
      <c r="S82" s="433"/>
    </row>
    <row r="83" spans="1:19" x14ac:dyDescent="0.2">
      <c r="A83" s="350"/>
      <c r="B83" s="351" t="s">
        <v>625</v>
      </c>
      <c r="C83" s="235"/>
      <c r="D83" s="235"/>
      <c r="E83" s="235"/>
      <c r="F83" s="235"/>
      <c r="G83" s="235"/>
      <c r="H83" s="235"/>
      <c r="I83" s="235"/>
      <c r="J83" s="349"/>
      <c r="M83" s="433"/>
      <c r="N83" s="433"/>
      <c r="O83" s="433"/>
      <c r="P83" s="433"/>
      <c r="Q83" s="433"/>
      <c r="R83" s="433"/>
      <c r="S83" s="433"/>
    </row>
    <row r="84" spans="1:19" x14ac:dyDescent="0.2">
      <c r="A84" s="350"/>
      <c r="B84" s="235"/>
      <c r="C84" s="235"/>
      <c r="D84" s="235"/>
      <c r="E84" s="235"/>
      <c r="F84" s="235"/>
      <c r="G84" s="235"/>
      <c r="H84" s="235"/>
      <c r="I84" s="235"/>
      <c r="J84" s="349"/>
      <c r="M84" s="433"/>
      <c r="N84" s="433"/>
      <c r="O84" s="433"/>
      <c r="P84" s="433"/>
      <c r="Q84" s="433"/>
      <c r="R84" s="433"/>
      <c r="S84" s="433"/>
    </row>
    <row r="85" spans="1:19" x14ac:dyDescent="0.2">
      <c r="A85" s="350"/>
      <c r="B85" s="235" t="s">
        <v>618</v>
      </c>
      <c r="C85" s="235"/>
      <c r="D85" s="235"/>
      <c r="E85" s="235"/>
      <c r="F85" s="235"/>
      <c r="G85" s="235"/>
      <c r="H85" s="235"/>
      <c r="I85" s="235"/>
      <c r="J85" s="349"/>
    </row>
    <row r="86" spans="1:19" x14ac:dyDescent="0.2">
      <c r="A86" s="350"/>
      <c r="B86" s="235" t="s">
        <v>670</v>
      </c>
      <c r="C86" s="235"/>
      <c r="D86" s="235"/>
      <c r="E86" s="235"/>
      <c r="F86" s="235"/>
      <c r="G86" s="235"/>
      <c r="H86" s="235"/>
      <c r="I86" s="235"/>
      <c r="J86" s="349"/>
      <c r="M86" s="310" t="s">
        <v>308</v>
      </c>
    </row>
    <row r="87" spans="1:19" x14ac:dyDescent="0.2">
      <c r="A87" s="350"/>
      <c r="B87" s="264"/>
      <c r="C87" s="235"/>
      <c r="D87" s="235"/>
      <c r="E87" s="235"/>
      <c r="F87" s="235"/>
      <c r="G87" s="235"/>
      <c r="H87" s="235"/>
      <c r="I87" s="235"/>
      <c r="J87" s="349"/>
    </row>
    <row r="88" spans="1:19" x14ac:dyDescent="0.2">
      <c r="A88" s="350"/>
      <c r="B88" s="235" t="s">
        <v>614</v>
      </c>
      <c r="C88" s="235"/>
      <c r="D88" s="235"/>
      <c r="E88" s="235"/>
      <c r="F88" s="235"/>
      <c r="G88" s="235"/>
      <c r="H88" s="235"/>
      <c r="I88" s="235"/>
      <c r="J88" s="349"/>
      <c r="M88" s="433" t="s">
        <v>669</v>
      </c>
      <c r="N88" s="433"/>
      <c r="O88" s="433"/>
      <c r="P88" s="433"/>
      <c r="Q88" s="433"/>
      <c r="R88" s="433"/>
      <c r="S88" s="433"/>
    </row>
    <row r="89" spans="1:19" x14ac:dyDescent="0.2">
      <c r="A89" s="350"/>
      <c r="B89" s="235" t="s">
        <v>668</v>
      </c>
      <c r="C89" s="235"/>
      <c r="D89" s="235"/>
      <c r="E89" s="235"/>
      <c r="F89" s="235"/>
      <c r="G89" s="235"/>
      <c r="H89" s="235"/>
      <c r="I89" s="235"/>
      <c r="J89" s="349"/>
      <c r="M89" s="433"/>
      <c r="N89" s="433"/>
      <c r="O89" s="433"/>
      <c r="P89" s="433"/>
      <c r="Q89" s="433"/>
      <c r="R89" s="433"/>
      <c r="S89" s="433"/>
    </row>
    <row r="90" spans="1:19" x14ac:dyDescent="0.2">
      <c r="A90" s="350"/>
      <c r="B90" s="264"/>
      <c r="C90" s="235"/>
      <c r="D90" s="235"/>
      <c r="E90" s="235"/>
      <c r="F90" s="235"/>
      <c r="G90" s="235"/>
      <c r="H90" s="235"/>
      <c r="I90" s="235"/>
      <c r="J90" s="349"/>
    </row>
    <row r="91" spans="1:19" x14ac:dyDescent="0.2">
      <c r="A91" s="350"/>
      <c r="B91" s="235" t="s">
        <v>611</v>
      </c>
      <c r="C91" s="235"/>
      <c r="D91" s="235"/>
      <c r="E91" s="235"/>
      <c r="F91" s="235"/>
      <c r="G91" s="235"/>
      <c r="H91" s="235"/>
      <c r="I91" s="235"/>
      <c r="J91" s="349"/>
      <c r="M91" s="433" t="s">
        <v>667</v>
      </c>
      <c r="N91" s="433"/>
      <c r="O91" s="433"/>
      <c r="P91" s="433"/>
      <c r="Q91" s="433"/>
      <c r="R91" s="433"/>
      <c r="S91" s="433"/>
    </row>
    <row r="92" spans="1:19" x14ac:dyDescent="0.2">
      <c r="A92" s="350"/>
      <c r="B92" s="235" t="s">
        <v>666</v>
      </c>
      <c r="C92" s="235"/>
      <c r="D92" s="235"/>
      <c r="E92" s="235"/>
      <c r="F92" s="235"/>
      <c r="G92" s="235"/>
      <c r="H92" s="235"/>
      <c r="I92" s="235"/>
      <c r="J92" s="349"/>
      <c r="M92" s="433"/>
      <c r="N92" s="433"/>
      <c r="O92" s="433"/>
      <c r="P92" s="433"/>
      <c r="Q92" s="433"/>
      <c r="R92" s="433"/>
      <c r="S92" s="433"/>
    </row>
    <row r="93" spans="1:19" x14ac:dyDescent="0.2">
      <c r="A93" s="350"/>
      <c r="B93" s="264"/>
      <c r="C93" s="235"/>
      <c r="D93" s="235"/>
      <c r="E93" s="235"/>
      <c r="F93" s="235"/>
      <c r="G93" s="235"/>
      <c r="H93" s="235"/>
      <c r="I93" s="235"/>
      <c r="J93" s="349"/>
      <c r="M93" s="433"/>
      <c r="N93" s="433"/>
      <c r="O93" s="433"/>
      <c r="P93" s="433"/>
      <c r="Q93" s="433"/>
      <c r="R93" s="433"/>
      <c r="S93" s="433"/>
    </row>
    <row r="94" spans="1:19" x14ac:dyDescent="0.2">
      <c r="A94" s="350"/>
      <c r="B94" s="235" t="s">
        <v>609</v>
      </c>
      <c r="C94" s="235"/>
      <c r="D94" s="235"/>
      <c r="E94" s="235"/>
      <c r="F94" s="235"/>
      <c r="G94" s="235"/>
      <c r="H94" s="235"/>
      <c r="I94" s="235"/>
      <c r="J94" s="349"/>
    </row>
    <row r="95" spans="1:19" x14ac:dyDescent="0.2">
      <c r="A95" s="350"/>
      <c r="B95" s="235" t="s">
        <v>665</v>
      </c>
      <c r="C95" s="235"/>
      <c r="D95" s="235"/>
      <c r="E95" s="235"/>
      <c r="F95" s="235"/>
      <c r="G95" s="235"/>
      <c r="H95" s="235"/>
      <c r="I95" s="235"/>
      <c r="J95" s="349"/>
      <c r="M95" s="310" t="s">
        <v>409</v>
      </c>
    </row>
    <row r="96" spans="1:19" x14ac:dyDescent="0.2">
      <c r="A96" s="350"/>
      <c r="B96" s="235"/>
      <c r="C96" s="235"/>
      <c r="D96" s="235"/>
      <c r="E96" s="235"/>
      <c r="F96" s="235"/>
      <c r="G96" s="235"/>
      <c r="H96" s="235"/>
      <c r="I96" s="235"/>
      <c r="J96" s="349"/>
    </row>
    <row r="97" spans="1:19" x14ac:dyDescent="0.2">
      <c r="A97" s="350"/>
      <c r="B97" s="351" t="s">
        <v>605</v>
      </c>
      <c r="C97" s="235"/>
      <c r="D97" s="235"/>
      <c r="E97" s="235"/>
      <c r="F97" s="235"/>
      <c r="G97" s="235"/>
      <c r="H97" s="235"/>
      <c r="I97" s="235"/>
      <c r="J97" s="349"/>
      <c r="M97" s="433" t="s">
        <v>664</v>
      </c>
      <c r="N97" s="433"/>
      <c r="O97" s="433"/>
      <c r="P97" s="433"/>
      <c r="Q97" s="433"/>
      <c r="R97" s="433"/>
      <c r="S97" s="433"/>
    </row>
    <row r="98" spans="1:19" x14ac:dyDescent="0.2">
      <c r="A98" s="350"/>
      <c r="B98" s="235"/>
      <c r="C98" s="235"/>
      <c r="D98" s="235"/>
      <c r="E98" s="235"/>
      <c r="F98" s="235"/>
      <c r="G98" s="235"/>
      <c r="H98" s="235"/>
      <c r="I98" s="235"/>
      <c r="J98" s="349"/>
      <c r="M98" s="433"/>
      <c r="N98" s="433"/>
      <c r="O98" s="433"/>
      <c r="P98" s="433"/>
      <c r="Q98" s="433"/>
      <c r="R98" s="433"/>
      <c r="S98" s="433"/>
    </row>
    <row r="99" spans="1:19" x14ac:dyDescent="0.2">
      <c r="A99" s="350"/>
      <c r="B99" s="235" t="s">
        <v>618</v>
      </c>
      <c r="C99" s="235"/>
      <c r="D99" s="235"/>
      <c r="E99" s="235"/>
      <c r="F99" s="235"/>
      <c r="G99" s="235"/>
      <c r="H99" s="235"/>
      <c r="I99" s="235"/>
      <c r="J99" s="349"/>
    </row>
    <row r="100" spans="1:19" x14ac:dyDescent="0.2">
      <c r="A100" s="350"/>
      <c r="B100" s="235" t="s">
        <v>662</v>
      </c>
      <c r="C100" s="235"/>
      <c r="D100" s="235"/>
      <c r="E100" s="235"/>
      <c r="F100" s="235"/>
      <c r="G100" s="235"/>
      <c r="H100" s="235"/>
      <c r="I100" s="235"/>
      <c r="J100" s="349"/>
      <c r="M100" s="433" t="s">
        <v>663</v>
      </c>
      <c r="N100" s="433"/>
      <c r="O100" s="433"/>
      <c r="P100" s="433"/>
      <c r="Q100" s="433"/>
      <c r="R100" s="433"/>
      <c r="S100" s="433"/>
    </row>
    <row r="101" spans="1:19" x14ac:dyDescent="0.2">
      <c r="A101" s="350"/>
      <c r="B101" s="264"/>
      <c r="C101" s="235"/>
      <c r="D101" s="235"/>
      <c r="E101" s="235"/>
      <c r="F101" s="235"/>
      <c r="G101" s="235"/>
      <c r="H101" s="235"/>
      <c r="I101" s="235"/>
      <c r="J101" s="349"/>
      <c r="M101" s="433"/>
      <c r="N101" s="433"/>
      <c r="O101" s="433"/>
      <c r="P101" s="433"/>
      <c r="Q101" s="433"/>
      <c r="R101" s="433"/>
      <c r="S101" s="433"/>
    </row>
    <row r="102" spans="1:19" x14ac:dyDescent="0.2">
      <c r="A102" s="350"/>
      <c r="B102" s="235" t="s">
        <v>614</v>
      </c>
      <c r="C102" s="235"/>
      <c r="D102" s="235"/>
      <c r="E102" s="235"/>
      <c r="F102" s="235"/>
      <c r="G102" s="235"/>
      <c r="H102" s="235"/>
      <c r="I102" s="235"/>
      <c r="J102" s="349"/>
      <c r="M102" s="433"/>
      <c r="N102" s="433"/>
      <c r="O102" s="433"/>
      <c r="P102" s="433"/>
      <c r="Q102" s="433"/>
      <c r="R102" s="433"/>
      <c r="S102" s="433"/>
    </row>
    <row r="103" spans="1:19" x14ac:dyDescent="0.2">
      <c r="A103" s="350"/>
      <c r="B103" s="235" t="s">
        <v>661</v>
      </c>
      <c r="C103" s="235"/>
      <c r="D103" s="235"/>
      <c r="E103" s="235"/>
      <c r="F103" s="235"/>
      <c r="G103" s="235"/>
      <c r="H103" s="235"/>
      <c r="I103" s="235"/>
      <c r="J103" s="349"/>
    </row>
    <row r="104" spans="1:19" x14ac:dyDescent="0.2">
      <c r="A104" s="350"/>
      <c r="B104" s="264"/>
      <c r="C104" s="235"/>
      <c r="D104" s="235"/>
      <c r="E104" s="235"/>
      <c r="F104" s="235"/>
      <c r="G104" s="235"/>
      <c r="H104" s="235"/>
      <c r="I104" s="235"/>
      <c r="J104" s="349"/>
      <c r="M104" s="433" t="s">
        <v>660</v>
      </c>
      <c r="N104" s="433"/>
      <c r="O104" s="433"/>
      <c r="P104" s="433"/>
      <c r="Q104" s="433"/>
      <c r="R104" s="433"/>
      <c r="S104" s="433"/>
    </row>
    <row r="105" spans="1:19" x14ac:dyDescent="0.2">
      <c r="A105" s="350"/>
      <c r="B105" s="235" t="s">
        <v>611</v>
      </c>
      <c r="C105" s="235"/>
      <c r="D105" s="235"/>
      <c r="E105" s="235"/>
      <c r="F105" s="235"/>
      <c r="G105" s="235"/>
      <c r="H105" s="235"/>
      <c r="I105" s="235"/>
      <c r="J105" s="349"/>
      <c r="M105" s="433"/>
      <c r="N105" s="433"/>
      <c r="O105" s="433"/>
      <c r="P105" s="433"/>
      <c r="Q105" s="433"/>
      <c r="R105" s="433"/>
      <c r="S105" s="433"/>
    </row>
    <row r="106" spans="1:19" x14ac:dyDescent="0.2">
      <c r="A106" s="350"/>
      <c r="B106" s="235" t="s">
        <v>659</v>
      </c>
      <c r="C106" s="235"/>
      <c r="D106" s="235"/>
      <c r="E106" s="235"/>
      <c r="F106" s="235"/>
      <c r="G106" s="235"/>
      <c r="H106" s="235"/>
      <c r="I106" s="235"/>
      <c r="J106" s="349"/>
      <c r="M106" s="433"/>
      <c r="N106" s="433"/>
      <c r="O106" s="433"/>
      <c r="P106" s="433"/>
      <c r="Q106" s="433"/>
      <c r="R106" s="433"/>
      <c r="S106" s="433"/>
    </row>
    <row r="107" spans="1:19" x14ac:dyDescent="0.2">
      <c r="A107" s="350"/>
      <c r="B107" s="235"/>
      <c r="C107" s="235"/>
      <c r="D107" s="235"/>
      <c r="E107" s="235"/>
      <c r="F107" s="235"/>
      <c r="G107" s="235"/>
      <c r="H107" s="235"/>
      <c r="I107" s="235"/>
      <c r="J107" s="349"/>
    </row>
    <row r="108" spans="1:19" x14ac:dyDescent="0.2">
      <c r="A108" s="350"/>
      <c r="B108" s="351" t="s">
        <v>593</v>
      </c>
      <c r="C108" s="235"/>
      <c r="D108" s="235"/>
      <c r="E108" s="235"/>
      <c r="F108" s="235"/>
      <c r="G108" s="235"/>
      <c r="H108" s="235"/>
      <c r="I108" s="235"/>
      <c r="J108" s="349"/>
      <c r="M108" s="433" t="s">
        <v>658</v>
      </c>
      <c r="N108" s="433"/>
      <c r="O108" s="433"/>
      <c r="P108" s="433"/>
      <c r="Q108" s="433"/>
      <c r="R108" s="433"/>
      <c r="S108" s="433"/>
    </row>
    <row r="109" spans="1:19" x14ac:dyDescent="0.2">
      <c r="A109" s="350"/>
      <c r="B109" s="235"/>
      <c r="C109" s="235"/>
      <c r="D109" s="235"/>
      <c r="E109" s="235"/>
      <c r="F109" s="235"/>
      <c r="G109" s="235"/>
      <c r="H109" s="235"/>
      <c r="I109" s="235"/>
      <c r="J109" s="349"/>
      <c r="M109" s="433"/>
      <c r="N109" s="433"/>
      <c r="O109" s="433"/>
      <c r="P109" s="433"/>
      <c r="Q109" s="433"/>
      <c r="R109" s="433"/>
      <c r="S109" s="433"/>
    </row>
    <row r="110" spans="1:19" x14ac:dyDescent="0.2">
      <c r="A110" s="350"/>
      <c r="B110" s="235" t="s">
        <v>618</v>
      </c>
      <c r="C110" s="235"/>
      <c r="D110" s="235"/>
      <c r="E110" s="235"/>
      <c r="F110" s="235"/>
      <c r="G110" s="235"/>
      <c r="H110" s="235"/>
      <c r="I110" s="235"/>
      <c r="J110" s="349"/>
      <c r="M110" s="433"/>
      <c r="N110" s="433"/>
      <c r="O110" s="433"/>
      <c r="P110" s="433"/>
      <c r="Q110" s="433"/>
      <c r="R110" s="433"/>
      <c r="S110" s="433"/>
    </row>
    <row r="111" spans="1:19" x14ac:dyDescent="0.2">
      <c r="A111" s="350"/>
      <c r="B111" s="235" t="s">
        <v>657</v>
      </c>
      <c r="C111" s="235"/>
      <c r="D111" s="235"/>
      <c r="E111" s="235"/>
      <c r="F111" s="235"/>
      <c r="G111" s="235"/>
      <c r="H111" s="235"/>
      <c r="I111" s="235"/>
      <c r="J111" s="349"/>
    </row>
    <row r="112" spans="1:19" x14ac:dyDescent="0.2">
      <c r="A112" s="350"/>
      <c r="B112" s="264"/>
      <c r="C112" s="235"/>
      <c r="D112" s="235"/>
      <c r="E112" s="235"/>
      <c r="F112" s="235"/>
      <c r="G112" s="235"/>
      <c r="H112" s="235"/>
      <c r="I112" s="235"/>
      <c r="J112" s="349"/>
      <c r="M112" s="433" t="s">
        <v>656</v>
      </c>
      <c r="N112" s="433"/>
      <c r="O112" s="433"/>
      <c r="P112" s="433"/>
      <c r="Q112" s="433"/>
      <c r="R112" s="433"/>
      <c r="S112" s="433"/>
    </row>
    <row r="113" spans="1:19" x14ac:dyDescent="0.2">
      <c r="A113" s="350"/>
      <c r="B113" s="235" t="s">
        <v>614</v>
      </c>
      <c r="C113" s="235"/>
      <c r="D113" s="235"/>
      <c r="E113" s="235"/>
      <c r="F113" s="235"/>
      <c r="G113" s="235"/>
      <c r="H113" s="235"/>
      <c r="I113" s="235"/>
      <c r="J113" s="349"/>
      <c r="M113" s="433"/>
      <c r="N113" s="433"/>
      <c r="O113" s="433"/>
      <c r="P113" s="433"/>
      <c r="Q113" s="433"/>
      <c r="R113" s="433"/>
      <c r="S113" s="433"/>
    </row>
    <row r="114" spans="1:19" x14ac:dyDescent="0.2">
      <c r="A114" s="350"/>
      <c r="B114" s="235" t="s">
        <v>655</v>
      </c>
      <c r="C114" s="235"/>
      <c r="D114" s="235"/>
      <c r="E114" s="235"/>
      <c r="F114" s="235"/>
      <c r="G114" s="235"/>
      <c r="H114" s="235"/>
      <c r="I114" s="235"/>
      <c r="J114" s="349"/>
      <c r="M114" s="433"/>
      <c r="N114" s="433"/>
      <c r="O114" s="433"/>
      <c r="P114" s="433"/>
      <c r="Q114" s="433"/>
      <c r="R114" s="433"/>
      <c r="S114" s="433"/>
    </row>
    <row r="115" spans="1:19" x14ac:dyDescent="0.2">
      <c r="A115" s="350"/>
      <c r="B115" s="264"/>
      <c r="C115" s="235"/>
      <c r="D115" s="235"/>
      <c r="E115" s="235"/>
      <c r="F115" s="235"/>
      <c r="G115" s="235"/>
      <c r="H115" s="235"/>
      <c r="I115" s="235"/>
      <c r="J115" s="349"/>
    </row>
    <row r="116" spans="1:19" x14ac:dyDescent="0.2">
      <c r="A116" s="350"/>
      <c r="B116" s="235" t="s">
        <v>611</v>
      </c>
      <c r="C116" s="235"/>
      <c r="D116" s="235"/>
      <c r="E116" s="235"/>
      <c r="F116" s="235"/>
      <c r="G116" s="235"/>
      <c r="H116" s="235"/>
      <c r="I116" s="235"/>
      <c r="J116" s="349"/>
      <c r="M116" s="344" t="s">
        <v>654</v>
      </c>
    </row>
    <row r="117" spans="1:19" x14ac:dyDescent="0.2">
      <c r="A117" s="350"/>
      <c r="B117" s="235" t="s">
        <v>653</v>
      </c>
      <c r="C117" s="235"/>
      <c r="D117" s="235"/>
      <c r="E117" s="235"/>
      <c r="F117" s="235"/>
      <c r="G117" s="235"/>
      <c r="H117" s="235"/>
      <c r="I117" s="235"/>
      <c r="J117" s="349"/>
    </row>
    <row r="118" spans="1:19" x14ac:dyDescent="0.2">
      <c r="A118" s="350"/>
      <c r="B118" s="235"/>
      <c r="C118" s="235"/>
      <c r="D118" s="235"/>
      <c r="E118" s="235"/>
      <c r="F118" s="235"/>
      <c r="G118" s="235"/>
      <c r="H118" s="235"/>
      <c r="I118" s="235"/>
      <c r="J118" s="349"/>
      <c r="M118" s="238" t="s">
        <v>652</v>
      </c>
    </row>
    <row r="119" spans="1:19" x14ac:dyDescent="0.2">
      <c r="A119" s="350"/>
      <c r="B119" s="351" t="s">
        <v>573</v>
      </c>
      <c r="C119" s="235"/>
      <c r="D119" s="235"/>
      <c r="E119" s="235"/>
      <c r="F119" s="235"/>
      <c r="G119" s="235"/>
      <c r="H119" s="235"/>
      <c r="I119" s="235"/>
      <c r="J119" s="349"/>
      <c r="M119" s="238" t="s">
        <v>651</v>
      </c>
    </row>
    <row r="120" spans="1:19" x14ac:dyDescent="0.2">
      <c r="A120" s="350"/>
      <c r="B120" s="235"/>
      <c r="C120" s="235"/>
      <c r="D120" s="235"/>
      <c r="E120" s="235"/>
      <c r="F120" s="235"/>
      <c r="G120" s="235"/>
      <c r="H120" s="235"/>
      <c r="I120" s="235"/>
      <c r="J120" s="349"/>
      <c r="M120" s="238" t="s">
        <v>650</v>
      </c>
    </row>
    <row r="121" spans="1:19" x14ac:dyDescent="0.2">
      <c r="A121" s="350"/>
      <c r="B121" s="235" t="s">
        <v>618</v>
      </c>
      <c r="C121" s="235"/>
      <c r="D121" s="235"/>
      <c r="E121" s="235"/>
      <c r="F121" s="235"/>
      <c r="G121" s="235"/>
      <c r="H121" s="235"/>
      <c r="I121" s="235"/>
      <c r="J121" s="349"/>
    </row>
    <row r="122" spans="1:19" x14ac:dyDescent="0.2">
      <c r="A122" s="350"/>
      <c r="B122" s="235" t="s">
        <v>648</v>
      </c>
      <c r="C122" s="235"/>
      <c r="D122" s="235"/>
      <c r="E122" s="235"/>
      <c r="F122" s="235"/>
      <c r="G122" s="235"/>
      <c r="H122" s="235"/>
      <c r="I122" s="235"/>
      <c r="J122" s="349"/>
      <c r="M122" s="344" t="s">
        <v>649</v>
      </c>
    </row>
    <row r="123" spans="1:19" x14ac:dyDescent="0.2">
      <c r="A123" s="350"/>
      <c r="B123" s="264"/>
      <c r="C123" s="235"/>
      <c r="D123" s="235"/>
      <c r="E123" s="235"/>
      <c r="F123" s="235"/>
      <c r="G123" s="235"/>
      <c r="H123" s="235"/>
      <c r="I123" s="235"/>
      <c r="J123" s="349"/>
    </row>
    <row r="124" spans="1:19" x14ac:dyDescent="0.2">
      <c r="A124" s="350"/>
      <c r="B124" s="235" t="s">
        <v>614</v>
      </c>
      <c r="C124" s="235"/>
      <c r="D124" s="235"/>
      <c r="E124" s="235"/>
      <c r="F124" s="235"/>
      <c r="G124" s="235"/>
      <c r="H124" s="235"/>
      <c r="I124" s="235"/>
      <c r="J124" s="349"/>
      <c r="M124" s="433" t="s">
        <v>647</v>
      </c>
      <c r="N124" s="433"/>
      <c r="O124" s="433"/>
      <c r="P124" s="433"/>
      <c r="Q124" s="433"/>
      <c r="R124" s="433"/>
      <c r="S124" s="433"/>
    </row>
    <row r="125" spans="1:19" x14ac:dyDescent="0.2">
      <c r="A125" s="350"/>
      <c r="B125" s="427" t="s">
        <v>646</v>
      </c>
      <c r="C125" s="427"/>
      <c r="D125" s="427"/>
      <c r="E125" s="427"/>
      <c r="F125" s="427"/>
      <c r="G125" s="427"/>
      <c r="H125" s="427"/>
      <c r="I125" s="427"/>
      <c r="J125" s="349"/>
      <c r="M125" s="433"/>
      <c r="N125" s="433"/>
      <c r="O125" s="433"/>
      <c r="P125" s="433"/>
      <c r="Q125" s="433"/>
      <c r="R125" s="433"/>
      <c r="S125" s="433"/>
    </row>
    <row r="126" spans="1:19" x14ac:dyDescent="0.2">
      <c r="A126" s="350"/>
      <c r="B126" s="427"/>
      <c r="C126" s="427"/>
      <c r="D126" s="427"/>
      <c r="E126" s="427"/>
      <c r="F126" s="427"/>
      <c r="G126" s="427"/>
      <c r="H126" s="427"/>
      <c r="I126" s="427"/>
      <c r="J126" s="349"/>
    </row>
    <row r="127" spans="1:19" x14ac:dyDescent="0.2">
      <c r="A127" s="350"/>
      <c r="B127" s="235"/>
      <c r="C127" s="235"/>
      <c r="D127" s="235"/>
      <c r="E127" s="235"/>
      <c r="F127" s="235"/>
      <c r="G127" s="235"/>
      <c r="H127" s="235"/>
      <c r="I127" s="235"/>
      <c r="J127" s="349"/>
      <c r="M127" s="344" t="s">
        <v>645</v>
      </c>
    </row>
    <row r="128" spans="1:19" x14ac:dyDescent="0.2">
      <c r="A128" s="350"/>
      <c r="B128" s="351" t="s">
        <v>559</v>
      </c>
      <c r="C128" s="235"/>
      <c r="D128" s="235"/>
      <c r="E128" s="235"/>
      <c r="F128" s="235"/>
      <c r="G128" s="235"/>
      <c r="H128" s="235"/>
      <c r="I128" s="235"/>
      <c r="J128" s="349"/>
      <c r="M128" s="345"/>
    </row>
    <row r="129" spans="1:19" x14ac:dyDescent="0.2">
      <c r="A129" s="350"/>
      <c r="B129" s="235"/>
      <c r="C129" s="235"/>
      <c r="D129" s="235"/>
      <c r="E129" s="235"/>
      <c r="F129" s="235"/>
      <c r="G129" s="235"/>
      <c r="H129" s="235"/>
      <c r="I129" s="235"/>
      <c r="J129" s="349"/>
      <c r="M129" s="443" t="s">
        <v>731</v>
      </c>
      <c r="N129" s="443"/>
      <c r="O129" s="443"/>
      <c r="P129" s="443"/>
      <c r="Q129" s="443"/>
      <c r="R129" s="443"/>
      <c r="S129" s="443"/>
    </row>
    <row r="130" spans="1:19" x14ac:dyDescent="0.2">
      <c r="A130" s="350"/>
      <c r="B130" s="235" t="s">
        <v>618</v>
      </c>
      <c r="C130" s="235"/>
      <c r="D130" s="235"/>
      <c r="E130" s="235"/>
      <c r="F130" s="235"/>
      <c r="G130" s="235"/>
      <c r="H130" s="235"/>
      <c r="I130" s="235"/>
      <c r="J130" s="349"/>
      <c r="M130" s="443"/>
      <c r="N130" s="443"/>
      <c r="O130" s="443"/>
      <c r="P130" s="443"/>
      <c r="Q130" s="443"/>
      <c r="R130" s="443"/>
      <c r="S130" s="443"/>
    </row>
    <row r="131" spans="1:19" x14ac:dyDescent="0.2">
      <c r="A131" s="350"/>
      <c r="B131" s="235" t="s">
        <v>644</v>
      </c>
      <c r="C131" s="235"/>
      <c r="D131" s="235"/>
      <c r="E131" s="235"/>
      <c r="F131" s="235"/>
      <c r="G131" s="235"/>
      <c r="H131" s="235"/>
      <c r="I131" s="235"/>
      <c r="J131" s="349"/>
      <c r="M131" s="345"/>
    </row>
    <row r="132" spans="1:19" x14ac:dyDescent="0.2">
      <c r="A132" s="350"/>
      <c r="B132" s="264"/>
      <c r="C132" s="235"/>
      <c r="D132" s="235"/>
      <c r="E132" s="235"/>
      <c r="F132" s="235"/>
      <c r="G132" s="235"/>
      <c r="H132" s="235"/>
      <c r="I132" s="235"/>
      <c r="J132" s="349"/>
      <c r="M132" s="443" t="s">
        <v>643</v>
      </c>
      <c r="N132" s="443"/>
      <c r="O132" s="443"/>
      <c r="P132" s="443"/>
      <c r="Q132" s="443"/>
      <c r="R132" s="443"/>
      <c r="S132" s="443"/>
    </row>
    <row r="133" spans="1:19" x14ac:dyDescent="0.2">
      <c r="A133" s="350"/>
      <c r="B133" s="235" t="s">
        <v>614</v>
      </c>
      <c r="C133" s="235"/>
      <c r="D133" s="235"/>
      <c r="E133" s="235"/>
      <c r="F133" s="235"/>
      <c r="G133" s="235"/>
      <c r="H133" s="235"/>
      <c r="I133" s="235"/>
      <c r="J133" s="349"/>
      <c r="M133" s="443"/>
      <c r="N133" s="443"/>
      <c r="O133" s="443"/>
      <c r="P133" s="443"/>
      <c r="Q133" s="443"/>
      <c r="R133" s="443"/>
      <c r="S133" s="443"/>
    </row>
    <row r="134" spans="1:19" x14ac:dyDescent="0.2">
      <c r="A134" s="350"/>
      <c r="B134" s="235" t="s">
        <v>642</v>
      </c>
      <c r="C134" s="235"/>
      <c r="D134" s="235"/>
      <c r="E134" s="235"/>
      <c r="F134" s="235"/>
      <c r="G134" s="235"/>
      <c r="H134" s="235"/>
      <c r="I134" s="235"/>
      <c r="J134" s="349"/>
      <c r="M134" s="345"/>
    </row>
    <row r="135" spans="1:19" x14ac:dyDescent="0.2">
      <c r="A135" s="350"/>
      <c r="B135" s="264"/>
      <c r="C135" s="235"/>
      <c r="D135" s="235"/>
      <c r="E135" s="235"/>
      <c r="F135" s="235"/>
      <c r="G135" s="235"/>
      <c r="H135" s="235"/>
      <c r="I135" s="235"/>
      <c r="J135" s="349"/>
      <c r="M135" s="344" t="s">
        <v>641</v>
      </c>
    </row>
    <row r="136" spans="1:19" x14ac:dyDescent="0.2">
      <c r="A136" s="350"/>
      <c r="B136" s="235" t="s">
        <v>611</v>
      </c>
      <c r="C136" s="235"/>
      <c r="D136" s="235"/>
      <c r="E136" s="235"/>
      <c r="F136" s="235"/>
      <c r="G136" s="235"/>
      <c r="H136" s="235"/>
      <c r="I136" s="235"/>
      <c r="J136" s="349"/>
      <c r="M136" s="345"/>
    </row>
    <row r="137" spans="1:19" x14ac:dyDescent="0.2">
      <c r="A137" s="350"/>
      <c r="B137" s="427" t="s">
        <v>639</v>
      </c>
      <c r="C137" s="427"/>
      <c r="D137" s="427"/>
      <c r="E137" s="427"/>
      <c r="F137" s="427"/>
      <c r="G137" s="427"/>
      <c r="H137" s="427"/>
      <c r="I137" s="427"/>
      <c r="J137" s="349"/>
      <c r="M137" s="433" t="s">
        <v>640</v>
      </c>
      <c r="N137" s="433"/>
      <c r="O137" s="433"/>
      <c r="P137" s="433"/>
      <c r="Q137" s="433"/>
      <c r="R137" s="433"/>
      <c r="S137" s="433"/>
    </row>
    <row r="138" spans="1:19" x14ac:dyDescent="0.2">
      <c r="A138" s="350"/>
      <c r="B138" s="427"/>
      <c r="C138" s="427"/>
      <c r="D138" s="427"/>
      <c r="E138" s="427"/>
      <c r="F138" s="427"/>
      <c r="G138" s="427"/>
      <c r="H138" s="427"/>
      <c r="I138" s="427"/>
      <c r="J138" s="349"/>
      <c r="M138" s="433"/>
      <c r="N138" s="433"/>
      <c r="O138" s="433"/>
      <c r="P138" s="433"/>
      <c r="Q138" s="433"/>
      <c r="R138" s="433"/>
      <c r="S138" s="433"/>
    </row>
    <row r="139" spans="1:19" x14ac:dyDescent="0.2">
      <c r="A139" s="350"/>
      <c r="B139" s="235"/>
      <c r="C139" s="235"/>
      <c r="D139" s="235"/>
      <c r="E139" s="235"/>
      <c r="F139" s="235"/>
      <c r="G139" s="235"/>
      <c r="H139" s="235"/>
      <c r="I139" s="235"/>
      <c r="J139" s="349"/>
    </row>
    <row r="140" spans="1:19" x14ac:dyDescent="0.2">
      <c r="A140" s="350"/>
      <c r="B140" s="235" t="s">
        <v>609</v>
      </c>
      <c r="C140" s="235"/>
      <c r="D140" s="235"/>
      <c r="E140" s="235"/>
      <c r="F140" s="235"/>
      <c r="G140" s="235"/>
      <c r="H140" s="235"/>
      <c r="I140" s="235"/>
      <c r="J140" s="349"/>
      <c r="M140" s="344" t="s">
        <v>638</v>
      </c>
    </row>
    <row r="141" spans="1:19" x14ac:dyDescent="0.2">
      <c r="A141" s="350"/>
      <c r="B141" s="235" t="s">
        <v>637</v>
      </c>
      <c r="C141" s="235"/>
      <c r="D141" s="235"/>
      <c r="E141" s="235"/>
      <c r="F141" s="235"/>
      <c r="G141" s="235"/>
      <c r="H141" s="235"/>
      <c r="I141" s="235"/>
      <c r="J141" s="349"/>
    </row>
    <row r="142" spans="1:19" x14ac:dyDescent="0.2">
      <c r="A142" s="350"/>
      <c r="B142" s="235"/>
      <c r="C142" s="235"/>
      <c r="D142" s="235"/>
      <c r="E142" s="235"/>
      <c r="F142" s="235"/>
      <c r="G142" s="235"/>
      <c r="H142" s="235"/>
      <c r="I142" s="235"/>
      <c r="J142" s="349"/>
      <c r="M142" s="310" t="s">
        <v>318</v>
      </c>
    </row>
    <row r="143" spans="1:19" x14ac:dyDescent="0.2">
      <c r="A143" s="350"/>
      <c r="B143" s="351" t="s">
        <v>535</v>
      </c>
      <c r="C143" s="235"/>
      <c r="D143" s="235"/>
      <c r="E143" s="235"/>
      <c r="F143" s="235"/>
      <c r="G143" s="235"/>
      <c r="H143" s="235"/>
      <c r="I143" s="235"/>
      <c r="J143" s="349"/>
    </row>
    <row r="144" spans="1:19" x14ac:dyDescent="0.2">
      <c r="A144" s="350"/>
      <c r="B144" s="235"/>
      <c r="C144" s="235"/>
      <c r="D144" s="235"/>
      <c r="E144" s="235"/>
      <c r="F144" s="235"/>
      <c r="G144" s="235"/>
      <c r="H144" s="235"/>
      <c r="I144" s="235"/>
      <c r="J144" s="349"/>
      <c r="M144" s="238" t="s">
        <v>636</v>
      </c>
    </row>
    <row r="145" spans="1:19" x14ac:dyDescent="0.2">
      <c r="A145" s="350"/>
      <c r="B145" s="235" t="s">
        <v>618</v>
      </c>
      <c r="C145" s="235"/>
      <c r="D145" s="235"/>
      <c r="E145" s="235"/>
      <c r="F145" s="235"/>
      <c r="G145" s="235"/>
      <c r="H145" s="235"/>
      <c r="I145" s="235"/>
      <c r="J145" s="349"/>
    </row>
    <row r="146" spans="1:19" x14ac:dyDescent="0.2">
      <c r="A146" s="350"/>
      <c r="B146" s="235" t="s">
        <v>635</v>
      </c>
      <c r="C146" s="235"/>
      <c r="D146" s="235"/>
      <c r="E146" s="235"/>
      <c r="F146" s="235"/>
      <c r="G146" s="235"/>
      <c r="H146" s="235"/>
      <c r="I146" s="235"/>
      <c r="J146" s="349"/>
      <c r="M146" s="310" t="s">
        <v>308</v>
      </c>
    </row>
    <row r="147" spans="1:19" x14ac:dyDescent="0.2">
      <c r="A147" s="350"/>
      <c r="B147" s="264"/>
      <c r="C147" s="235"/>
      <c r="D147" s="235"/>
      <c r="E147" s="235"/>
      <c r="F147" s="235"/>
      <c r="G147" s="235"/>
      <c r="H147" s="235"/>
      <c r="I147" s="235"/>
      <c r="J147" s="349"/>
    </row>
    <row r="148" spans="1:19" x14ac:dyDescent="0.2">
      <c r="A148" s="350"/>
      <c r="B148" s="235" t="s">
        <v>614</v>
      </c>
      <c r="C148" s="235"/>
      <c r="D148" s="235"/>
      <c r="E148" s="235"/>
      <c r="F148" s="235"/>
      <c r="G148" s="235"/>
      <c r="H148" s="235"/>
      <c r="I148" s="235"/>
      <c r="J148" s="349"/>
      <c r="M148" s="238" t="s">
        <v>634</v>
      </c>
    </row>
    <row r="149" spans="1:19" x14ac:dyDescent="0.2">
      <c r="A149" s="350"/>
      <c r="B149" s="427" t="s">
        <v>633</v>
      </c>
      <c r="C149" s="427"/>
      <c r="D149" s="427"/>
      <c r="E149" s="427"/>
      <c r="F149" s="427"/>
      <c r="G149" s="427"/>
      <c r="H149" s="427"/>
      <c r="I149" s="427"/>
      <c r="J149" s="349"/>
    </row>
    <row r="150" spans="1:19" x14ac:dyDescent="0.2">
      <c r="A150" s="350"/>
      <c r="B150" s="427"/>
      <c r="C150" s="427"/>
      <c r="D150" s="427"/>
      <c r="E150" s="427"/>
      <c r="F150" s="427"/>
      <c r="G150" s="427"/>
      <c r="H150" s="427"/>
      <c r="I150" s="427"/>
      <c r="J150" s="349"/>
      <c r="M150" s="310" t="s">
        <v>409</v>
      </c>
    </row>
    <row r="151" spans="1:19" x14ac:dyDescent="0.2">
      <c r="A151" s="350"/>
      <c r="B151" s="235"/>
      <c r="C151" s="235"/>
      <c r="D151" s="235"/>
      <c r="E151" s="235"/>
      <c r="F151" s="235"/>
      <c r="G151" s="235"/>
      <c r="H151" s="235"/>
      <c r="I151" s="235"/>
      <c r="J151" s="349"/>
    </row>
    <row r="152" spans="1:19" x14ac:dyDescent="0.2">
      <c r="A152" s="350"/>
      <c r="B152" s="351" t="s">
        <v>525</v>
      </c>
      <c r="C152" s="235"/>
      <c r="D152" s="235"/>
      <c r="E152" s="235"/>
      <c r="F152" s="235"/>
      <c r="G152" s="235"/>
      <c r="H152" s="235"/>
      <c r="I152" s="235"/>
      <c r="J152" s="349"/>
      <c r="M152" s="238" t="s">
        <v>632</v>
      </c>
    </row>
    <row r="153" spans="1:19" x14ac:dyDescent="0.2">
      <c r="A153" s="350"/>
      <c r="B153" s="235"/>
      <c r="C153" s="235"/>
      <c r="D153" s="235"/>
      <c r="E153" s="235"/>
      <c r="F153" s="235"/>
      <c r="G153" s="235"/>
      <c r="H153" s="235"/>
      <c r="I153" s="235"/>
      <c r="J153" s="349"/>
    </row>
    <row r="154" spans="1:19" x14ac:dyDescent="0.2">
      <c r="A154" s="350"/>
      <c r="B154" s="235" t="s">
        <v>618</v>
      </c>
      <c r="C154" s="235"/>
      <c r="D154" s="235"/>
      <c r="E154" s="235"/>
      <c r="F154" s="235"/>
      <c r="G154" s="235"/>
      <c r="H154" s="235"/>
      <c r="I154" s="235"/>
      <c r="J154" s="349"/>
      <c r="M154" s="344" t="s">
        <v>631</v>
      </c>
    </row>
    <row r="155" spans="1:19" x14ac:dyDescent="0.2">
      <c r="A155" s="350"/>
      <c r="B155" s="235" t="s">
        <v>630</v>
      </c>
      <c r="C155" s="235"/>
      <c r="D155" s="235"/>
      <c r="E155" s="235"/>
      <c r="F155" s="235"/>
      <c r="G155" s="235"/>
      <c r="H155" s="235"/>
      <c r="I155" s="235"/>
      <c r="J155" s="349"/>
    </row>
    <row r="156" spans="1:19" x14ac:dyDescent="0.2">
      <c r="A156" s="350"/>
      <c r="B156" s="264"/>
      <c r="C156" s="235"/>
      <c r="D156" s="235"/>
      <c r="E156" s="235"/>
      <c r="F156" s="235"/>
      <c r="G156" s="235"/>
      <c r="H156" s="235"/>
      <c r="I156" s="235"/>
      <c r="J156" s="349"/>
      <c r="M156" s="433" t="s">
        <v>629</v>
      </c>
      <c r="N156" s="433"/>
      <c r="O156" s="433"/>
      <c r="P156" s="433"/>
      <c r="Q156" s="433"/>
      <c r="R156" s="433"/>
      <c r="S156" s="433"/>
    </row>
    <row r="157" spans="1:19" x14ac:dyDescent="0.2">
      <c r="A157" s="350"/>
      <c r="B157" s="235" t="s">
        <v>614</v>
      </c>
      <c r="C157" s="235"/>
      <c r="D157" s="235"/>
      <c r="E157" s="235"/>
      <c r="F157" s="235"/>
      <c r="G157" s="235"/>
      <c r="H157" s="235"/>
      <c r="I157" s="235"/>
      <c r="J157" s="349"/>
      <c r="M157" s="433"/>
      <c r="N157" s="433"/>
      <c r="O157" s="433"/>
      <c r="P157" s="433"/>
      <c r="Q157" s="433"/>
      <c r="R157" s="433"/>
      <c r="S157" s="433"/>
    </row>
    <row r="158" spans="1:19" x14ac:dyDescent="0.2">
      <c r="A158" s="350"/>
      <c r="B158" s="235" t="s">
        <v>628</v>
      </c>
      <c r="C158" s="235"/>
      <c r="D158" s="235"/>
      <c r="E158" s="235"/>
      <c r="F158" s="235"/>
      <c r="G158" s="235"/>
      <c r="H158" s="235"/>
      <c r="I158" s="235"/>
      <c r="J158" s="349"/>
    </row>
    <row r="159" spans="1:19" x14ac:dyDescent="0.2">
      <c r="A159" s="350"/>
      <c r="B159" s="235"/>
      <c r="C159" s="235"/>
      <c r="D159" s="235"/>
      <c r="E159" s="235"/>
      <c r="F159" s="235"/>
      <c r="G159" s="235"/>
      <c r="H159" s="235"/>
      <c r="I159" s="235"/>
      <c r="J159" s="349"/>
      <c r="M159" s="238" t="s">
        <v>627</v>
      </c>
    </row>
    <row r="160" spans="1:19" x14ac:dyDescent="0.2">
      <c r="A160" s="350"/>
      <c r="B160" s="351" t="s">
        <v>522</v>
      </c>
      <c r="C160" s="235"/>
      <c r="D160" s="235"/>
      <c r="E160" s="235"/>
      <c r="F160" s="235"/>
      <c r="G160" s="235"/>
      <c r="H160" s="235"/>
      <c r="I160" s="235"/>
      <c r="J160" s="349"/>
    </row>
    <row r="161" spans="1:19" x14ac:dyDescent="0.2">
      <c r="A161" s="350"/>
      <c r="B161" s="235"/>
      <c r="C161" s="235"/>
      <c r="D161" s="235"/>
      <c r="E161" s="235"/>
      <c r="F161" s="235"/>
      <c r="G161" s="235"/>
      <c r="H161" s="235"/>
      <c r="I161" s="235"/>
      <c r="J161" s="349"/>
      <c r="M161" s="238" t="s">
        <v>626</v>
      </c>
    </row>
    <row r="162" spans="1:19" x14ac:dyDescent="0.2">
      <c r="A162" s="350"/>
      <c r="B162" s="235" t="s">
        <v>618</v>
      </c>
      <c r="C162" s="235"/>
      <c r="D162" s="235"/>
      <c r="E162" s="235"/>
      <c r="F162" s="235"/>
      <c r="G162" s="235"/>
      <c r="H162" s="235"/>
      <c r="I162" s="235"/>
      <c r="J162" s="349"/>
    </row>
    <row r="163" spans="1:19" x14ac:dyDescent="0.2">
      <c r="A163" s="350"/>
      <c r="B163" s="235" t="s">
        <v>624</v>
      </c>
      <c r="C163" s="235"/>
      <c r="D163" s="235"/>
      <c r="E163" s="235"/>
      <c r="F163" s="235"/>
      <c r="G163" s="235"/>
      <c r="H163" s="235"/>
      <c r="I163" s="235"/>
      <c r="J163" s="349"/>
      <c r="M163" s="344" t="s">
        <v>625</v>
      </c>
    </row>
    <row r="164" spans="1:19" x14ac:dyDescent="0.2">
      <c r="A164" s="350"/>
      <c r="B164" s="264"/>
      <c r="C164" s="235"/>
      <c r="D164" s="235"/>
      <c r="E164" s="235"/>
      <c r="F164" s="235"/>
      <c r="G164" s="235"/>
      <c r="H164" s="235"/>
      <c r="I164" s="235"/>
      <c r="J164" s="349"/>
    </row>
    <row r="165" spans="1:19" x14ac:dyDescent="0.2">
      <c r="A165" s="350"/>
      <c r="B165" s="235" t="s">
        <v>614</v>
      </c>
      <c r="C165" s="235"/>
      <c r="D165" s="235"/>
      <c r="E165" s="235"/>
      <c r="F165" s="235"/>
      <c r="G165" s="235"/>
      <c r="H165" s="235"/>
      <c r="I165" s="235"/>
      <c r="J165" s="349"/>
      <c r="M165" s="310" t="s">
        <v>318</v>
      </c>
    </row>
    <row r="166" spans="1:19" x14ac:dyDescent="0.2">
      <c r="A166" s="350"/>
      <c r="B166" s="235" t="s">
        <v>623</v>
      </c>
      <c r="C166" s="235"/>
      <c r="D166" s="235"/>
      <c r="E166" s="235"/>
      <c r="F166" s="235"/>
      <c r="G166" s="235"/>
      <c r="H166" s="235"/>
      <c r="I166" s="235"/>
      <c r="J166" s="349"/>
    </row>
    <row r="167" spans="1:19" x14ac:dyDescent="0.2">
      <c r="A167" s="350"/>
      <c r="B167" s="264"/>
      <c r="C167" s="235"/>
      <c r="D167" s="235"/>
      <c r="E167" s="235"/>
      <c r="F167" s="235"/>
      <c r="G167" s="235"/>
      <c r="H167" s="235"/>
      <c r="I167" s="235"/>
      <c r="J167" s="349"/>
      <c r="M167" s="433" t="s">
        <v>622</v>
      </c>
      <c r="N167" s="433"/>
      <c r="O167" s="433"/>
      <c r="P167" s="433"/>
      <c r="Q167" s="433"/>
      <c r="R167" s="433"/>
      <c r="S167" s="433"/>
    </row>
    <row r="168" spans="1:19" x14ac:dyDescent="0.2">
      <c r="A168" s="350"/>
      <c r="B168" s="235" t="s">
        <v>611</v>
      </c>
      <c r="C168" s="235"/>
      <c r="D168" s="235"/>
      <c r="E168" s="235"/>
      <c r="F168" s="235"/>
      <c r="G168" s="235"/>
      <c r="H168" s="235"/>
      <c r="I168" s="235"/>
      <c r="J168" s="349"/>
      <c r="M168" s="433"/>
      <c r="N168" s="433"/>
      <c r="O168" s="433"/>
      <c r="P168" s="433"/>
      <c r="Q168" s="433"/>
      <c r="R168" s="433"/>
      <c r="S168" s="433"/>
    </row>
    <row r="169" spans="1:19" x14ac:dyDescent="0.2">
      <c r="A169" s="350"/>
      <c r="B169" s="235" t="s">
        <v>621</v>
      </c>
      <c r="C169" s="235"/>
      <c r="D169" s="235"/>
      <c r="E169" s="235"/>
      <c r="F169" s="235"/>
      <c r="G169" s="235"/>
      <c r="H169" s="235"/>
      <c r="I169" s="235"/>
      <c r="J169" s="349"/>
    </row>
    <row r="170" spans="1:19" x14ac:dyDescent="0.2">
      <c r="A170" s="350"/>
      <c r="B170" s="235"/>
      <c r="C170" s="235"/>
      <c r="D170" s="235"/>
      <c r="E170" s="235"/>
      <c r="F170" s="235"/>
      <c r="G170" s="235"/>
      <c r="H170" s="235"/>
      <c r="I170" s="235"/>
      <c r="J170" s="349"/>
      <c r="M170" s="310" t="s">
        <v>308</v>
      </c>
    </row>
    <row r="171" spans="1:19" x14ac:dyDescent="0.2">
      <c r="A171" s="350"/>
      <c r="B171" s="351" t="s">
        <v>515</v>
      </c>
      <c r="C171" s="235"/>
      <c r="D171" s="235"/>
      <c r="E171" s="235"/>
      <c r="F171" s="235"/>
      <c r="G171" s="235"/>
      <c r="H171" s="235"/>
      <c r="I171" s="235"/>
      <c r="J171" s="349"/>
    </row>
    <row r="172" spans="1:19" x14ac:dyDescent="0.2">
      <c r="A172" s="350"/>
      <c r="B172" s="235"/>
      <c r="C172" s="235"/>
      <c r="D172" s="235"/>
      <c r="E172" s="235"/>
      <c r="F172" s="235"/>
      <c r="G172" s="235"/>
      <c r="H172" s="235"/>
      <c r="I172" s="235"/>
      <c r="J172" s="349"/>
      <c r="M172" s="238" t="s">
        <v>620</v>
      </c>
    </row>
    <row r="173" spans="1:19" x14ac:dyDescent="0.2">
      <c r="A173" s="350"/>
      <c r="B173" s="235" t="s">
        <v>618</v>
      </c>
      <c r="C173" s="235"/>
      <c r="D173" s="235"/>
      <c r="E173" s="235"/>
      <c r="F173" s="235"/>
      <c r="G173" s="235"/>
      <c r="H173" s="235"/>
      <c r="I173" s="235"/>
      <c r="J173" s="349"/>
      <c r="M173" s="433" t="s">
        <v>619</v>
      </c>
      <c r="N173" s="433"/>
      <c r="O173" s="433"/>
      <c r="P173" s="433"/>
      <c r="Q173" s="433"/>
      <c r="R173" s="433"/>
      <c r="S173" s="433"/>
    </row>
    <row r="174" spans="1:19" x14ac:dyDescent="0.2">
      <c r="A174" s="350"/>
      <c r="B174" s="235" t="s">
        <v>617</v>
      </c>
      <c r="C174" s="235"/>
      <c r="D174" s="235"/>
      <c r="E174" s="235"/>
      <c r="F174" s="235"/>
      <c r="G174" s="235"/>
      <c r="H174" s="235"/>
      <c r="I174" s="235"/>
      <c r="J174" s="349"/>
      <c r="M174" s="433"/>
      <c r="N174" s="433"/>
      <c r="O174" s="433"/>
      <c r="P174" s="433"/>
      <c r="Q174" s="433"/>
      <c r="R174" s="433"/>
      <c r="S174" s="433"/>
    </row>
    <row r="175" spans="1:19" x14ac:dyDescent="0.2">
      <c r="A175" s="350"/>
      <c r="B175" s="264"/>
      <c r="C175" s="235"/>
      <c r="D175" s="235"/>
      <c r="E175" s="235"/>
      <c r="F175" s="235"/>
      <c r="G175" s="235"/>
      <c r="H175" s="235"/>
      <c r="I175" s="235"/>
      <c r="J175" s="349"/>
      <c r="M175" s="238" t="s">
        <v>616</v>
      </c>
    </row>
    <row r="176" spans="1:19" x14ac:dyDescent="0.2">
      <c r="A176" s="350"/>
      <c r="B176" s="235" t="s">
        <v>614</v>
      </c>
      <c r="C176" s="235"/>
      <c r="D176" s="235"/>
      <c r="E176" s="235"/>
      <c r="F176" s="235"/>
      <c r="G176" s="235"/>
      <c r="H176" s="235"/>
      <c r="I176" s="235"/>
      <c r="J176" s="349"/>
      <c r="M176" s="238" t="s">
        <v>615</v>
      </c>
    </row>
    <row r="177" spans="1:19" x14ac:dyDescent="0.2">
      <c r="A177" s="350"/>
      <c r="B177" s="427" t="s">
        <v>613</v>
      </c>
      <c r="C177" s="427"/>
      <c r="D177" s="427"/>
      <c r="E177" s="427"/>
      <c r="F177" s="427"/>
      <c r="G177" s="427"/>
      <c r="H177" s="427"/>
      <c r="I177" s="427"/>
      <c r="J177" s="349"/>
    </row>
    <row r="178" spans="1:19" x14ac:dyDescent="0.2">
      <c r="A178" s="350"/>
      <c r="B178" s="427"/>
      <c r="C178" s="427"/>
      <c r="D178" s="427"/>
      <c r="E178" s="427"/>
      <c r="F178" s="427"/>
      <c r="G178" s="427"/>
      <c r="H178" s="427"/>
      <c r="I178" s="427"/>
      <c r="J178" s="349"/>
      <c r="M178" s="310" t="s">
        <v>409</v>
      </c>
    </row>
    <row r="179" spans="1:19" x14ac:dyDescent="0.2">
      <c r="A179" s="350"/>
      <c r="B179" s="264"/>
      <c r="C179" s="235"/>
      <c r="D179" s="235"/>
      <c r="E179" s="235"/>
      <c r="F179" s="235"/>
      <c r="G179" s="235"/>
      <c r="H179" s="235"/>
      <c r="I179" s="235"/>
      <c r="J179" s="349"/>
    </row>
    <row r="180" spans="1:19" x14ac:dyDescent="0.2">
      <c r="A180" s="350"/>
      <c r="B180" s="235" t="s">
        <v>611</v>
      </c>
      <c r="C180" s="235"/>
      <c r="D180" s="235"/>
      <c r="E180" s="235"/>
      <c r="F180" s="235"/>
      <c r="G180" s="235"/>
      <c r="H180" s="235"/>
      <c r="I180" s="235"/>
      <c r="J180" s="349"/>
      <c r="M180" s="433" t="s">
        <v>612</v>
      </c>
      <c r="N180" s="433"/>
      <c r="O180" s="433"/>
      <c r="P180" s="433"/>
      <c r="Q180" s="433"/>
      <c r="R180" s="433"/>
      <c r="S180" s="433"/>
    </row>
    <row r="181" spans="1:19" x14ac:dyDescent="0.2">
      <c r="A181" s="350"/>
      <c r="B181" s="235" t="s">
        <v>610</v>
      </c>
      <c r="C181" s="235"/>
      <c r="D181" s="235"/>
      <c r="E181" s="235"/>
      <c r="F181" s="235"/>
      <c r="G181" s="235"/>
      <c r="H181" s="235"/>
      <c r="I181" s="235"/>
      <c r="J181" s="349"/>
      <c r="M181" s="433"/>
      <c r="N181" s="433"/>
      <c r="O181" s="433"/>
      <c r="P181" s="433"/>
      <c r="Q181" s="433"/>
      <c r="R181" s="433"/>
      <c r="S181" s="433"/>
    </row>
    <row r="182" spans="1:19" x14ac:dyDescent="0.2">
      <c r="A182" s="350"/>
      <c r="B182" s="264"/>
      <c r="C182" s="235"/>
      <c r="D182" s="235"/>
      <c r="E182" s="235"/>
      <c r="F182" s="235"/>
      <c r="G182" s="235"/>
      <c r="H182" s="235"/>
      <c r="I182" s="235"/>
      <c r="J182" s="349"/>
      <c r="M182" s="433"/>
      <c r="N182" s="433"/>
      <c r="O182" s="433"/>
      <c r="P182" s="433"/>
      <c r="Q182" s="433"/>
      <c r="R182" s="433"/>
      <c r="S182" s="433"/>
    </row>
    <row r="183" spans="1:19" x14ac:dyDescent="0.2">
      <c r="A183" s="350"/>
      <c r="B183" s="235" t="s">
        <v>609</v>
      </c>
      <c r="C183" s="235"/>
      <c r="D183" s="235"/>
      <c r="E183" s="235"/>
      <c r="F183" s="235"/>
      <c r="G183" s="235"/>
      <c r="H183" s="235"/>
      <c r="I183" s="235"/>
      <c r="J183" s="349"/>
      <c r="M183" s="433"/>
      <c r="N183" s="433"/>
      <c r="O183" s="433"/>
      <c r="P183" s="433"/>
      <c r="Q183" s="433"/>
      <c r="R183" s="433"/>
      <c r="S183" s="433"/>
    </row>
    <row r="184" spans="1:19" x14ac:dyDescent="0.2">
      <c r="A184" s="350"/>
      <c r="B184" s="235" t="s">
        <v>608</v>
      </c>
      <c r="C184" s="235"/>
      <c r="D184" s="235"/>
      <c r="E184" s="235"/>
      <c r="F184" s="235"/>
      <c r="G184" s="235"/>
      <c r="H184" s="235"/>
      <c r="I184" s="235"/>
      <c r="J184" s="349"/>
    </row>
    <row r="185" spans="1:19" x14ac:dyDescent="0.2">
      <c r="A185" s="350"/>
      <c r="B185" s="235"/>
      <c r="C185" s="235"/>
      <c r="D185" s="235"/>
      <c r="E185" s="235"/>
      <c r="F185" s="235"/>
      <c r="G185" s="235"/>
      <c r="H185" s="235"/>
      <c r="I185" s="235"/>
      <c r="J185" s="349"/>
      <c r="M185" s="310" t="s">
        <v>438</v>
      </c>
    </row>
    <row r="186" spans="1:19" x14ac:dyDescent="0.2">
      <c r="A186" s="350"/>
      <c r="B186" s="351" t="s">
        <v>500</v>
      </c>
      <c r="C186" s="235"/>
      <c r="D186" s="235"/>
      <c r="E186" s="235"/>
      <c r="F186" s="235"/>
      <c r="G186" s="235"/>
      <c r="H186" s="235"/>
      <c r="I186" s="235"/>
      <c r="J186" s="349"/>
    </row>
    <row r="187" spans="1:19" x14ac:dyDescent="0.2">
      <c r="A187" s="350"/>
      <c r="B187" s="235"/>
      <c r="C187" s="235"/>
      <c r="D187" s="235"/>
      <c r="E187" s="235"/>
      <c r="F187" s="235"/>
      <c r="G187" s="235"/>
      <c r="H187" s="235"/>
      <c r="I187" s="235"/>
      <c r="J187" s="349"/>
      <c r="M187" s="433" t="s">
        <v>607</v>
      </c>
      <c r="N187" s="433"/>
      <c r="O187" s="433"/>
      <c r="P187" s="433"/>
      <c r="Q187" s="433"/>
      <c r="R187" s="433"/>
      <c r="S187" s="433"/>
    </row>
    <row r="188" spans="1:19" x14ac:dyDescent="0.2">
      <c r="A188" s="350"/>
      <c r="B188" s="235" t="s">
        <v>606</v>
      </c>
      <c r="C188" s="235"/>
      <c r="D188" s="235"/>
      <c r="E188" s="235"/>
      <c r="F188" s="235"/>
      <c r="G188" s="235"/>
      <c r="H188" s="235"/>
      <c r="I188" s="235"/>
      <c r="J188" s="349"/>
      <c r="M188" s="433"/>
      <c r="N188" s="433"/>
      <c r="O188" s="433"/>
      <c r="P188" s="433"/>
      <c r="Q188" s="433"/>
      <c r="R188" s="433"/>
      <c r="S188" s="433"/>
    </row>
    <row r="189" spans="1:19" x14ac:dyDescent="0.2">
      <c r="A189" s="350"/>
      <c r="B189" s="235"/>
      <c r="C189" s="235"/>
      <c r="D189" s="235"/>
      <c r="E189" s="235"/>
      <c r="F189" s="235"/>
      <c r="G189" s="235"/>
      <c r="H189" s="235"/>
      <c r="I189" s="235"/>
      <c r="J189" s="349"/>
      <c r="M189" s="433"/>
      <c r="N189" s="433"/>
      <c r="O189" s="433"/>
      <c r="P189" s="433"/>
      <c r="Q189" s="433"/>
      <c r="R189" s="433"/>
      <c r="S189" s="433"/>
    </row>
    <row r="190" spans="1:19" x14ac:dyDescent="0.2">
      <c r="A190" s="350"/>
      <c r="B190" s="351" t="s">
        <v>497</v>
      </c>
      <c r="C190" s="235"/>
      <c r="D190" s="235"/>
      <c r="E190" s="235"/>
      <c r="F190" s="235"/>
      <c r="G190" s="235"/>
      <c r="H190" s="235"/>
      <c r="I190" s="235"/>
      <c r="J190" s="349"/>
      <c r="M190" s="433"/>
      <c r="N190" s="433"/>
      <c r="O190" s="433"/>
      <c r="P190" s="433"/>
      <c r="Q190" s="433"/>
      <c r="R190" s="433"/>
      <c r="S190" s="433"/>
    </row>
    <row r="191" spans="1:19" x14ac:dyDescent="0.2">
      <c r="A191" s="350"/>
      <c r="B191" s="235"/>
      <c r="C191" s="235"/>
      <c r="D191" s="235"/>
      <c r="E191" s="235"/>
      <c r="F191" s="235"/>
      <c r="G191" s="235"/>
      <c r="H191" s="235"/>
      <c r="I191" s="235"/>
      <c r="J191" s="349"/>
    </row>
    <row r="192" spans="1:19" x14ac:dyDescent="0.2">
      <c r="A192" s="350"/>
      <c r="B192" s="235" t="s">
        <v>0</v>
      </c>
      <c r="C192" s="235"/>
      <c r="D192" s="235"/>
      <c r="E192" s="235"/>
      <c r="F192" s="235"/>
      <c r="G192" s="235"/>
      <c r="H192" s="235"/>
      <c r="I192" s="235"/>
      <c r="J192" s="349"/>
      <c r="M192" s="344" t="s">
        <v>605</v>
      </c>
    </row>
    <row r="193" spans="1:19" x14ac:dyDescent="0.2">
      <c r="A193" s="350"/>
      <c r="B193" s="427" t="s">
        <v>604</v>
      </c>
      <c r="C193" s="427"/>
      <c r="D193" s="427"/>
      <c r="E193" s="427"/>
      <c r="F193" s="427"/>
      <c r="G193" s="427"/>
      <c r="H193" s="427"/>
      <c r="I193" s="427"/>
      <c r="J193" s="349"/>
    </row>
    <row r="194" spans="1:19" x14ac:dyDescent="0.2">
      <c r="A194" s="350"/>
      <c r="B194" s="427"/>
      <c r="C194" s="427"/>
      <c r="D194" s="427"/>
      <c r="E194" s="427"/>
      <c r="F194" s="427"/>
      <c r="G194" s="427"/>
      <c r="H194" s="427"/>
      <c r="I194" s="427"/>
      <c r="J194" s="349"/>
      <c r="M194" s="310" t="s">
        <v>318</v>
      </c>
    </row>
    <row r="195" spans="1:19" x14ac:dyDescent="0.2">
      <c r="A195" s="350"/>
      <c r="B195" s="235"/>
      <c r="C195" s="235"/>
      <c r="D195" s="235"/>
      <c r="E195" s="235"/>
      <c r="F195" s="235"/>
      <c r="G195" s="235"/>
      <c r="H195" s="235"/>
      <c r="I195" s="235"/>
      <c r="J195" s="349"/>
    </row>
    <row r="196" spans="1:19" x14ac:dyDescent="0.2">
      <c r="A196" s="350"/>
      <c r="B196" s="235" t="s">
        <v>1</v>
      </c>
      <c r="C196" s="235"/>
      <c r="D196" s="235"/>
      <c r="E196" s="235"/>
      <c r="F196" s="235"/>
      <c r="G196" s="235"/>
      <c r="H196" s="235"/>
      <c r="I196" s="235"/>
      <c r="J196" s="349"/>
      <c r="M196" s="433" t="s">
        <v>603</v>
      </c>
      <c r="N196" s="433"/>
      <c r="O196" s="433"/>
      <c r="P196" s="433"/>
      <c r="Q196" s="433"/>
      <c r="R196" s="433"/>
      <c r="S196" s="433"/>
    </row>
    <row r="197" spans="1:19" x14ac:dyDescent="0.2">
      <c r="A197" s="350"/>
      <c r="B197" s="235" t="s">
        <v>602</v>
      </c>
      <c r="C197" s="235"/>
      <c r="D197" s="235"/>
      <c r="E197" s="235"/>
      <c r="F197" s="235"/>
      <c r="G197" s="235"/>
      <c r="H197" s="235"/>
      <c r="I197" s="235"/>
      <c r="J197" s="349"/>
      <c r="M197" s="433"/>
      <c r="N197" s="433"/>
      <c r="O197" s="433"/>
      <c r="P197" s="433"/>
      <c r="Q197" s="433"/>
      <c r="R197" s="433"/>
      <c r="S197" s="433"/>
    </row>
    <row r="198" spans="1:19" x14ac:dyDescent="0.2">
      <c r="A198" s="350"/>
      <c r="B198" s="235"/>
      <c r="C198" s="235"/>
      <c r="D198" s="235"/>
      <c r="E198" s="235"/>
      <c r="F198" s="235"/>
      <c r="G198" s="235"/>
      <c r="H198" s="235"/>
      <c r="I198" s="235"/>
      <c r="J198" s="349"/>
      <c r="M198" s="433"/>
      <c r="N198" s="433"/>
      <c r="O198" s="433"/>
      <c r="P198" s="433"/>
      <c r="Q198" s="433"/>
      <c r="R198" s="433"/>
      <c r="S198" s="433"/>
    </row>
    <row r="199" spans="1:19" x14ac:dyDescent="0.2">
      <c r="A199" s="350"/>
      <c r="B199" s="351" t="s">
        <v>491</v>
      </c>
      <c r="C199" s="235"/>
      <c r="D199" s="235"/>
      <c r="E199" s="235"/>
      <c r="F199" s="235"/>
      <c r="G199" s="235"/>
      <c r="H199" s="235"/>
      <c r="I199" s="235"/>
      <c r="J199" s="349"/>
    </row>
    <row r="200" spans="1:19" x14ac:dyDescent="0.2">
      <c r="A200" s="350"/>
      <c r="B200" s="235"/>
      <c r="C200" s="235"/>
      <c r="D200" s="235"/>
      <c r="E200" s="235"/>
      <c r="F200" s="235"/>
      <c r="G200" s="235"/>
      <c r="H200" s="235"/>
      <c r="I200" s="235"/>
      <c r="J200" s="349"/>
      <c r="M200" s="433" t="s">
        <v>601</v>
      </c>
      <c r="N200" s="433"/>
      <c r="O200" s="433"/>
      <c r="P200" s="433"/>
      <c r="Q200" s="433"/>
      <c r="R200" s="433"/>
      <c r="S200" s="433"/>
    </row>
    <row r="201" spans="1:19" x14ac:dyDescent="0.2">
      <c r="A201" s="350"/>
      <c r="B201" s="235" t="s">
        <v>600</v>
      </c>
      <c r="C201" s="235"/>
      <c r="D201" s="235"/>
      <c r="E201" s="235"/>
      <c r="F201" s="235"/>
      <c r="G201" s="235"/>
      <c r="H201" s="235"/>
      <c r="I201" s="235"/>
      <c r="J201" s="349"/>
      <c r="M201" s="433"/>
      <c r="N201" s="433"/>
      <c r="O201" s="433"/>
      <c r="P201" s="433"/>
      <c r="Q201" s="433"/>
      <c r="R201" s="433"/>
      <c r="S201" s="433"/>
    </row>
    <row r="202" spans="1:19" x14ac:dyDescent="0.2">
      <c r="A202" s="350"/>
      <c r="B202" s="235"/>
      <c r="C202" s="235"/>
      <c r="D202" s="235"/>
      <c r="E202" s="235"/>
      <c r="F202" s="235"/>
      <c r="G202" s="235"/>
      <c r="H202" s="235"/>
      <c r="I202" s="235"/>
      <c r="J202" s="349"/>
    </row>
    <row r="203" spans="1:19" x14ac:dyDescent="0.2">
      <c r="A203" s="350"/>
      <c r="B203" s="351" t="s">
        <v>487</v>
      </c>
      <c r="C203" s="235"/>
      <c r="D203" s="235"/>
      <c r="E203" s="235"/>
      <c r="F203" s="235"/>
      <c r="G203" s="235"/>
      <c r="H203" s="235"/>
      <c r="I203" s="235"/>
      <c r="J203" s="349"/>
      <c r="M203" s="310" t="s">
        <v>308</v>
      </c>
    </row>
    <row r="204" spans="1:19" x14ac:dyDescent="0.2">
      <c r="A204" s="350"/>
      <c r="B204" s="235"/>
      <c r="C204" s="235"/>
      <c r="D204" s="235"/>
      <c r="E204" s="235"/>
      <c r="F204" s="235"/>
      <c r="G204" s="235"/>
      <c r="H204" s="235"/>
      <c r="I204" s="235"/>
      <c r="J204" s="349"/>
    </row>
    <row r="205" spans="1:19" x14ac:dyDescent="0.2">
      <c r="A205" s="350"/>
      <c r="B205" s="235" t="s">
        <v>0</v>
      </c>
      <c r="C205" s="235"/>
      <c r="D205" s="235"/>
      <c r="E205" s="235"/>
      <c r="F205" s="235"/>
      <c r="G205" s="235"/>
      <c r="H205" s="235"/>
      <c r="I205" s="235"/>
      <c r="J205" s="349"/>
      <c r="M205" s="433" t="s">
        <v>599</v>
      </c>
      <c r="N205" s="433"/>
      <c r="O205" s="433"/>
      <c r="P205" s="433"/>
      <c r="Q205" s="433"/>
      <c r="R205" s="433"/>
      <c r="S205" s="433"/>
    </row>
    <row r="206" spans="1:19" x14ac:dyDescent="0.2">
      <c r="A206" s="350"/>
      <c r="B206" s="235" t="s">
        <v>598</v>
      </c>
      <c r="C206" s="235"/>
      <c r="D206" s="235"/>
      <c r="E206" s="235"/>
      <c r="F206" s="235"/>
      <c r="G206" s="235"/>
      <c r="H206" s="235"/>
      <c r="I206" s="235"/>
      <c r="J206" s="349"/>
      <c r="M206" s="433"/>
      <c r="N206" s="433"/>
      <c r="O206" s="433"/>
      <c r="P206" s="433"/>
      <c r="Q206" s="433"/>
      <c r="R206" s="433"/>
      <c r="S206" s="433"/>
    </row>
    <row r="207" spans="1:19" x14ac:dyDescent="0.2">
      <c r="A207" s="350"/>
      <c r="B207" s="264"/>
      <c r="C207" s="235"/>
      <c r="D207" s="235"/>
      <c r="E207" s="235"/>
      <c r="F207" s="235"/>
      <c r="G207" s="235"/>
      <c r="H207" s="235"/>
      <c r="I207" s="235"/>
      <c r="J207" s="349"/>
    </row>
    <row r="208" spans="1:19" x14ac:dyDescent="0.2">
      <c r="A208" s="350"/>
      <c r="B208" s="235" t="s">
        <v>1</v>
      </c>
      <c r="C208" s="235"/>
      <c r="D208" s="235"/>
      <c r="E208" s="235"/>
      <c r="F208" s="235"/>
      <c r="G208" s="235"/>
      <c r="H208" s="235"/>
      <c r="I208" s="235"/>
      <c r="J208" s="349"/>
      <c r="M208" s="310" t="s">
        <v>409</v>
      </c>
    </row>
    <row r="209" spans="1:19" x14ac:dyDescent="0.2">
      <c r="A209" s="350"/>
      <c r="B209" s="427" t="s">
        <v>597</v>
      </c>
      <c r="C209" s="427"/>
      <c r="D209" s="427"/>
      <c r="E209" s="427"/>
      <c r="F209" s="427"/>
      <c r="G209" s="427"/>
      <c r="H209" s="427"/>
      <c r="I209" s="427"/>
      <c r="J209" s="349"/>
    </row>
    <row r="210" spans="1:19" x14ac:dyDescent="0.2">
      <c r="A210" s="350"/>
      <c r="B210" s="427"/>
      <c r="C210" s="427"/>
      <c r="D210" s="427"/>
      <c r="E210" s="427"/>
      <c r="F210" s="427"/>
      <c r="G210" s="427"/>
      <c r="H210" s="427"/>
      <c r="I210" s="427"/>
      <c r="J210" s="349"/>
      <c r="M210" s="433" t="s">
        <v>596</v>
      </c>
      <c r="N210" s="433"/>
      <c r="O210" s="433"/>
      <c r="P210" s="433"/>
      <c r="Q210" s="433"/>
      <c r="R210" s="433"/>
      <c r="S210" s="433"/>
    </row>
    <row r="211" spans="1:19" x14ac:dyDescent="0.2">
      <c r="A211" s="350"/>
      <c r="B211" s="235"/>
      <c r="C211" s="235"/>
      <c r="D211" s="235"/>
      <c r="E211" s="235"/>
      <c r="F211" s="235"/>
      <c r="G211" s="235"/>
      <c r="H211" s="235"/>
      <c r="I211" s="235"/>
      <c r="J211" s="349"/>
      <c r="M211" s="433"/>
      <c r="N211" s="433"/>
      <c r="O211" s="433"/>
      <c r="P211" s="433"/>
      <c r="Q211" s="433"/>
      <c r="R211" s="433"/>
      <c r="S211" s="433"/>
    </row>
    <row r="212" spans="1:19" x14ac:dyDescent="0.2">
      <c r="A212" s="350"/>
      <c r="B212" s="351" t="s">
        <v>483</v>
      </c>
      <c r="C212" s="235"/>
      <c r="D212" s="235"/>
      <c r="E212" s="235"/>
      <c r="F212" s="235"/>
      <c r="G212" s="235"/>
      <c r="H212" s="235"/>
      <c r="I212" s="235"/>
      <c r="J212" s="349"/>
      <c r="M212" s="433"/>
      <c r="N212" s="433"/>
      <c r="O212" s="433"/>
      <c r="P212" s="433"/>
      <c r="Q212" s="433"/>
      <c r="R212" s="433"/>
      <c r="S212" s="433"/>
    </row>
    <row r="213" spans="1:19" x14ac:dyDescent="0.2">
      <c r="A213" s="350"/>
      <c r="B213" s="235"/>
      <c r="C213" s="235"/>
      <c r="D213" s="235"/>
      <c r="E213" s="235"/>
      <c r="F213" s="235"/>
      <c r="G213" s="235"/>
      <c r="H213" s="235"/>
      <c r="I213" s="235"/>
      <c r="J213" s="349"/>
    </row>
    <row r="214" spans="1:19" x14ac:dyDescent="0.2">
      <c r="A214" s="350"/>
      <c r="B214" s="235" t="s">
        <v>594</v>
      </c>
      <c r="C214" s="235"/>
      <c r="D214" s="235"/>
      <c r="E214" s="235"/>
      <c r="F214" s="235"/>
      <c r="G214" s="235"/>
      <c r="H214" s="235"/>
      <c r="I214" s="235"/>
      <c r="J214" s="349"/>
      <c r="M214" s="433" t="s">
        <v>595</v>
      </c>
      <c r="N214" s="433"/>
      <c r="O214" s="433"/>
      <c r="P214" s="433"/>
      <c r="Q214" s="433"/>
      <c r="R214" s="433"/>
      <c r="S214" s="433"/>
    </row>
    <row r="215" spans="1:19" x14ac:dyDescent="0.2">
      <c r="A215" s="350"/>
      <c r="B215" s="235"/>
      <c r="C215" s="235"/>
      <c r="D215" s="235"/>
      <c r="E215" s="235"/>
      <c r="F215" s="235"/>
      <c r="G215" s="235"/>
      <c r="H215" s="235"/>
      <c r="I215" s="235"/>
      <c r="J215" s="349"/>
      <c r="M215" s="433"/>
      <c r="N215" s="433"/>
      <c r="O215" s="433"/>
      <c r="P215" s="433"/>
      <c r="Q215" s="433"/>
      <c r="R215" s="433"/>
      <c r="S215" s="433"/>
    </row>
    <row r="216" spans="1:19" x14ac:dyDescent="0.2">
      <c r="A216" s="350"/>
      <c r="B216" s="351" t="s">
        <v>481</v>
      </c>
      <c r="C216" s="235"/>
      <c r="D216" s="235"/>
      <c r="E216" s="235"/>
      <c r="F216" s="235"/>
      <c r="G216" s="235"/>
      <c r="H216" s="235"/>
      <c r="I216" s="235"/>
      <c r="J216" s="349"/>
      <c r="M216" s="433"/>
      <c r="N216" s="433"/>
      <c r="O216" s="433"/>
      <c r="P216" s="433"/>
      <c r="Q216" s="433"/>
      <c r="R216" s="433"/>
      <c r="S216" s="433"/>
    </row>
    <row r="217" spans="1:19" x14ac:dyDescent="0.2">
      <c r="A217" s="350"/>
      <c r="B217" s="235"/>
      <c r="C217" s="235"/>
      <c r="D217" s="235"/>
      <c r="E217" s="235"/>
      <c r="F217" s="235"/>
      <c r="G217" s="235"/>
      <c r="H217" s="235"/>
      <c r="I217" s="235"/>
      <c r="J217" s="349"/>
    </row>
    <row r="218" spans="1:19" x14ac:dyDescent="0.2">
      <c r="A218" s="350"/>
      <c r="B218" s="427" t="s">
        <v>592</v>
      </c>
      <c r="C218" s="427"/>
      <c r="D218" s="427"/>
      <c r="E218" s="427"/>
      <c r="F218" s="427"/>
      <c r="G218" s="427"/>
      <c r="H218" s="427"/>
      <c r="I218" s="427"/>
      <c r="J218" s="349"/>
      <c r="M218" s="344" t="s">
        <v>593</v>
      </c>
    </row>
    <row r="219" spans="1:19" x14ac:dyDescent="0.2">
      <c r="A219" s="350"/>
      <c r="B219" s="427"/>
      <c r="C219" s="427"/>
      <c r="D219" s="427"/>
      <c r="E219" s="427"/>
      <c r="F219" s="427"/>
      <c r="G219" s="427"/>
      <c r="H219" s="427"/>
      <c r="I219" s="427"/>
      <c r="J219" s="349"/>
    </row>
    <row r="220" spans="1:19" x14ac:dyDescent="0.2">
      <c r="A220" s="350"/>
      <c r="B220" s="235"/>
      <c r="C220" s="235"/>
      <c r="D220" s="235"/>
      <c r="E220" s="235"/>
      <c r="F220" s="235"/>
      <c r="G220" s="235"/>
      <c r="H220" s="235"/>
      <c r="I220" s="235"/>
      <c r="J220" s="349"/>
      <c r="M220" s="310" t="s">
        <v>318</v>
      </c>
    </row>
    <row r="221" spans="1:19" x14ac:dyDescent="0.2">
      <c r="A221" s="350"/>
      <c r="B221" s="351" t="s">
        <v>477</v>
      </c>
      <c r="C221" s="235"/>
      <c r="D221" s="235"/>
      <c r="E221" s="235"/>
      <c r="F221" s="235"/>
      <c r="G221" s="235"/>
      <c r="H221" s="235"/>
      <c r="I221" s="235"/>
      <c r="J221" s="349"/>
    </row>
    <row r="222" spans="1:19" x14ac:dyDescent="0.2">
      <c r="A222" s="350"/>
      <c r="B222" s="235"/>
      <c r="C222" s="235"/>
      <c r="D222" s="235"/>
      <c r="E222" s="235"/>
      <c r="F222" s="235"/>
      <c r="G222" s="235"/>
      <c r="H222" s="235"/>
      <c r="I222" s="235"/>
      <c r="J222" s="349"/>
      <c r="M222" s="238" t="s">
        <v>591</v>
      </c>
    </row>
    <row r="223" spans="1:19" x14ac:dyDescent="0.2">
      <c r="A223" s="350"/>
      <c r="B223" s="235" t="s">
        <v>0</v>
      </c>
      <c r="C223" s="235"/>
      <c r="D223" s="235"/>
      <c r="E223" s="235"/>
      <c r="F223" s="235"/>
      <c r="G223" s="235"/>
      <c r="H223" s="235"/>
      <c r="I223" s="235"/>
      <c r="J223" s="349"/>
      <c r="M223" s="238" t="s">
        <v>590</v>
      </c>
    </row>
    <row r="224" spans="1:19" x14ac:dyDescent="0.2">
      <c r="A224" s="350"/>
      <c r="B224" s="235" t="s">
        <v>588</v>
      </c>
      <c r="C224" s="235"/>
      <c r="D224" s="235"/>
      <c r="E224" s="235"/>
      <c r="F224" s="235"/>
      <c r="G224" s="235"/>
      <c r="H224" s="235"/>
      <c r="I224" s="235"/>
      <c r="J224" s="349"/>
      <c r="M224" s="433" t="s">
        <v>589</v>
      </c>
      <c r="N224" s="433"/>
      <c r="O224" s="433"/>
      <c r="P224" s="433"/>
      <c r="Q224" s="433"/>
      <c r="R224" s="433"/>
      <c r="S224" s="433"/>
    </row>
    <row r="225" spans="1:19" x14ac:dyDescent="0.2">
      <c r="A225" s="350"/>
      <c r="B225" s="264"/>
      <c r="C225" s="235"/>
      <c r="D225" s="235"/>
      <c r="E225" s="235"/>
      <c r="F225" s="235"/>
      <c r="G225" s="235"/>
      <c r="H225" s="235"/>
      <c r="I225" s="235"/>
      <c r="J225" s="349"/>
      <c r="M225" s="433"/>
      <c r="N225" s="433"/>
      <c r="O225" s="433"/>
      <c r="P225" s="433"/>
      <c r="Q225" s="433"/>
      <c r="R225" s="433"/>
      <c r="S225" s="433"/>
    </row>
    <row r="226" spans="1:19" x14ac:dyDescent="0.2">
      <c r="A226" s="350"/>
      <c r="B226" s="235" t="s">
        <v>1</v>
      </c>
      <c r="C226" s="235"/>
      <c r="D226" s="235"/>
      <c r="E226" s="235"/>
      <c r="F226" s="235"/>
      <c r="G226" s="235"/>
      <c r="H226" s="235"/>
      <c r="I226" s="235"/>
      <c r="J226" s="349"/>
      <c r="M226" s="238" t="s">
        <v>587</v>
      </c>
    </row>
    <row r="227" spans="1:19" x14ac:dyDescent="0.2">
      <c r="A227" s="350"/>
      <c r="B227" s="235" t="s">
        <v>586</v>
      </c>
      <c r="C227" s="235"/>
      <c r="D227" s="235"/>
      <c r="E227" s="235"/>
      <c r="F227" s="235"/>
      <c r="G227" s="235"/>
      <c r="H227" s="235"/>
      <c r="I227" s="235"/>
      <c r="J227" s="349"/>
    </row>
    <row r="228" spans="1:19" x14ac:dyDescent="0.2">
      <c r="A228" s="350"/>
      <c r="B228" s="264"/>
      <c r="C228" s="235"/>
      <c r="D228" s="235"/>
      <c r="E228" s="235"/>
      <c r="F228" s="235"/>
      <c r="G228" s="235"/>
      <c r="H228" s="235"/>
      <c r="I228" s="235"/>
      <c r="J228" s="349"/>
      <c r="M228" s="310" t="s">
        <v>308</v>
      </c>
    </row>
    <row r="229" spans="1:19" x14ac:dyDescent="0.2">
      <c r="A229" s="350"/>
      <c r="B229" s="235" t="s">
        <v>2</v>
      </c>
      <c r="C229" s="235"/>
      <c r="D229" s="235"/>
      <c r="E229" s="235"/>
      <c r="F229" s="235"/>
      <c r="G229" s="235"/>
      <c r="H229" s="235"/>
      <c r="I229" s="235"/>
      <c r="J229" s="349"/>
    </row>
    <row r="230" spans="1:19" x14ac:dyDescent="0.2">
      <c r="A230" s="350"/>
      <c r="B230" s="235" t="s">
        <v>584</v>
      </c>
      <c r="C230" s="235"/>
      <c r="D230" s="235"/>
      <c r="E230" s="235"/>
      <c r="F230" s="235"/>
      <c r="G230" s="235"/>
      <c r="H230" s="235"/>
      <c r="I230" s="235"/>
      <c r="J230" s="349"/>
      <c r="M230" s="433" t="s">
        <v>585</v>
      </c>
      <c r="N230" s="433"/>
      <c r="O230" s="433"/>
      <c r="P230" s="433"/>
      <c r="Q230" s="433"/>
      <c r="R230" s="433"/>
      <c r="S230" s="433"/>
    </row>
    <row r="231" spans="1:19" x14ac:dyDescent="0.2">
      <c r="A231" s="350"/>
      <c r="B231" s="235"/>
      <c r="C231" s="235"/>
      <c r="D231" s="235"/>
      <c r="E231" s="235"/>
      <c r="F231" s="235"/>
      <c r="G231" s="235"/>
      <c r="H231" s="235"/>
      <c r="I231" s="235"/>
      <c r="J231" s="349"/>
      <c r="M231" s="433"/>
      <c r="N231" s="433"/>
      <c r="O231" s="433"/>
      <c r="P231" s="433"/>
      <c r="Q231" s="433"/>
      <c r="R231" s="433"/>
      <c r="S231" s="433"/>
    </row>
    <row r="232" spans="1:19" x14ac:dyDescent="0.2">
      <c r="A232" s="350"/>
      <c r="B232" s="351" t="s">
        <v>467</v>
      </c>
      <c r="C232" s="235"/>
      <c r="D232" s="235"/>
      <c r="E232" s="235"/>
      <c r="F232" s="235"/>
      <c r="G232" s="235"/>
      <c r="H232" s="235"/>
      <c r="I232" s="235"/>
      <c r="J232" s="349"/>
    </row>
    <row r="233" spans="1:19" x14ac:dyDescent="0.2">
      <c r="A233" s="350"/>
      <c r="B233" s="235"/>
      <c r="C233" s="235"/>
      <c r="D233" s="235"/>
      <c r="E233" s="235"/>
      <c r="F233" s="235"/>
      <c r="G233" s="235"/>
      <c r="H233" s="235"/>
      <c r="I233" s="235"/>
      <c r="J233" s="349"/>
      <c r="M233" s="238" t="s">
        <v>583</v>
      </c>
    </row>
    <row r="234" spans="1:19" x14ac:dyDescent="0.2">
      <c r="A234" s="350"/>
      <c r="B234" s="235" t="s">
        <v>582</v>
      </c>
      <c r="C234" s="235"/>
      <c r="D234" s="235"/>
      <c r="E234" s="235"/>
      <c r="F234" s="235"/>
      <c r="G234" s="235"/>
      <c r="H234" s="235"/>
      <c r="I234" s="235"/>
      <c r="J234" s="349"/>
    </row>
    <row r="235" spans="1:19" x14ac:dyDescent="0.2">
      <c r="A235" s="350"/>
      <c r="B235" s="235"/>
      <c r="C235" s="235"/>
      <c r="D235" s="235"/>
      <c r="E235" s="235"/>
      <c r="F235" s="235"/>
      <c r="G235" s="235"/>
      <c r="H235" s="235"/>
      <c r="I235" s="235"/>
      <c r="J235" s="349"/>
      <c r="M235" s="433" t="s">
        <v>581</v>
      </c>
      <c r="N235" s="433"/>
      <c r="O235" s="433"/>
      <c r="P235" s="433"/>
      <c r="Q235" s="433"/>
      <c r="R235" s="433"/>
      <c r="S235" s="433"/>
    </row>
    <row r="236" spans="1:19" x14ac:dyDescent="0.2">
      <c r="A236" s="350"/>
      <c r="B236" s="351" t="s">
        <v>461</v>
      </c>
      <c r="C236" s="235"/>
      <c r="D236" s="235"/>
      <c r="E236" s="235"/>
      <c r="F236" s="235"/>
      <c r="G236" s="235"/>
      <c r="H236" s="235"/>
      <c r="I236" s="235"/>
      <c r="J236" s="349"/>
      <c r="M236" s="433"/>
      <c r="N236" s="433"/>
      <c r="O236" s="433"/>
      <c r="P236" s="433"/>
      <c r="Q236" s="433"/>
      <c r="R236" s="433"/>
      <c r="S236" s="433"/>
    </row>
    <row r="237" spans="1:19" x14ac:dyDescent="0.2">
      <c r="A237" s="350"/>
      <c r="B237" s="235"/>
      <c r="C237" s="235"/>
      <c r="D237" s="235"/>
      <c r="E237" s="235"/>
      <c r="F237" s="235"/>
      <c r="G237" s="235"/>
      <c r="H237" s="235"/>
      <c r="I237" s="235"/>
      <c r="J237" s="349"/>
    </row>
    <row r="238" spans="1:19" x14ac:dyDescent="0.2">
      <c r="A238" s="350"/>
      <c r="B238" s="235" t="s">
        <v>580</v>
      </c>
      <c r="C238" s="235"/>
      <c r="D238" s="235"/>
      <c r="E238" s="235"/>
      <c r="F238" s="235"/>
      <c r="G238" s="235"/>
      <c r="H238" s="235"/>
      <c r="I238" s="235"/>
      <c r="J238" s="349"/>
      <c r="M238" s="310" t="s">
        <v>409</v>
      </c>
    </row>
    <row r="239" spans="1:19" x14ac:dyDescent="0.2">
      <c r="A239" s="350"/>
      <c r="B239" s="235"/>
      <c r="C239" s="235"/>
      <c r="D239" s="235"/>
      <c r="E239" s="235"/>
      <c r="F239" s="235"/>
      <c r="G239" s="235"/>
      <c r="H239" s="235"/>
      <c r="I239" s="235"/>
      <c r="J239" s="349"/>
    </row>
    <row r="240" spans="1:19" x14ac:dyDescent="0.2">
      <c r="A240" s="350"/>
      <c r="B240" s="351" t="s">
        <v>459</v>
      </c>
      <c r="C240" s="235"/>
      <c r="D240" s="235"/>
      <c r="E240" s="235"/>
      <c r="F240" s="235"/>
      <c r="G240" s="235"/>
      <c r="H240" s="235"/>
      <c r="I240" s="235"/>
      <c r="J240" s="349"/>
      <c r="M240" s="433" t="s">
        <v>579</v>
      </c>
      <c r="N240" s="433"/>
      <c r="O240" s="433"/>
      <c r="P240" s="433"/>
      <c r="Q240" s="433"/>
      <c r="R240" s="433"/>
      <c r="S240" s="433"/>
    </row>
    <row r="241" spans="1:19" x14ac:dyDescent="0.2">
      <c r="A241" s="350"/>
      <c r="B241" s="235"/>
      <c r="C241" s="235"/>
      <c r="D241" s="235"/>
      <c r="E241" s="235"/>
      <c r="F241" s="235"/>
      <c r="G241" s="235"/>
      <c r="H241" s="235"/>
      <c r="I241" s="235"/>
      <c r="J241" s="349"/>
      <c r="M241" s="433"/>
      <c r="N241" s="433"/>
      <c r="O241" s="433"/>
      <c r="P241" s="433"/>
      <c r="Q241" s="433"/>
      <c r="R241" s="433"/>
      <c r="S241" s="433"/>
    </row>
    <row r="242" spans="1:19" x14ac:dyDescent="0.2">
      <c r="A242" s="350"/>
      <c r="B242" s="235" t="s">
        <v>577</v>
      </c>
      <c r="C242" s="235"/>
      <c r="D242" s="235"/>
      <c r="E242" s="235"/>
      <c r="F242" s="235"/>
      <c r="G242" s="235"/>
      <c r="H242" s="235"/>
      <c r="I242" s="235"/>
      <c r="J242" s="349"/>
      <c r="M242" s="433" t="s">
        <v>578</v>
      </c>
      <c r="N242" s="433"/>
      <c r="O242" s="433"/>
      <c r="P242" s="433"/>
      <c r="Q242" s="433"/>
      <c r="R242" s="433"/>
      <c r="S242" s="433"/>
    </row>
    <row r="243" spans="1:19" x14ac:dyDescent="0.2">
      <c r="A243" s="350"/>
      <c r="B243" s="235"/>
      <c r="C243" s="235"/>
      <c r="D243" s="235"/>
      <c r="E243" s="235"/>
      <c r="F243" s="235"/>
      <c r="G243" s="235"/>
      <c r="H243" s="235"/>
      <c r="I243" s="235"/>
      <c r="J243" s="349"/>
      <c r="M243" s="433"/>
      <c r="N243" s="433"/>
      <c r="O243" s="433"/>
      <c r="P243" s="433"/>
      <c r="Q243" s="433"/>
      <c r="R243" s="433"/>
      <c r="S243" s="433"/>
    </row>
    <row r="244" spans="1:19" x14ac:dyDescent="0.2">
      <c r="A244" s="350"/>
      <c r="B244" s="351" t="s">
        <v>454</v>
      </c>
      <c r="C244" s="235"/>
      <c r="D244" s="235"/>
      <c r="E244" s="235"/>
      <c r="F244" s="235"/>
      <c r="G244" s="235"/>
      <c r="H244" s="235"/>
      <c r="I244" s="235"/>
      <c r="J244" s="349"/>
      <c r="M244" s="433" t="s">
        <v>576</v>
      </c>
      <c r="N244" s="433"/>
      <c r="O244" s="433"/>
      <c r="P244" s="433"/>
      <c r="Q244" s="433"/>
      <c r="R244" s="433"/>
      <c r="S244" s="433"/>
    </row>
    <row r="245" spans="1:19" x14ac:dyDescent="0.2">
      <c r="A245" s="350"/>
      <c r="B245" s="235"/>
      <c r="C245" s="235"/>
      <c r="D245" s="235"/>
      <c r="E245" s="235"/>
      <c r="F245" s="235"/>
      <c r="G245" s="235"/>
      <c r="H245" s="235"/>
      <c r="I245" s="235"/>
      <c r="J245" s="349"/>
      <c r="M245" s="433"/>
      <c r="N245" s="433"/>
      <c r="O245" s="433"/>
      <c r="P245" s="433"/>
      <c r="Q245" s="433"/>
      <c r="R245" s="433"/>
      <c r="S245" s="433"/>
    </row>
    <row r="246" spans="1:19" x14ac:dyDescent="0.2">
      <c r="A246" s="350"/>
      <c r="B246" s="235" t="s">
        <v>574</v>
      </c>
      <c r="C246" s="235"/>
      <c r="D246" s="235"/>
      <c r="E246" s="235"/>
      <c r="F246" s="235"/>
      <c r="G246" s="235"/>
      <c r="H246" s="235"/>
      <c r="I246" s="235"/>
      <c r="J246" s="349"/>
      <c r="M246" s="433" t="s">
        <v>575</v>
      </c>
      <c r="N246" s="433"/>
      <c r="O246" s="433"/>
      <c r="P246" s="433"/>
      <c r="Q246" s="433"/>
      <c r="R246" s="433"/>
      <c r="S246" s="433"/>
    </row>
    <row r="247" spans="1:19" x14ac:dyDescent="0.2">
      <c r="A247" s="350"/>
      <c r="B247" s="235"/>
      <c r="C247" s="235"/>
      <c r="D247" s="235"/>
      <c r="E247" s="235"/>
      <c r="F247" s="235"/>
      <c r="G247" s="235"/>
      <c r="H247" s="235"/>
      <c r="I247" s="235"/>
      <c r="J247" s="349"/>
      <c r="M247" s="433"/>
      <c r="N247" s="433"/>
      <c r="O247" s="433"/>
      <c r="P247" s="433"/>
      <c r="Q247" s="433"/>
      <c r="R247" s="433"/>
      <c r="S247" s="433"/>
    </row>
    <row r="248" spans="1:19" x14ac:dyDescent="0.2">
      <c r="A248" s="350"/>
      <c r="B248" s="351" t="s">
        <v>452</v>
      </c>
      <c r="C248" s="235"/>
      <c r="D248" s="235"/>
      <c r="E248" s="235"/>
      <c r="F248" s="235"/>
      <c r="G248" s="235"/>
      <c r="H248" s="235"/>
      <c r="I248" s="235"/>
      <c r="J248" s="349"/>
    </row>
    <row r="249" spans="1:19" x14ac:dyDescent="0.2">
      <c r="A249" s="350"/>
      <c r="B249" s="235"/>
      <c r="C249" s="235"/>
      <c r="D249" s="235"/>
      <c r="E249" s="235"/>
      <c r="F249" s="235"/>
      <c r="G249" s="235"/>
      <c r="H249" s="235"/>
      <c r="I249" s="235"/>
      <c r="J249" s="349"/>
      <c r="M249" s="344" t="s">
        <v>573</v>
      </c>
    </row>
    <row r="250" spans="1:19" x14ac:dyDescent="0.2">
      <c r="A250" s="350"/>
      <c r="B250" s="235" t="s">
        <v>572</v>
      </c>
      <c r="C250" s="235"/>
      <c r="D250" s="235"/>
      <c r="E250" s="235"/>
      <c r="F250" s="235"/>
      <c r="G250" s="235"/>
      <c r="H250" s="235"/>
      <c r="I250" s="235"/>
      <c r="J250" s="349"/>
    </row>
    <row r="251" spans="1:19" x14ac:dyDescent="0.2">
      <c r="A251" s="350"/>
      <c r="B251" s="235"/>
      <c r="C251" s="235"/>
      <c r="D251" s="235"/>
      <c r="E251" s="235"/>
      <c r="F251" s="235"/>
      <c r="G251" s="235"/>
      <c r="H251" s="235"/>
      <c r="I251" s="235"/>
      <c r="J251" s="349"/>
      <c r="M251" s="310" t="s">
        <v>318</v>
      </c>
    </row>
    <row r="252" spans="1:19" x14ac:dyDescent="0.2">
      <c r="A252" s="350"/>
      <c r="B252" s="352" t="s">
        <v>571</v>
      </c>
      <c r="C252" s="235"/>
      <c r="D252" s="235"/>
      <c r="E252" s="235"/>
      <c r="F252" s="235"/>
      <c r="G252" s="235"/>
      <c r="H252" s="235"/>
      <c r="I252" s="235"/>
      <c r="J252" s="349"/>
    </row>
    <row r="253" spans="1:19" x14ac:dyDescent="0.2">
      <c r="A253" s="350"/>
      <c r="B253" s="352" t="s">
        <v>569</v>
      </c>
      <c r="C253" s="235"/>
      <c r="D253" s="235"/>
      <c r="E253" s="235"/>
      <c r="F253" s="235"/>
      <c r="G253" s="235"/>
      <c r="H253" s="235"/>
      <c r="I253" s="235"/>
      <c r="J253" s="349"/>
      <c r="M253" s="238" t="s">
        <v>570</v>
      </c>
    </row>
    <row r="254" spans="1:19" x14ac:dyDescent="0.2">
      <c r="A254" s="350"/>
      <c r="B254" s="352" t="s">
        <v>568</v>
      </c>
      <c r="C254" s="235"/>
      <c r="D254" s="235"/>
      <c r="E254" s="235"/>
      <c r="F254" s="235"/>
      <c r="G254" s="235"/>
      <c r="H254" s="235"/>
      <c r="I254" s="235"/>
      <c r="J254" s="349"/>
    </row>
    <row r="255" spans="1:19" x14ac:dyDescent="0.2">
      <c r="A255" s="350"/>
      <c r="B255" s="352" t="s">
        <v>567</v>
      </c>
      <c r="C255" s="235"/>
      <c r="D255" s="235"/>
      <c r="E255" s="235"/>
      <c r="F255" s="235"/>
      <c r="G255" s="235"/>
      <c r="H255" s="235"/>
      <c r="I255" s="235"/>
      <c r="J255" s="349"/>
      <c r="M255" s="310" t="s">
        <v>308</v>
      </c>
    </row>
    <row r="256" spans="1:19" x14ac:dyDescent="0.2">
      <c r="A256" s="350"/>
      <c r="B256" s="235"/>
      <c r="C256" s="235"/>
      <c r="D256" s="235"/>
      <c r="E256" s="235"/>
      <c r="F256" s="235"/>
      <c r="G256" s="235"/>
      <c r="H256" s="235"/>
      <c r="I256" s="235"/>
      <c r="J256" s="349"/>
    </row>
    <row r="257" spans="1:19" x14ac:dyDescent="0.2">
      <c r="A257" s="350"/>
      <c r="B257" s="351" t="s">
        <v>565</v>
      </c>
      <c r="C257" s="235"/>
      <c r="D257" s="235"/>
      <c r="E257" s="235"/>
      <c r="F257" s="235"/>
      <c r="G257" s="235"/>
      <c r="H257" s="235"/>
      <c r="I257" s="235"/>
      <c r="J257" s="349"/>
      <c r="M257" s="433" t="s">
        <v>566</v>
      </c>
      <c r="N257" s="433"/>
      <c r="O257" s="433"/>
      <c r="P257" s="433"/>
      <c r="Q257" s="433"/>
      <c r="R257" s="433"/>
      <c r="S257" s="433"/>
    </row>
    <row r="258" spans="1:19" x14ac:dyDescent="0.2">
      <c r="A258" s="350"/>
      <c r="B258" s="235"/>
      <c r="C258" s="235"/>
      <c r="D258" s="235"/>
      <c r="E258" s="235"/>
      <c r="F258" s="235"/>
      <c r="G258" s="235"/>
      <c r="H258" s="235"/>
      <c r="I258" s="235"/>
      <c r="J258" s="349"/>
      <c r="M258" s="433"/>
      <c r="N258" s="433"/>
      <c r="O258" s="433"/>
      <c r="P258" s="433"/>
      <c r="Q258" s="433"/>
      <c r="R258" s="433"/>
      <c r="S258" s="433"/>
    </row>
    <row r="259" spans="1:19" x14ac:dyDescent="0.2">
      <c r="A259" s="350"/>
      <c r="B259" s="235" t="s">
        <v>0</v>
      </c>
      <c r="C259" s="235"/>
      <c r="D259" s="235"/>
      <c r="E259" s="235"/>
      <c r="F259" s="235"/>
      <c r="G259" s="235"/>
      <c r="H259" s="235"/>
      <c r="I259" s="235"/>
      <c r="J259" s="349"/>
    </row>
    <row r="260" spans="1:19" x14ac:dyDescent="0.2">
      <c r="A260" s="350"/>
      <c r="B260" s="427" t="s">
        <v>563</v>
      </c>
      <c r="C260" s="427"/>
      <c r="D260" s="427"/>
      <c r="E260" s="427"/>
      <c r="F260" s="427"/>
      <c r="G260" s="427"/>
      <c r="H260" s="427"/>
      <c r="I260" s="427"/>
      <c r="J260" s="349"/>
      <c r="M260" s="238" t="s">
        <v>564</v>
      </c>
    </row>
    <row r="261" spans="1:19" x14ac:dyDescent="0.2">
      <c r="A261" s="350"/>
      <c r="B261" s="427"/>
      <c r="C261" s="427"/>
      <c r="D261" s="427"/>
      <c r="E261" s="427"/>
      <c r="F261" s="427"/>
      <c r="G261" s="427"/>
      <c r="H261" s="427"/>
      <c r="I261" s="427"/>
      <c r="J261" s="349"/>
    </row>
    <row r="262" spans="1:19" x14ac:dyDescent="0.2">
      <c r="A262" s="350"/>
      <c r="B262" s="264"/>
      <c r="C262" s="235"/>
      <c r="D262" s="235"/>
      <c r="E262" s="235"/>
      <c r="F262" s="235"/>
      <c r="G262" s="235"/>
      <c r="H262" s="235"/>
      <c r="I262" s="235"/>
      <c r="J262" s="349"/>
      <c r="M262" s="433" t="s">
        <v>562</v>
      </c>
      <c r="N262" s="433"/>
      <c r="O262" s="433"/>
      <c r="P262" s="433"/>
      <c r="Q262" s="433"/>
      <c r="R262" s="433"/>
      <c r="S262" s="433"/>
    </row>
    <row r="263" spans="1:19" x14ac:dyDescent="0.2">
      <c r="A263" s="350"/>
      <c r="B263" s="264"/>
      <c r="C263" s="352" t="s">
        <v>561</v>
      </c>
      <c r="D263" s="235"/>
      <c r="E263" s="235"/>
      <c r="F263" s="235"/>
      <c r="G263" s="235"/>
      <c r="H263" s="235"/>
      <c r="I263" s="235"/>
      <c r="J263" s="349"/>
      <c r="M263" s="433"/>
      <c r="N263" s="433"/>
      <c r="O263" s="433"/>
      <c r="P263" s="433"/>
      <c r="Q263" s="433"/>
      <c r="R263" s="433"/>
      <c r="S263" s="433"/>
    </row>
    <row r="264" spans="1:19" x14ac:dyDescent="0.2">
      <c r="A264" s="350"/>
      <c r="B264" s="264"/>
      <c r="C264" s="352" t="s">
        <v>560</v>
      </c>
      <c r="D264" s="235"/>
      <c r="E264" s="235"/>
      <c r="F264" s="235"/>
      <c r="G264" s="235"/>
      <c r="H264" s="235"/>
      <c r="I264" s="235"/>
      <c r="J264" s="349"/>
    </row>
    <row r="265" spans="1:19" x14ac:dyDescent="0.2">
      <c r="A265" s="350"/>
      <c r="B265" s="264"/>
      <c r="C265" s="352" t="s">
        <v>558</v>
      </c>
      <c r="D265" s="235"/>
      <c r="E265" s="235"/>
      <c r="F265" s="235"/>
      <c r="G265" s="235"/>
      <c r="H265" s="235"/>
      <c r="I265" s="235"/>
      <c r="J265" s="349"/>
      <c r="M265" s="344" t="s">
        <v>559</v>
      </c>
    </row>
    <row r="266" spans="1:19" x14ac:dyDescent="0.2">
      <c r="A266" s="350"/>
      <c r="B266" s="264"/>
      <c r="C266" s="235"/>
      <c r="D266" s="235"/>
      <c r="E266" s="235"/>
      <c r="F266" s="235"/>
      <c r="G266" s="235"/>
      <c r="H266" s="235"/>
      <c r="I266" s="235"/>
      <c r="J266" s="349"/>
    </row>
    <row r="267" spans="1:19" x14ac:dyDescent="0.2">
      <c r="A267" s="350"/>
      <c r="B267" s="235" t="s">
        <v>1</v>
      </c>
      <c r="C267" s="235"/>
      <c r="D267" s="235"/>
      <c r="E267" s="235"/>
      <c r="F267" s="235"/>
      <c r="G267" s="235"/>
      <c r="H267" s="235"/>
      <c r="I267" s="235"/>
      <c r="J267" s="349"/>
      <c r="M267" s="310" t="s">
        <v>318</v>
      </c>
    </row>
    <row r="268" spans="1:19" x14ac:dyDescent="0.2">
      <c r="A268" s="350"/>
      <c r="B268" s="427" t="s">
        <v>557</v>
      </c>
      <c r="C268" s="427"/>
      <c r="D268" s="427"/>
      <c r="E268" s="427"/>
      <c r="F268" s="427"/>
      <c r="G268" s="427"/>
      <c r="H268" s="427"/>
      <c r="I268" s="427"/>
      <c r="J268" s="349"/>
    </row>
    <row r="269" spans="1:19" x14ac:dyDescent="0.2">
      <c r="A269" s="350"/>
      <c r="B269" s="427"/>
      <c r="C269" s="427"/>
      <c r="D269" s="427"/>
      <c r="E269" s="427"/>
      <c r="F269" s="427"/>
      <c r="G269" s="427"/>
      <c r="H269" s="427"/>
      <c r="I269" s="427"/>
      <c r="J269" s="349"/>
      <c r="M269" s="433" t="s">
        <v>556</v>
      </c>
      <c r="N269" s="433"/>
      <c r="O269" s="433"/>
      <c r="P269" s="433"/>
      <c r="Q269" s="433"/>
      <c r="R269" s="433"/>
      <c r="S269" s="433"/>
    </row>
    <row r="270" spans="1:19" x14ac:dyDescent="0.2">
      <c r="A270" s="350"/>
      <c r="B270" s="264"/>
      <c r="C270" s="235"/>
      <c r="D270" s="235"/>
      <c r="E270" s="235"/>
      <c r="F270" s="235"/>
      <c r="G270" s="235"/>
      <c r="H270" s="235"/>
      <c r="I270" s="235"/>
      <c r="J270" s="349"/>
      <c r="M270" s="433"/>
      <c r="N270" s="433"/>
      <c r="O270" s="433"/>
      <c r="P270" s="433"/>
      <c r="Q270" s="433"/>
      <c r="R270" s="433"/>
      <c r="S270" s="433"/>
    </row>
    <row r="271" spans="1:19" x14ac:dyDescent="0.2">
      <c r="A271" s="350"/>
      <c r="B271" s="235" t="s">
        <v>2</v>
      </c>
      <c r="C271" s="235"/>
      <c r="D271" s="235"/>
      <c r="E271" s="235"/>
      <c r="F271" s="235"/>
      <c r="G271" s="235"/>
      <c r="H271" s="235"/>
      <c r="I271" s="235"/>
      <c r="J271" s="349"/>
    </row>
    <row r="272" spans="1:19" x14ac:dyDescent="0.2">
      <c r="A272" s="350"/>
      <c r="B272" s="427" t="s">
        <v>555</v>
      </c>
      <c r="C272" s="427"/>
      <c r="D272" s="427"/>
      <c r="E272" s="427"/>
      <c r="F272" s="427"/>
      <c r="G272" s="427"/>
      <c r="H272" s="427"/>
      <c r="I272" s="427"/>
      <c r="J272" s="349"/>
      <c r="M272" s="310" t="s">
        <v>308</v>
      </c>
    </row>
    <row r="273" spans="1:19" x14ac:dyDescent="0.2">
      <c r="A273" s="350"/>
      <c r="B273" s="427"/>
      <c r="C273" s="427"/>
      <c r="D273" s="427"/>
      <c r="E273" s="427"/>
      <c r="F273" s="427"/>
      <c r="G273" s="427"/>
      <c r="H273" s="427"/>
      <c r="I273" s="427"/>
      <c r="J273" s="349"/>
    </row>
    <row r="274" spans="1:19" x14ac:dyDescent="0.2">
      <c r="A274" s="350"/>
      <c r="B274" s="264"/>
      <c r="C274" s="235"/>
      <c r="D274" s="235"/>
      <c r="E274" s="235"/>
      <c r="F274" s="235"/>
      <c r="G274" s="235"/>
      <c r="H274" s="235"/>
      <c r="I274" s="235"/>
      <c r="J274" s="349"/>
      <c r="M274" s="433" t="s">
        <v>554</v>
      </c>
      <c r="N274" s="433"/>
      <c r="O274" s="433"/>
      <c r="P274" s="433"/>
      <c r="Q274" s="433"/>
      <c r="R274" s="433"/>
      <c r="S274" s="433"/>
    </row>
    <row r="275" spans="1:19" x14ac:dyDescent="0.2">
      <c r="A275" s="350"/>
      <c r="B275" s="235" t="s">
        <v>553</v>
      </c>
      <c r="C275" s="235"/>
      <c r="D275" s="235"/>
      <c r="E275" s="235"/>
      <c r="F275" s="235"/>
      <c r="G275" s="235"/>
      <c r="H275" s="235"/>
      <c r="I275" s="235"/>
      <c r="J275" s="349"/>
      <c r="M275" s="433"/>
      <c r="N275" s="433"/>
      <c r="O275" s="433"/>
      <c r="P275" s="433"/>
      <c r="Q275" s="433"/>
      <c r="R275" s="433"/>
      <c r="S275" s="433"/>
    </row>
    <row r="276" spans="1:19" x14ac:dyDescent="0.2">
      <c r="A276" s="350"/>
      <c r="B276" s="427" t="s">
        <v>551</v>
      </c>
      <c r="C276" s="427"/>
      <c r="D276" s="427"/>
      <c r="E276" s="427"/>
      <c r="F276" s="427"/>
      <c r="G276" s="427"/>
      <c r="H276" s="427"/>
      <c r="I276" s="427"/>
      <c r="J276" s="349"/>
      <c r="M276" s="238" t="s">
        <v>552</v>
      </c>
    </row>
    <row r="277" spans="1:19" x14ac:dyDescent="0.2">
      <c r="A277" s="350"/>
      <c r="B277" s="427"/>
      <c r="C277" s="427"/>
      <c r="D277" s="427"/>
      <c r="E277" s="427"/>
      <c r="F277" s="427"/>
      <c r="G277" s="427"/>
      <c r="H277" s="427"/>
      <c r="I277" s="427"/>
      <c r="J277" s="349"/>
      <c r="M277" s="238" t="s">
        <v>550</v>
      </c>
    </row>
    <row r="278" spans="1:19" x14ac:dyDescent="0.2">
      <c r="A278" s="350"/>
      <c r="B278" s="264"/>
      <c r="C278" s="235"/>
      <c r="D278" s="235"/>
      <c r="E278" s="235"/>
      <c r="F278" s="235"/>
      <c r="G278" s="235"/>
      <c r="H278" s="235"/>
      <c r="I278" s="235"/>
      <c r="J278" s="349"/>
      <c r="M278" s="238" t="s">
        <v>549</v>
      </c>
    </row>
    <row r="279" spans="1:19" x14ac:dyDescent="0.2">
      <c r="A279" s="350"/>
      <c r="B279" s="235" t="s">
        <v>548</v>
      </c>
      <c r="C279" s="235"/>
      <c r="D279" s="235"/>
      <c r="E279" s="235"/>
      <c r="F279" s="235"/>
      <c r="G279" s="235"/>
      <c r="H279" s="235"/>
      <c r="I279" s="235"/>
      <c r="J279" s="349"/>
    </row>
    <row r="280" spans="1:19" x14ac:dyDescent="0.2">
      <c r="A280" s="350"/>
      <c r="B280" s="427" t="s">
        <v>547</v>
      </c>
      <c r="C280" s="427"/>
      <c r="D280" s="427"/>
      <c r="E280" s="427"/>
      <c r="F280" s="427"/>
      <c r="G280" s="427"/>
      <c r="H280" s="427"/>
      <c r="I280" s="427"/>
      <c r="J280" s="349"/>
      <c r="M280" s="310" t="s">
        <v>409</v>
      </c>
    </row>
    <row r="281" spans="1:19" x14ac:dyDescent="0.2">
      <c r="A281" s="350"/>
      <c r="B281" s="427"/>
      <c r="C281" s="427"/>
      <c r="D281" s="427"/>
      <c r="E281" s="427"/>
      <c r="F281" s="427"/>
      <c r="G281" s="427"/>
      <c r="H281" s="427"/>
      <c r="I281" s="427"/>
      <c r="J281" s="349"/>
    </row>
    <row r="282" spans="1:19" x14ac:dyDescent="0.2">
      <c r="A282" s="350"/>
      <c r="B282" s="235"/>
      <c r="C282" s="235"/>
      <c r="D282" s="235"/>
      <c r="E282" s="235"/>
      <c r="F282" s="235"/>
      <c r="G282" s="235"/>
      <c r="H282" s="235"/>
      <c r="I282" s="235"/>
      <c r="J282" s="349"/>
      <c r="M282" s="433" t="s">
        <v>546</v>
      </c>
      <c r="N282" s="433"/>
      <c r="O282" s="433"/>
      <c r="P282" s="433"/>
      <c r="Q282" s="433"/>
      <c r="R282" s="433"/>
      <c r="S282" s="433"/>
    </row>
    <row r="283" spans="1:19" x14ac:dyDescent="0.2">
      <c r="A283" s="350"/>
      <c r="B283" s="351" t="s">
        <v>432</v>
      </c>
      <c r="C283" s="235"/>
      <c r="D283" s="235"/>
      <c r="E283" s="235"/>
      <c r="F283" s="235"/>
      <c r="G283" s="235"/>
      <c r="H283" s="235"/>
      <c r="I283" s="235"/>
      <c r="J283" s="349"/>
      <c r="M283" s="433"/>
      <c r="N283" s="433"/>
      <c r="O283" s="433"/>
      <c r="P283" s="433"/>
      <c r="Q283" s="433"/>
      <c r="R283" s="433"/>
      <c r="S283" s="433"/>
    </row>
    <row r="284" spans="1:19" x14ac:dyDescent="0.2">
      <c r="A284" s="350"/>
      <c r="B284" s="235"/>
      <c r="C284" s="235"/>
      <c r="D284" s="235"/>
      <c r="E284" s="235"/>
      <c r="F284" s="235"/>
      <c r="G284" s="235"/>
      <c r="H284" s="235"/>
      <c r="I284" s="235"/>
      <c r="J284" s="349"/>
      <c r="M284" s="433" t="s">
        <v>545</v>
      </c>
      <c r="N284" s="433"/>
      <c r="O284" s="433"/>
      <c r="P284" s="433"/>
      <c r="Q284" s="433"/>
      <c r="R284" s="433"/>
      <c r="S284" s="433"/>
    </row>
    <row r="285" spans="1:19" x14ac:dyDescent="0.2">
      <c r="A285" s="350"/>
      <c r="B285" s="427" t="s">
        <v>544</v>
      </c>
      <c r="C285" s="427"/>
      <c r="D285" s="427"/>
      <c r="E285" s="427"/>
      <c r="F285" s="427"/>
      <c r="G285" s="427"/>
      <c r="H285" s="427"/>
      <c r="I285" s="427"/>
      <c r="J285" s="349"/>
      <c r="M285" s="433"/>
      <c r="N285" s="433"/>
      <c r="O285" s="433"/>
      <c r="P285" s="433"/>
      <c r="Q285" s="433"/>
      <c r="R285" s="433"/>
      <c r="S285" s="433"/>
    </row>
    <row r="286" spans="1:19" x14ac:dyDescent="0.2">
      <c r="A286" s="350"/>
      <c r="B286" s="427"/>
      <c r="C286" s="427"/>
      <c r="D286" s="427"/>
      <c r="E286" s="427"/>
      <c r="F286" s="427"/>
      <c r="G286" s="427"/>
      <c r="H286" s="427"/>
      <c r="I286" s="427"/>
      <c r="J286" s="349"/>
      <c r="M286" s="238" t="s">
        <v>543</v>
      </c>
    </row>
    <row r="287" spans="1:19" x14ac:dyDescent="0.2">
      <c r="A287" s="350"/>
      <c r="B287" s="235"/>
      <c r="C287" s="235"/>
      <c r="D287" s="235"/>
      <c r="E287" s="235"/>
      <c r="F287" s="235"/>
      <c r="G287" s="235"/>
      <c r="H287" s="235"/>
      <c r="I287" s="235"/>
      <c r="J287" s="349"/>
      <c r="M287" s="433" t="s">
        <v>542</v>
      </c>
      <c r="N287" s="433"/>
      <c r="O287" s="433"/>
      <c r="P287" s="433"/>
      <c r="Q287" s="433"/>
      <c r="R287" s="433"/>
      <c r="S287" s="433"/>
    </row>
    <row r="288" spans="1:19" x14ac:dyDescent="0.2">
      <c r="A288" s="350"/>
      <c r="B288" s="351" t="s">
        <v>430</v>
      </c>
      <c r="C288" s="235"/>
      <c r="D288" s="235"/>
      <c r="E288" s="235"/>
      <c r="F288" s="235"/>
      <c r="G288" s="235"/>
      <c r="H288" s="235"/>
      <c r="I288" s="235"/>
      <c r="J288" s="349"/>
      <c r="M288" s="433"/>
      <c r="N288" s="433"/>
      <c r="O288" s="433"/>
      <c r="P288" s="433"/>
      <c r="Q288" s="433"/>
      <c r="R288" s="433"/>
      <c r="S288" s="433"/>
    </row>
    <row r="289" spans="1:19" x14ac:dyDescent="0.2">
      <c r="A289" s="350"/>
      <c r="B289" s="235"/>
      <c r="C289" s="235"/>
      <c r="D289" s="235"/>
      <c r="E289" s="235"/>
      <c r="F289" s="235"/>
      <c r="G289" s="235"/>
      <c r="H289" s="235"/>
      <c r="I289" s="235"/>
      <c r="J289" s="349"/>
      <c r="M289" s="433" t="s">
        <v>541</v>
      </c>
      <c r="N289" s="433"/>
      <c r="O289" s="433"/>
      <c r="P289" s="433"/>
      <c r="Q289" s="433"/>
      <c r="R289" s="433"/>
      <c r="S289" s="433"/>
    </row>
    <row r="290" spans="1:19" x14ac:dyDescent="0.2">
      <c r="A290" s="350"/>
      <c r="B290" s="235" t="s">
        <v>540</v>
      </c>
      <c r="C290" s="235"/>
      <c r="D290" s="235"/>
      <c r="E290" s="235"/>
      <c r="F290" s="235"/>
      <c r="G290" s="235"/>
      <c r="H290" s="235"/>
      <c r="I290" s="235"/>
      <c r="J290" s="349"/>
      <c r="M290" s="433"/>
      <c r="N290" s="433"/>
      <c r="O290" s="433"/>
      <c r="P290" s="433"/>
      <c r="Q290" s="433"/>
      <c r="R290" s="433"/>
      <c r="S290" s="433"/>
    </row>
    <row r="291" spans="1:19" ht="17" thickBot="1" x14ac:dyDescent="0.25">
      <c r="A291" s="348"/>
      <c r="B291" s="347"/>
      <c r="C291" s="347"/>
      <c r="D291" s="347"/>
      <c r="E291" s="347"/>
      <c r="F291" s="347"/>
      <c r="G291" s="347"/>
      <c r="H291" s="347"/>
      <c r="I291" s="347"/>
      <c r="J291" s="346"/>
      <c r="M291" s="238" t="s">
        <v>539</v>
      </c>
    </row>
    <row r="293" spans="1:19" x14ac:dyDescent="0.2">
      <c r="M293" s="310" t="s">
        <v>438</v>
      </c>
    </row>
    <row r="295" spans="1:19" x14ac:dyDescent="0.2">
      <c r="M295" s="238" t="s">
        <v>538</v>
      </c>
    </row>
    <row r="296" spans="1:19" x14ac:dyDescent="0.2">
      <c r="M296" s="238" t="s">
        <v>537</v>
      </c>
    </row>
    <row r="297" spans="1:19" x14ac:dyDescent="0.2">
      <c r="M297" s="433" t="s">
        <v>536</v>
      </c>
      <c r="N297" s="433"/>
      <c r="O297" s="433"/>
      <c r="P297" s="433"/>
      <c r="Q297" s="433"/>
      <c r="R297" s="433"/>
      <c r="S297" s="433"/>
    </row>
    <row r="298" spans="1:19" x14ac:dyDescent="0.2">
      <c r="M298" s="433"/>
      <c r="N298" s="433"/>
      <c r="O298" s="433"/>
      <c r="P298" s="433"/>
      <c r="Q298" s="433"/>
      <c r="R298" s="433"/>
      <c r="S298" s="433"/>
    </row>
    <row r="300" spans="1:19" x14ac:dyDescent="0.2">
      <c r="M300" s="344" t="s">
        <v>535</v>
      </c>
    </row>
    <row r="302" spans="1:19" x14ac:dyDescent="0.2">
      <c r="M302" s="310" t="s">
        <v>318</v>
      </c>
    </row>
    <row r="304" spans="1:19" x14ac:dyDescent="0.2">
      <c r="M304" s="433" t="s">
        <v>534</v>
      </c>
      <c r="N304" s="433"/>
      <c r="O304" s="433"/>
      <c r="P304" s="433"/>
      <c r="Q304" s="433"/>
      <c r="R304" s="433"/>
      <c r="S304" s="433"/>
    </row>
    <row r="305" spans="13:19" x14ac:dyDescent="0.2">
      <c r="M305" s="433"/>
      <c r="N305" s="433"/>
      <c r="O305" s="433"/>
      <c r="P305" s="433"/>
      <c r="Q305" s="433"/>
      <c r="R305" s="433"/>
      <c r="S305" s="433"/>
    </row>
    <row r="307" spans="13:19" x14ac:dyDescent="0.2">
      <c r="M307" s="310" t="s">
        <v>308</v>
      </c>
    </row>
    <row r="309" spans="13:19" x14ac:dyDescent="0.2">
      <c r="M309" s="238" t="s">
        <v>533</v>
      </c>
    </row>
    <row r="310" spans="13:19" x14ac:dyDescent="0.2">
      <c r="M310" s="238" t="s">
        <v>532</v>
      </c>
    </row>
    <row r="311" spans="13:19" x14ac:dyDescent="0.2">
      <c r="M311" s="433" t="s">
        <v>531</v>
      </c>
      <c r="N311" s="433"/>
      <c r="O311" s="433"/>
      <c r="P311" s="433"/>
      <c r="Q311" s="433"/>
      <c r="R311" s="433"/>
      <c r="S311" s="433"/>
    </row>
    <row r="312" spans="13:19" x14ac:dyDescent="0.2">
      <c r="M312" s="433"/>
      <c r="N312" s="433"/>
      <c r="O312" s="433"/>
      <c r="P312" s="433"/>
      <c r="Q312" s="433"/>
      <c r="R312" s="433"/>
      <c r="S312" s="433"/>
    </row>
    <row r="313" spans="13:19" x14ac:dyDescent="0.2">
      <c r="M313" s="238" t="s">
        <v>530</v>
      </c>
    </row>
    <row r="314" spans="13:19" x14ac:dyDescent="0.2">
      <c r="M314" s="238" t="s">
        <v>529</v>
      </c>
    </row>
    <row r="315" spans="13:19" x14ac:dyDescent="0.2">
      <c r="M315" s="238" t="s">
        <v>528</v>
      </c>
    </row>
    <row r="316" spans="13:19" x14ac:dyDescent="0.2">
      <c r="M316" s="238" t="s">
        <v>527</v>
      </c>
    </row>
    <row r="317" spans="13:19" x14ac:dyDescent="0.2">
      <c r="M317" s="238" t="s">
        <v>526</v>
      </c>
    </row>
    <row r="319" spans="13:19" x14ac:dyDescent="0.2">
      <c r="M319" s="344" t="s">
        <v>525</v>
      </c>
    </row>
    <row r="321" spans="13:19" x14ac:dyDescent="0.2">
      <c r="M321" s="310" t="s">
        <v>318</v>
      </c>
    </row>
    <row r="323" spans="13:19" x14ac:dyDescent="0.2">
      <c r="M323" s="433" t="s">
        <v>524</v>
      </c>
      <c r="N323" s="433"/>
      <c r="O323" s="433"/>
      <c r="P323" s="433"/>
      <c r="Q323" s="433"/>
      <c r="R323" s="433"/>
      <c r="S323" s="433"/>
    </row>
    <row r="324" spans="13:19" x14ac:dyDescent="0.2">
      <c r="M324" s="433"/>
      <c r="N324" s="433"/>
      <c r="O324" s="433"/>
      <c r="P324" s="433"/>
      <c r="Q324" s="433"/>
      <c r="R324" s="433"/>
      <c r="S324" s="433"/>
    </row>
    <row r="326" spans="13:19" x14ac:dyDescent="0.2">
      <c r="M326" s="310" t="s">
        <v>308</v>
      </c>
    </row>
    <row r="328" spans="13:19" x14ac:dyDescent="0.2">
      <c r="M328" s="433" t="s">
        <v>523</v>
      </c>
      <c r="N328" s="433"/>
      <c r="O328" s="433"/>
      <c r="P328" s="433"/>
      <c r="Q328" s="433"/>
      <c r="R328" s="433"/>
      <c r="S328" s="433"/>
    </row>
    <row r="329" spans="13:19" x14ac:dyDescent="0.2">
      <c r="M329" s="433"/>
      <c r="N329" s="433"/>
      <c r="O329" s="433"/>
      <c r="P329" s="433"/>
      <c r="Q329" s="433"/>
      <c r="R329" s="433"/>
      <c r="S329" s="433"/>
    </row>
    <row r="330" spans="13:19" x14ac:dyDescent="0.2">
      <c r="M330" s="433"/>
      <c r="N330" s="433"/>
      <c r="O330" s="433"/>
      <c r="P330" s="433"/>
      <c r="Q330" s="433"/>
      <c r="R330" s="433"/>
      <c r="S330" s="433"/>
    </row>
    <row r="332" spans="13:19" x14ac:dyDescent="0.2">
      <c r="M332" s="344" t="s">
        <v>522</v>
      </c>
    </row>
    <row r="334" spans="13:19" x14ac:dyDescent="0.2">
      <c r="M334" s="310" t="s">
        <v>318</v>
      </c>
    </row>
    <row r="336" spans="13:19" x14ac:dyDescent="0.2">
      <c r="M336" s="238" t="s">
        <v>521</v>
      </c>
    </row>
    <row r="337" spans="13:19" x14ac:dyDescent="0.2">
      <c r="M337" s="238" t="s">
        <v>520</v>
      </c>
    </row>
    <row r="339" spans="13:19" x14ac:dyDescent="0.2">
      <c r="M339" s="310" t="s">
        <v>308</v>
      </c>
    </row>
    <row r="341" spans="13:19" x14ac:dyDescent="0.2">
      <c r="M341" s="238" t="s">
        <v>519</v>
      </c>
    </row>
    <row r="342" spans="13:19" x14ac:dyDescent="0.2">
      <c r="M342" s="238" t="s">
        <v>518</v>
      </c>
    </row>
    <row r="343" spans="13:19" x14ac:dyDescent="0.2">
      <c r="M343" s="433" t="s">
        <v>517</v>
      </c>
      <c r="N343" s="433"/>
      <c r="O343" s="433"/>
      <c r="P343" s="433"/>
      <c r="Q343" s="433"/>
      <c r="R343" s="433"/>
      <c r="S343" s="433"/>
    </row>
    <row r="344" spans="13:19" x14ac:dyDescent="0.2">
      <c r="M344" s="433"/>
      <c r="N344" s="433"/>
      <c r="O344" s="433"/>
      <c r="P344" s="433"/>
      <c r="Q344" s="433"/>
      <c r="R344" s="433"/>
      <c r="S344" s="433"/>
    </row>
    <row r="346" spans="13:19" x14ac:dyDescent="0.2">
      <c r="M346" s="310" t="s">
        <v>409</v>
      </c>
    </row>
    <row r="348" spans="13:19" x14ac:dyDescent="0.2">
      <c r="M348" s="433" t="s">
        <v>516</v>
      </c>
      <c r="N348" s="433"/>
      <c r="O348" s="433"/>
      <c r="P348" s="433"/>
      <c r="Q348" s="433"/>
      <c r="R348" s="433"/>
      <c r="S348" s="433"/>
    </row>
    <row r="349" spans="13:19" x14ac:dyDescent="0.2">
      <c r="M349" s="433"/>
      <c r="N349" s="433"/>
      <c r="O349" s="433"/>
      <c r="P349" s="433"/>
      <c r="Q349" s="433"/>
      <c r="R349" s="433"/>
      <c r="S349" s="433"/>
    </row>
    <row r="351" spans="13:19" x14ac:dyDescent="0.2">
      <c r="M351" s="344" t="s">
        <v>515</v>
      </c>
    </row>
    <row r="353" spans="13:19" x14ac:dyDescent="0.2">
      <c r="M353" s="310" t="s">
        <v>318</v>
      </c>
    </row>
    <row r="355" spans="13:19" x14ac:dyDescent="0.2">
      <c r="M355" s="433" t="s">
        <v>514</v>
      </c>
      <c r="N355" s="433"/>
      <c r="O355" s="433"/>
      <c r="P355" s="433"/>
      <c r="Q355" s="433"/>
      <c r="R355" s="433"/>
      <c r="S355" s="433"/>
    </row>
    <row r="356" spans="13:19" x14ac:dyDescent="0.2">
      <c r="M356" s="433"/>
      <c r="N356" s="433"/>
      <c r="O356" s="433"/>
      <c r="P356" s="433"/>
      <c r="Q356" s="433"/>
      <c r="R356" s="433"/>
      <c r="S356" s="433"/>
    </row>
    <row r="358" spans="13:19" x14ac:dyDescent="0.2">
      <c r="M358" s="310" t="s">
        <v>308</v>
      </c>
    </row>
    <row r="360" spans="13:19" x14ac:dyDescent="0.2">
      <c r="M360" s="433" t="s">
        <v>513</v>
      </c>
      <c r="N360" s="433"/>
      <c r="O360" s="433"/>
      <c r="P360" s="433"/>
      <c r="Q360" s="433"/>
      <c r="R360" s="433"/>
      <c r="S360" s="433"/>
    </row>
    <row r="361" spans="13:19" x14ac:dyDescent="0.2">
      <c r="M361" s="433"/>
      <c r="N361" s="433"/>
      <c r="O361" s="433"/>
      <c r="P361" s="433"/>
      <c r="Q361" s="433"/>
      <c r="R361" s="433"/>
      <c r="S361" s="433"/>
    </row>
    <row r="363" spans="13:19" x14ac:dyDescent="0.2">
      <c r="M363" s="406" t="s">
        <v>512</v>
      </c>
      <c r="N363" s="418"/>
      <c r="O363" s="406" t="s">
        <v>511</v>
      </c>
      <c r="P363" s="418"/>
      <c r="Q363" s="406" t="s">
        <v>511</v>
      </c>
      <c r="R363" s="406"/>
    </row>
    <row r="364" spans="13:19" x14ac:dyDescent="0.2">
      <c r="M364" s="449" t="s">
        <v>34</v>
      </c>
      <c r="N364" s="450"/>
      <c r="O364" s="449" t="s">
        <v>510</v>
      </c>
      <c r="P364" s="450"/>
      <c r="Q364" s="449" t="s">
        <v>509</v>
      </c>
      <c r="R364" s="449"/>
    </row>
    <row r="365" spans="13:19" x14ac:dyDescent="0.2">
      <c r="M365" s="448">
        <v>43831</v>
      </c>
      <c r="N365" s="446"/>
      <c r="O365" s="445" t="s">
        <v>508</v>
      </c>
      <c r="P365" s="446"/>
      <c r="Q365" s="445" t="s">
        <v>507</v>
      </c>
      <c r="R365" s="445"/>
    </row>
    <row r="366" spans="13:19" x14ac:dyDescent="0.2">
      <c r="M366" s="447">
        <v>44196</v>
      </c>
      <c r="N366" s="418"/>
      <c r="O366" s="406" t="s">
        <v>506</v>
      </c>
      <c r="P366" s="418"/>
      <c r="Q366" s="406" t="s">
        <v>505</v>
      </c>
      <c r="R366" s="406"/>
    </row>
    <row r="368" spans="13:19" x14ac:dyDescent="0.2">
      <c r="M368" s="433" t="s">
        <v>504</v>
      </c>
      <c r="N368" s="433"/>
      <c r="O368" s="433"/>
      <c r="P368" s="433"/>
      <c r="Q368" s="433"/>
      <c r="R368" s="433"/>
      <c r="S368" s="433"/>
    </row>
    <row r="369" spans="13:19" x14ac:dyDescent="0.2">
      <c r="M369" s="433"/>
      <c r="N369" s="433"/>
      <c r="O369" s="433"/>
      <c r="P369" s="433"/>
      <c r="Q369" s="433"/>
      <c r="R369" s="433"/>
      <c r="S369" s="433"/>
    </row>
    <row r="371" spans="13:19" x14ac:dyDescent="0.2">
      <c r="M371" s="310" t="s">
        <v>409</v>
      </c>
    </row>
    <row r="373" spans="13:19" x14ac:dyDescent="0.2">
      <c r="M373" s="238" t="s">
        <v>503</v>
      </c>
    </row>
    <row r="375" spans="13:19" x14ac:dyDescent="0.2">
      <c r="M375" s="310" t="s">
        <v>438</v>
      </c>
    </row>
    <row r="377" spans="13:19" x14ac:dyDescent="0.2">
      <c r="M377" s="238" t="s">
        <v>502</v>
      </c>
    </row>
    <row r="378" spans="13:19" x14ac:dyDescent="0.2">
      <c r="M378" s="238" t="s">
        <v>501</v>
      </c>
    </row>
    <row r="380" spans="13:19" x14ac:dyDescent="0.2">
      <c r="M380" s="344" t="s">
        <v>500</v>
      </c>
    </row>
    <row r="381" spans="13:19" ht="15.75" customHeight="1" x14ac:dyDescent="0.2"/>
    <row r="382" spans="13:19" x14ac:dyDescent="0.2">
      <c r="M382" s="238" t="s">
        <v>499</v>
      </c>
    </row>
    <row r="383" spans="13:19" x14ac:dyDescent="0.2">
      <c r="M383" s="433" t="s">
        <v>498</v>
      </c>
      <c r="N383" s="433"/>
      <c r="O383" s="433"/>
      <c r="P383" s="433"/>
      <c r="Q383" s="433"/>
      <c r="R383" s="433"/>
      <c r="S383" s="433"/>
    </row>
    <row r="384" spans="13:19" x14ac:dyDescent="0.2">
      <c r="M384" s="433"/>
      <c r="N384" s="433"/>
      <c r="O384" s="433"/>
      <c r="P384" s="433"/>
      <c r="Q384" s="433"/>
      <c r="R384" s="433"/>
      <c r="S384" s="433"/>
    </row>
    <row r="385" spans="13:19" x14ac:dyDescent="0.2">
      <c r="M385" s="433"/>
      <c r="N385" s="433"/>
      <c r="O385" s="433"/>
      <c r="P385" s="433"/>
      <c r="Q385" s="433"/>
      <c r="R385" s="433"/>
      <c r="S385" s="433"/>
    </row>
    <row r="387" spans="13:19" x14ac:dyDescent="0.2">
      <c r="M387" s="344" t="s">
        <v>497</v>
      </c>
    </row>
    <row r="389" spans="13:19" x14ac:dyDescent="0.2">
      <c r="M389" s="310" t="s">
        <v>318</v>
      </c>
    </row>
    <row r="391" spans="13:19" x14ac:dyDescent="0.2">
      <c r="M391" s="238" t="s">
        <v>496</v>
      </c>
    </row>
    <row r="393" spans="13:19" x14ac:dyDescent="0.2">
      <c r="M393" s="310" t="s">
        <v>308</v>
      </c>
    </row>
    <row r="395" spans="13:19" x14ac:dyDescent="0.2">
      <c r="M395" s="238" t="s">
        <v>495</v>
      </c>
    </row>
    <row r="396" spans="13:19" x14ac:dyDescent="0.2">
      <c r="M396" s="433" t="s">
        <v>494</v>
      </c>
      <c r="N396" s="433"/>
      <c r="O396" s="433"/>
      <c r="P396" s="433"/>
      <c r="Q396" s="433"/>
      <c r="R396" s="433"/>
      <c r="S396" s="433"/>
    </row>
    <row r="397" spans="13:19" x14ac:dyDescent="0.2">
      <c r="M397" s="433"/>
      <c r="N397" s="433"/>
      <c r="O397" s="433"/>
      <c r="P397" s="433"/>
      <c r="Q397" s="433"/>
      <c r="R397" s="433"/>
      <c r="S397" s="433"/>
    </row>
    <row r="398" spans="13:19" x14ac:dyDescent="0.2">
      <c r="M398" s="238" t="s">
        <v>493</v>
      </c>
    </row>
    <row r="399" spans="13:19" x14ac:dyDescent="0.2">
      <c r="M399" s="238" t="s">
        <v>492</v>
      </c>
    </row>
    <row r="401" spans="13:19" x14ac:dyDescent="0.2">
      <c r="M401" s="344" t="s">
        <v>491</v>
      </c>
    </row>
    <row r="403" spans="13:19" x14ac:dyDescent="0.2">
      <c r="M403" s="238" t="s">
        <v>490</v>
      </c>
    </row>
    <row r="404" spans="13:19" x14ac:dyDescent="0.2">
      <c r="M404" s="433" t="s">
        <v>489</v>
      </c>
      <c r="N404" s="433"/>
      <c r="O404" s="433"/>
      <c r="P404" s="433"/>
      <c r="Q404" s="433"/>
      <c r="R404" s="433"/>
      <c r="S404" s="433"/>
    </row>
    <row r="405" spans="13:19" x14ac:dyDescent="0.2">
      <c r="M405" s="433"/>
      <c r="N405" s="433"/>
      <c r="O405" s="433"/>
      <c r="P405" s="433"/>
      <c r="Q405" s="433"/>
      <c r="R405" s="433"/>
      <c r="S405" s="433"/>
    </row>
    <row r="406" spans="13:19" x14ac:dyDescent="0.2">
      <c r="M406" s="238" t="s">
        <v>488</v>
      </c>
    </row>
    <row r="408" spans="13:19" x14ac:dyDescent="0.2">
      <c r="M408" s="344" t="s">
        <v>487</v>
      </c>
    </row>
    <row r="410" spans="13:19" x14ac:dyDescent="0.2">
      <c r="M410" s="310" t="s">
        <v>318</v>
      </c>
    </row>
    <row r="412" spans="13:19" x14ac:dyDescent="0.2">
      <c r="M412" s="433" t="s">
        <v>486</v>
      </c>
      <c r="N412" s="433"/>
      <c r="O412" s="433"/>
      <c r="P412" s="433"/>
      <c r="Q412" s="433"/>
      <c r="R412" s="433"/>
      <c r="S412" s="433"/>
    </row>
    <row r="413" spans="13:19" x14ac:dyDescent="0.2">
      <c r="M413" s="433"/>
      <c r="N413" s="433"/>
      <c r="O413" s="433"/>
      <c r="P413" s="433"/>
      <c r="Q413" s="433"/>
      <c r="R413" s="433"/>
      <c r="S413" s="433"/>
    </row>
    <row r="414" spans="13:19" x14ac:dyDescent="0.2">
      <c r="M414" s="433" t="s">
        <v>485</v>
      </c>
      <c r="N414" s="433"/>
      <c r="O414" s="433"/>
      <c r="P414" s="433"/>
      <c r="Q414" s="433"/>
      <c r="R414" s="433"/>
      <c r="S414" s="433"/>
    </row>
    <row r="415" spans="13:19" x14ac:dyDescent="0.2">
      <c r="M415" s="433"/>
      <c r="N415" s="433"/>
      <c r="O415" s="433"/>
      <c r="P415" s="433"/>
      <c r="Q415" s="433"/>
      <c r="R415" s="433"/>
      <c r="S415" s="433"/>
    </row>
    <row r="417" spans="13:19" x14ac:dyDescent="0.2">
      <c r="M417" s="310" t="s">
        <v>308</v>
      </c>
    </row>
    <row r="419" spans="13:19" x14ac:dyDescent="0.2">
      <c r="M419" s="238" t="s">
        <v>484</v>
      </c>
    </row>
    <row r="421" spans="13:19" x14ac:dyDescent="0.2">
      <c r="M421" s="344" t="s">
        <v>483</v>
      </c>
    </row>
    <row r="423" spans="13:19" x14ac:dyDescent="0.2">
      <c r="M423" s="433" t="s">
        <v>482</v>
      </c>
      <c r="N423" s="433"/>
      <c r="O423" s="433"/>
      <c r="P423" s="433"/>
      <c r="Q423" s="433"/>
      <c r="R423" s="433"/>
      <c r="S423" s="433"/>
    </row>
    <row r="424" spans="13:19" x14ac:dyDescent="0.2">
      <c r="M424" s="433"/>
      <c r="N424" s="433"/>
      <c r="O424" s="433"/>
      <c r="P424" s="433"/>
      <c r="Q424" s="433"/>
      <c r="R424" s="433"/>
      <c r="S424" s="433"/>
    </row>
    <row r="425" spans="13:19" x14ac:dyDescent="0.2">
      <c r="M425" s="433"/>
      <c r="N425" s="433"/>
      <c r="O425" s="433"/>
      <c r="P425" s="433"/>
      <c r="Q425" s="433"/>
      <c r="R425" s="433"/>
      <c r="S425" s="433"/>
    </row>
    <row r="427" spans="13:19" x14ac:dyDescent="0.2">
      <c r="M427" s="344" t="s">
        <v>481</v>
      </c>
    </row>
    <row r="429" spans="13:19" x14ac:dyDescent="0.2">
      <c r="M429" s="433" t="s">
        <v>480</v>
      </c>
      <c r="N429" s="433"/>
      <c r="O429" s="433"/>
      <c r="P429" s="433"/>
      <c r="Q429" s="433"/>
      <c r="R429" s="433"/>
      <c r="S429" s="433"/>
    </row>
    <row r="430" spans="13:19" x14ac:dyDescent="0.2">
      <c r="M430" s="433"/>
      <c r="N430" s="433"/>
      <c r="O430" s="433"/>
      <c r="P430" s="433"/>
      <c r="Q430" s="433"/>
      <c r="R430" s="433"/>
      <c r="S430" s="433"/>
    </row>
    <row r="431" spans="13:19" x14ac:dyDescent="0.2">
      <c r="M431" s="238" t="s">
        <v>479</v>
      </c>
    </row>
    <row r="432" spans="13:19" x14ac:dyDescent="0.2">
      <c r="M432" s="238" t="s">
        <v>478</v>
      </c>
    </row>
    <row r="434" spans="13:19" x14ac:dyDescent="0.2">
      <c r="M434" s="344" t="s">
        <v>477</v>
      </c>
    </row>
    <row r="436" spans="13:19" x14ac:dyDescent="0.2">
      <c r="M436" s="310" t="s">
        <v>318</v>
      </c>
    </row>
    <row r="438" spans="13:19" x14ac:dyDescent="0.2">
      <c r="M438" s="443" t="s">
        <v>476</v>
      </c>
      <c r="N438" s="443"/>
      <c r="O438" s="443"/>
      <c r="P438" s="443"/>
      <c r="Q438" s="443"/>
      <c r="R438" s="443"/>
      <c r="S438" s="443"/>
    </row>
    <row r="439" spans="13:19" x14ac:dyDescent="0.2">
      <c r="M439" s="443"/>
      <c r="N439" s="443"/>
      <c r="O439" s="443"/>
      <c r="P439" s="443"/>
      <c r="Q439" s="443"/>
      <c r="R439" s="443"/>
      <c r="S439" s="443"/>
    </row>
    <row r="441" spans="13:19" x14ac:dyDescent="0.2">
      <c r="M441" s="443" t="s">
        <v>475</v>
      </c>
      <c r="N441" s="443"/>
      <c r="O441" s="443"/>
      <c r="P441" s="443"/>
      <c r="Q441" s="443"/>
      <c r="R441" s="443"/>
      <c r="S441" s="443"/>
    </row>
    <row r="442" spans="13:19" x14ac:dyDescent="0.2">
      <c r="M442" s="443"/>
      <c r="N442" s="443"/>
      <c r="O442" s="443"/>
      <c r="P442" s="443"/>
      <c r="Q442" s="443"/>
      <c r="R442" s="443"/>
      <c r="S442" s="443"/>
    </row>
    <row r="444" spans="13:19" x14ac:dyDescent="0.2">
      <c r="M444" s="443" t="s">
        <v>474</v>
      </c>
      <c r="N444" s="443"/>
      <c r="O444" s="443"/>
      <c r="P444" s="443"/>
      <c r="Q444" s="443"/>
      <c r="R444" s="443"/>
      <c r="S444" s="443"/>
    </row>
    <row r="445" spans="13:19" x14ac:dyDescent="0.2">
      <c r="M445" s="443"/>
      <c r="N445" s="443"/>
      <c r="O445" s="443"/>
      <c r="P445" s="443"/>
      <c r="Q445" s="443"/>
      <c r="R445" s="443"/>
      <c r="S445" s="443"/>
    </row>
    <row r="447" spans="13:19" x14ac:dyDescent="0.2">
      <c r="M447" s="345" t="s">
        <v>473</v>
      </c>
    </row>
    <row r="449" spans="13:19" x14ac:dyDescent="0.2">
      <c r="M449" s="310" t="s">
        <v>308</v>
      </c>
    </row>
    <row r="451" spans="13:19" x14ac:dyDescent="0.2">
      <c r="M451" s="238" t="s">
        <v>472</v>
      </c>
    </row>
    <row r="453" spans="13:19" x14ac:dyDescent="0.2">
      <c r="M453" s="443" t="s">
        <v>471</v>
      </c>
      <c r="N453" s="443"/>
      <c r="O453" s="443"/>
      <c r="P453" s="443"/>
      <c r="Q453" s="443"/>
      <c r="R453" s="443"/>
      <c r="S453" s="443"/>
    </row>
    <row r="454" spans="13:19" x14ac:dyDescent="0.2">
      <c r="M454" s="443"/>
      <c r="N454" s="443"/>
      <c r="O454" s="443"/>
      <c r="P454" s="443"/>
      <c r="Q454" s="443"/>
      <c r="R454" s="443"/>
      <c r="S454" s="443"/>
    </row>
    <row r="455" spans="13:19" x14ac:dyDescent="0.2">
      <c r="M455" s="345" t="s">
        <v>470</v>
      </c>
    </row>
    <row r="456" spans="13:19" x14ac:dyDescent="0.2">
      <c r="M456" s="345" t="s">
        <v>469</v>
      </c>
    </row>
    <row r="458" spans="13:19" x14ac:dyDescent="0.2">
      <c r="M458" s="310" t="s">
        <v>409</v>
      </c>
    </row>
    <row r="460" spans="13:19" x14ac:dyDescent="0.2">
      <c r="M460" s="433" t="s">
        <v>468</v>
      </c>
      <c r="N460" s="433"/>
      <c r="O460" s="433"/>
      <c r="P460" s="433"/>
      <c r="Q460" s="433"/>
      <c r="R460" s="433"/>
      <c r="S460" s="433"/>
    </row>
    <row r="461" spans="13:19" x14ac:dyDescent="0.2">
      <c r="M461" s="433"/>
      <c r="N461" s="433"/>
      <c r="O461" s="433"/>
      <c r="P461" s="433"/>
      <c r="Q461" s="433"/>
      <c r="R461" s="433"/>
      <c r="S461" s="433"/>
    </row>
    <row r="463" spans="13:19" x14ac:dyDescent="0.2">
      <c r="M463" s="344" t="s">
        <v>467</v>
      </c>
    </row>
    <row r="465" spans="13:19" x14ac:dyDescent="0.2">
      <c r="M465" s="238" t="s">
        <v>466</v>
      </c>
    </row>
    <row r="467" spans="13:19" x14ac:dyDescent="0.2">
      <c r="M467" s="238" t="s">
        <v>465</v>
      </c>
    </row>
    <row r="468" spans="13:19" x14ac:dyDescent="0.2">
      <c r="M468" s="238" t="s">
        <v>464</v>
      </c>
    </row>
    <row r="469" spans="13:19" x14ac:dyDescent="0.2">
      <c r="M469" s="238" t="s">
        <v>463</v>
      </c>
    </row>
    <row r="470" spans="13:19" x14ac:dyDescent="0.2">
      <c r="M470" s="238" t="s">
        <v>462</v>
      </c>
    </row>
    <row r="472" spans="13:19" x14ac:dyDescent="0.2">
      <c r="M472" s="344" t="s">
        <v>461</v>
      </c>
    </row>
    <row r="474" spans="13:19" x14ac:dyDescent="0.2">
      <c r="M474" s="433" t="s">
        <v>460</v>
      </c>
      <c r="N474" s="433"/>
      <c r="O474" s="433"/>
      <c r="P474" s="433"/>
      <c r="Q474" s="433"/>
      <c r="R474" s="433"/>
      <c r="S474" s="433"/>
    </row>
    <row r="475" spans="13:19" x14ac:dyDescent="0.2">
      <c r="M475" s="433"/>
      <c r="N475" s="433"/>
      <c r="O475" s="433"/>
      <c r="P475" s="433"/>
      <c r="Q475" s="433"/>
      <c r="R475" s="433"/>
      <c r="S475" s="433"/>
    </row>
    <row r="477" spans="13:19" x14ac:dyDescent="0.2">
      <c r="M477" s="344" t="s">
        <v>459</v>
      </c>
    </row>
    <row r="479" spans="13:19" x14ac:dyDescent="0.2">
      <c r="M479" s="433" t="s">
        <v>458</v>
      </c>
      <c r="N479" s="433"/>
      <c r="O479" s="433"/>
      <c r="P479" s="433"/>
      <c r="Q479" s="433"/>
      <c r="R479" s="433"/>
      <c r="S479" s="433"/>
    </row>
    <row r="480" spans="13:19" x14ac:dyDescent="0.2">
      <c r="M480" s="433"/>
      <c r="N480" s="433"/>
      <c r="O480" s="433"/>
      <c r="P480" s="433"/>
      <c r="Q480" s="433"/>
      <c r="R480" s="433"/>
      <c r="S480" s="433"/>
    </row>
    <row r="481" spans="13:19" x14ac:dyDescent="0.2">
      <c r="M481" s="238" t="s">
        <v>457</v>
      </c>
    </row>
    <row r="482" spans="13:19" x14ac:dyDescent="0.2">
      <c r="M482" s="238" t="s">
        <v>456</v>
      </c>
    </row>
    <row r="483" spans="13:19" x14ac:dyDescent="0.2">
      <c r="M483" s="238" t="s">
        <v>455</v>
      </c>
    </row>
    <row r="485" spans="13:19" x14ac:dyDescent="0.2">
      <c r="M485" s="344" t="s">
        <v>454</v>
      </c>
    </row>
    <row r="487" spans="13:19" x14ac:dyDescent="0.2">
      <c r="M487" s="238" t="s">
        <v>453</v>
      </c>
    </row>
    <row r="489" spans="13:19" ht="15.75" customHeight="1" x14ac:dyDescent="0.2">
      <c r="M489" s="344" t="s">
        <v>452</v>
      </c>
    </row>
    <row r="491" spans="13:19" x14ac:dyDescent="0.2">
      <c r="M491" s="433" t="s">
        <v>451</v>
      </c>
      <c r="N491" s="433"/>
      <c r="O491" s="433"/>
      <c r="P491" s="433"/>
      <c r="Q491" s="433"/>
      <c r="R491" s="433"/>
      <c r="S491" s="433"/>
    </row>
    <row r="492" spans="13:19" x14ac:dyDescent="0.2">
      <c r="M492" s="433"/>
      <c r="N492" s="433"/>
      <c r="O492" s="433"/>
      <c r="P492" s="433"/>
      <c r="Q492" s="433"/>
      <c r="R492" s="433"/>
      <c r="S492" s="433"/>
    </row>
    <row r="493" spans="13:19" x14ac:dyDescent="0.2">
      <c r="M493" s="433"/>
      <c r="N493" s="433"/>
      <c r="O493" s="433"/>
      <c r="P493" s="433"/>
      <c r="Q493" s="433"/>
      <c r="R493" s="433"/>
      <c r="S493" s="433"/>
    </row>
    <row r="495" spans="13:19" x14ac:dyDescent="0.2">
      <c r="M495" s="433" t="s">
        <v>450</v>
      </c>
      <c r="N495" s="433"/>
      <c r="O495" s="433"/>
      <c r="P495" s="433"/>
      <c r="Q495" s="433"/>
      <c r="R495" s="433"/>
      <c r="S495" s="433"/>
    </row>
    <row r="496" spans="13:19" x14ac:dyDescent="0.2">
      <c r="M496" s="433"/>
      <c r="N496" s="433"/>
      <c r="O496" s="433"/>
      <c r="P496" s="433"/>
      <c r="Q496" s="433"/>
      <c r="R496" s="433"/>
      <c r="S496" s="433"/>
    </row>
    <row r="498" spans="13:19" x14ac:dyDescent="0.2">
      <c r="M498" s="238" t="s">
        <v>449</v>
      </c>
    </row>
    <row r="500" spans="13:19" x14ac:dyDescent="0.2">
      <c r="M500" s="433" t="s">
        <v>448</v>
      </c>
      <c r="N500" s="433"/>
      <c r="O500" s="433"/>
      <c r="P500" s="433"/>
      <c r="Q500" s="433"/>
      <c r="R500" s="433"/>
      <c r="S500" s="433"/>
    </row>
    <row r="501" spans="13:19" x14ac:dyDescent="0.2">
      <c r="M501" s="433"/>
      <c r="N501" s="433"/>
      <c r="O501" s="433"/>
      <c r="P501" s="433"/>
      <c r="Q501" s="433"/>
      <c r="R501" s="433"/>
      <c r="S501" s="433"/>
    </row>
    <row r="502" spans="13:19" x14ac:dyDescent="0.2">
      <c r="M502" s="433"/>
      <c r="N502" s="433"/>
      <c r="O502" s="433"/>
      <c r="P502" s="433"/>
      <c r="Q502" s="433"/>
      <c r="R502" s="433"/>
      <c r="S502" s="433"/>
    </row>
    <row r="504" spans="13:19" x14ac:dyDescent="0.2">
      <c r="M504" s="344" t="s">
        <v>447</v>
      </c>
    </row>
    <row r="506" spans="13:19" x14ac:dyDescent="0.2">
      <c r="M506" s="310" t="s">
        <v>318</v>
      </c>
    </row>
    <row r="508" spans="13:19" x14ac:dyDescent="0.2">
      <c r="M508" s="275" t="s">
        <v>446</v>
      </c>
    </row>
    <row r="510" spans="13:19" x14ac:dyDescent="0.2">
      <c r="M510" s="433" t="s">
        <v>445</v>
      </c>
      <c r="N510" s="433"/>
      <c r="O510" s="433"/>
      <c r="P510" s="433"/>
      <c r="Q510" s="433"/>
      <c r="R510" s="433"/>
      <c r="S510" s="433"/>
    </row>
    <row r="511" spans="13:19" x14ac:dyDescent="0.2">
      <c r="M511" s="433"/>
      <c r="N511" s="433"/>
      <c r="O511" s="433"/>
      <c r="P511" s="433"/>
      <c r="Q511" s="433"/>
      <c r="R511" s="433"/>
      <c r="S511" s="433"/>
    </row>
    <row r="513" spans="13:19" x14ac:dyDescent="0.2">
      <c r="M513" s="275" t="s">
        <v>444</v>
      </c>
    </row>
    <row r="515" spans="13:19" x14ac:dyDescent="0.2">
      <c r="M515" s="433" t="s">
        <v>443</v>
      </c>
      <c r="N515" s="433"/>
      <c r="O515" s="433"/>
      <c r="P515" s="433"/>
      <c r="Q515" s="433"/>
      <c r="R515" s="433"/>
      <c r="S515" s="433"/>
    </row>
    <row r="516" spans="13:19" x14ac:dyDescent="0.2">
      <c r="M516" s="433"/>
      <c r="N516" s="433"/>
      <c r="O516" s="433"/>
      <c r="P516" s="433"/>
      <c r="Q516" s="433"/>
      <c r="R516" s="433"/>
      <c r="S516" s="433"/>
    </row>
    <row r="518" spans="13:19" x14ac:dyDescent="0.2">
      <c r="M518" s="275" t="s">
        <v>442</v>
      </c>
    </row>
    <row r="520" spans="13:19" x14ac:dyDescent="0.2">
      <c r="M520" s="433" t="s">
        <v>441</v>
      </c>
      <c r="N520" s="433"/>
      <c r="O520" s="433"/>
      <c r="P520" s="433"/>
      <c r="Q520" s="433"/>
      <c r="R520" s="433"/>
      <c r="S520" s="433"/>
    </row>
    <row r="521" spans="13:19" x14ac:dyDescent="0.2">
      <c r="M521" s="433"/>
      <c r="N521" s="433"/>
      <c r="O521" s="433"/>
      <c r="P521" s="433"/>
      <c r="Q521" s="433"/>
      <c r="R521" s="433"/>
      <c r="S521" s="433"/>
    </row>
    <row r="523" spans="13:19" x14ac:dyDescent="0.2">
      <c r="M523" s="310" t="s">
        <v>308</v>
      </c>
    </row>
    <row r="525" spans="13:19" x14ac:dyDescent="0.2">
      <c r="M525" s="433" t="s">
        <v>440</v>
      </c>
      <c r="N525" s="433"/>
      <c r="O525" s="433"/>
      <c r="P525" s="433"/>
      <c r="Q525" s="433"/>
      <c r="R525" s="433"/>
      <c r="S525" s="433"/>
    </row>
    <row r="526" spans="13:19" x14ac:dyDescent="0.2">
      <c r="M526" s="433"/>
      <c r="N526" s="433"/>
      <c r="O526" s="433"/>
      <c r="P526" s="433"/>
      <c r="Q526" s="433"/>
      <c r="R526" s="433"/>
      <c r="S526" s="433"/>
    </row>
    <row r="528" spans="13:19" x14ac:dyDescent="0.2">
      <c r="M528" s="310" t="s">
        <v>409</v>
      </c>
    </row>
    <row r="530" spans="13:19" x14ac:dyDescent="0.2">
      <c r="M530" s="433" t="s">
        <v>439</v>
      </c>
      <c r="N530" s="433"/>
      <c r="O530" s="433"/>
      <c r="P530" s="433"/>
      <c r="Q530" s="433"/>
      <c r="R530" s="433"/>
      <c r="S530" s="433"/>
    </row>
    <row r="531" spans="13:19" x14ac:dyDescent="0.2">
      <c r="M531" s="433"/>
      <c r="N531" s="433"/>
      <c r="O531" s="433"/>
      <c r="P531" s="433"/>
      <c r="Q531" s="433"/>
      <c r="R531" s="433"/>
      <c r="S531" s="433"/>
    </row>
    <row r="533" spans="13:19" ht="15.75" customHeight="1" x14ac:dyDescent="0.2">
      <c r="M533" s="310" t="s">
        <v>438</v>
      </c>
    </row>
    <row r="535" spans="13:19" x14ac:dyDescent="0.2">
      <c r="M535" s="433" t="s">
        <v>437</v>
      </c>
      <c r="N535" s="433"/>
      <c r="O535" s="433"/>
      <c r="P535" s="433"/>
      <c r="Q535" s="433"/>
      <c r="R535" s="433"/>
      <c r="S535" s="433"/>
    </row>
    <row r="536" spans="13:19" x14ac:dyDescent="0.2">
      <c r="M536" s="433"/>
      <c r="N536" s="433"/>
      <c r="O536" s="433"/>
      <c r="P536" s="433"/>
      <c r="Q536" s="433"/>
      <c r="R536" s="433"/>
      <c r="S536" s="433"/>
    </row>
    <row r="537" spans="13:19" x14ac:dyDescent="0.2">
      <c r="M537" s="433"/>
      <c r="N537" s="433"/>
      <c r="O537" s="433"/>
      <c r="P537" s="433"/>
      <c r="Q537" s="433"/>
      <c r="R537" s="433"/>
      <c r="S537" s="433"/>
    </row>
    <row r="539" spans="13:19" x14ac:dyDescent="0.2">
      <c r="M539" s="310" t="s">
        <v>436</v>
      </c>
    </row>
    <row r="541" spans="13:19" x14ac:dyDescent="0.2">
      <c r="M541" s="433" t="s">
        <v>435</v>
      </c>
      <c r="N541" s="433"/>
      <c r="O541" s="433"/>
      <c r="P541" s="433"/>
      <c r="Q541" s="433"/>
      <c r="R541" s="433"/>
      <c r="S541" s="433"/>
    </row>
    <row r="542" spans="13:19" x14ac:dyDescent="0.2">
      <c r="M542" s="433"/>
      <c r="N542" s="433"/>
      <c r="O542" s="433"/>
      <c r="P542" s="433"/>
      <c r="Q542" s="433"/>
      <c r="R542" s="433"/>
      <c r="S542" s="433"/>
    </row>
    <row r="543" spans="13:19" x14ac:dyDescent="0.2">
      <c r="M543" s="433" t="s">
        <v>434</v>
      </c>
      <c r="N543" s="433"/>
      <c r="O543" s="433"/>
      <c r="P543" s="433"/>
      <c r="Q543" s="433"/>
      <c r="R543" s="433"/>
      <c r="S543" s="433"/>
    </row>
    <row r="544" spans="13:19" x14ac:dyDescent="0.2">
      <c r="M544" s="433"/>
      <c r="N544" s="433"/>
      <c r="O544" s="433"/>
      <c r="P544" s="433"/>
      <c r="Q544" s="433"/>
      <c r="R544" s="433"/>
      <c r="S544" s="433"/>
    </row>
    <row r="545" spans="13:19" x14ac:dyDescent="0.2">
      <c r="M545" s="238" t="s">
        <v>433</v>
      </c>
    </row>
    <row r="547" spans="13:19" x14ac:dyDescent="0.2">
      <c r="M547" s="344" t="s">
        <v>432</v>
      </c>
    </row>
    <row r="549" spans="13:19" x14ac:dyDescent="0.2">
      <c r="M549" s="433" t="s">
        <v>431</v>
      </c>
      <c r="N549" s="433"/>
      <c r="O549" s="433"/>
      <c r="P549" s="433"/>
      <c r="Q549" s="433"/>
      <c r="R549" s="433"/>
      <c r="S549" s="433"/>
    </row>
    <row r="550" spans="13:19" x14ac:dyDescent="0.2">
      <c r="M550" s="433"/>
      <c r="N550" s="433"/>
      <c r="O550" s="433"/>
      <c r="P550" s="433"/>
      <c r="Q550" s="433"/>
      <c r="R550" s="433"/>
      <c r="S550" s="433"/>
    </row>
    <row r="552" spans="13:19" ht="15.75" customHeight="1" x14ac:dyDescent="0.2">
      <c r="M552" s="344" t="s">
        <v>430</v>
      </c>
    </row>
    <row r="554" spans="13:19" x14ac:dyDescent="0.2">
      <c r="M554" s="433" t="s">
        <v>429</v>
      </c>
      <c r="N554" s="433"/>
      <c r="O554" s="433"/>
      <c r="P554" s="433"/>
      <c r="Q554" s="433"/>
      <c r="R554" s="433"/>
      <c r="S554" s="433"/>
    </row>
    <row r="555" spans="13:19" x14ac:dyDescent="0.2">
      <c r="M555" s="433"/>
      <c r="N555" s="433"/>
      <c r="O555" s="433"/>
      <c r="P555" s="433"/>
      <c r="Q555" s="433"/>
      <c r="R555" s="433"/>
      <c r="S555" s="433"/>
    </row>
    <row r="556" spans="13:19" x14ac:dyDescent="0.2">
      <c r="M556" s="433"/>
      <c r="N556" s="433"/>
      <c r="O556" s="433"/>
      <c r="P556" s="433"/>
      <c r="Q556" s="433"/>
      <c r="R556" s="433"/>
      <c r="S556" s="433"/>
    </row>
    <row r="557" spans="13:19" x14ac:dyDescent="0.2">
      <c r="M557" s="270"/>
      <c r="N557" s="270"/>
      <c r="O557" s="270"/>
      <c r="P557" s="270"/>
      <c r="Q557" s="270"/>
      <c r="R557" s="270"/>
      <c r="S557" s="270"/>
    </row>
  </sheetData>
  <mergeCells count="118">
    <mergeCell ref="M541:S542"/>
    <mergeCell ref="M543:S544"/>
    <mergeCell ref="M549:S550"/>
    <mergeCell ref="M554:S556"/>
    <mergeCell ref="M515:S516"/>
    <mergeCell ref="M520:S521"/>
    <mergeCell ref="M525:S526"/>
    <mergeCell ref="M530:S531"/>
    <mergeCell ref="M535:S537"/>
    <mergeCell ref="M491:S493"/>
    <mergeCell ref="M495:S496"/>
    <mergeCell ref="M500:S502"/>
    <mergeCell ref="M510:S511"/>
    <mergeCell ref="M444:S445"/>
    <mergeCell ref="M453:S454"/>
    <mergeCell ref="M460:S461"/>
    <mergeCell ref="M474:S475"/>
    <mergeCell ref="M479:S480"/>
    <mergeCell ref="M414:S415"/>
    <mergeCell ref="M423:S425"/>
    <mergeCell ref="M429:S430"/>
    <mergeCell ref="M438:S439"/>
    <mergeCell ref="M441:S442"/>
    <mergeCell ref="M383:S385"/>
    <mergeCell ref="M396:S397"/>
    <mergeCell ref="M404:S405"/>
    <mergeCell ref="M412:S413"/>
    <mergeCell ref="B149:I150"/>
    <mergeCell ref="M360:S361"/>
    <mergeCell ref="M368:S369"/>
    <mergeCell ref="M289:S290"/>
    <mergeCell ref="M297:S298"/>
    <mergeCell ref="M304:S305"/>
    <mergeCell ref="M311:S312"/>
    <mergeCell ref="M328:S330"/>
    <mergeCell ref="M363:N363"/>
    <mergeCell ref="Q366:R366"/>
    <mergeCell ref="Q365:R365"/>
    <mergeCell ref="O366:P366"/>
    <mergeCell ref="O365:P365"/>
    <mergeCell ref="M366:N366"/>
    <mergeCell ref="M365:N365"/>
    <mergeCell ref="M343:S344"/>
    <mergeCell ref="Q364:R364"/>
    <mergeCell ref="O364:P364"/>
    <mergeCell ref="M364:N364"/>
    <mergeCell ref="Q363:R363"/>
    <mergeCell ref="O363:P363"/>
    <mergeCell ref="M348:S349"/>
    <mergeCell ref="M355:S356"/>
    <mergeCell ref="M224:S225"/>
    <mergeCell ref="B57:I58"/>
    <mergeCell ref="B125:I126"/>
    <mergeCell ref="B137:I138"/>
    <mergeCell ref="M91:S93"/>
    <mergeCell ref="M97:S98"/>
    <mergeCell ref="M100:S102"/>
    <mergeCell ref="M104:S106"/>
    <mergeCell ref="M108:S110"/>
    <mergeCell ref="M38:S39"/>
    <mergeCell ref="M43:S44"/>
    <mergeCell ref="M46:S47"/>
    <mergeCell ref="M82:S84"/>
    <mergeCell ref="M112:S114"/>
    <mergeCell ref="M124:S125"/>
    <mergeCell ref="M129:S130"/>
    <mergeCell ref="M132:S133"/>
    <mergeCell ref="M53:S54"/>
    <mergeCell ref="M137:S138"/>
    <mergeCell ref="M77:S80"/>
    <mergeCell ref="M56:S58"/>
    <mergeCell ref="M62:S63"/>
    <mergeCell ref="M67:S68"/>
    <mergeCell ref="M70:S71"/>
    <mergeCell ref="M88:S89"/>
    <mergeCell ref="M5:S6"/>
    <mergeCell ref="M8:S9"/>
    <mergeCell ref="M11:S12"/>
    <mergeCell ref="M14:S16"/>
    <mergeCell ref="M20:S21"/>
    <mergeCell ref="M25:S26"/>
    <mergeCell ref="M28:S29"/>
    <mergeCell ref="M31:S33"/>
    <mergeCell ref="M35:S36"/>
    <mergeCell ref="M323:S324"/>
    <mergeCell ref="M274:S275"/>
    <mergeCell ref="M282:S283"/>
    <mergeCell ref="M284:S285"/>
    <mergeCell ref="M287:S288"/>
    <mergeCell ref="M242:S243"/>
    <mergeCell ref="M244:S245"/>
    <mergeCell ref="M246:S247"/>
    <mergeCell ref="M257:S258"/>
    <mergeCell ref="M262:S263"/>
    <mergeCell ref="M230:S231"/>
    <mergeCell ref="M235:S236"/>
    <mergeCell ref="B276:I277"/>
    <mergeCell ref="B280:I281"/>
    <mergeCell ref="B285:I286"/>
    <mergeCell ref="M156:S157"/>
    <mergeCell ref="M167:S168"/>
    <mergeCell ref="M173:S174"/>
    <mergeCell ref="M180:S183"/>
    <mergeCell ref="M187:S190"/>
    <mergeCell ref="M269:S270"/>
    <mergeCell ref="B177:I178"/>
    <mergeCell ref="B272:I273"/>
    <mergeCell ref="M240:S241"/>
    <mergeCell ref="M196:S198"/>
    <mergeCell ref="M200:S201"/>
    <mergeCell ref="M205:S206"/>
    <mergeCell ref="M210:S212"/>
    <mergeCell ref="M214:S216"/>
    <mergeCell ref="B260:I261"/>
    <mergeCell ref="B268:I269"/>
    <mergeCell ref="B193:I194"/>
    <mergeCell ref="B209:I210"/>
    <mergeCell ref="B218:I2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7</vt:i4>
      </vt:variant>
    </vt:vector>
  </HeadingPairs>
  <TitlesOfParts>
    <vt:vector size="27" baseType="lpstr">
      <vt:lpstr>Overview</vt:lpstr>
      <vt:lpstr>Q #1</vt:lpstr>
      <vt:lpstr>Q #2</vt:lpstr>
      <vt:lpstr>Q #3</vt:lpstr>
      <vt:lpstr>Q #4</vt:lpstr>
      <vt:lpstr>Q #5</vt:lpstr>
      <vt:lpstr>Q #6</vt:lpstr>
      <vt:lpstr>Q #7</vt:lpstr>
      <vt:lpstr>Q #8</vt:lpstr>
      <vt:lpstr>Q #9</vt:lpstr>
      <vt:lpstr>Q #10</vt:lpstr>
      <vt:lpstr>Q #11</vt:lpstr>
      <vt:lpstr>Q #12</vt:lpstr>
      <vt:lpstr>Q #13</vt:lpstr>
      <vt:lpstr>Q #14</vt:lpstr>
      <vt:lpstr>Q #15</vt:lpstr>
      <vt:lpstr>Q #16</vt:lpstr>
      <vt:lpstr>Q #17</vt:lpstr>
      <vt:lpstr>Q #18</vt:lpstr>
      <vt:lpstr>Essay Problems</vt:lpstr>
      <vt:lpstr>'Q #11'!Print_Area</vt:lpstr>
      <vt:lpstr>'Q #2'!Print_Area</vt:lpstr>
      <vt:lpstr>'Q #3'!Print_Area</vt:lpstr>
      <vt:lpstr>'Q #4'!Print_Area</vt:lpstr>
      <vt:lpstr>'Q #5'!Print_Area</vt:lpstr>
      <vt:lpstr>'Q #8'!Print_Area</vt:lpstr>
      <vt:lpstr>'Q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cp:lastPrinted>2023-01-17T14:27:04Z</cp:lastPrinted>
  <dcterms:created xsi:type="dcterms:W3CDTF">2020-08-07T14:18:21Z</dcterms:created>
  <dcterms:modified xsi:type="dcterms:W3CDTF">2026-08-16T23:18:10Z</dcterms:modified>
</cp:coreProperties>
</file>