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9"/>
  <workbookPr defaultThemeVersion="166925"/>
  <mc:AlternateContent xmlns:mc="http://schemas.openxmlformats.org/markup-compatibility/2006">
    <mc:Choice Requires="x15">
      <x15ac:absPath xmlns:x15ac="http://schemas.microsoft.com/office/spreadsheetml/2010/11/ac" url="/Users/michaelmcphail/Rising Fellow Dropbox/Rising Fellow/_Products/Exam 7/_Problem Bank/Exam 7 Problem Bank - Original &amp; Past CAS/"/>
    </mc:Choice>
  </mc:AlternateContent>
  <xr:revisionPtr revIDLastSave="0" documentId="13_ncr:1_{ADCC8C6E-C6FF-844A-9B78-A640AF5CC4AD}" xr6:coauthVersionLast="47" xr6:coauthVersionMax="47" xr10:uidLastSave="{00000000-0000-0000-0000-000000000000}"/>
  <bookViews>
    <workbookView xWindow="13300" yWindow="600" windowWidth="22140" windowHeight="18800" xr2:uid="{B2F629C4-F532-0048-94B5-6129BC4B4200}"/>
  </bookViews>
  <sheets>
    <sheet name="Overview" sheetId="9" r:id="rId1"/>
    <sheet name="Q #1" sheetId="1" r:id="rId2"/>
    <sheet name="Q #2" sheetId="2" r:id="rId3"/>
    <sheet name="Q #3" sheetId="3" r:id="rId4"/>
    <sheet name="Q #4" sheetId="4" r:id="rId5"/>
    <sheet name="Q #5" sheetId="5" r:id="rId6"/>
    <sheet name="Q #6" sheetId="6" r:id="rId7"/>
    <sheet name="Q #7" sheetId="7" r:id="rId8"/>
    <sheet name="Q #8" sheetId="8" r:id="rId9"/>
    <sheet name="Q #9" sheetId="10" r:id="rId10"/>
    <sheet name="Q #10" sheetId="11" r:id="rId11"/>
    <sheet name="Q #11" sheetId="12" r:id="rId12"/>
    <sheet name="Q #12" sheetId="13" r:id="rId13"/>
    <sheet name="Q #13" sheetId="14" r:id="rId14"/>
    <sheet name="Q #14" sheetId="15" r:id="rId15"/>
    <sheet name="2011 #6" sheetId="17" r:id="rId16"/>
    <sheet name="2012 #6" sheetId="18" r:id="rId17"/>
    <sheet name="2014 #6" sheetId="19" r:id="rId18"/>
    <sheet name="2015 #6" sheetId="20" r:id="rId19"/>
    <sheet name="2016 #9" sheetId="21" r:id="rId20"/>
    <sheet name="2017 #9" sheetId="22" r:id="rId21"/>
    <sheet name="2018 #2" sheetId="23" r:id="rId22"/>
    <sheet name="Essay Problems" sheetId="16" r:id="rId23"/>
  </sheets>
  <definedNames>
    <definedName name="OLE_LINK2" localSheetId="18">'2015 #6'!$L$33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N8" i="4" l="1"/>
  <c r="N5" i="10"/>
  <c r="N14" i="10" s="1"/>
  <c r="N5" i="22"/>
  <c r="N3" i="22"/>
  <c r="N7" i="22" s="1"/>
  <c r="M28" i="20"/>
  <c r="M18" i="21"/>
  <c r="M11" i="21"/>
  <c r="M29" i="20"/>
  <c r="M26" i="20"/>
  <c r="M25" i="20"/>
  <c r="M19" i="20"/>
  <c r="M11" i="20"/>
  <c r="M7" i="20"/>
  <c r="M5" i="20"/>
  <c r="N6" i="23"/>
  <c r="N10" i="23"/>
  <c r="N11" i="23"/>
  <c r="N12" i="23"/>
  <c r="N14" i="23"/>
  <c r="M7" i="21"/>
  <c r="M13" i="21"/>
  <c r="M14" i="21"/>
  <c r="M16" i="21"/>
  <c r="M6" i="20"/>
  <c r="N11" i="20"/>
  <c r="O11" i="20"/>
  <c r="O12" i="20" s="1"/>
  <c r="N12" i="20" s="1"/>
  <c r="M15" i="20"/>
  <c r="N15" i="20"/>
  <c r="O15" i="20"/>
  <c r="N16" i="20"/>
  <c r="M16" i="20" s="1"/>
  <c r="O16" i="20"/>
  <c r="M24" i="20"/>
  <c r="M5" i="19"/>
  <c r="M9" i="19" s="1"/>
  <c r="M3" i="18"/>
  <c r="M5" i="18" s="1"/>
  <c r="M11" i="18"/>
  <c r="M13" i="18"/>
  <c r="M15" i="18"/>
  <c r="M5" i="17"/>
  <c r="M7" i="17"/>
  <c r="M9" i="17"/>
  <c r="M11" i="17" s="1"/>
  <c r="M15" i="17"/>
  <c r="M17" i="17"/>
  <c r="M35" i="17"/>
  <c r="M37" i="17"/>
  <c r="M44" i="17"/>
  <c r="M46" i="17"/>
  <c r="M51" i="17"/>
  <c r="M53" i="17"/>
  <c r="M55" i="17"/>
  <c r="N12" i="10" l="1"/>
  <c r="N13" i="10"/>
  <c r="M12" i="20"/>
  <c r="M20" i="20"/>
  <c r="N4" i="15"/>
  <c r="O4" i="15"/>
  <c r="N5" i="15"/>
  <c r="O5" i="15"/>
  <c r="N6" i="15"/>
  <c r="N8" i="15" s="1"/>
  <c r="O6" i="15"/>
  <c r="O8" i="15" s="1"/>
  <c r="N10" i="15" s="1"/>
  <c r="N7" i="15"/>
  <c r="O7" i="15"/>
  <c r="N7" i="14"/>
  <c r="O7" i="14"/>
  <c r="N8" i="14"/>
  <c r="O8" i="14"/>
  <c r="N9" i="14"/>
  <c r="O9" i="14"/>
  <c r="N16" i="14" s="1"/>
  <c r="N14" i="14"/>
  <c r="N18" i="14" s="1"/>
  <c r="N15" i="14"/>
  <c r="N7" i="13"/>
  <c r="O7" i="13"/>
  <c r="O12" i="13" s="1"/>
  <c r="P7" i="13"/>
  <c r="N8" i="13"/>
  <c r="O8" i="13"/>
  <c r="P8" i="13"/>
  <c r="N9" i="13"/>
  <c r="P9" i="13" s="1"/>
  <c r="O9" i="13"/>
  <c r="N10" i="13"/>
  <c r="O10" i="13"/>
  <c r="P10" i="13"/>
  <c r="N11" i="13"/>
  <c r="O11" i="13"/>
  <c r="P11" i="13"/>
  <c r="N12" i="13"/>
  <c r="O21" i="13"/>
  <c r="N5" i="12"/>
  <c r="N6" i="12"/>
  <c r="N12" i="12"/>
  <c r="N13" i="12"/>
  <c r="N17" i="12"/>
  <c r="N18" i="12"/>
  <c r="O20" i="12"/>
  <c r="O21" i="12"/>
  <c r="O8" i="11"/>
  <c r="O9" i="11"/>
  <c r="N11" i="11"/>
  <c r="N15" i="11"/>
  <c r="M21" i="20" l="1"/>
  <c r="P12" i="13"/>
  <c r="N15" i="10"/>
  <c r="N17" i="10" s="1"/>
  <c r="N12" i="3" l="1"/>
  <c r="N10" i="3"/>
  <c r="N15" i="7"/>
  <c r="N9" i="5" l="1"/>
  <c r="N27" i="8"/>
  <c r="N10" i="8"/>
  <c r="N9" i="8"/>
  <c r="N5" i="8"/>
  <c r="M9" i="7"/>
  <c r="N9" i="7"/>
  <c r="M10" i="7"/>
  <c r="N10" i="7"/>
  <c r="N8" i="7"/>
  <c r="M8" i="7"/>
  <c r="Q18" i="6"/>
  <c r="Q17" i="6"/>
  <c r="Q16" i="6"/>
  <c r="P18" i="6"/>
  <c r="P17" i="6"/>
  <c r="P16" i="6"/>
  <c r="O18" i="6"/>
  <c r="O17" i="6"/>
  <c r="O16" i="6"/>
  <c r="M17" i="6"/>
  <c r="N17" i="6"/>
  <c r="M18" i="6"/>
  <c r="N18" i="6"/>
  <c r="N16" i="6"/>
  <c r="M16" i="6"/>
  <c r="N4" i="5"/>
  <c r="N3" i="5"/>
  <c r="N7" i="4"/>
  <c r="N10" i="5" l="1"/>
  <c r="N27" i="5"/>
  <c r="R17" i="6"/>
  <c r="N14" i="8"/>
  <c r="N18" i="8" s="1"/>
  <c r="N29" i="8"/>
  <c r="N31" i="8" s="1"/>
  <c r="O8" i="7"/>
  <c r="P8" i="7" s="1"/>
  <c r="O10" i="7"/>
  <c r="P10" i="7" s="1"/>
  <c r="O9" i="7"/>
  <c r="P9" i="7" s="1"/>
  <c r="R18" i="6"/>
  <c r="R16" i="6"/>
  <c r="R19" i="6" s="1"/>
  <c r="N15" i="5"/>
  <c r="N37" i="5" s="1"/>
  <c r="N14" i="4"/>
  <c r="N4" i="4"/>
  <c r="N10" i="4" s="1"/>
  <c r="N18" i="4" s="1"/>
  <c r="N22" i="4" l="1"/>
  <c r="N24" i="4" s="1"/>
  <c r="P11" i="7"/>
  <c r="N36" i="5"/>
  <c r="N38" i="5" s="1"/>
  <c r="N34" i="5"/>
  <c r="N21" i="5"/>
  <c r="N33" i="4"/>
  <c r="N6" i="3"/>
  <c r="N5" i="3"/>
  <c r="N6" i="2"/>
  <c r="N11" i="2" s="1"/>
  <c r="N5" i="2"/>
  <c r="N10" i="2" s="1"/>
  <c r="R8" i="1"/>
  <c r="R9" i="1"/>
  <c r="R10" i="1"/>
  <c r="R7" i="1"/>
  <c r="Q7" i="1"/>
  <c r="Q10" i="1"/>
  <c r="Q9" i="1"/>
  <c r="Q8" i="1"/>
  <c r="N14" i="3" l="1"/>
  <c r="N19" i="3"/>
  <c r="N14" i="2"/>
  <c r="Q11" i="1"/>
  <c r="R11" i="1"/>
  <c r="O13" i="1" l="1"/>
</calcChain>
</file>

<file path=xl/sharedStrings.xml><?xml version="1.0" encoding="utf-8"?>
<sst xmlns="http://schemas.openxmlformats.org/spreadsheetml/2006/main" count="932" uniqueCount="585">
  <si>
    <t>a.</t>
  </si>
  <si>
    <t>b.</t>
  </si>
  <si>
    <t>c.</t>
  </si>
  <si>
    <t>Part a</t>
  </si>
  <si>
    <t>Part b</t>
  </si>
  <si>
    <t>Part c</t>
  </si>
  <si>
    <t>Given the following 2016 pricing information for a High Deductible Workers Compensation account:</t>
  </si>
  <si>
    <t>Deductible</t>
  </si>
  <si>
    <t>Aggregate Limit</t>
  </si>
  <si>
    <t>State</t>
  </si>
  <si>
    <t>Premium</t>
  </si>
  <si>
    <t>Full-Coverage Expected Loss Ratio</t>
  </si>
  <si>
    <t>Excess Ratio</t>
  </si>
  <si>
    <t>New York</t>
  </si>
  <si>
    <t>Pennsylvania</t>
  </si>
  <si>
    <t>Vermont</t>
  </si>
  <si>
    <t>for the account using the loss ratio method.</t>
  </si>
  <si>
    <t>Calculate the estimated ultimate excess losses above the per-occurrence deductible and aggregate limit</t>
  </si>
  <si>
    <t>Briefly discuss two advantages and two disadvantages of the loss ratio method.</t>
  </si>
  <si>
    <t>Full-Covg ELR</t>
  </si>
  <si>
    <t>Deductible Loss Charge</t>
  </si>
  <si>
    <t>Aggregate Loss Charge</t>
  </si>
  <si>
    <t>Total:</t>
  </si>
  <si>
    <t>Expected XS Losses =</t>
  </si>
  <si>
    <t>Deductible Loss Charge = Prem * ELR * XS Ratio</t>
  </si>
  <si>
    <t>Aggregate Loss Charge = Prem * ELR * (1 - XS Ratio) * Aggregate Ratio</t>
  </si>
  <si>
    <t>Advantages</t>
  </si>
  <si>
    <t>Disadvantages</t>
  </si>
  <si>
    <t>Given the following information for a book of high deductible workers compensation:</t>
  </si>
  <si>
    <t>Calculate the estimated ultimate losses for accident year 2016 excess the $100k per-occurrence</t>
  </si>
  <si>
    <t>deductible using the implied development method.</t>
  </si>
  <si>
    <t>Discuss why limited LDFs should be calculated from limited data that uses inflation-indexed limits.</t>
  </si>
  <si>
    <t>Accident Year</t>
  </si>
  <si>
    <t>12 Months</t>
  </si>
  <si>
    <t>24 Months</t>
  </si>
  <si>
    <t>36 Months</t>
  </si>
  <si>
    <t>48 Months</t>
  </si>
  <si>
    <t>24-36</t>
  </si>
  <si>
    <t>36-48</t>
  </si>
  <si>
    <t>48-Ult</t>
  </si>
  <si>
    <t>Unlimited</t>
  </si>
  <si>
    <t>Limited to 100k</t>
  </si>
  <si>
    <t>Reported Losses – Unlimited ($000)</t>
  </si>
  <si>
    <t>Reported Losses – $100,000 Per-Occurrence Limit ($000)</t>
  </si>
  <si>
    <t>Selected Loss Development Factors</t>
  </si>
  <si>
    <t>12-24</t>
  </si>
  <si>
    <t xml:space="preserve">Limited LDFs should be calculated with indexed limits so that the proportion of deductible losses-to-excess losses is consistent around the limit from year-to-year. This way, we can use data from all accident years to calculate the limited LDFs. </t>
  </si>
  <si>
    <t>Calculate CDFs:</t>
  </si>
  <si>
    <t xml:space="preserve">Lim CDF_12-Ult = </t>
  </si>
  <si>
    <t xml:space="preserve">CDF_12-Ult = </t>
  </si>
  <si>
    <t>Calculate AY 2016 ultimate loss, unlimited and limited:</t>
  </si>
  <si>
    <t xml:space="preserve">Unlim Ult (2016) = </t>
  </si>
  <si>
    <t xml:space="preserve">Lim Ult (2016) = </t>
  </si>
  <si>
    <t>Excess Ult(2016) =</t>
  </si>
  <si>
    <t>(000)</t>
  </si>
  <si>
    <t>Given the following information for a high deductible workers compensation account as of December 31, 2016:</t>
  </si>
  <si>
    <t>12-24 Months</t>
  </si>
  <si>
    <t>24-36 Months</t>
  </si>
  <si>
    <t>36 - Ult</t>
  </si>
  <si>
    <t>LDF</t>
  </si>
  <si>
    <r>
      <t>LDF</t>
    </r>
    <r>
      <rPr>
        <vertAlign val="superscript"/>
        <sz val="12"/>
        <color rgb="FF000000"/>
        <rFont val="Calibri"/>
        <family val="2"/>
      </rPr>
      <t>limited</t>
    </r>
  </si>
  <si>
    <t>At 12 months development, the ratio of limited severity to unlimited severity at $100,000</t>
  </si>
  <si>
    <t>per-occurrence is 0.8</t>
  </si>
  <si>
    <t>the direct development method.</t>
  </si>
  <si>
    <t>Calculate the implied ratio of limited severity to unlimited severity at ultimate for the $100,000</t>
  </si>
  <si>
    <t>per-occurrence deductible.</t>
  </si>
  <si>
    <t>Calculate the ultimate losses for accident year 2016 in the layer above the $100,000 deductible using</t>
  </si>
  <si>
    <t>Calculate LDFs:</t>
  </si>
  <si>
    <t xml:space="preserve">LDF_12-Ult = </t>
  </si>
  <si>
    <t xml:space="preserve">Lim LDF_12-Ult = </t>
  </si>
  <si>
    <t>LDF Unlimited = R_Lim * LDF_Lim + (1 - R_Lim) * XSLDF_Lim</t>
  </si>
  <si>
    <t>XSLDF_Lim 12-Ult=</t>
  </si>
  <si>
    <t xml:space="preserve">Excess Ult = </t>
  </si>
  <si>
    <t>Lim LDF_12-Ult = LDF_12-Ult *R_Ult / R_12mo</t>
  </si>
  <si>
    <t>Given the following information from a portfolio of policies with a $250k deductible and no aggregate limit:</t>
  </si>
  <si>
    <t>Ultimate</t>
  </si>
  <si>
    <t>2016 Premium</t>
  </si>
  <si>
    <t>Expected Loss Ratio</t>
  </si>
  <si>
    <t>Per-occurrence charge ($250k)</t>
  </si>
  <si>
    <t>Calculate the estimated unreported losses excess the $250,000 deductible for accident year 2016 using the</t>
  </si>
  <si>
    <t>Bornhuetter-Ferguson method.</t>
  </si>
  <si>
    <t>Age-to-Age Loss Development Factors</t>
  </si>
  <si>
    <t>Accident Year 2016:</t>
  </si>
  <si>
    <t>XSLDF_12-Ult=</t>
  </si>
  <si>
    <t xml:space="preserve">Expected XS Loss = </t>
  </si>
  <si>
    <t>Calculate the BF estimated unreported loss:</t>
  </si>
  <si>
    <t xml:space="preserve">Z_BF = </t>
  </si>
  <si>
    <t>Excess Ult = Z * (XS Loss * XSLDF) + (1 - Z) * E[XS Loss]</t>
  </si>
  <si>
    <t xml:space="preserve">Excess Ult_BF(2016) = </t>
  </si>
  <si>
    <t>Excess Resv_BF = (1 - % Reported) * E[XS Loss]</t>
  </si>
  <si>
    <t>Discussion (Alternative Solution)</t>
  </si>
  <si>
    <t>An actuary is using a Weibull loss distribution to fit Workers Compensation loss severities. The actuary fit</t>
  </si>
  <si>
    <t>the model separately for each evaluation period by minimizing the chi-square error between actual and</t>
  </si>
  <si>
    <t>expected severity relativities. For each development period, the model was constrained so that the fitted</t>
  </si>
  <si>
    <t xml:space="preserve">unlimited severity equals the actual unlimited severity. </t>
  </si>
  <si>
    <t>Below is a summary of the limited severity at each development period:</t>
  </si>
  <si>
    <t>Limited at 500k</t>
  </si>
  <si>
    <t>Fitted Limited Severity</t>
  </si>
  <si>
    <t>Separately, the actuary selected the following development factors from historical loss data:</t>
  </si>
  <si>
    <t>Calculate the 24 Month-to-Ultimate limited loss development factor for losses below the deductible.</t>
  </si>
  <si>
    <t>Calculate the 24 Month-to-Ultimate excess loss development factor for losses excess the deductible.</t>
  </si>
  <si>
    <t>d.</t>
  </si>
  <si>
    <t>Calculate the future percent of loss development that’s expected from 24 Months-to-Ultimate and</t>
  </si>
  <si>
    <t>partition this between loss development above and below the deductible.</t>
  </si>
  <si>
    <t xml:space="preserve">R_24 (500k) = </t>
  </si>
  <si>
    <t xml:space="preserve">LDF_24-Ult = </t>
  </si>
  <si>
    <t xml:space="preserve">R_ultimate (500k) = </t>
  </si>
  <si>
    <t>Lim LDF_24-Ult = LDF_24-Ult * (R_ultimate / R_24)</t>
  </si>
  <si>
    <t>XSLDF_24-Ult = LDF_24-Ult * [ (1 - R_ultimate) / (1 - R_24) ]</t>
  </si>
  <si>
    <t xml:space="preserve">XSLDF_24-Ult = </t>
  </si>
  <si>
    <t>LDF Unlimited = R(Lim) * LDF_Lim + (1 - R(Lim)) * XSLDF_Lim</t>
  </si>
  <si>
    <t>Part d</t>
  </si>
  <si>
    <t>Expected Development % = 1 - 1 / LDF</t>
  </si>
  <si>
    <t xml:space="preserve">Expected Dev. % = </t>
  </si>
  <si>
    <t xml:space="preserve">Total % Dev = </t>
  </si>
  <si>
    <t>% Below deductible =</t>
  </si>
  <si>
    <t>% Above deductible =</t>
  </si>
  <si>
    <t xml:space="preserve">A collective risk model was used to estimate the expected losses excess an aggregate limit for workers </t>
  </si>
  <si>
    <t>compensation high deductible policies. The results are summarized below:</t>
  </si>
  <si>
    <t>12 Months Excess Loss</t>
  </si>
  <si>
    <t>48 Months Excess Loss</t>
  </si>
  <si>
    <t>Ultimate Excess Loss</t>
  </si>
  <si>
    <t>Expected Unlimited Losses of $1,000,000</t>
  </si>
  <si>
    <t>Expected Unlimited Losses of $2,500,000</t>
  </si>
  <si>
    <t>Account</t>
  </si>
  <si>
    <t>Deductible Losses as of 12 months</t>
  </si>
  <si>
    <t>A</t>
  </si>
  <si>
    <t>B</t>
  </si>
  <si>
    <t>C</t>
  </si>
  <si>
    <t>Calculate the indicated ultimate losses excess the aggregate limit for the account portfolio using the</t>
  </si>
  <si>
    <t>Loss (XS Agg) = Loss (Deductible) - Aggregate Limit</t>
  </si>
  <si>
    <t>Calculate LDFs from collective model:</t>
  </si>
  <si>
    <t>LDF (XS Agg)_t-Ult = E[Loss(XS Agg)_Ult] / E[Loss(XS Agg)_t]</t>
  </si>
  <si>
    <t>Aggregate</t>
  </si>
  <si>
    <t>Loss Excess</t>
  </si>
  <si>
    <t>of Agg</t>
  </si>
  <si>
    <t>E[Loss(XS Agg)]</t>
  </si>
  <si>
    <r>
      <t>Ult</t>
    </r>
    <r>
      <rPr>
        <vertAlign val="superscript"/>
        <sz val="12"/>
        <color rgb="FF000000"/>
        <rFont val="Calibri"/>
        <family val="2"/>
      </rPr>
      <t>XS Agg</t>
    </r>
  </si>
  <si>
    <t>LDF(XS Agg)_12-Ult</t>
  </si>
  <si>
    <t>Calculate Ultimate excess aggregate with BF method:</t>
  </si>
  <si>
    <t>Ult (XS Agg) = Loss(XS Agg) + (1 - 1 / LDF(XS Agg) ) * E[Loss(XS Agg)]</t>
  </si>
  <si>
    <t>The indicated ultimate loss excess the aggregate limit is $1,222,180.</t>
  </si>
  <si>
    <t>For a portfolio of high-deductible Workers Compensation accounts, the indicated ultimate losses below</t>
  </si>
  <si>
    <t>the deductible and above the aggregate limit are summarized below as of December 31, 2016:</t>
  </si>
  <si>
    <t>Below Deductible</t>
  </si>
  <si>
    <t>Excess of Aggregate</t>
  </si>
  <si>
    <t>Ultimate Loss</t>
  </si>
  <si>
    <t>Calculate the service revenue asset for the portfolio of accounts as of December 31, 2016.</t>
  </si>
  <si>
    <t>Ult(XS Agg)</t>
  </si>
  <si>
    <t>Ult (Recoverables)</t>
  </si>
  <si>
    <t>Ult(Deductible Net Agg) = Ult(Deductible) - Ult(XS Agg)</t>
  </si>
  <si>
    <t>Ult (Recoverables) = Ult(Deductible Net Agg) * Loss Multiplier</t>
  </si>
  <si>
    <t>Service Revenue Asset = Ult (Recoverables) -Known Recoveries</t>
  </si>
  <si>
    <t>Service Revenue Asset =</t>
  </si>
  <si>
    <t>Given the following information for an insurance company’s portfolio of workers compensation policies</t>
  </si>
  <si>
    <t>A Weibull loss distribution model is fit to actual losses at different loss limits and development periods.</t>
  </si>
  <si>
    <t>Below are the summarized limited severities:</t>
  </si>
  <si>
    <t>Calculate the estimated unpaid loss excess of $100,000 for accident year 2014 using the direct</t>
  </si>
  <si>
    <t>development method.</t>
  </si>
  <si>
    <t>Briefly describe why the assumption of no further claim count development is necessary and calculate</t>
  </si>
  <si>
    <t>the correct estimated unpaid loss excess of $100,000 if the there is a claim count development factor of</t>
  </si>
  <si>
    <t>1.2 from 24 months-to-ultimate.</t>
  </si>
  <si>
    <t>Calculate unlimited LDF-to-ultimate from fitted severity distribution:</t>
  </si>
  <si>
    <t xml:space="preserve">LDF_24-ult = </t>
  </si>
  <si>
    <t>Calculate severity relativities:</t>
  </si>
  <si>
    <t xml:space="preserve">R_24 (100k) = </t>
  </si>
  <si>
    <t xml:space="preserve">R_ultimate (100k) = </t>
  </si>
  <si>
    <t>XSLDF_24-Ult =</t>
  </si>
  <si>
    <t>Unpaid (XS) = (XSLDF - 1) * Loss(XS 100k)</t>
  </si>
  <si>
    <t>Unpaid (XS) =</t>
  </si>
  <si>
    <t>LDF_24-ult = (Severity_ult / Severity_24) * (Freq_ult / Freq_24)</t>
  </si>
  <si>
    <t>LDF_24-ult =</t>
  </si>
  <si>
    <t xml:space="preserve">Unpaid (XS) = </t>
  </si>
  <si>
    <t>Discussion</t>
  </si>
  <si>
    <t>If the problem is calculated in thousands (000), make sure to indicate this in the answer or write the final answer out (e.g. $2,651,000). You probably wouldn’t lose points for not clarifying the solution like this as long as all the work is consistent. But, I’ve seen a few Examiners’ Reports comments indicating that some graders do mark off for this. So, it’s good practice to make sure the answer is clear.</t>
  </si>
  <si>
    <t>SHOW ALL WORK.</t>
  </si>
  <si>
    <t>Solution -&gt;</t>
  </si>
  <si>
    <t>With another LDF relationship, use the limited and excess loss development factors from parts a</t>
  </si>
  <si>
    <t xml:space="preserve">and b to calculate the unlimited 24 month-to-Ultimate loss development factor as a check. </t>
  </si>
  <si>
    <t>• Useful for immature accident years when loss data is thin</t>
  </si>
  <si>
    <t>• Loss ratio estimates can be consistent with pricing</t>
  </si>
  <si>
    <t>• Ignores loss ratio method ignores emerging loss experience, so it’s not as useful after several years of development.</t>
  </si>
  <si>
    <t>• May not reflect account characteristics properly if development emerges differently due to written exposures</t>
  </si>
  <si>
    <t>• Limits indexed for inflation are used in the limited triangle.</t>
  </si>
  <si>
    <t>• Reported unlimited loss for accident year 2016 =</t>
  </si>
  <si>
    <t>• Reported deductible loss for accident year 2016 =</t>
  </si>
  <si>
    <t>We can solve this quicker by simply using the BF calculation after calculating the LDFs. This solution takes advantage of the fact that the credibility weights are from the BF method:</t>
  </si>
  <si>
    <t>• A workers compensation account has a high deductible of $500,000.</t>
  </si>
  <si>
    <t>• Accounts A and B have expected unlimited losses:</t>
  </si>
  <si>
    <t>• Account C has expected unlimited losses:</t>
  </si>
  <si>
    <t>Ult (Deductible)</t>
  </si>
  <si>
    <t>Ult (Deductible Net Agg)</t>
  </si>
  <si>
    <t>• The selected loss multiplier is 10%</t>
  </si>
  <si>
    <t>• Total known recoveries for service revenue are $143,000 for the accounts</t>
  </si>
  <si>
    <t>• Assume no development in claim counts after 24 months.</t>
  </si>
  <si>
    <t>• Unlimited paid losses for accident year 2014:</t>
  </si>
  <si>
    <t>• Paid losses limited to $100k for accident year 2014:</t>
  </si>
  <si>
    <t>By using the severity relativities alone to calculate the LDF, we implicitly assume no further claim count development. If claim count development is expected, we need to adjust the LDF like below:</t>
  </si>
  <si>
    <t>RF Siewert - 1</t>
  </si>
  <si>
    <t>RF Siewert - 2</t>
  </si>
  <si>
    <t>RF Siewert - 3</t>
  </si>
  <si>
    <t>RF Siewert - 4</t>
  </si>
  <si>
    <t>RF Siewert - 5</t>
  </si>
  <si>
    <t>RF Siewert - 6</t>
  </si>
  <si>
    <t>RF Siewert - 7</t>
  </si>
  <si>
    <t>RF Siewert - 8</t>
  </si>
  <si>
    <t>Connecticut</t>
  </si>
  <si>
    <t>Total</t>
  </si>
  <si>
    <t>with a $100k deductible as of December 31, 2015:</t>
  </si>
  <si>
    <t>Siewert - Loss Ratio Method</t>
  </si>
  <si>
    <t>Recipe</t>
  </si>
  <si>
    <t>Siewert - Implied Development Method</t>
  </si>
  <si>
    <t>Siewert - Direct Development Method</t>
  </si>
  <si>
    <t>Siewert - Credibility-Weighted Method</t>
  </si>
  <si>
    <t>Siewert - Unlimited/Limited/Excess LDF Relationships</t>
  </si>
  <si>
    <t>Siewert - Distributional Model</t>
  </si>
  <si>
    <t>Siewert - Aggregate Excess of Loss Ultimate</t>
  </si>
  <si>
    <t>Siewert - Service Revenue Asset</t>
  </si>
  <si>
    <t xml:space="preserve">Excess Resv_BF = </t>
  </si>
  <si>
    <t xml:space="preserve">The accident year 2016 reported excess loss as of 12/31/2016 = </t>
  </si>
  <si>
    <t>Limit</t>
  </si>
  <si>
    <t>Ground Up Limited Severity</t>
  </si>
  <si>
    <t>R</t>
  </si>
  <si>
    <t>24-Ult</t>
  </si>
  <si>
    <t>Limited LDF</t>
  </si>
  <si>
    <t xml:space="preserve">R_12 (100k) = </t>
  </si>
  <si>
    <t>&lt;- Rearranging the formula above</t>
  </si>
  <si>
    <t xml:space="preserve">R_Ult (100k) = </t>
  </si>
  <si>
    <t>• Deductible</t>
  </si>
  <si>
    <t>• Aggregate Limit</t>
  </si>
  <si>
    <t>• Aggregate Ratio</t>
  </si>
  <si>
    <t>Overview</t>
  </si>
  <si>
    <t>www.RisingFellow.com</t>
  </si>
  <si>
    <t>Original Practice Problems</t>
  </si>
  <si>
    <t>The first group of problems are original practice problems. They're written to be similar to the type of questions you might see on the exam and to help you better understand the material.
For each problem you'll see:
• An original practice problem
• A detailed solution
• Discussion section that goes more in depth 
• Cross-reference with the corresponding Exam 7 Cookbook recipe (where appropriate)</t>
  </si>
  <si>
    <t>Past CAS Problems</t>
  </si>
  <si>
    <r>
      <t xml:space="preserve">The past CAS problems include the questions from the 2011-2019 released exams for the paper that are on syllabus.
For the problems you'll see:
• Past CAS question in Excel format
• A detailed solution
• A Discussion section to help explain the solution (where appropriate)
• Cross-reference with the corresponding Exam 7 Cookbook recipe (where appropriate)
</t>
    </r>
    <r>
      <rPr>
        <b/>
        <sz val="12"/>
        <color theme="1"/>
        <rFont val="Calibri"/>
        <family val="2"/>
      </rPr>
      <t>Note:</t>
    </r>
    <r>
      <rPr>
        <sz val="12"/>
        <color theme="1"/>
        <rFont val="Calibri"/>
        <family val="2"/>
      </rPr>
      <t xml:space="preserve"> 
These questions are solely owned by the CAS. They are included in the online course for student convenience.</t>
    </r>
  </si>
  <si>
    <t>Examiners' Reports Split by Problem</t>
  </si>
  <si>
    <t>In the "Extra Resources" section of the course, you'll see all the official CAS Examiners' Reports split them out by problem so they're easier to use when studying.
The PDFs are:
• Split by problem with a PDF for each problem with its solution and Examiners' Report
• Searchable if you want to find which problems test a specific concept
We posted them as a resource to help you study, especially when you want to cross-reference a problem with the official CAS Examiners' Report.</t>
  </si>
  <si>
    <t>If You Get Stuck Or Have Questions</t>
  </si>
  <si>
    <t>IBNR =</t>
  </si>
  <si>
    <t>Z</t>
  </si>
  <si>
    <t>Y</t>
  </si>
  <si>
    <t>X</t>
  </si>
  <si>
    <t>Ult = Per Occ XS Losses + Per Agg XS Losses = P*E*Chi + P*E*(1-Chi)*Phi</t>
  </si>
  <si>
    <t>Calculate the ultimate losses:</t>
  </si>
  <si>
    <t>&lt;-Per Agg XS Losses = P*E*(1-Chi)*Phi</t>
  </si>
  <si>
    <t>phi =</t>
  </si>
  <si>
    <t>ELR</t>
  </si>
  <si>
    <t>Solve for the aggregate ratio phi:</t>
  </si>
  <si>
    <t>Given the following for a brand new account:</t>
  </si>
  <si>
    <t>RF Siewert - 9</t>
  </si>
  <si>
    <t>&lt;-Unlim. LDF*Change in (1-R^L)</t>
  </si>
  <si>
    <t>XSLDF =</t>
  </si>
  <si>
    <t>Calculate the 24-36 XSLDF:</t>
  </si>
  <si>
    <t>Calculate the 24-36 excess development factor.</t>
  </si>
  <si>
    <t>24-36 Unlim LDF =</t>
  </si>
  <si>
    <t>• There are 100,000 exposures underlying the data</t>
  </si>
  <si>
    <t>• Claims frequency is 5% at 24 months and 5.5% at 36 months</t>
  </si>
  <si>
    <t>&lt;-Sev*Freq*Exposures</t>
  </si>
  <si>
    <t>Unlimited losses at 36 mo =</t>
  </si>
  <si>
    <t>Unlimited losses at 24 mo =</t>
  </si>
  <si>
    <t>Limited</t>
  </si>
  <si>
    <t>36 mo.</t>
  </si>
  <si>
    <t>24 mo.</t>
  </si>
  <si>
    <t>Since the claims frequency is changing between 24 months and 36 months, we cannot use the severities to calculate the unlimited LDF</t>
  </si>
  <si>
    <t>Severities ($)</t>
  </si>
  <si>
    <t>Calculate the 24-36 unlimited development factor:</t>
  </si>
  <si>
    <t>Given the following for accident year 2011:</t>
  </si>
  <si>
    <t>RF Siewert - 10</t>
  </si>
  <si>
    <t>Estimate the service revenue asset for accident year 2012 using the development method.</t>
  </si>
  <si>
    <t>Estimate the excess of the per-occurrence deductible IBNR for accident year 2012 using the Bornhuetter/Ferguson method.</t>
  </si>
  <si>
    <t>&lt;-Ult. Serv. Rev. - Known Recovs</t>
  </si>
  <si>
    <t>Service Rev. Asset =</t>
  </si>
  <si>
    <t>&lt;-(Ult. Ded. Loss - Ult. Agg. Loss)*Loss Mult</t>
  </si>
  <si>
    <t>Ult. Service Rev. Recovs =</t>
  </si>
  <si>
    <t>Estimate the excess of the per-occurrence deductible IBNR for accident year 2012 using the direct development method.</t>
  </si>
  <si>
    <t>&lt;-LDF = LDF^L*R^L + (1-R^L)*XSLDF_L</t>
  </si>
  <si>
    <t>LDF^L</t>
  </si>
  <si>
    <t>R^L</t>
  </si>
  <si>
    <t xml:space="preserve">• Loss multiplier = </t>
  </si>
  <si>
    <t xml:space="preserve">• Excess ratio = </t>
  </si>
  <si>
    <t>Part c:</t>
  </si>
  <si>
    <t xml:space="preserve">• ELR = </t>
  </si>
  <si>
    <t xml:space="preserve">• Full coverage premium = </t>
  </si>
  <si>
    <t>BF IBNR =</t>
  </si>
  <si>
    <t>• The service revenue collected as of 12/31/12 =</t>
  </si>
  <si>
    <t>&lt;-ELR*Prem*XS Ratio</t>
  </si>
  <si>
    <t>E =</t>
  </si>
  <si>
    <t>• Ultimate excess of aggregate loss as of 12/31/12 =</t>
  </si>
  <si>
    <t xml:space="preserve">• The 12-ultimate excess loss development factor = </t>
  </si>
  <si>
    <t>BF IBNR = E*(1-1/XSLDF)</t>
  </si>
  <si>
    <t>• The 12-ultimate unlimited loss development factor =</t>
  </si>
  <si>
    <t>Part b:</t>
  </si>
  <si>
    <t>XS IBNR =</t>
  </si>
  <si>
    <t>Reported XS Losses =</t>
  </si>
  <si>
    <t>Reported Severity</t>
  </si>
  <si>
    <t>Reported Losses</t>
  </si>
  <si>
    <t>Part a:</t>
  </si>
  <si>
    <t>Given the following for accident year 2012:</t>
  </si>
  <si>
    <t>RF Siewert - 11</t>
  </si>
  <si>
    <t>The intent of this problem is to recognize that reported deductible losses are already above the aggregate limit, so any further development is irrelevant.</t>
  </si>
  <si>
    <t>Ultimate service revenue =</t>
  </si>
  <si>
    <t>Estimate the ultimate service revenue for accident year 2012.</t>
  </si>
  <si>
    <t>Calculate the ultimate service revenue:</t>
  </si>
  <si>
    <t>• Assume no further development in ground-up losses or ALAE</t>
  </si>
  <si>
    <t>• ALAE is treated as loss</t>
  </si>
  <si>
    <t>Since 1,050,000 &gt; 1,000,000, we limit the deductible losses to 1,000,000 and give the remaining loss to the insurer:</t>
  </si>
  <si>
    <t>• Service revenue collected as of 12/31/12 =</t>
  </si>
  <si>
    <t xml:space="preserve">• Loss Multiplier = </t>
  </si>
  <si>
    <t>Apply the aggregate limit to the deductible losses:</t>
  </si>
  <si>
    <t xml:space="preserve">• Aggregate Limit = </t>
  </si>
  <si>
    <t xml:space="preserve">• Per-Occurrence Deductible = </t>
  </si>
  <si>
    <t>Loss + ALAE</t>
  </si>
  <si>
    <t>ID</t>
  </si>
  <si>
    <t>Remaining (Insurer)</t>
  </si>
  <si>
    <t>Deduct. Loss (Insured)</t>
  </si>
  <si>
    <t>ALAE ($)</t>
  </si>
  <si>
    <t>Ground Up
Reported Loss</t>
  </si>
  <si>
    <t>Calculate the per-occurrence deductible losses:</t>
  </si>
  <si>
    <t>Given the following for an account with five losses as of December 31, 2012:</t>
  </si>
  <si>
    <t>RF Siewert - 12</t>
  </si>
  <si>
    <t>Given that the aggregate limit for each account is $750,000, estimate the ultimate excess of aggregate losses using the Bornhuetter/Ferguson method for all accounts combined.</t>
  </si>
  <si>
    <t>Total =</t>
  </si>
  <si>
    <t>Deductible Losses</t>
  </si>
  <si>
    <t>&lt;-XS Loss + Expec. XS Loss*(1-1/XSLDF)</t>
  </si>
  <si>
    <t>Ult XS Agg</t>
  </si>
  <si>
    <t>Deductible losses as of 36 months are as follows:</t>
  </si>
  <si>
    <t>Calculate the ultimate xs of aggregate losses:</t>
  </si>
  <si>
    <t>Excess of Aggregate 36-Ult LDF</t>
  </si>
  <si>
    <t>Expected Aggregate Loss Charge</t>
  </si>
  <si>
    <t>Deduct. Losses</t>
  </si>
  <si>
    <t>Calculate the excess aggregate losses at 36 months:</t>
  </si>
  <si>
    <t>An actuary is using a collective risk model to determine the following expected aggregate loss charges and expected excess of aggregate development factors for three accounts:</t>
  </si>
  <si>
    <t>RF Siewert - 13</t>
  </si>
  <si>
    <t>Siewert - Aggregate Excess of Loss Ultimate: Table M</t>
  </si>
  <si>
    <t>Calculate the excess of aggregate IBNR.</t>
  </si>
  <si>
    <t>&lt;-Lim. Loss*Ins. Charge</t>
  </si>
  <si>
    <t>Ins. Charge Amount</t>
  </si>
  <si>
    <t>Insurance Charge</t>
  </si>
  <si>
    <t>Ins. Charge</t>
  </si>
  <si>
    <t>Number of Claims</t>
  </si>
  <si>
    <t>&lt;-Lim. Sev.*Number of Claims</t>
  </si>
  <si>
    <t>Limited Loss</t>
  </si>
  <si>
    <t>Limited Severity</t>
  </si>
  <si>
    <t>48 mo.</t>
  </si>
  <si>
    <t>Given the following for an account with a $750,000 aggregate limit:</t>
  </si>
  <si>
    <t>RF Siewert - 14</t>
  </si>
  <si>
    <t>Disadvantage - ignores actual experience to the extent of the complement of credibility</t>
  </si>
  <si>
    <t>2) Provides more stable estimates over time</t>
  </si>
  <si>
    <t>1) Gives us the ability to tie into pricing estimates for recent years where excess losses have not emerged</t>
  </si>
  <si>
    <t>Part d:</t>
  </si>
  <si>
    <t>2) If excess losses have not yet emerged, we can't estimate IBNR</t>
  </si>
  <si>
    <t>1) Excess factors tend to be overly leveraged and extremely volatile</t>
  </si>
  <si>
    <t>Advantage - explicitly recognizes excess loss development</t>
  </si>
  <si>
    <t>Disadvantage - does not explicitly recognize excess loss development</t>
  </si>
  <si>
    <t>2) Development factors for limited losses are more stable than those determined for excess losses</t>
  </si>
  <si>
    <t>1) Provides an estimate of excess losses at early maturities even when excess losses have not emerged</t>
  </si>
  <si>
    <t>2) May not properly reflect account characteristics since development may emerge differently due to the exposures written</t>
  </si>
  <si>
    <t>1) Ignores actual emerging experience (not as useful for mature years)</t>
  </si>
  <si>
    <t>2) Loss ratio estimates can be consistently tied to pricing programs</t>
  </si>
  <si>
    <t>1) Can be used when no data is available or when data is immature</t>
  </si>
  <si>
    <t>Question #6</t>
  </si>
  <si>
    <t>2) ALAE is treated as loss and subjected to applicable limits - development patterns reflect losses and expenses</t>
  </si>
  <si>
    <t>1) Account manages expense itself (i.e. ALAE not covered) - development patterns reflect losses only</t>
  </si>
  <si>
    <t>Provide two advantages and one disadvantage of the credibility-weighted method.</t>
  </si>
  <si>
    <t>Question #5</t>
  </si>
  <si>
    <t>Provide one advantage and two disadvantages of the direct development method.</t>
  </si>
  <si>
    <t>Aggregate limits only cover losses under the deductible. Since most of the later development occurs in the layers of loss above the deductible, excess of aggregate losses reach their ultimate value sooner for smaller deductibles</t>
  </si>
  <si>
    <t>Provide two advantages and one disadvantage of the implied development method.</t>
  </si>
  <si>
    <t>Question #4</t>
  </si>
  <si>
    <t>2) Allows for interpolation among limits and years</t>
  </si>
  <si>
    <t>Provide two advantages and two disadvantages of the loss ratio method.</t>
  </si>
  <si>
    <t>1) Provides consistent loss development factors</t>
  </si>
  <si>
    <t>Describe two ways to handle ALAE under a high deductible program.</t>
  </si>
  <si>
    <t>3) Siewert's approach - minimize the chi-square between the actual and expected severity relativities around a particular deductible size</t>
  </si>
  <si>
    <t>2) Maximum likelihood estimation</t>
  </si>
  <si>
    <t>1) Method of moments</t>
  </si>
  <si>
    <t>Explain why development for losses excess of aggregate limits decrease more rapidly over time with smaller deductibles over time with smaller deductibles than with larger ones.</t>
  </si>
  <si>
    <t>It models the development process by determining distribution parameters that vary over time. Once the parameters are determined, we can calculate severity relativities. Comparing these relativities over time results in development factors</t>
  </si>
  <si>
    <t>Provide two advantages of a distributional model.</t>
  </si>
  <si>
    <t>Identify three methods for estimating the parameters of a distributional model.</t>
  </si>
  <si>
    <t>Question #3</t>
  </si>
  <si>
    <t>2) Use an index that reflects the movement in annual severity changes</t>
  </si>
  <si>
    <t>Briefly explain how a distributional model works.</t>
  </si>
  <si>
    <t>1) Fit a line to average severities over a long-term history</t>
  </si>
  <si>
    <t>One option for estimating reserves for an excess layers is to use a distributional model.</t>
  </si>
  <si>
    <t>It keeps the proportion of deductible/excess losses constant about the limit from year to year</t>
  </si>
  <si>
    <t>Provide two methods for indexing the limits.</t>
  </si>
  <si>
    <t>Question #2</t>
  </si>
  <si>
    <t>Briefly explain why we need to index limits for inflation when calculating development factors for various deductibles.</t>
  </si>
  <si>
    <t>5) Allows self-insurance without subjecting insureds to demanding state requirements</t>
  </si>
  <si>
    <t>4) Provides incentive for insureds to control losses while protecting them from large losses</t>
  </si>
  <si>
    <t>3) Gives cash flow advantages to insured</t>
  </si>
  <si>
    <t>2) Reduces residual market charges and premium taxes</t>
  </si>
  <si>
    <t>1) Achieves price flexibility while passing additional risk to lager insureds</t>
  </si>
  <si>
    <t>Identify five advantages of a high deductible program.</t>
  </si>
  <si>
    <t>Question #1</t>
  </si>
  <si>
    <t>Solutions -&gt;</t>
  </si>
  <si>
    <t>RF Siewert - Essay Problems</t>
  </si>
  <si>
    <t>Siewert – Credibility Weighted Method</t>
  </si>
  <si>
    <t>Siewert – Direct Development Method</t>
  </si>
  <si>
    <t>Ultimately, given the sample solution in the examiners’ report, it looks like both XSLDFs were accepted, but it’s good to understand why the two approaches resulted in different XSLDFs for this problem.</t>
  </si>
  <si>
    <r>
      <t>XSLDF</t>
    </r>
    <r>
      <rPr>
        <vertAlign val="subscript"/>
        <sz val="12"/>
        <color theme="1"/>
        <rFont val="Calibri"/>
        <family val="2"/>
        <scheme val="minor"/>
      </rPr>
      <t>t</t>
    </r>
    <r>
      <rPr>
        <vertAlign val="superscript"/>
        <sz val="12"/>
        <color theme="1"/>
        <rFont val="Calibri"/>
        <family val="2"/>
        <scheme val="minor"/>
      </rPr>
      <t>250K</t>
    </r>
    <r>
      <rPr>
        <sz val="12"/>
        <color theme="1"/>
        <rFont val="Calibri"/>
        <family val="2"/>
        <scheme val="minor"/>
      </rPr>
      <t xml:space="preserve"> =</t>
    </r>
  </si>
  <si>
    <r>
      <t>R</t>
    </r>
    <r>
      <rPr>
        <vertAlign val="subscript"/>
        <sz val="12"/>
        <color theme="1"/>
        <rFont val="Calibri"/>
        <family val="2"/>
        <scheme val="minor"/>
      </rPr>
      <t>t</t>
    </r>
    <r>
      <rPr>
        <vertAlign val="superscript"/>
        <sz val="12"/>
        <color theme="1"/>
        <rFont val="Calibri"/>
        <family val="2"/>
        <scheme val="minor"/>
      </rPr>
      <t>250K</t>
    </r>
    <r>
      <rPr>
        <sz val="12"/>
        <color theme="1"/>
        <rFont val="Calibri"/>
        <family val="2"/>
        <scheme val="minor"/>
      </rPr>
      <t xml:space="preserve"> =</t>
    </r>
  </si>
  <si>
    <r>
      <t>Severity</t>
    </r>
    <r>
      <rPr>
        <vertAlign val="superscript"/>
        <sz val="12"/>
        <color theme="1"/>
        <rFont val="Calibri"/>
        <family val="2"/>
        <scheme val="minor"/>
      </rPr>
      <t>unlimited</t>
    </r>
    <r>
      <rPr>
        <sz val="12"/>
        <color theme="1"/>
        <rFont val="Calibri"/>
        <family val="2"/>
        <scheme val="minor"/>
      </rPr>
      <t xml:space="preserve"> =</t>
    </r>
  </si>
  <si>
    <t>It looks like the writers did some rounding to the unlimited severity for the problem. If we modify the unlimited severity to be based on the same 32 claims, then the XSLDFs reconcile:</t>
  </si>
  <si>
    <r>
      <t>ClaimCount</t>
    </r>
    <r>
      <rPr>
        <vertAlign val="superscript"/>
        <sz val="12"/>
        <color theme="1"/>
        <rFont val="Calibri"/>
        <family val="2"/>
        <scheme val="minor"/>
      </rPr>
      <t>limited</t>
    </r>
    <r>
      <rPr>
        <sz val="12"/>
        <color theme="1"/>
        <rFont val="Calibri"/>
        <family val="2"/>
        <scheme val="minor"/>
      </rPr>
      <t xml:space="preserve"> =</t>
    </r>
  </si>
  <si>
    <r>
      <t>ClaimCount</t>
    </r>
    <r>
      <rPr>
        <vertAlign val="superscript"/>
        <sz val="12"/>
        <color theme="1"/>
        <rFont val="Calibri"/>
        <family val="2"/>
        <scheme val="minor"/>
      </rPr>
      <t>unlimited</t>
    </r>
    <r>
      <rPr>
        <sz val="12"/>
        <color theme="1"/>
        <rFont val="Calibri"/>
        <family val="2"/>
        <scheme val="minor"/>
      </rPr>
      <t xml:space="preserve"> =</t>
    </r>
  </si>
  <si>
    <t>The reason that the two XSLDFs don’t reconcile is that the severity relativity approach assumes the same claim count underlies the total loss, limited loss and excess loss triangles. If you do a quick calculation, you can see that the reported claim count based on the reported losses and severities is slightly different between limited and unlimited loss:</t>
  </si>
  <si>
    <r>
      <t>IBNR</t>
    </r>
    <r>
      <rPr>
        <vertAlign val="superscript"/>
        <sz val="12"/>
        <color theme="1"/>
        <rFont val="Calibri"/>
        <family val="2"/>
        <scheme val="minor"/>
      </rPr>
      <t>Excess</t>
    </r>
    <r>
      <rPr>
        <sz val="12"/>
        <color theme="1"/>
        <rFont val="Calibri"/>
        <family val="2"/>
        <scheme val="minor"/>
      </rPr>
      <t xml:space="preserve"> =</t>
    </r>
  </si>
  <si>
    <r>
      <rPr>
        <b/>
        <sz val="12"/>
        <color theme="1"/>
        <rFont val="Calibri"/>
        <family val="2"/>
        <scheme val="minor"/>
      </rPr>
      <t>Note:</t>
    </r>
    <r>
      <rPr>
        <i/>
        <sz val="12"/>
        <color theme="1"/>
        <rFont val="Calibri"/>
        <family val="2"/>
        <scheme val="minor"/>
      </rPr>
      <t xml:space="preserve"> I modified the problem above to only ask for the losses above the per-occurrence deductible. The original question was ambiguous on what it was asking for and did not provide enough information to properly deal with aggregate excess losses.</t>
    </r>
    <r>
      <rPr>
        <sz val="12"/>
        <color theme="1"/>
        <rFont val="Calibri"/>
        <family val="2"/>
        <scheme val="minor"/>
      </rPr>
      <t xml:space="preserve">
</t>
    </r>
    <r>
      <rPr>
        <u/>
        <sz val="14"/>
        <color theme="1"/>
        <rFont val="Calibri (Body)"/>
      </rPr>
      <t>Alternative Approach</t>
    </r>
    <r>
      <rPr>
        <sz val="12"/>
        <color theme="1"/>
        <rFont val="Calibri"/>
        <family val="2"/>
        <scheme val="minor"/>
      </rPr>
      <t xml:space="preserve">
The sample solution uses two different XSLDFs for parts a and b based on the different methods of calculating the LDFs. In the solution above, I used the severity relativity approach to get the XSLDF and used it for both parts. You also can calculate the XSLDF by setting the ultimate loss to the ultimate limited and excess loss (below). </t>
    </r>
  </si>
  <si>
    <t>IBNR for workers compensation high deductible business.</t>
  </si>
  <si>
    <t>Briefly describe an advantage of using the Bornhuetter-Ferguson method to estimate</t>
  </si>
  <si>
    <t>0.25 points</t>
  </si>
  <si>
    <t>An advantage of the BF method is that it provides a more stable estimate than direct development, especially for immature periods. It also can be tied to pricing estimates.</t>
  </si>
  <si>
    <t>Part c.</t>
  </si>
  <si>
    <t xml:space="preserve">Estimate the IBNR for losses above the per-occurrence deductible using the </t>
  </si>
  <si>
    <t>1.25 points</t>
  </si>
  <si>
    <t>⇽Standard BF reserve</t>
  </si>
  <si>
    <r>
      <t>IBNR</t>
    </r>
    <r>
      <rPr>
        <vertAlign val="subscript"/>
        <sz val="12"/>
        <color theme="1"/>
        <rFont val="Calibri"/>
        <family val="2"/>
        <scheme val="minor"/>
      </rPr>
      <t>BF</t>
    </r>
    <r>
      <rPr>
        <sz val="12"/>
        <color theme="1"/>
        <rFont val="Calibri"/>
        <family val="2"/>
        <scheme val="minor"/>
      </rPr>
      <t xml:space="preserve"> =</t>
    </r>
  </si>
  <si>
    <t>Estimate the IBNR for losses above the per-occurrence deductible using the direct</t>
  </si>
  <si>
    <t>Expected XS Loss =</t>
  </si>
  <si>
    <t>•  Excess ratio (per-occurrence charge):</t>
  </si>
  <si>
    <t>Part b.</t>
  </si>
  <si>
    <t>•  Full coverage expected loss ratio:</t>
  </si>
  <si>
    <t>•  Full coverage premium for all policies:</t>
  </si>
  <si>
    <r>
      <t>Loss</t>
    </r>
    <r>
      <rPr>
        <vertAlign val="superscript"/>
        <sz val="12"/>
        <color theme="1"/>
        <rFont val="Calibri"/>
        <family val="2"/>
        <scheme val="minor"/>
      </rPr>
      <t>excess</t>
    </r>
    <r>
      <rPr>
        <sz val="12"/>
        <color theme="1"/>
        <rFont val="Calibri"/>
        <family val="2"/>
        <scheme val="minor"/>
      </rPr>
      <t xml:space="preserve"> =</t>
    </r>
  </si>
  <si>
    <t>Limited to $250,000</t>
  </si>
  <si>
    <t>Ultimate LDF</t>
  </si>
  <si>
    <t>24 Months to</t>
  </si>
  <si>
    <t>Ground Up</t>
  </si>
  <si>
    <t>a $250,000 deductible as of December 31, 2010:</t>
  </si>
  <si>
    <t>Given the following information for accident year 2009 workers compensation business with</t>
  </si>
  <si>
    <t>Part a.</t>
  </si>
  <si>
    <t>Points:</t>
  </si>
  <si>
    <t>Q #6</t>
  </si>
  <si>
    <t>Exam 7</t>
  </si>
  <si>
    <t>Spring 2011</t>
  </si>
  <si>
    <t>Source:</t>
  </si>
  <si>
    <t>Siewert –  Unlimited/Limited/Excess LDF Relationships</t>
  </si>
  <si>
    <t>Calculate the unlimited 36-72 month development factor.</t>
  </si>
  <si>
    <r>
      <t>LDF</t>
    </r>
    <r>
      <rPr>
        <vertAlign val="subscript"/>
        <sz val="12"/>
        <color theme="1"/>
        <rFont val="Calibri"/>
        <family val="2"/>
        <scheme val="minor"/>
      </rPr>
      <t>36-72</t>
    </r>
    <r>
      <rPr>
        <sz val="12"/>
        <color theme="1"/>
        <rFont val="Calibri"/>
        <family val="2"/>
        <scheme val="minor"/>
      </rPr>
      <t xml:space="preserve"> =</t>
    </r>
  </si>
  <si>
    <r>
      <t>XSLDF</t>
    </r>
    <r>
      <rPr>
        <vertAlign val="superscript"/>
        <sz val="12"/>
        <color theme="1"/>
        <rFont val="Calibri"/>
        <family val="2"/>
        <scheme val="minor"/>
      </rPr>
      <t>L</t>
    </r>
    <r>
      <rPr>
        <vertAlign val="subscript"/>
        <sz val="12"/>
        <color theme="1"/>
        <rFont val="Calibri"/>
        <family val="2"/>
        <scheme val="minor"/>
      </rPr>
      <t>36-72</t>
    </r>
    <r>
      <rPr>
        <sz val="12"/>
        <color theme="1"/>
        <rFont val="Calibri"/>
        <family val="2"/>
        <scheme val="minor"/>
      </rPr>
      <t xml:space="preserve"> =</t>
    </r>
  </si>
  <si>
    <r>
      <t>Limited Severity Relativities (R</t>
    </r>
    <r>
      <rPr>
        <vertAlign val="superscript"/>
        <sz val="12"/>
        <color theme="1"/>
        <rFont val="Calibri"/>
        <family val="2"/>
        <scheme val="minor"/>
      </rPr>
      <t>L</t>
    </r>
    <r>
      <rPr>
        <sz val="12"/>
        <color theme="1"/>
        <rFont val="Calibri"/>
        <family val="2"/>
        <scheme val="minor"/>
      </rPr>
      <t>)</t>
    </r>
  </si>
  <si>
    <r>
      <t>LDF</t>
    </r>
    <r>
      <rPr>
        <vertAlign val="superscript"/>
        <sz val="12"/>
        <color theme="1"/>
        <rFont val="Calibri"/>
        <family val="2"/>
        <scheme val="minor"/>
      </rPr>
      <t>L</t>
    </r>
    <r>
      <rPr>
        <vertAlign val="subscript"/>
        <sz val="12"/>
        <color theme="1"/>
        <rFont val="Calibri"/>
        <family val="2"/>
        <scheme val="minor"/>
      </rPr>
      <t>36-72</t>
    </r>
    <r>
      <rPr>
        <sz val="12"/>
        <color theme="1"/>
        <rFont val="Calibri"/>
        <family val="2"/>
        <scheme val="minor"/>
      </rPr>
      <t xml:space="preserve"> =</t>
    </r>
  </si>
  <si>
    <t>Excess</t>
  </si>
  <si>
    <t>Here’s an alternative solution using both the limited and excess LDFs:</t>
  </si>
  <si>
    <t>60-72</t>
  </si>
  <si>
    <t>48-60</t>
  </si>
  <si>
    <t>Age-to-Age Loss and ALAE Development Factors</t>
  </si>
  <si>
    <t>$250,000 deductible:</t>
  </si>
  <si>
    <t>Given the following information for an insurance company's book of policies with a</t>
  </si>
  <si>
    <t>Spring 2012</t>
  </si>
  <si>
    <t>Calculate the excess of $500,000 36-48 month development factor.</t>
  </si>
  <si>
    <t>0.5 point</t>
  </si>
  <si>
    <t>Calculate the missing value, X, from the table above.</t>
  </si>
  <si>
    <r>
      <t>Limited Severity Relativities (R</t>
    </r>
    <r>
      <rPr>
        <vertAlign val="superscript"/>
        <sz val="12"/>
        <color theme="1"/>
        <rFont val="Calibri (Body)"/>
      </rPr>
      <t>L</t>
    </r>
    <r>
      <rPr>
        <sz val="12"/>
        <color theme="1"/>
        <rFont val="Calibri"/>
        <family val="2"/>
        <scheme val="minor"/>
      </rPr>
      <t>)</t>
    </r>
  </si>
  <si>
    <t>Limited to $500,000</t>
  </si>
  <si>
    <r>
      <t>⇽ XSLDF</t>
    </r>
    <r>
      <rPr>
        <vertAlign val="superscript"/>
        <sz val="12"/>
        <color theme="1"/>
        <rFont val="Calibri (Body)"/>
      </rPr>
      <t>L</t>
    </r>
    <r>
      <rPr>
        <sz val="12"/>
        <color theme="1"/>
        <rFont val="Calibri"/>
        <family val="2"/>
        <scheme val="minor"/>
      </rPr>
      <t xml:space="preserve"> = LDF * Change in (1-R</t>
    </r>
    <r>
      <rPr>
        <vertAlign val="superscript"/>
        <sz val="12"/>
        <color theme="1"/>
        <rFont val="Calibri (Body)"/>
      </rPr>
      <t>L</t>
    </r>
    <r>
      <rPr>
        <sz val="12"/>
        <color theme="1"/>
        <rFont val="Calibri"/>
        <family val="2"/>
        <scheme val="minor"/>
      </rPr>
      <t>)</t>
    </r>
  </si>
  <si>
    <r>
      <t>XSLDF</t>
    </r>
    <r>
      <rPr>
        <vertAlign val="subscript"/>
        <sz val="12"/>
        <color theme="1"/>
        <rFont val="Calibri"/>
        <family val="2"/>
        <scheme val="minor"/>
      </rPr>
      <t>36-48</t>
    </r>
    <r>
      <rPr>
        <vertAlign val="superscript"/>
        <sz val="12"/>
        <color theme="1"/>
        <rFont val="Calibri"/>
        <family val="2"/>
        <scheme val="minor"/>
      </rPr>
      <t>500k</t>
    </r>
    <r>
      <rPr>
        <sz val="12"/>
        <color theme="1"/>
        <rFont val="Calibri"/>
        <family val="2"/>
        <scheme val="minor"/>
      </rPr>
      <t xml:space="preserve"> =</t>
    </r>
  </si>
  <si>
    <r>
      <t>⇽ LDF</t>
    </r>
    <r>
      <rPr>
        <vertAlign val="superscript"/>
        <sz val="12"/>
        <color theme="1"/>
        <rFont val="Calibri (Body)"/>
      </rPr>
      <t>L</t>
    </r>
    <r>
      <rPr>
        <sz val="12"/>
        <color theme="1"/>
        <rFont val="Calibri"/>
        <family val="2"/>
        <scheme val="minor"/>
      </rPr>
      <t xml:space="preserve"> = LDF * Change in R</t>
    </r>
    <r>
      <rPr>
        <vertAlign val="superscript"/>
        <sz val="12"/>
        <color theme="1"/>
        <rFont val="Calibri (Body)"/>
      </rPr>
      <t>L</t>
    </r>
    <r>
      <rPr>
        <sz val="12"/>
        <color theme="1"/>
        <rFont val="Calibri"/>
        <family val="2"/>
        <scheme val="minor"/>
      </rPr>
      <t xml:space="preserve">; solve for X </t>
    </r>
  </si>
  <si>
    <t>X =</t>
  </si>
  <si>
    <t>$500,000 deductible:</t>
  </si>
  <si>
    <t>Given the following information from an insurance company's portfolio of policies with a</t>
  </si>
  <si>
    <t>Spring 2014</t>
  </si>
  <si>
    <t xml:space="preserve">Siewert – Unlimited/Limited/Excess LDF Relationships </t>
  </si>
  <si>
    <t>Siewert – Implied Development Method</t>
  </si>
  <si>
    <t>Siewert – Loss Ratio Method</t>
  </si>
  <si>
    <t>By adjusting the loss development factors for losses limited to $1,000,000 per occurrence to apply to losses in the layer between $250,000 and $1,000,000, calculate ultimate losses in the layer between $250,000 and $1,000,000 for accident year 2014.</t>
  </si>
  <si>
    <t>1 point</t>
  </si>
  <si>
    <t>$250,000 and $1,000,000 for accident year 2014.</t>
  </si>
  <si>
    <t>Using Siewert's implied development approach, estimate ultimate losses in the layer between</t>
  </si>
  <si>
    <r>
      <rPr>
        <b/>
        <sz val="12"/>
        <color rgb="FF000000"/>
        <rFont val="Calibri"/>
        <family val="2"/>
      </rPr>
      <t>Part c</t>
    </r>
    <r>
      <rPr>
        <sz val="12"/>
        <color rgb="FF000000"/>
        <rFont val="Calibri"/>
        <family val="2"/>
      </rPr>
      <t xml:space="preserve"> - You need to calculate the ultimate limited severity relativity (R</t>
    </r>
    <r>
      <rPr>
        <vertAlign val="superscript"/>
        <sz val="12"/>
        <color theme="1"/>
        <rFont val="Calibri"/>
        <family val="2"/>
      </rPr>
      <t>L</t>
    </r>
    <r>
      <rPr>
        <sz val="12"/>
        <color theme="1"/>
        <rFont val="Calibri"/>
        <family val="2"/>
      </rPr>
      <t>) using the ILFs and then calculate the severity relativity at 12 months. Once you have the severity relativities, you can use the XSLDF relationship with the unlimited LDF. However, instead of using unlimited LDF and severity relativities, you use the LDF and severity relativities limited to $1M, the upper limit of the layer.
For this reason, this solution differs from 2017 #9 since the severity relativities have the 1M as the base rather than the unlimited layer as the base.</t>
    </r>
  </si>
  <si>
    <t>Using Siewert's loss ratio approach, estimate ultimate losses in the layer between</t>
  </si>
  <si>
    <t xml:space="preserve">    to ultimate maturity, measured in years.</t>
  </si>
  <si>
    <t>Ult =</t>
  </si>
  <si>
    <t>where t is the time</t>
  </si>
  <si>
    <t xml:space="preserve">    to $1,000,000 per occurrence is given by </t>
  </si>
  <si>
    <r>
      <t>XSLDF</t>
    </r>
    <r>
      <rPr>
        <vertAlign val="subscript"/>
        <sz val="12"/>
        <color theme="1"/>
        <rFont val="Calibri"/>
        <family val="2"/>
        <scheme val="minor"/>
      </rPr>
      <t>layer</t>
    </r>
    <r>
      <rPr>
        <sz val="12"/>
        <color theme="1"/>
        <rFont val="Calibri"/>
        <family val="2"/>
        <scheme val="minor"/>
      </rPr>
      <t xml:space="preserve"> =</t>
    </r>
  </si>
  <si>
    <t>•  Losses are fully developed at 48 months.</t>
  </si>
  <si>
    <r>
      <t>R</t>
    </r>
    <r>
      <rPr>
        <vertAlign val="superscript"/>
        <sz val="12"/>
        <color theme="1"/>
        <rFont val="Calibri"/>
        <family val="2"/>
        <scheme val="minor"/>
      </rPr>
      <t>L</t>
    </r>
    <r>
      <rPr>
        <vertAlign val="subscript"/>
        <sz val="12"/>
        <color theme="1"/>
        <rFont val="Calibri"/>
        <family val="2"/>
        <scheme val="minor"/>
      </rPr>
      <t>ult</t>
    </r>
    <r>
      <rPr>
        <sz val="12"/>
        <color theme="1"/>
        <rFont val="Calibri"/>
        <family val="2"/>
        <scheme val="minor"/>
      </rPr>
      <t xml:space="preserve"> =</t>
    </r>
  </si>
  <si>
    <t>•  Increased limit factor from basic limit to $1,000,000 =</t>
  </si>
  <si>
    <r>
      <t>Loss</t>
    </r>
    <r>
      <rPr>
        <vertAlign val="subscript"/>
        <sz val="12"/>
        <color theme="1"/>
        <rFont val="Calibri"/>
        <family val="2"/>
        <scheme val="minor"/>
      </rPr>
      <t>Layer</t>
    </r>
    <r>
      <rPr>
        <sz val="12"/>
        <color theme="1"/>
        <rFont val="Calibri"/>
        <family val="2"/>
        <scheme val="minor"/>
      </rPr>
      <t xml:space="preserve"> =</t>
    </r>
  </si>
  <si>
    <t>•  Increased limit factor from basic limit to $250,000 =</t>
  </si>
  <si>
    <t>•  Industry per-occurrence charge at $1,000,000 =</t>
  </si>
  <si>
    <t>•  Industry per-occurrence charge at $250,000 =</t>
  </si>
  <si>
    <t>•  Expected loss ratio assumed in pricing =</t>
  </si>
  <si>
    <t>•  2014 earned premium =</t>
  </si>
  <si>
    <t>CDF-to-Ult</t>
  </si>
  <si>
    <t>LDF(1M)</t>
  </si>
  <si>
    <t>Reported Losses ($000) - $1,000,000 Per-Occurrence Limit</t>
  </si>
  <si>
    <t>LDF(250k)</t>
  </si>
  <si>
    <r>
      <t>Ult</t>
    </r>
    <r>
      <rPr>
        <vertAlign val="subscript"/>
        <sz val="12"/>
        <color theme="1"/>
        <rFont val="Calibri"/>
        <family val="2"/>
        <scheme val="minor"/>
      </rPr>
      <t>layer</t>
    </r>
    <r>
      <rPr>
        <sz val="12"/>
        <color theme="1"/>
        <rFont val="Calibri"/>
        <family val="2"/>
        <scheme val="minor"/>
      </rPr>
      <t xml:space="preserve"> = </t>
    </r>
  </si>
  <si>
    <r>
      <t>Ult</t>
    </r>
    <r>
      <rPr>
        <vertAlign val="subscript"/>
        <sz val="12"/>
        <color theme="1"/>
        <rFont val="Calibri"/>
        <family val="2"/>
        <scheme val="minor"/>
      </rPr>
      <t>1000k</t>
    </r>
    <r>
      <rPr>
        <sz val="12"/>
        <color theme="1"/>
        <rFont val="Calibri"/>
        <family val="2"/>
        <scheme val="minor"/>
      </rPr>
      <t xml:space="preserve"> = </t>
    </r>
  </si>
  <si>
    <t>Reported Losses ($000) - $250,000 Per-Occurrence Limit</t>
  </si>
  <si>
    <r>
      <t>Ult</t>
    </r>
    <r>
      <rPr>
        <vertAlign val="subscript"/>
        <sz val="12"/>
        <color theme="1"/>
        <rFont val="Calibri"/>
        <family val="2"/>
        <scheme val="minor"/>
      </rPr>
      <t>250k</t>
    </r>
    <r>
      <rPr>
        <sz val="12"/>
        <color theme="1"/>
        <rFont val="Calibri"/>
        <family val="2"/>
        <scheme val="minor"/>
      </rPr>
      <t xml:space="preserve"> = </t>
    </r>
  </si>
  <si>
    <t>Given the following information for a book of workers compensation business:</t>
  </si>
  <si>
    <t>Spring 2015</t>
  </si>
  <si>
    <t>above as opposed to the estimate calculated in part b. above.</t>
  </si>
  <si>
    <t>Provide one reason for and one reason against selecting the estimate calculated in part a.</t>
  </si>
  <si>
    <t>information.</t>
  </si>
  <si>
    <t>Estimate the 2014 ultimate insurer-retained losses, incorporating the given industry</t>
  </si>
  <si>
    <t>Deductible severity at 24 months</t>
  </si>
  <si>
    <t>Deductible severity at ultimate</t>
  </si>
  <si>
    <t>Unlimited severity at 24 months</t>
  </si>
  <si>
    <t>Unlimited severity at ultimate</t>
  </si>
  <si>
    <t>•  2014 reported insurer-retained losses as of December 31, 2015:</t>
  </si>
  <si>
    <t>For - More stable at early maturities where excess losses are thin and XSLDFs are highly leveraged/volatile
Against – Insurer has written WC for 20 years, so it might trust its loss experience more than industry averages and want to reflect the two years of actual development.</t>
  </si>
  <si>
    <t>•  2014 earned premium:</t>
  </si>
  <si>
    <t>•  All 2014 claims have been reported by December 31, 2015</t>
  </si>
  <si>
    <t>Ult Losses</t>
  </si>
  <si>
    <t>Given the following information for the insurer:</t>
  </si>
  <si>
    <t>&lt;-XSLDF = LDF * Change in (1-R^L)</t>
  </si>
  <si>
    <r>
      <t>R</t>
    </r>
    <r>
      <rPr>
        <vertAlign val="superscript"/>
        <sz val="12"/>
        <color theme="1"/>
        <rFont val="Calibri (Body)"/>
      </rPr>
      <t>L</t>
    </r>
    <r>
      <rPr>
        <sz val="12"/>
        <color theme="1"/>
        <rFont val="Calibri"/>
        <family val="2"/>
        <scheme val="minor"/>
      </rPr>
      <t xml:space="preserve"> at 24 = </t>
    </r>
  </si>
  <si>
    <r>
      <t>R</t>
    </r>
    <r>
      <rPr>
        <vertAlign val="superscript"/>
        <sz val="12"/>
        <color theme="1"/>
        <rFont val="Calibri (Body)"/>
      </rPr>
      <t>L</t>
    </r>
    <r>
      <rPr>
        <sz val="12"/>
        <color theme="1"/>
        <rFont val="Calibri"/>
        <family val="2"/>
        <scheme val="minor"/>
      </rPr>
      <t xml:space="preserve"> at Ult =</t>
    </r>
  </si>
  <si>
    <t>&lt;-Can use severities since all claims reported</t>
  </si>
  <si>
    <t>Unlimited LDF</t>
  </si>
  <si>
    <t>Industry 
Excess Ratio at $250,000</t>
  </si>
  <si>
    <t>Industry 
Unlimited Expected Loss Ratio</t>
  </si>
  <si>
    <t>Insurer 
Premium Distribution</t>
  </si>
  <si>
    <t>Hazard 
Group</t>
  </si>
  <si>
    <t>&lt;-EP*ELR*Excess Ratio summed over the hazard groups</t>
  </si>
  <si>
    <t>Given the following insurer and industry information:</t>
  </si>
  <si>
    <t>The insurer is responsible for losses excess of the deductible</t>
  </si>
  <si>
    <t>deductible of $250,000.</t>
  </si>
  <si>
    <t>An insurer has written a book of workers compensation business for 20 years with a per occurrence</t>
  </si>
  <si>
    <t>Q #9</t>
  </si>
  <si>
    <t>Spring 2016</t>
  </si>
  <si>
    <t>at 24 months using Siewert’s direct development approach.</t>
  </si>
  <si>
    <t>Calculate the IBNR for the losses in the $100,000 to $250,000 layer for accident year 2015</t>
  </si>
  <si>
    <t>24 months</t>
  </si>
  <si>
    <t>Accident Year 2015 limited reported loss and ALAE at 24 months:</t>
  </si>
  <si>
    <t>Ult</t>
  </si>
  <si>
    <t>Note that this is similar to what is done in Sahasrabuddhe. In the Siewert paper, the excess layer is typically from a lower limit up to unlimited. That's why we do XSLDF = LDF*Change in (1-R^L). Since this goes from a lower limit of 100 to an upper limit of 250, we do LDF*Change in (R^250 - R^100)</t>
  </si>
  <si>
    <t>Limited Severity Relativities</t>
  </si>
  <si>
    <t>60-ult</t>
  </si>
  <si>
    <t>IBNR(100k to 200k layer) =</t>
  </si>
  <si>
    <t>Development Factors</t>
  </si>
  <si>
    <t>Unlimited Age-to-Age Reported Loss and ALAE</t>
  </si>
  <si>
    <t>&lt;-LDF*Change in (R^250k - R^100k)</t>
  </si>
  <si>
    <t>XSLDF (24 to Ult) =</t>
  </si>
  <si>
    <t>Given the following information:</t>
  </si>
  <si>
    <t>Unlimited 24-Ult LDF</t>
  </si>
  <si>
    <t>Spring 2017</t>
  </si>
  <si>
    <r>
      <rPr>
        <b/>
        <u/>
        <sz val="12"/>
        <color theme="1"/>
        <rFont val="Calibri (Body)"/>
      </rPr>
      <t>Note</t>
    </r>
    <r>
      <rPr>
        <sz val="12"/>
        <color theme="1"/>
        <rFont val="Calibri (Body)"/>
      </rPr>
      <t>:</t>
    </r>
    <r>
      <rPr>
        <sz val="12"/>
        <color theme="1"/>
        <rFont val="Calibri"/>
        <family val="2"/>
        <scheme val="minor"/>
      </rPr>
      <t xml:space="preserve"> We did NOT use the insurance charge ratios. If you assume these represent excess ratios (the chi from the loss ratio approach), they could have been used in the calculation of the loss ratio approach IBNR.  See the examiner's report for examples.</t>
    </r>
    <r>
      <rPr>
        <sz val="12"/>
        <color theme="1"/>
        <rFont val="Calibri"/>
        <family val="2"/>
        <scheme val="minor"/>
      </rPr>
      <t xml:space="preserve">
This was a poorly written problem. Based on the Examiners' report, it appears that it may have originally been written to test the "Aggregate Excess of Loss Ultimate: Table M" method using the insurance charge ratios. However, no information is given about whether there is an aggregate limit and the "observed excess loss" given appears to be for the losses excess the </t>
    </r>
    <r>
      <rPr>
        <i/>
        <u/>
        <sz val="12"/>
        <color theme="1"/>
        <rFont val="Calibri (Body)"/>
      </rPr>
      <t>per occurrence</t>
    </r>
    <r>
      <rPr>
        <sz val="12"/>
        <color theme="1"/>
        <rFont val="Calibri (Body)"/>
      </rPr>
      <t xml:space="preserve"> limit.</t>
    </r>
    <r>
      <rPr>
        <sz val="12"/>
        <color theme="1"/>
        <rFont val="Calibri"/>
        <family val="2"/>
        <scheme val="minor"/>
      </rPr>
      <t xml:space="preserve">
If you saw this problem on the exam, I'd make sure to state your assumption. For this problem, 20 different sample solutions were accepted, so it's clear that even the exam graders didn't know what the question writer was asking.</t>
    </r>
  </si>
  <si>
    <t>Describe an issue with using limited severity data at 36 months.</t>
  </si>
  <si>
    <t>as of (months)</t>
  </si>
  <si>
    <t>Volume Weighted Claim Count Age-to-Age Development Factors</t>
  </si>
  <si>
    <t>By using the limited severity at 36 months, we are assuming that all claims have been reported by 36 months (we used the 1,000 claim counts to calculate the loss ratio approach IBNR in part a. above).  Since there is still claim count development at 36 months, it is not proper to use the limited severity at 36 months.</t>
  </si>
  <si>
    <t>Given the following:</t>
  </si>
  <si>
    <t>Assess the reasonability of the modelled excess IBNR compared to the loss ratio approach.</t>
  </si>
  <si>
    <t>2.25 points</t>
  </si>
  <si>
    <t>claims</t>
  </si>
  <si>
    <t xml:space="preserve">• Expected claims volume = </t>
  </si>
  <si>
    <t>The loss ratio approach excess IBNR is much higher than the modeled excess IBNR.  This may be due to the fact that excess LDFs are volatile and leveraged at early maturities.  The loss ratio approach may be more reasonable since its more stable than direct development at early maturities</t>
  </si>
  <si>
    <t>Assessment</t>
  </si>
  <si>
    <t>Insurance Charge Ratio</t>
  </si>
  <si>
    <t>-</t>
  </si>
  <si>
    <t>Modeled Excess Age-to-Ultimate Factor</t>
  </si>
  <si>
    <t>LR Method Excess IBNR =</t>
  </si>
  <si>
    <t>Observed Excess Loss</t>
  </si>
  <si>
    <t>Observed Deductible Loss</t>
  </si>
  <si>
    <t xml:space="preserve">Expected XS loss at ultimate = </t>
  </si>
  <si>
    <t>36 months</t>
  </si>
  <si>
    <t xml:space="preserve">Expected Unlimited Loss = </t>
  </si>
  <si>
    <t xml:space="preserve">Per Occurrence Charge (𝜒) = </t>
  </si>
  <si>
    <t>For the loss ratio approach:</t>
  </si>
  <si>
    <t xml:space="preserve">Modeled excess IBNR = </t>
  </si>
  <si>
    <t>deductible of $500,000:</t>
  </si>
  <si>
    <t>Using the modeled Excess CDF to calculate the IBNR for per-occurrence excess losses:</t>
  </si>
  <si>
    <t>Given the following information for a workers compensation book written with a per occurrence</t>
  </si>
  <si>
    <t>Q #2</t>
  </si>
  <si>
    <t>Spring 2018</t>
  </si>
  <si>
    <t xml:space="preserve">If you have a question on one of the problems, make sure to:
1 - Check the Discussion sections at the end of most problems first which may help you out.
2 - Cross reference the corresponding section in the Cookbook, Study Guide, AND Source paper. This will help you more thoroughly understand the concepts and will likely answer your question.
3 - Search in the course forum to see if someone else has had a similar question.
If you're still stuck, please ask your question in the course forum and your instructor or a fellow student will be able to help you out!
</t>
  </si>
  <si>
    <t>Estimate the 2014 ultimate insurer-retained losses using only the insurer's information.</t>
  </si>
  <si>
    <r>
      <t>Ult</t>
    </r>
    <r>
      <rPr>
        <vertAlign val="subscript"/>
        <sz val="12"/>
        <color theme="1"/>
        <rFont val="Calibri"/>
        <family val="2"/>
        <scheme val="minor"/>
      </rPr>
      <t>250k</t>
    </r>
    <r>
      <rPr>
        <sz val="12"/>
        <color theme="1"/>
        <rFont val="Calibri"/>
        <family val="2"/>
        <scheme val="minor"/>
      </rPr>
      <t xml:space="preserve"> =</t>
    </r>
  </si>
  <si>
    <r>
      <t>Ult</t>
    </r>
    <r>
      <rPr>
        <vertAlign val="subscript"/>
        <sz val="12"/>
        <color theme="1"/>
        <rFont val="Calibri"/>
        <family val="2"/>
        <scheme val="minor"/>
      </rPr>
      <t>1000k</t>
    </r>
    <r>
      <rPr>
        <sz val="12"/>
        <color theme="1"/>
        <rFont val="Calibri"/>
        <family val="2"/>
        <scheme val="minor"/>
      </rPr>
      <t xml:space="preserve"> =</t>
    </r>
  </si>
  <si>
    <r>
      <t>Ult</t>
    </r>
    <r>
      <rPr>
        <vertAlign val="subscript"/>
        <sz val="12"/>
        <color theme="1"/>
        <rFont val="Calibri"/>
        <family val="2"/>
        <scheme val="minor"/>
      </rPr>
      <t>layer</t>
    </r>
    <r>
      <rPr>
        <sz val="12"/>
        <color theme="1"/>
        <rFont val="Calibri"/>
        <family val="2"/>
        <scheme val="minor"/>
      </rPr>
      <t xml:space="preserve"> =</t>
    </r>
  </si>
  <si>
    <r>
      <t>R</t>
    </r>
    <r>
      <rPr>
        <vertAlign val="superscript"/>
        <sz val="12"/>
        <color theme="1"/>
        <rFont val="Calibri"/>
        <family val="2"/>
        <scheme val="minor"/>
      </rPr>
      <t>L</t>
    </r>
    <r>
      <rPr>
        <vertAlign val="subscript"/>
        <sz val="12"/>
        <color theme="1"/>
        <rFont val="Calibri"/>
        <family val="2"/>
        <scheme val="minor"/>
      </rPr>
      <t>12mo</t>
    </r>
    <r>
      <rPr>
        <sz val="12"/>
        <color theme="1"/>
        <rFont val="Calibri"/>
        <family val="2"/>
        <scheme val="minor"/>
      </rPr>
      <t xml:space="preserve"> =</t>
    </r>
  </si>
  <si>
    <t>•  Ratio of reported losses limited to $250,000 per occurrence to reported losses limited</t>
  </si>
  <si>
    <t>• Assume the aggregate limit and its corresponding per aggregate charge are the same for all states in the account.</t>
  </si>
  <si>
    <t>• The per aggregate expected excess losses for state X are:</t>
  </si>
  <si>
    <t>Estimate the insurer's total expected ultimate losses for the account using the loss ratio approach.</t>
  </si>
  <si>
    <t>Ultimate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</si>
</sst>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6" formatCode="&quot;$&quot;#,##0_);[Red]\(&quot;$&quot;#,##0\)"/>
    <numFmt numFmtId="8" formatCode="&quot;$&quot;#,##0.00_);[Red]\(&quot;$&quot;#,##0.00\)"/>
    <numFmt numFmtId="44" formatCode="_(&quot;$&quot;* #,##0.00_);_(&quot;$&quot;* \(#,##0.00\);_(&quot;$&quot;* &quot;-&quot;??_);_(@_)"/>
    <numFmt numFmtId="43" formatCode="_(* #,##0.00_);_(* \(#,##0.00\);_(* &quot;-&quot;??_);_(@_)"/>
    <numFmt numFmtId="164" formatCode="_(&quot;$&quot;* #,##0_);_(&quot;$&quot;* \(#,##0\);_(&quot;$&quot;* &quot;-&quot;??_);_(@_)"/>
    <numFmt numFmtId="165" formatCode="0.000"/>
    <numFmt numFmtId="166" formatCode="0.0000"/>
    <numFmt numFmtId="167" formatCode="#,##0.000"/>
    <numFmt numFmtId="168" formatCode="_(* #,##0_);_(* \(#,##0\);_(* &quot;-&quot;??_);_(@_)"/>
    <numFmt numFmtId="169" formatCode="_(* #,##0.000_);_(* \(#,##0.000\);_(* &quot;-&quot;??_);_(@_)"/>
    <numFmt numFmtId="170" formatCode="_(* #,##0.000000_);_(* \(#,##0.000000\);_(* &quot;-&quot;??_);_(@_)"/>
    <numFmt numFmtId="171" formatCode="_(* #,##0_);_(* \(#,##0\);_(* &quot;-&quot;???_);_(@_)"/>
    <numFmt numFmtId="172" formatCode="&quot;$&quot;#,##0"/>
    <numFmt numFmtId="173" formatCode="[$$-409]#,##0"/>
    <numFmt numFmtId="174" formatCode="_ &quot;₹&quot;\ * #,##0.00_ ;_ &quot;₹&quot;\ * \-#,##0.00_ ;_ &quot;₹&quot;\ * &quot;-&quot;??_ ;_ @_ "/>
    <numFmt numFmtId="175" formatCode="[$$-409]#,##0_ ;\-[$$-409]#,##0\ "/>
    <numFmt numFmtId="176" formatCode="0.0%"/>
  </numFmts>
  <fonts count="39" x14ac:knownFonts="1">
    <font>
      <sz val="12"/>
      <color theme="1"/>
      <name val="Calibri"/>
      <family val="2"/>
      <scheme val="minor"/>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font>
    <font>
      <sz val="12"/>
      <color theme="1"/>
      <name val="Calibri"/>
      <family val="2"/>
      <scheme val="minor"/>
    </font>
    <font>
      <b/>
      <sz val="14"/>
      <color theme="1"/>
      <name val="Calibri"/>
      <family val="2"/>
    </font>
    <font>
      <sz val="12"/>
      <color rgb="FFFF0000"/>
      <name val="Calibri"/>
      <family val="2"/>
    </font>
    <font>
      <b/>
      <u/>
      <sz val="12"/>
      <color theme="1"/>
      <name val="Calibri"/>
      <family val="2"/>
    </font>
    <font>
      <sz val="11"/>
      <color theme="1"/>
      <name val="Calibri"/>
      <family val="2"/>
    </font>
    <font>
      <sz val="12"/>
      <color rgb="FF000000"/>
      <name val="Calibri"/>
      <family val="2"/>
    </font>
    <font>
      <sz val="12"/>
      <name val="Calibri"/>
      <family val="2"/>
    </font>
    <font>
      <b/>
      <sz val="12"/>
      <color theme="1"/>
      <name val="Calibri"/>
      <family val="2"/>
    </font>
    <font>
      <u/>
      <sz val="12"/>
      <color theme="1"/>
      <name val="Calibri"/>
      <family val="2"/>
    </font>
    <font>
      <vertAlign val="superscript"/>
      <sz val="12"/>
      <color rgb="FF000000"/>
      <name val="Calibri"/>
      <family val="2"/>
    </font>
    <font>
      <b/>
      <sz val="12"/>
      <color rgb="FF000000"/>
      <name val="Calibri"/>
      <family val="2"/>
    </font>
    <font>
      <sz val="11"/>
      <color theme="1"/>
      <name val="Calibri"/>
      <family val="2"/>
      <scheme val="minor"/>
    </font>
    <font>
      <u/>
      <sz val="12"/>
      <color theme="10"/>
      <name val="Calibri"/>
      <family val="2"/>
    </font>
    <font>
      <b/>
      <sz val="16"/>
      <color theme="1"/>
      <name val="Calibri"/>
      <family val="2"/>
    </font>
    <font>
      <u/>
      <sz val="14"/>
      <color theme="1"/>
      <name val="Calibri"/>
      <family val="2"/>
    </font>
    <font>
      <b/>
      <sz val="14"/>
      <color theme="1"/>
      <name val="Calibri"/>
      <family val="2"/>
      <scheme val="minor"/>
    </font>
    <font>
      <b/>
      <u/>
      <sz val="12"/>
      <color theme="1"/>
      <name val="Calibri (Body)"/>
    </font>
    <font>
      <u/>
      <sz val="12"/>
      <color theme="1"/>
      <name val="Calibri"/>
      <family val="2"/>
      <scheme val="minor"/>
    </font>
    <font>
      <b/>
      <sz val="12"/>
      <color theme="1"/>
      <name val="Calibri"/>
      <family val="2"/>
      <scheme val="minor"/>
    </font>
    <font>
      <sz val="12"/>
      <color rgb="FF000000"/>
      <name val="Calibri"/>
      <family val="2"/>
      <scheme val="minor"/>
    </font>
    <font>
      <vertAlign val="subscript"/>
      <sz val="12"/>
      <color theme="1"/>
      <name val="Calibri"/>
      <family val="2"/>
      <scheme val="minor"/>
    </font>
    <font>
      <vertAlign val="superscript"/>
      <sz val="12"/>
      <color theme="1"/>
      <name val="Calibri"/>
      <family val="2"/>
      <scheme val="minor"/>
    </font>
    <font>
      <i/>
      <sz val="12"/>
      <color theme="1"/>
      <name val="Calibri"/>
      <family val="2"/>
      <scheme val="minor"/>
    </font>
    <font>
      <u/>
      <sz val="14"/>
      <color theme="1"/>
      <name val="Calibri (Body)"/>
    </font>
    <font>
      <b/>
      <sz val="14"/>
      <color theme="1"/>
      <name val="Myriad Pro"/>
      <family val="2"/>
    </font>
    <font>
      <vertAlign val="superscript"/>
      <sz val="12"/>
      <color theme="1"/>
      <name val="Calibri (Body)"/>
    </font>
    <font>
      <sz val="11"/>
      <color rgb="FF000000"/>
      <name val="Adobe Caslon Pro"/>
    </font>
    <font>
      <vertAlign val="superscript"/>
      <sz val="12"/>
      <color theme="1"/>
      <name val="Calibri"/>
      <family val="2"/>
    </font>
    <font>
      <b/>
      <sz val="12"/>
      <color rgb="FF000000"/>
      <name val="Calibri"/>
      <family val="2"/>
      <scheme val="minor"/>
    </font>
    <font>
      <sz val="12"/>
      <color theme="1"/>
      <name val="Calibri (Body)"/>
    </font>
    <font>
      <i/>
      <u/>
      <sz val="12"/>
      <color theme="1"/>
      <name val="Calibri (Body)"/>
    </font>
  </fonts>
  <fills count="3">
    <fill>
      <patternFill patternType="none"/>
    </fill>
    <fill>
      <patternFill patternType="gray125"/>
    </fill>
    <fill>
      <patternFill patternType="solid">
        <fgColor theme="0" tint="-4.9989318521683403E-2"/>
        <bgColor indexed="64"/>
      </patternFill>
    </fill>
  </fills>
  <borders count="29">
    <border>
      <left/>
      <right/>
      <top/>
      <bottom/>
      <diagonal/>
    </border>
    <border>
      <left style="medium">
        <color indexed="64"/>
      </left>
      <right/>
      <top/>
      <bottom/>
      <diagonal/>
    </border>
    <border>
      <left/>
      <right style="medium">
        <color indexed="64"/>
      </right>
      <top/>
      <bottom/>
      <diagonal/>
    </border>
    <border>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style="medium">
        <color indexed="64"/>
      </left>
      <right style="medium">
        <color indexed="64"/>
      </right>
      <top style="medium">
        <color indexed="64"/>
      </top>
      <bottom style="medium">
        <color indexed="64"/>
      </bottom>
      <diagonal/>
    </border>
  </borders>
  <cellStyleXfs count="9">
    <xf numFmtId="0" fontId="0" fillId="0" borderId="0"/>
    <xf numFmtId="44" fontId="8" fillId="0" borderId="0" applyFont="0" applyFill="0" applyBorder="0" applyAlignment="0" applyProtection="0"/>
    <xf numFmtId="43" fontId="8" fillId="0" borderId="0" applyFont="0" applyFill="0" applyBorder="0" applyAlignment="0" applyProtection="0"/>
    <xf numFmtId="9" fontId="8" fillId="0" borderId="0" applyFont="0" applyFill="0" applyBorder="0" applyAlignment="0" applyProtection="0"/>
    <xf numFmtId="0" fontId="19" fillId="0" borderId="0"/>
    <xf numFmtId="0" fontId="4" fillId="0" borderId="0"/>
    <xf numFmtId="0" fontId="20" fillId="0" borderId="0" applyNumberFormat="0" applyFill="0" applyBorder="0" applyAlignment="0" applyProtection="0"/>
    <xf numFmtId="174" fontId="8" fillId="0" borderId="0" applyFont="0" applyFill="0" applyBorder="0" applyAlignment="0" applyProtection="0"/>
    <xf numFmtId="9" fontId="8" fillId="0" borderId="0" applyFont="0" applyFill="0" applyBorder="0" applyAlignment="0" applyProtection="0"/>
  </cellStyleXfs>
  <cellXfs count="389">
    <xf numFmtId="0" fontId="0" fillId="0" borderId="0" xfId="0"/>
    <xf numFmtId="0" fontId="9" fillId="2" borderId="1" xfId="0" applyFont="1" applyFill="1" applyBorder="1"/>
    <xf numFmtId="2" fontId="10" fillId="2" borderId="1" xfId="0" applyNumberFormat="1" applyFont="1" applyFill="1" applyBorder="1" applyAlignment="1">
      <alignment horizontal="left"/>
    </xf>
    <xf numFmtId="0" fontId="9" fillId="0" borderId="0" xfId="0" applyFont="1"/>
    <xf numFmtId="0" fontId="11" fillId="0" borderId="0" xfId="0" applyFont="1"/>
    <xf numFmtId="0" fontId="12" fillId="0" borderId="0" xfId="0" applyFont="1"/>
    <xf numFmtId="6" fontId="13" fillId="2" borderId="0" xfId="0" applyNumberFormat="1" applyFont="1" applyFill="1" applyAlignment="1">
      <alignment horizontal="center" vertical="center" wrapText="1"/>
    </xf>
    <xf numFmtId="0" fontId="13" fillId="2" borderId="0" xfId="0" applyFont="1" applyFill="1" applyAlignment="1">
      <alignment horizontal="center" vertical="center" wrapText="1"/>
    </xf>
    <xf numFmtId="3" fontId="13" fillId="2" borderId="0" xfId="0" applyNumberFormat="1" applyFont="1" applyFill="1" applyAlignment="1">
      <alignment horizontal="center" vertical="center" wrapText="1"/>
    </xf>
    <xf numFmtId="0" fontId="13" fillId="0" borderId="5" xfId="0" applyFont="1" applyBorder="1" applyAlignment="1">
      <alignment horizontal="center" wrapText="1"/>
    </xf>
    <xf numFmtId="0" fontId="13" fillId="0" borderId="3" xfId="0" applyFont="1" applyBorder="1" applyAlignment="1">
      <alignment horizontal="center" wrapText="1"/>
    </xf>
    <xf numFmtId="0" fontId="14" fillId="0" borderId="4" xfId="0" applyFont="1" applyBorder="1" applyAlignment="1">
      <alignment horizontal="left" vertical="center" wrapText="1"/>
    </xf>
    <xf numFmtId="6" fontId="13" fillId="0" borderId="0" xfId="0" applyNumberFormat="1" applyFont="1" applyAlignment="1">
      <alignment horizontal="center" vertical="center" wrapText="1"/>
    </xf>
    <xf numFmtId="0" fontId="13" fillId="0" borderId="0" xfId="0" applyFont="1" applyAlignment="1">
      <alignment horizontal="center" vertical="center" wrapText="1"/>
    </xf>
    <xf numFmtId="3" fontId="13" fillId="0" borderId="0" xfId="0" applyNumberFormat="1" applyFont="1" applyAlignment="1">
      <alignment horizontal="center" vertical="center" wrapText="1"/>
    </xf>
    <xf numFmtId="0" fontId="13" fillId="0" borderId="4" xfId="0" applyFont="1" applyBorder="1" applyAlignment="1">
      <alignment horizontal="center" vertical="center" wrapText="1"/>
    </xf>
    <xf numFmtId="0" fontId="15" fillId="0" borderId="0" xfId="0" applyFont="1"/>
    <xf numFmtId="3" fontId="15" fillId="0" borderId="0" xfId="0" applyNumberFormat="1" applyFont="1"/>
    <xf numFmtId="166" fontId="15" fillId="0" borderId="0" xfId="0" applyNumberFormat="1" applyFont="1"/>
    <xf numFmtId="0" fontId="15" fillId="0" borderId="0" xfId="0" applyFont="1" applyAlignment="1">
      <alignment horizontal="right"/>
    </xf>
    <xf numFmtId="10" fontId="15" fillId="0" borderId="0" xfId="3" applyNumberFormat="1" applyFont="1" applyAlignment="1">
      <alignment horizontal="right"/>
    </xf>
    <xf numFmtId="10" fontId="15" fillId="0" borderId="0" xfId="0" applyNumberFormat="1" applyFont="1"/>
    <xf numFmtId="0" fontId="13" fillId="0" borderId="0" xfId="0" applyFont="1" applyAlignment="1">
      <alignment horizontal="left" vertical="center"/>
    </xf>
    <xf numFmtId="0" fontId="18" fillId="0" borderId="0" xfId="0" applyFont="1" applyAlignment="1">
      <alignment horizontal="left" vertical="center"/>
    </xf>
    <xf numFmtId="3" fontId="13" fillId="2" borderId="0" xfId="0" applyNumberFormat="1" applyFont="1" applyFill="1" applyAlignment="1">
      <alignment horizontal="center" wrapText="1"/>
    </xf>
    <xf numFmtId="0" fontId="15" fillId="2" borderId="10" xfId="0" applyFont="1" applyFill="1" applyBorder="1" applyAlignment="1">
      <alignment horizontal="center" vertical="center"/>
    </xf>
    <xf numFmtId="0" fontId="13" fillId="2" borderId="3" xfId="0" applyFont="1" applyFill="1" applyBorder="1" applyAlignment="1">
      <alignment horizontal="center" vertical="center" wrapText="1"/>
    </xf>
    <xf numFmtId="6" fontId="13" fillId="2" borderId="3" xfId="0" applyNumberFormat="1" applyFont="1" applyFill="1" applyBorder="1" applyAlignment="1">
      <alignment horizontal="center" vertical="center" wrapText="1"/>
    </xf>
    <xf numFmtId="0" fontId="13" fillId="2" borderId="3" xfId="0" applyFont="1" applyFill="1" applyBorder="1" applyAlignment="1">
      <alignment horizontal="center" wrapText="1"/>
    </xf>
    <xf numFmtId="16" fontId="13" fillId="2" borderId="3" xfId="0" quotePrefix="1" applyNumberFormat="1" applyFont="1" applyFill="1" applyBorder="1" applyAlignment="1">
      <alignment horizontal="center" vertical="center" wrapText="1"/>
    </xf>
    <xf numFmtId="0" fontId="13" fillId="2" borderId="5" xfId="0" applyFont="1" applyFill="1" applyBorder="1" applyAlignment="1">
      <alignment horizontal="center" wrapText="1"/>
    </xf>
    <xf numFmtId="0" fontId="14" fillId="2" borderId="4" xfId="0" applyFont="1" applyFill="1" applyBorder="1" applyAlignment="1">
      <alignment horizontal="left" vertical="center" wrapText="1"/>
    </xf>
    <xf numFmtId="0" fontId="13" fillId="2" borderId="5" xfId="0" applyFont="1" applyFill="1" applyBorder="1" applyAlignment="1">
      <alignment horizontal="center" vertical="center" wrapText="1"/>
    </xf>
    <xf numFmtId="0" fontId="13" fillId="2" borderId="4" xfId="0" applyFont="1" applyFill="1" applyBorder="1" applyAlignment="1">
      <alignment horizontal="center" vertical="center" wrapText="1"/>
    </xf>
    <xf numFmtId="0" fontId="13" fillId="2" borderId="4" xfId="0" applyFont="1" applyFill="1" applyBorder="1" applyAlignment="1">
      <alignment horizontal="right" vertical="center"/>
    </xf>
    <xf numFmtId="3" fontId="13" fillId="2" borderId="4" xfId="0" applyNumberFormat="1" applyFont="1" applyFill="1" applyBorder="1" applyAlignment="1">
      <alignment horizontal="center" vertical="center" wrapText="1"/>
    </xf>
    <xf numFmtId="0" fontId="13" fillId="2" borderId="4" xfId="0" applyFont="1" applyFill="1" applyBorder="1" applyAlignment="1">
      <alignment horizontal="center" wrapText="1"/>
    </xf>
    <xf numFmtId="0" fontId="13" fillId="0" borderId="3" xfId="0" applyFont="1" applyBorder="1" applyAlignment="1">
      <alignment horizontal="center" vertical="center" wrapText="1"/>
    </xf>
    <xf numFmtId="3" fontId="13" fillId="0" borderId="3" xfId="0" applyNumberFormat="1" applyFont="1" applyBorder="1" applyAlignment="1">
      <alignment horizontal="center" vertical="center" wrapText="1"/>
    </xf>
    <xf numFmtId="0" fontId="13" fillId="0" borderId="5" xfId="0" applyFont="1" applyBorder="1" applyAlignment="1">
      <alignment horizontal="center" vertical="center" wrapText="1"/>
    </xf>
    <xf numFmtId="0" fontId="15" fillId="0" borderId="3" xfId="0" applyFont="1" applyBorder="1" applyAlignment="1">
      <alignment horizontal="right"/>
    </xf>
    <xf numFmtId="10" fontId="15" fillId="0" borderId="3" xfId="3" applyNumberFormat="1" applyFont="1" applyBorder="1"/>
    <xf numFmtId="0" fontId="7" fillId="2" borderId="10" xfId="0" applyFont="1" applyFill="1" applyBorder="1" applyAlignment="1">
      <alignment horizontal="center" vertical="center"/>
    </xf>
    <xf numFmtId="0" fontId="7" fillId="2" borderId="0" xfId="0" applyFont="1" applyFill="1"/>
    <xf numFmtId="0" fontId="7" fillId="2" borderId="2" xfId="0" applyFont="1" applyFill="1" applyBorder="1"/>
    <xf numFmtId="0" fontId="7" fillId="0" borderId="0" xfId="0" applyFont="1"/>
    <xf numFmtId="165" fontId="7" fillId="0" borderId="0" xfId="0" applyNumberFormat="1" applyFont="1"/>
    <xf numFmtId="6" fontId="7" fillId="2" borderId="0" xfId="0" applyNumberFormat="1" applyFont="1" applyFill="1"/>
    <xf numFmtId="0" fontId="7" fillId="0" borderId="3" xfId="0" applyFont="1" applyBorder="1" applyAlignment="1">
      <alignment wrapText="1"/>
    </xf>
    <xf numFmtId="3" fontId="7" fillId="0" borderId="0" xfId="0" applyNumberFormat="1" applyFont="1"/>
    <xf numFmtId="3" fontId="7" fillId="0" borderId="6" xfId="0" applyNumberFormat="1" applyFont="1" applyBorder="1"/>
    <xf numFmtId="3" fontId="7" fillId="0" borderId="3" xfId="0" applyNumberFormat="1" applyFont="1" applyBorder="1"/>
    <xf numFmtId="0" fontId="7" fillId="0" borderId="4" xfId="0" applyFont="1" applyBorder="1"/>
    <xf numFmtId="0" fontId="7" fillId="0" borderId="0" xfId="0" quotePrefix="1" applyFont="1"/>
    <xf numFmtId="0" fontId="7" fillId="2" borderId="0" xfId="0" quotePrefix="1" applyFont="1" applyFill="1"/>
    <xf numFmtId="0" fontId="7" fillId="0" borderId="0" xfId="0" applyFont="1" applyAlignment="1">
      <alignment horizontal="right"/>
    </xf>
    <xf numFmtId="0" fontId="7" fillId="0" borderId="0" xfId="0" applyFont="1" applyAlignment="1">
      <alignment horizontal="left"/>
    </xf>
    <xf numFmtId="2" fontId="7" fillId="0" borderId="0" xfId="0" applyNumberFormat="1" applyFont="1"/>
    <xf numFmtId="166" fontId="7" fillId="0" borderId="0" xfId="0" applyNumberFormat="1" applyFont="1"/>
    <xf numFmtId="10" fontId="7" fillId="0" borderId="0" xfId="3" applyNumberFormat="1" applyFont="1"/>
    <xf numFmtId="0" fontId="7" fillId="0" borderId="3" xfId="0" applyFont="1" applyBorder="1"/>
    <xf numFmtId="168" fontId="7" fillId="0" borderId="0" xfId="2" applyNumberFormat="1" applyFont="1"/>
    <xf numFmtId="6" fontId="7" fillId="2" borderId="0" xfId="0" applyNumberFormat="1" applyFont="1" applyFill="1" applyAlignment="1">
      <alignment horizontal="center"/>
    </xf>
    <xf numFmtId="9" fontId="7" fillId="2" borderId="0" xfId="0" applyNumberFormat="1" applyFont="1" applyFill="1" applyAlignment="1">
      <alignment horizontal="left"/>
    </xf>
    <xf numFmtId="0" fontId="7" fillId="2" borderId="0" xfId="0" applyFont="1" applyFill="1" applyAlignment="1">
      <alignment horizontal="left"/>
    </xf>
    <xf numFmtId="167" fontId="7" fillId="0" borderId="0" xfId="0" applyNumberFormat="1" applyFont="1"/>
    <xf numFmtId="0" fontId="7" fillId="2" borderId="5" xfId="0" applyFont="1" applyFill="1" applyBorder="1" applyAlignment="1">
      <alignment horizontal="center" vertical="center" wrapText="1"/>
    </xf>
    <xf numFmtId="0" fontId="7" fillId="2" borderId="3" xfId="0" applyFont="1" applyFill="1" applyBorder="1" applyAlignment="1">
      <alignment horizontal="center" wrapText="1"/>
    </xf>
    <xf numFmtId="0" fontId="7" fillId="2" borderId="4" xfId="0" applyFont="1" applyFill="1" applyBorder="1" applyAlignment="1">
      <alignment horizontal="center" vertical="center" wrapText="1"/>
    </xf>
    <xf numFmtId="3" fontId="7" fillId="2" borderId="0" xfId="0" applyNumberFormat="1" applyFont="1" applyFill="1" applyAlignment="1">
      <alignment horizontal="center" vertical="center" wrapText="1"/>
    </xf>
    <xf numFmtId="0" fontId="7" fillId="2" borderId="0" xfId="0" applyFont="1" applyFill="1" applyAlignment="1">
      <alignment horizontal="center" vertical="center" wrapText="1"/>
    </xf>
    <xf numFmtId="0" fontId="7" fillId="0" borderId="0" xfId="0" applyFont="1" applyAlignment="1">
      <alignment wrapText="1"/>
    </xf>
    <xf numFmtId="16" fontId="7" fillId="2" borderId="3" xfId="0" quotePrefix="1" applyNumberFormat="1" applyFont="1" applyFill="1" applyBorder="1" applyAlignment="1">
      <alignment horizontal="center" vertical="center" wrapText="1"/>
    </xf>
    <xf numFmtId="0" fontId="7" fillId="2" borderId="3" xfId="0" applyFont="1" applyFill="1" applyBorder="1" applyAlignment="1">
      <alignment horizontal="center" vertical="center" wrapText="1"/>
    </xf>
    <xf numFmtId="0" fontId="7" fillId="2" borderId="4" xfId="0" applyFont="1" applyFill="1" applyBorder="1" applyAlignment="1">
      <alignment horizontal="right" vertical="center"/>
    </xf>
    <xf numFmtId="0" fontId="16" fillId="2" borderId="0" xfId="0" applyFont="1" applyFill="1" applyAlignment="1">
      <alignment horizontal="center"/>
    </xf>
    <xf numFmtId="0" fontId="6" fillId="0" borderId="0" xfId="0" applyFont="1"/>
    <xf numFmtId="165" fontId="6" fillId="0" borderId="0" xfId="0" applyNumberFormat="1" applyFont="1"/>
    <xf numFmtId="0" fontId="7" fillId="2" borderId="4" xfId="0" applyFont="1" applyFill="1" applyBorder="1"/>
    <xf numFmtId="0" fontId="13" fillId="0" borderId="0" xfId="0" applyFont="1" applyAlignment="1">
      <alignment horizontal="center" wrapText="1"/>
    </xf>
    <xf numFmtId="0" fontId="16" fillId="2" borderId="4" xfId="0" applyFont="1" applyFill="1" applyBorder="1" applyAlignment="1">
      <alignment horizontal="center"/>
    </xf>
    <xf numFmtId="0" fontId="16" fillId="2" borderId="11" xfId="0" applyFont="1" applyFill="1" applyBorder="1" applyAlignment="1">
      <alignment horizontal="center"/>
    </xf>
    <xf numFmtId="0" fontId="7" fillId="0" borderId="7" xfId="0" applyFont="1" applyBorder="1"/>
    <xf numFmtId="0" fontId="14" fillId="0" borderId="8" xfId="0" applyFont="1" applyBorder="1" applyAlignment="1">
      <alignment horizontal="right" vertical="center"/>
    </xf>
    <xf numFmtId="164" fontId="5" fillId="0" borderId="9" xfId="1" applyNumberFormat="1" applyFont="1" applyBorder="1" applyAlignment="1">
      <alignment horizontal="center"/>
    </xf>
    <xf numFmtId="0" fontId="14" fillId="0" borderId="5" xfId="0" applyFont="1" applyBorder="1" applyAlignment="1">
      <alignment horizontal="left" vertical="center" wrapText="1"/>
    </xf>
    <xf numFmtId="0" fontId="5" fillId="0" borderId="0" xfId="0" applyFont="1"/>
    <xf numFmtId="0" fontId="5" fillId="0" borderId="0" xfId="0" quotePrefix="1" applyFont="1"/>
    <xf numFmtId="0" fontId="5" fillId="0" borderId="7" xfId="0" applyFont="1" applyBorder="1"/>
    <xf numFmtId="3" fontId="5" fillId="0" borderId="9" xfId="0" applyNumberFormat="1" applyFont="1" applyBorder="1"/>
    <xf numFmtId="6" fontId="5" fillId="0" borderId="9" xfId="0" applyNumberFormat="1" applyFont="1" applyBorder="1"/>
    <xf numFmtId="0" fontId="5" fillId="0" borderId="0" xfId="0" applyFont="1" applyAlignment="1">
      <alignment horizontal="right"/>
    </xf>
    <xf numFmtId="0" fontId="5" fillId="0" borderId="7" xfId="0" applyFont="1" applyBorder="1" applyAlignment="1">
      <alignment horizontal="right"/>
    </xf>
    <xf numFmtId="168" fontId="5" fillId="0" borderId="9" xfId="0" applyNumberFormat="1" applyFont="1" applyBorder="1"/>
    <xf numFmtId="0" fontId="5" fillId="2" borderId="0" xfId="0" applyFont="1" applyFill="1"/>
    <xf numFmtId="0" fontId="5" fillId="0" borderId="3" xfId="0" applyFont="1" applyBorder="1" applyAlignment="1">
      <alignment horizontal="center"/>
    </xf>
    <xf numFmtId="0" fontId="7" fillId="0" borderId="5" xfId="0" applyFont="1" applyBorder="1" applyAlignment="1">
      <alignment horizontal="center"/>
    </xf>
    <xf numFmtId="0" fontId="5" fillId="0" borderId="4" xfId="0" applyFont="1" applyBorder="1" applyAlignment="1">
      <alignment horizontal="center"/>
    </xf>
    <xf numFmtId="0" fontId="5" fillId="0" borderId="4" xfId="0" applyFont="1" applyBorder="1" applyAlignment="1">
      <alignment horizontal="right"/>
    </xf>
    <xf numFmtId="0" fontId="7" fillId="0" borderId="5" xfId="0" applyFont="1" applyBorder="1" applyAlignment="1">
      <alignment horizontal="right"/>
    </xf>
    <xf numFmtId="0" fontId="5" fillId="0" borderId="3" xfId="0" applyFont="1" applyBorder="1"/>
    <xf numFmtId="0" fontId="5" fillId="0" borderId="12" xfId="0" applyFont="1" applyBorder="1" applyAlignment="1">
      <alignment horizontal="right"/>
    </xf>
    <xf numFmtId="165" fontId="5" fillId="0" borderId="9" xfId="0" applyNumberFormat="1" applyFont="1" applyBorder="1"/>
    <xf numFmtId="2" fontId="5" fillId="0" borderId="9" xfId="0" applyNumberFormat="1" applyFont="1" applyBorder="1"/>
    <xf numFmtId="167" fontId="5" fillId="0" borderId="9" xfId="0" applyNumberFormat="1" applyFont="1" applyBorder="1"/>
    <xf numFmtId="2" fontId="13" fillId="0" borderId="4" xfId="0" applyNumberFormat="1" applyFont="1" applyBorder="1" applyAlignment="1">
      <alignment horizontal="center" vertical="center" wrapText="1"/>
    </xf>
    <xf numFmtId="2" fontId="13" fillId="0" borderId="5" xfId="0" applyNumberFormat="1" applyFont="1" applyBorder="1" applyAlignment="1">
      <alignment horizontal="center" vertical="center" wrapText="1"/>
    </xf>
    <xf numFmtId="0" fontId="13" fillId="0" borderId="3" xfId="0" applyFont="1" applyBorder="1" applyAlignment="1">
      <alignment wrapText="1"/>
    </xf>
    <xf numFmtId="0" fontId="13" fillId="0" borderId="4" xfId="0" applyFont="1" applyBorder="1" applyAlignment="1">
      <alignment wrapText="1"/>
    </xf>
    <xf numFmtId="0" fontId="13" fillId="0" borderId="5" xfId="0" applyFont="1" applyBorder="1" applyAlignment="1">
      <alignment wrapText="1"/>
    </xf>
    <xf numFmtId="0" fontId="13" fillId="0" borderId="0" xfId="0" applyFont="1" applyAlignment="1">
      <alignment wrapText="1"/>
    </xf>
    <xf numFmtId="0" fontId="13" fillId="0" borderId="6" xfId="0" applyFont="1" applyBorder="1" applyAlignment="1">
      <alignment horizontal="center" wrapText="1"/>
    </xf>
    <xf numFmtId="0" fontId="13" fillId="0" borderId="13" xfId="0" applyFont="1" applyBorder="1" applyAlignment="1">
      <alignment wrapText="1"/>
    </xf>
    <xf numFmtId="0" fontId="13" fillId="0" borderId="6" xfId="0" applyFont="1" applyBorder="1" applyAlignment="1">
      <alignment wrapText="1"/>
    </xf>
    <xf numFmtId="0" fontId="5" fillId="0" borderId="8" xfId="0" applyFont="1" applyBorder="1"/>
    <xf numFmtId="0" fontId="5" fillId="0" borderId="7" xfId="0" applyFont="1" applyBorder="1" applyAlignment="1">
      <alignment horizontal="center"/>
    </xf>
    <xf numFmtId="166" fontId="5" fillId="0" borderId="9" xfId="0" applyNumberFormat="1" applyFont="1" applyBorder="1" applyAlignment="1">
      <alignment horizontal="center"/>
    </xf>
    <xf numFmtId="0" fontId="5" fillId="2" borderId="0" xfId="0" quotePrefix="1" applyFont="1" applyFill="1"/>
    <xf numFmtId="0" fontId="4" fillId="0" borderId="14" xfId="4" applyFont="1" applyBorder="1" applyAlignment="1">
      <alignment horizontal="center" vertical="center"/>
    </xf>
    <xf numFmtId="0" fontId="4" fillId="0" borderId="10" xfId="4" applyFont="1" applyBorder="1" applyAlignment="1">
      <alignment vertical="center" wrapText="1"/>
    </xf>
    <xf numFmtId="0" fontId="15" fillId="0" borderId="10" xfId="4" applyFont="1" applyBorder="1" applyAlignment="1">
      <alignment horizontal="center" vertical="center"/>
    </xf>
    <xf numFmtId="0" fontId="4" fillId="0" borderId="15" xfId="4" applyFont="1" applyBorder="1" applyAlignment="1">
      <alignment horizontal="center" vertical="center"/>
    </xf>
    <xf numFmtId="0" fontId="4" fillId="0" borderId="0" xfId="4" applyFont="1" applyAlignment="1">
      <alignment horizontal="center" vertical="center"/>
    </xf>
    <xf numFmtId="0" fontId="4" fillId="0" borderId="1" xfId="5" applyBorder="1"/>
    <xf numFmtId="0" fontId="4" fillId="0" borderId="0" xfId="5"/>
    <xf numFmtId="0" fontId="4" fillId="0" borderId="2" xfId="5" applyBorder="1"/>
    <xf numFmtId="0" fontId="20" fillId="0" borderId="0" xfId="6" applyBorder="1"/>
    <xf numFmtId="0" fontId="21" fillId="0" borderId="0" xfId="5" applyFont="1"/>
    <xf numFmtId="0" fontId="4" fillId="0" borderId="0" xfId="5" applyAlignment="1">
      <alignment horizontal="left" vertical="top"/>
    </xf>
    <xf numFmtId="0" fontId="22" fillId="0" borderId="0" xfId="5" applyFont="1"/>
    <xf numFmtId="0" fontId="10" fillId="0" borderId="0" xfId="5" applyFont="1" applyAlignment="1">
      <alignment horizontal="left" vertical="top"/>
    </xf>
    <xf numFmtId="0" fontId="4" fillId="0" borderId="16" xfId="4" applyFont="1" applyBorder="1" applyAlignment="1">
      <alignment horizontal="center" vertical="center"/>
    </xf>
    <xf numFmtId="0" fontId="4" fillId="0" borderId="17" xfId="4" applyFont="1" applyBorder="1" applyAlignment="1">
      <alignment horizontal="center" vertical="center"/>
    </xf>
    <xf numFmtId="0" fontId="4" fillId="0" borderId="18" xfId="4" applyFont="1" applyBorder="1" applyAlignment="1">
      <alignment horizontal="center" vertical="center"/>
    </xf>
    <xf numFmtId="0" fontId="0" fillId="0" borderId="0" xfId="0" applyAlignment="1">
      <alignment horizontal="left"/>
    </xf>
    <xf numFmtId="0" fontId="0" fillId="0" borderId="0" xfId="0" quotePrefix="1"/>
    <xf numFmtId="0" fontId="23" fillId="0" borderId="0" xfId="0" applyFont="1" applyAlignment="1">
      <alignment horizontal="left"/>
    </xf>
    <xf numFmtId="0" fontId="0" fillId="0" borderId="0" xfId="0" applyAlignment="1">
      <alignment horizontal="center"/>
    </xf>
    <xf numFmtId="3" fontId="0" fillId="0" borderId="9" xfId="0" applyNumberFormat="1" applyBorder="1"/>
    <xf numFmtId="0" fontId="0" fillId="0" borderId="7" xfId="0" applyBorder="1" applyAlignment="1">
      <alignment horizontal="left"/>
    </xf>
    <xf numFmtId="3" fontId="0" fillId="0" borderId="0" xfId="0" quotePrefix="1" applyNumberFormat="1" applyAlignment="1">
      <alignment horizontal="center"/>
    </xf>
    <xf numFmtId="3" fontId="0" fillId="0" borderId="0" xfId="0" applyNumberFormat="1" applyAlignment="1">
      <alignment horizontal="center"/>
    </xf>
    <xf numFmtId="0" fontId="0" fillId="0" borderId="4" xfId="0" applyBorder="1" applyAlignment="1">
      <alignment horizontal="center"/>
    </xf>
    <xf numFmtId="43" fontId="0" fillId="0" borderId="0" xfId="2" applyFont="1" applyAlignment="1">
      <alignment horizontal="center"/>
    </xf>
    <xf numFmtId="6" fontId="0" fillId="0" borderId="3" xfId="0" applyNumberFormat="1" applyBorder="1" applyAlignment="1">
      <alignment horizontal="center"/>
    </xf>
    <xf numFmtId="0" fontId="0" fillId="0" borderId="5" xfId="0" applyBorder="1" applyAlignment="1">
      <alignment horizontal="center"/>
    </xf>
    <xf numFmtId="0" fontId="0" fillId="2" borderId="9" xfId="0" applyFill="1" applyBorder="1"/>
    <xf numFmtId="0" fontId="0" fillId="2" borderId="8" xfId="0" applyFill="1" applyBorder="1"/>
    <xf numFmtId="0" fontId="24" fillId="2" borderId="8" xfId="0" applyFont="1" applyFill="1" applyBorder="1"/>
    <xf numFmtId="0" fontId="0" fillId="2" borderId="7" xfId="0" applyFill="1" applyBorder="1"/>
    <xf numFmtId="6" fontId="0" fillId="0" borderId="0" xfId="0" applyNumberFormat="1" applyAlignment="1">
      <alignment horizontal="center"/>
    </xf>
    <xf numFmtId="0" fontId="0" fillId="2" borderId="2" xfId="0" applyFill="1" applyBorder="1"/>
    <xf numFmtId="0" fontId="0" fillId="2" borderId="0" xfId="0" applyFill="1"/>
    <xf numFmtId="0" fontId="0" fillId="2" borderId="1" xfId="0" applyFill="1" applyBorder="1"/>
    <xf numFmtId="0" fontId="0" fillId="0" borderId="3" xfId="0" applyBorder="1" applyAlignment="1">
      <alignment horizontal="center"/>
    </xf>
    <xf numFmtId="0" fontId="0" fillId="2" borderId="0" xfId="0" applyFill="1" applyAlignment="1">
      <alignment horizontal="center"/>
    </xf>
    <xf numFmtId="6" fontId="0" fillId="2" borderId="0" xfId="0" applyNumberFormat="1" applyFill="1" applyAlignment="1">
      <alignment horizontal="center"/>
    </xf>
    <xf numFmtId="0" fontId="0" fillId="2" borderId="0" xfId="0" quotePrefix="1" applyFill="1" applyAlignment="1">
      <alignment horizontal="left"/>
    </xf>
    <xf numFmtId="2" fontId="0" fillId="2" borderId="5" xfId="0" applyNumberFormat="1" applyFill="1" applyBorder="1" applyAlignment="1">
      <alignment horizontal="center"/>
    </xf>
    <xf numFmtId="2" fontId="0" fillId="2" borderId="3" xfId="0" applyNumberFormat="1" applyFill="1" applyBorder="1" applyAlignment="1">
      <alignment horizontal="center"/>
    </xf>
    <xf numFmtId="6" fontId="0" fillId="2" borderId="3" xfId="0" applyNumberFormat="1" applyFill="1" applyBorder="1" applyAlignment="1">
      <alignment horizontal="center"/>
    </xf>
    <xf numFmtId="0" fontId="0" fillId="2" borderId="19" xfId="0" applyFill="1" applyBorder="1" applyAlignment="1">
      <alignment horizontal="center"/>
    </xf>
    <xf numFmtId="0" fontId="25" fillId="0" borderId="0" xfId="0" applyFont="1" applyAlignment="1">
      <alignment horizontal="left"/>
    </xf>
    <xf numFmtId="2" fontId="0" fillId="2" borderId="4" xfId="0" applyNumberFormat="1" applyFill="1" applyBorder="1" applyAlignment="1">
      <alignment horizontal="center"/>
    </xf>
    <xf numFmtId="2" fontId="0" fillId="2" borderId="0" xfId="0" applyNumberFormat="1" applyFill="1" applyAlignment="1">
      <alignment horizontal="center"/>
    </xf>
    <xf numFmtId="0" fontId="0" fillId="2" borderId="11" xfId="0" applyFill="1" applyBorder="1" applyAlignment="1">
      <alignment horizontal="center"/>
    </xf>
    <xf numFmtId="169" fontId="0" fillId="0" borderId="0" xfId="2" applyNumberFormat="1" applyFont="1" applyAlignment="1">
      <alignment horizontal="center"/>
    </xf>
    <xf numFmtId="0" fontId="0" fillId="2" borderId="20" xfId="0" applyFill="1" applyBorder="1" applyAlignment="1">
      <alignment horizontal="center"/>
    </xf>
    <xf numFmtId="0" fontId="0" fillId="2" borderId="21" xfId="0" applyFill="1" applyBorder="1" applyAlignment="1">
      <alignment horizontal="center"/>
    </xf>
    <xf numFmtId="0" fontId="0" fillId="2" borderId="22" xfId="0" applyFill="1" applyBorder="1" applyAlignment="1">
      <alignment horizontal="center"/>
    </xf>
    <xf numFmtId="0" fontId="23" fillId="0" borderId="0" xfId="0" applyFont="1"/>
    <xf numFmtId="0" fontId="0" fillId="2" borderId="15" xfId="0" applyFill="1" applyBorder="1"/>
    <xf numFmtId="0" fontId="0" fillId="2" borderId="10" xfId="0" applyFill="1" applyBorder="1"/>
    <xf numFmtId="0" fontId="0" fillId="2" borderId="10" xfId="0" applyFill="1" applyBorder="1" applyAlignment="1">
      <alignment horizontal="center"/>
    </xf>
    <xf numFmtId="0" fontId="26" fillId="2" borderId="10" xfId="0" applyFont="1" applyFill="1" applyBorder="1"/>
    <xf numFmtId="3" fontId="0" fillId="0" borderId="0" xfId="0" applyNumberFormat="1"/>
    <xf numFmtId="170" fontId="0" fillId="0" borderId="0" xfId="0" applyNumberFormat="1"/>
    <xf numFmtId="168" fontId="0" fillId="0" borderId="0" xfId="0" applyNumberFormat="1"/>
    <xf numFmtId="168" fontId="0" fillId="0" borderId="0" xfId="2" applyNumberFormat="1" applyFont="1"/>
    <xf numFmtId="169" fontId="0" fillId="0" borderId="0" xfId="0" applyNumberFormat="1" applyAlignment="1">
      <alignment horizontal="center"/>
    </xf>
    <xf numFmtId="0" fontId="0" fillId="2" borderId="0" xfId="0" quotePrefix="1" applyFill="1"/>
    <xf numFmtId="168" fontId="0" fillId="0" borderId="0" xfId="2" applyNumberFormat="1" applyFont="1" applyAlignment="1">
      <alignment horizontal="left"/>
    </xf>
    <xf numFmtId="3" fontId="0" fillId="2" borderId="5" xfId="0" applyNumberFormat="1" applyFill="1" applyBorder="1" applyAlignment="1">
      <alignment horizontal="center"/>
    </xf>
    <xf numFmtId="3" fontId="0" fillId="2" borderId="3" xfId="0" applyNumberFormat="1" applyFill="1" applyBorder="1" applyAlignment="1">
      <alignment horizontal="center"/>
    </xf>
    <xf numFmtId="3" fontId="0" fillId="2" borderId="4" xfId="0" applyNumberFormat="1" applyFill="1" applyBorder="1" applyAlignment="1">
      <alignment horizontal="center"/>
    </xf>
    <xf numFmtId="3" fontId="0" fillId="2" borderId="0" xfId="0" applyNumberFormat="1" applyFill="1" applyAlignment="1">
      <alignment horizontal="center"/>
    </xf>
    <xf numFmtId="0" fontId="0" fillId="2" borderId="23" xfId="0" applyFill="1" applyBorder="1" applyAlignment="1">
      <alignment horizontal="center"/>
    </xf>
    <xf numFmtId="0" fontId="0" fillId="2" borderId="24" xfId="0" applyFill="1" applyBorder="1" applyAlignment="1">
      <alignment horizontal="center"/>
    </xf>
    <xf numFmtId="0" fontId="23" fillId="2" borderId="14" xfId="0" applyFont="1" applyFill="1" applyBorder="1"/>
    <xf numFmtId="0" fontId="24" fillId="2" borderId="0" xfId="0" applyFont="1" applyFill="1"/>
    <xf numFmtId="0" fontId="0" fillId="2" borderId="0" xfId="0" applyFill="1" applyAlignment="1">
      <alignment horizontal="left"/>
    </xf>
    <xf numFmtId="8" fontId="0" fillId="0" borderId="0" xfId="0" applyNumberFormat="1" applyAlignment="1">
      <alignment horizontal="left"/>
    </xf>
    <xf numFmtId="0" fontId="0" fillId="2" borderId="0" xfId="0" quotePrefix="1" applyFill="1" applyAlignment="1">
      <alignment horizontal="center"/>
    </xf>
    <xf numFmtId="171" fontId="0" fillId="0" borderId="9" xfId="0" applyNumberFormat="1" applyBorder="1" applyAlignment="1">
      <alignment horizontal="left"/>
    </xf>
    <xf numFmtId="169" fontId="0" fillId="0" borderId="8" xfId="0" applyNumberFormat="1" applyBorder="1" applyAlignment="1">
      <alignment horizontal="center"/>
    </xf>
    <xf numFmtId="171" fontId="0" fillId="0" borderId="0" xfId="0" applyNumberFormat="1" applyAlignment="1">
      <alignment horizontal="left"/>
    </xf>
    <xf numFmtId="9" fontId="0" fillId="2" borderId="0" xfId="0" applyNumberFormat="1" applyFill="1" applyAlignment="1">
      <alignment horizontal="center"/>
    </xf>
    <xf numFmtId="0" fontId="26" fillId="0" borderId="0" xfId="0" applyFont="1" applyAlignment="1">
      <alignment horizontal="left"/>
    </xf>
    <xf numFmtId="38" fontId="0" fillId="2" borderId="0" xfId="0" applyNumberFormat="1" applyFill="1" applyAlignment="1">
      <alignment horizontal="center"/>
    </xf>
    <xf numFmtId="168" fontId="0" fillId="0" borderId="9" xfId="0" applyNumberFormat="1" applyBorder="1" applyAlignment="1">
      <alignment horizontal="center"/>
    </xf>
    <xf numFmtId="168" fontId="0" fillId="0" borderId="0" xfId="0" applyNumberFormat="1" applyAlignment="1">
      <alignment horizontal="center"/>
    </xf>
    <xf numFmtId="6" fontId="0" fillId="2" borderId="11" xfId="0" applyNumberFormat="1" applyFill="1" applyBorder="1" applyAlignment="1">
      <alignment horizontal="center"/>
    </xf>
    <xf numFmtId="168" fontId="0" fillId="0" borderId="0" xfId="2" applyNumberFormat="1" applyFont="1" applyAlignment="1">
      <alignment horizontal="center"/>
    </xf>
    <xf numFmtId="168" fontId="8" fillId="0" borderId="9" xfId="2" applyNumberFormat="1" applyFont="1" applyBorder="1" applyAlignment="1">
      <alignment horizontal="left"/>
    </xf>
    <xf numFmtId="168" fontId="0" fillId="0" borderId="8" xfId="0" applyNumberFormat="1" applyBorder="1" applyAlignment="1">
      <alignment horizontal="center"/>
    </xf>
    <xf numFmtId="168" fontId="26" fillId="0" borderId="0" xfId="0" applyNumberFormat="1" applyFont="1" applyAlignment="1">
      <alignment horizontal="center"/>
    </xf>
    <xf numFmtId="168" fontId="0" fillId="0" borderId="3" xfId="0" applyNumberFormat="1" applyBorder="1" applyAlignment="1">
      <alignment horizontal="center"/>
    </xf>
    <xf numFmtId="168" fontId="8" fillId="0" borderId="3" xfId="2" applyNumberFormat="1" applyFont="1" applyBorder="1" applyAlignment="1">
      <alignment horizontal="center"/>
    </xf>
    <xf numFmtId="168" fontId="26" fillId="0" borderId="0" xfId="2" applyNumberFormat="1" applyFont="1" applyAlignment="1">
      <alignment horizontal="left"/>
    </xf>
    <xf numFmtId="172" fontId="0" fillId="2" borderId="5" xfId="0" applyNumberFormat="1" applyFill="1" applyBorder="1" applyAlignment="1">
      <alignment horizontal="center"/>
    </xf>
    <xf numFmtId="172" fontId="0" fillId="2" borderId="4" xfId="0" applyNumberFormat="1" applyFill="1" applyBorder="1" applyAlignment="1">
      <alignment horizontal="center"/>
    </xf>
    <xf numFmtId="168" fontId="0" fillId="0" borderId="0" xfId="0" applyNumberFormat="1" applyAlignment="1">
      <alignment horizontal="left"/>
    </xf>
    <xf numFmtId="0" fontId="0" fillId="0" borderId="4" xfId="0" applyBorder="1" applyAlignment="1">
      <alignment horizontal="left"/>
    </xf>
    <xf numFmtId="4" fontId="0" fillId="2" borderId="5" xfId="0" applyNumberFormat="1" applyFill="1" applyBorder="1" applyAlignment="1">
      <alignment horizontal="center"/>
    </xf>
    <xf numFmtId="4" fontId="0" fillId="2" borderId="3" xfId="0" applyNumberFormat="1" applyFill="1" applyBorder="1" applyAlignment="1">
      <alignment horizontal="center"/>
    </xf>
    <xf numFmtId="43" fontId="0" fillId="0" borderId="0" xfId="0" applyNumberFormat="1" applyAlignment="1">
      <alignment horizontal="center"/>
    </xf>
    <xf numFmtId="172" fontId="0" fillId="2" borderId="0" xfId="0" applyNumberFormat="1" applyFill="1" applyAlignment="1">
      <alignment horizontal="center"/>
    </xf>
    <xf numFmtId="0" fontId="0" fillId="0" borderId="3" xfId="0" applyBorder="1"/>
    <xf numFmtId="0" fontId="0" fillId="0" borderId="5" xfId="0" applyBorder="1" applyAlignment="1">
      <alignment horizontal="left"/>
    </xf>
    <xf numFmtId="0" fontId="0" fillId="2" borderId="18" xfId="0" applyFill="1" applyBorder="1" applyAlignment="1">
      <alignment horizontal="left"/>
    </xf>
    <xf numFmtId="0" fontId="0" fillId="2" borderId="17" xfId="0" applyFill="1" applyBorder="1" applyAlignment="1">
      <alignment horizontal="left"/>
    </xf>
    <xf numFmtId="0" fontId="0" fillId="2" borderId="16" xfId="0" applyFill="1" applyBorder="1" applyAlignment="1">
      <alignment horizontal="left"/>
    </xf>
    <xf numFmtId="0" fontId="0" fillId="2" borderId="2" xfId="0" applyFill="1" applyBorder="1" applyAlignment="1">
      <alignment horizontal="left"/>
    </xf>
    <xf numFmtId="0" fontId="0" fillId="2" borderId="1" xfId="0" applyFill="1" applyBorder="1" applyAlignment="1">
      <alignment horizontal="left"/>
    </xf>
    <xf numFmtId="0" fontId="26" fillId="2" borderId="0" xfId="0" applyFont="1" applyFill="1" applyAlignment="1">
      <alignment horizontal="left"/>
    </xf>
    <xf numFmtId="0" fontId="0" fillId="0" borderId="0" xfId="0" quotePrefix="1" applyAlignment="1">
      <alignment horizontal="left"/>
    </xf>
    <xf numFmtId="0" fontId="25" fillId="0" borderId="0" xfId="0" quotePrefix="1" applyFont="1" applyAlignment="1">
      <alignment horizontal="left"/>
    </xf>
    <xf numFmtId="0" fontId="0" fillId="0" borderId="0" xfId="0" applyAlignment="1">
      <alignment wrapText="1"/>
    </xf>
    <xf numFmtId="0" fontId="27" fillId="2" borderId="0" xfId="0" applyFont="1" applyFill="1" applyAlignment="1">
      <alignment horizontal="left"/>
    </xf>
    <xf numFmtId="0" fontId="26" fillId="0" borderId="0" xfId="0" quotePrefix="1" applyFont="1" applyAlignment="1">
      <alignment horizontal="left"/>
    </xf>
    <xf numFmtId="0" fontId="0" fillId="2" borderId="15" xfId="0" applyFill="1" applyBorder="1" applyAlignment="1">
      <alignment horizontal="left"/>
    </xf>
    <xf numFmtId="0" fontId="0" fillId="2" borderId="10" xfId="0" applyFill="1" applyBorder="1" applyAlignment="1">
      <alignment horizontal="left"/>
    </xf>
    <xf numFmtId="0" fontId="0" fillId="0" borderId="0" xfId="0" applyAlignment="1">
      <alignment vertical="center"/>
    </xf>
    <xf numFmtId="0" fontId="0" fillId="0" borderId="9" xfId="0" applyBorder="1" applyAlignment="1">
      <alignment horizontal="center" vertical="center"/>
    </xf>
    <xf numFmtId="0" fontId="0" fillId="0" borderId="7" xfId="0" applyBorder="1" applyAlignment="1">
      <alignment horizontal="center" vertical="center"/>
    </xf>
    <xf numFmtId="0" fontId="0" fillId="0" borderId="0" xfId="0" applyAlignment="1">
      <alignment horizontal="center" vertical="center"/>
    </xf>
    <xf numFmtId="166" fontId="0" fillId="0" borderId="0" xfId="0" applyNumberFormat="1" applyAlignment="1">
      <alignment horizontal="center" vertical="center"/>
    </xf>
    <xf numFmtId="3" fontId="0" fillId="0" borderId="0" xfId="0" applyNumberFormat="1" applyAlignment="1">
      <alignment horizontal="center" vertical="center"/>
    </xf>
    <xf numFmtId="2" fontId="0" fillId="0" borderId="0" xfId="0" applyNumberFormat="1" applyAlignment="1">
      <alignment horizontal="center" vertical="center"/>
    </xf>
    <xf numFmtId="3" fontId="0" fillId="0" borderId="9" xfId="0" applyNumberFormat="1" applyBorder="1" applyAlignment="1">
      <alignment horizontal="center" vertical="center"/>
    </xf>
    <xf numFmtId="0" fontId="0" fillId="2" borderId="8" xfId="0" quotePrefix="1" applyFill="1" applyBorder="1"/>
    <xf numFmtId="0" fontId="0" fillId="2" borderId="7" xfId="0" applyFill="1" applyBorder="1" applyAlignment="1">
      <alignment horizontal="left"/>
    </xf>
    <xf numFmtId="0" fontId="23" fillId="0" borderId="0" xfId="0" applyFont="1" applyAlignment="1">
      <alignment vertical="center"/>
    </xf>
    <xf numFmtId="0" fontId="26" fillId="0" borderId="0" xfId="0" applyFont="1"/>
    <xf numFmtId="0" fontId="0" fillId="0" borderId="7" xfId="0" applyBorder="1" applyAlignment="1">
      <alignment horizontal="center"/>
    </xf>
    <xf numFmtId="165" fontId="0" fillId="2" borderId="0" xfId="0" applyNumberFormat="1" applyFill="1" applyAlignment="1">
      <alignment horizontal="center"/>
    </xf>
    <xf numFmtId="173" fontId="0" fillId="2" borderId="0" xfId="0" applyNumberFormat="1" applyFill="1" applyAlignment="1">
      <alignment horizontal="center"/>
    </xf>
    <xf numFmtId="3" fontId="0" fillId="2" borderId="22" xfId="0" applyNumberFormat="1" applyFill="1" applyBorder="1" applyAlignment="1">
      <alignment horizontal="center"/>
    </xf>
    <xf numFmtId="173" fontId="0" fillId="2" borderId="19" xfId="0" applyNumberFormat="1" applyFill="1" applyBorder="1" applyAlignment="1">
      <alignment horizontal="center"/>
    </xf>
    <xf numFmtId="165" fontId="0" fillId="0" borderId="0" xfId="0" applyNumberFormat="1"/>
    <xf numFmtId="0" fontId="0" fillId="2" borderId="3" xfId="0" applyFill="1" applyBorder="1" applyAlignment="1">
      <alignment horizontal="center"/>
    </xf>
    <xf numFmtId="0" fontId="0" fillId="2" borderId="5" xfId="0" applyFill="1" applyBorder="1" applyAlignment="1">
      <alignment horizontal="center"/>
    </xf>
    <xf numFmtId="0" fontId="0" fillId="2" borderId="6" xfId="0" applyFill="1" applyBorder="1" applyAlignment="1">
      <alignment horizontal="center"/>
    </xf>
    <xf numFmtId="165" fontId="0" fillId="0" borderId="0" xfId="0" applyNumberFormat="1" applyAlignment="1">
      <alignment horizontal="center" vertical="center"/>
    </xf>
    <xf numFmtId="2" fontId="26" fillId="2" borderId="0" xfId="0" applyNumberFormat="1" applyFont="1" applyFill="1" applyAlignment="1">
      <alignment horizontal="center"/>
    </xf>
    <xf numFmtId="0" fontId="26" fillId="2" borderId="0" xfId="0" applyFont="1" applyFill="1"/>
    <xf numFmtId="0" fontId="0" fillId="2" borderId="14" xfId="0" applyFill="1" applyBorder="1" applyAlignment="1">
      <alignment horizontal="left"/>
    </xf>
    <xf numFmtId="165" fontId="0" fillId="0" borderId="9" xfId="0" applyNumberFormat="1" applyBorder="1" applyAlignment="1">
      <alignment horizontal="center" vertical="center"/>
    </xf>
    <xf numFmtId="165" fontId="0" fillId="2" borderId="20" xfId="0" applyNumberFormat="1" applyFill="1" applyBorder="1" applyAlignment="1">
      <alignment horizontal="center"/>
    </xf>
    <xf numFmtId="165" fontId="0" fillId="2" borderId="21" xfId="0" applyNumberFormat="1" applyFill="1" applyBorder="1" applyAlignment="1">
      <alignment horizontal="center"/>
    </xf>
    <xf numFmtId="165" fontId="0" fillId="2" borderId="23" xfId="0" applyNumberFormat="1" applyFill="1" applyBorder="1" applyAlignment="1">
      <alignment horizontal="center"/>
    </xf>
    <xf numFmtId="165" fontId="0" fillId="2" borderId="5" xfId="0" applyNumberFormat="1" applyFill="1" applyBorder="1" applyAlignment="1">
      <alignment horizontal="center"/>
    </xf>
    <xf numFmtId="165" fontId="0" fillId="2" borderId="3" xfId="0" applyNumberFormat="1" applyFill="1" applyBorder="1" applyAlignment="1">
      <alignment horizontal="center"/>
    </xf>
    <xf numFmtId="165" fontId="0" fillId="2" borderId="4" xfId="0" applyNumberFormat="1" applyFill="1" applyBorder="1" applyAlignment="1">
      <alignment horizontal="center"/>
    </xf>
    <xf numFmtId="0" fontId="0" fillId="2" borderId="20" xfId="0" quotePrefix="1" applyFill="1" applyBorder="1" applyAlignment="1">
      <alignment horizontal="center"/>
    </xf>
    <xf numFmtId="0" fontId="0" fillId="2" borderId="21" xfId="0" quotePrefix="1" applyFill="1" applyBorder="1" applyAlignment="1">
      <alignment horizontal="center"/>
    </xf>
    <xf numFmtId="0" fontId="32" fillId="0" borderId="0" xfId="0" applyFont="1" applyAlignment="1">
      <alignment vertical="center"/>
    </xf>
    <xf numFmtId="43" fontId="26" fillId="0" borderId="0" xfId="0" applyNumberFormat="1" applyFont="1"/>
    <xf numFmtId="43" fontId="0" fillId="0" borderId="0" xfId="2" applyFont="1"/>
    <xf numFmtId="165" fontId="0" fillId="2" borderId="6" xfId="0" applyNumberFormat="1" applyFill="1" applyBorder="1" applyAlignment="1">
      <alignment horizontal="center"/>
    </xf>
    <xf numFmtId="0" fontId="13" fillId="0" borderId="0" xfId="0" applyFont="1" applyAlignment="1">
      <alignment vertical="center"/>
    </xf>
    <xf numFmtId="2" fontId="0" fillId="0" borderId="0" xfId="0" applyNumberFormat="1"/>
    <xf numFmtId="0" fontId="3" fillId="0" borderId="0" xfId="0" applyFont="1" applyAlignment="1">
      <alignment horizontal="left"/>
    </xf>
    <xf numFmtId="0" fontId="34" fillId="0" borderId="0" xfId="0" applyFont="1" applyAlignment="1">
      <alignment horizontal="left" vertical="top" wrapText="1"/>
    </xf>
    <xf numFmtId="3" fontId="0" fillId="0" borderId="9" xfId="0" applyNumberFormat="1" applyBorder="1" applyAlignment="1">
      <alignment horizontal="center"/>
    </xf>
    <xf numFmtId="0" fontId="0" fillId="0" borderId="7" xfId="0" applyBorder="1"/>
    <xf numFmtId="2" fontId="0" fillId="0" borderId="0" xfId="0" applyNumberFormat="1" applyAlignment="1">
      <alignment horizontal="center"/>
    </xf>
    <xf numFmtId="165" fontId="0" fillId="0" borderId="0" xfId="0" applyNumberFormat="1" applyAlignment="1">
      <alignment horizontal="center"/>
    </xf>
    <xf numFmtId="0" fontId="36" fillId="0" borderId="0" xfId="0" applyFont="1" applyAlignment="1">
      <alignment horizontal="justify" vertical="center"/>
    </xf>
    <xf numFmtId="175" fontId="0" fillId="2" borderId="0" xfId="7" applyNumberFormat="1" applyFont="1" applyFill="1" applyBorder="1" applyAlignment="1">
      <alignment horizontal="center"/>
    </xf>
    <xf numFmtId="0" fontId="0" fillId="0" borderId="4" xfId="0" applyBorder="1"/>
    <xf numFmtId="0" fontId="0" fillId="0" borderId="3" xfId="0" quotePrefix="1" applyBorder="1" applyAlignment="1">
      <alignment horizontal="center"/>
    </xf>
    <xf numFmtId="17" fontId="0" fillId="0" borderId="3" xfId="0" quotePrefix="1" applyNumberFormat="1" applyBorder="1" applyAlignment="1">
      <alignment horizontal="center"/>
    </xf>
    <xf numFmtId="0" fontId="0" fillId="0" borderId="5" xfId="0" applyBorder="1"/>
    <xf numFmtId="0" fontId="0" fillId="2" borderId="22" xfId="0" applyFill="1" applyBorder="1" applyAlignment="1">
      <alignment horizontal="left"/>
    </xf>
    <xf numFmtId="173" fontId="0" fillId="2" borderId="0" xfId="0" applyNumberFormat="1" applyFill="1"/>
    <xf numFmtId="14" fontId="0" fillId="2" borderId="0" xfId="0" applyNumberFormat="1" applyFill="1"/>
    <xf numFmtId="6" fontId="0" fillId="0" borderId="9" xfId="0" applyNumberFormat="1" applyBorder="1"/>
    <xf numFmtId="9" fontId="0" fillId="2" borderId="3" xfId="0" applyNumberFormat="1" applyFill="1" applyBorder="1" applyAlignment="1">
      <alignment horizontal="center"/>
    </xf>
    <xf numFmtId="0" fontId="0" fillId="2" borderId="4" xfId="0" applyFill="1" applyBorder="1" applyAlignment="1">
      <alignment horizontal="center"/>
    </xf>
    <xf numFmtId="43" fontId="0" fillId="0" borderId="0" xfId="0" applyNumberFormat="1"/>
    <xf numFmtId="169" fontId="0" fillId="0" borderId="0" xfId="2" applyNumberFormat="1" applyFont="1"/>
    <xf numFmtId="6" fontId="0" fillId="0" borderId="9" xfId="0" applyNumberFormat="1" applyBorder="1" applyAlignment="1">
      <alignment horizontal="center"/>
    </xf>
    <xf numFmtId="173" fontId="0" fillId="2" borderId="24" xfId="0" applyNumberFormat="1" applyFill="1" applyBorder="1" applyAlignment="1">
      <alignment horizontal="center"/>
    </xf>
    <xf numFmtId="6" fontId="0" fillId="2" borderId="19" xfId="0" applyNumberFormat="1" applyFill="1" applyBorder="1" applyAlignment="1">
      <alignment horizontal="center"/>
    </xf>
    <xf numFmtId="0" fontId="0" fillId="2" borderId="23" xfId="0" quotePrefix="1" applyFill="1" applyBorder="1" applyAlignment="1">
      <alignment horizontal="center"/>
    </xf>
    <xf numFmtId="2" fontId="0" fillId="2" borderId="6" xfId="0" applyNumberFormat="1" applyFill="1" applyBorder="1" applyAlignment="1">
      <alignment horizontal="center"/>
    </xf>
    <xf numFmtId="2" fontId="0" fillId="2" borderId="20" xfId="0" quotePrefix="1" applyNumberFormat="1" applyFill="1" applyBorder="1" applyAlignment="1">
      <alignment horizontal="center"/>
    </xf>
    <xf numFmtId="2" fontId="0" fillId="2" borderId="21" xfId="0" quotePrefix="1" applyNumberFormat="1" applyFill="1" applyBorder="1" applyAlignment="1">
      <alignment horizontal="center"/>
    </xf>
    <xf numFmtId="2" fontId="0" fillId="2" borderId="23" xfId="0" quotePrefix="1" applyNumberFormat="1" applyFill="1" applyBorder="1" applyAlignment="1">
      <alignment horizontal="center"/>
    </xf>
    <xf numFmtId="0" fontId="25" fillId="0" borderId="0" xfId="0" applyFont="1"/>
    <xf numFmtId="6" fontId="0" fillId="0" borderId="28" xfId="0" applyNumberFormat="1" applyBorder="1"/>
    <xf numFmtId="6" fontId="0" fillId="0" borderId="0" xfId="0" applyNumberFormat="1"/>
    <xf numFmtId="176" fontId="0" fillId="0" borderId="0" xfId="8" applyNumberFormat="1" applyFont="1" applyAlignment="1">
      <alignment horizontal="center"/>
    </xf>
    <xf numFmtId="6" fontId="0" fillId="2" borderId="5" xfId="0" applyNumberFormat="1" applyFill="1" applyBorder="1" applyAlignment="1">
      <alignment horizontal="center"/>
    </xf>
    <xf numFmtId="6" fontId="0" fillId="2" borderId="4" xfId="0" applyNumberFormat="1" applyFill="1" applyBorder="1" applyAlignment="1">
      <alignment horizontal="center"/>
    </xf>
    <xf numFmtId="0" fontId="4" fillId="0" borderId="0" xfId="5" applyAlignment="1">
      <alignment horizontal="left" vertical="top" wrapText="1"/>
    </xf>
    <xf numFmtId="0" fontId="4" fillId="0" borderId="0" xfId="5" applyAlignment="1">
      <alignment horizontal="left" vertical="top"/>
    </xf>
    <xf numFmtId="0" fontId="2" fillId="0" borderId="0" xfId="5" applyFont="1" applyAlignment="1">
      <alignment horizontal="left" vertical="top" wrapText="1"/>
    </xf>
    <xf numFmtId="0" fontId="15" fillId="2" borderId="7" xfId="0" applyFont="1" applyFill="1" applyBorder="1" applyAlignment="1">
      <alignment horizontal="left"/>
    </xf>
    <xf numFmtId="0" fontId="15" fillId="2" borderId="8" xfId="0" applyFont="1" applyFill="1" applyBorder="1" applyAlignment="1">
      <alignment horizontal="left"/>
    </xf>
    <xf numFmtId="0" fontId="15" fillId="2" borderId="9" xfId="0" applyFont="1" applyFill="1" applyBorder="1" applyAlignment="1">
      <alignment horizontal="left"/>
    </xf>
    <xf numFmtId="0" fontId="7" fillId="0" borderId="0" xfId="0" quotePrefix="1" applyFont="1" applyAlignment="1">
      <alignment horizontal="left" wrapText="1"/>
    </xf>
    <xf numFmtId="0" fontId="13" fillId="2" borderId="0" xfId="0" applyFont="1" applyFill="1" applyAlignment="1">
      <alignment horizontal="center" wrapText="1"/>
    </xf>
    <xf numFmtId="0" fontId="13" fillId="2" borderId="3" xfId="0" applyFont="1" applyFill="1" applyBorder="1" applyAlignment="1">
      <alignment horizontal="center" wrapText="1"/>
    </xf>
    <xf numFmtId="0" fontId="16" fillId="2" borderId="0" xfId="0" applyFont="1" applyFill="1" applyAlignment="1">
      <alignment horizontal="center"/>
    </xf>
    <xf numFmtId="0" fontId="7" fillId="0" borderId="0" xfId="0" applyFont="1" applyAlignment="1">
      <alignment horizontal="left"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0" borderId="0" xfId="0" applyFont="1" applyAlignment="1">
      <alignment horizontal="left" vertical="top" wrapText="1"/>
    </xf>
    <xf numFmtId="0" fontId="13" fillId="2" borderId="4" xfId="0" applyFont="1" applyFill="1" applyBorder="1" applyAlignment="1">
      <alignment horizontal="center" wrapText="1"/>
    </xf>
    <xf numFmtId="0" fontId="13" fillId="2" borderId="5" xfId="0" applyFont="1" applyFill="1" applyBorder="1" applyAlignment="1">
      <alignment horizontal="center" wrapText="1"/>
    </xf>
    <xf numFmtId="0" fontId="13" fillId="0" borderId="4" xfId="0" applyFont="1" applyBorder="1" applyAlignment="1">
      <alignment horizontal="center" wrapText="1"/>
    </xf>
    <xf numFmtId="0" fontId="13" fillId="0" borderId="5" xfId="0" applyFont="1" applyBorder="1" applyAlignment="1">
      <alignment horizontal="center" wrapText="1"/>
    </xf>
    <xf numFmtId="0" fontId="13" fillId="0" borderId="0" xfId="0" applyFont="1" applyAlignment="1">
      <alignment horizontal="center" wrapText="1"/>
    </xf>
    <xf numFmtId="0" fontId="13" fillId="0" borderId="3" xfId="0" applyFont="1" applyBorder="1" applyAlignment="1">
      <alignment horizontal="center" wrapText="1"/>
    </xf>
    <xf numFmtId="0" fontId="0" fillId="0" borderId="0" xfId="0" applyAlignment="1">
      <alignment horizontal="left" wrapText="1"/>
    </xf>
    <xf numFmtId="0" fontId="0" fillId="2" borderId="0" xfId="0" quotePrefix="1" applyFill="1" applyAlignment="1">
      <alignment horizontal="left" vertical="top" wrapText="1"/>
    </xf>
    <xf numFmtId="0" fontId="0" fillId="2" borderId="24" xfId="0" applyFill="1" applyBorder="1" applyAlignment="1">
      <alignment horizontal="center"/>
    </xf>
    <xf numFmtId="0" fontId="0" fillId="2" borderId="19" xfId="0" applyFill="1" applyBorder="1" applyAlignment="1">
      <alignment horizontal="center"/>
    </xf>
    <xf numFmtId="0" fontId="0" fillId="2" borderId="23" xfId="0" applyFill="1" applyBorder="1" applyAlignment="1">
      <alignment horizontal="center"/>
    </xf>
    <xf numFmtId="0" fontId="0" fillId="2" borderId="20" xfId="0" applyFill="1" applyBorder="1" applyAlignment="1">
      <alignment horizontal="center"/>
    </xf>
    <xf numFmtId="0" fontId="0" fillId="2" borderId="25" xfId="0" applyFill="1" applyBorder="1" applyAlignment="1">
      <alignment horizontal="center" wrapText="1"/>
    </xf>
    <xf numFmtId="0" fontId="0" fillId="2" borderId="5" xfId="0" applyFill="1" applyBorder="1" applyAlignment="1">
      <alignment horizontal="center" wrapText="1"/>
    </xf>
    <xf numFmtId="0" fontId="0" fillId="2" borderId="26" xfId="0" applyFill="1" applyBorder="1" applyAlignment="1">
      <alignment horizontal="center" wrapText="1"/>
    </xf>
    <xf numFmtId="0" fontId="0" fillId="2" borderId="6" xfId="0" applyFill="1" applyBorder="1" applyAlignment="1">
      <alignment horizontal="center" wrapText="1"/>
    </xf>
    <xf numFmtId="0" fontId="0" fillId="2" borderId="0" xfId="0" applyFill="1" applyAlignment="1">
      <alignment horizontal="left" wrapText="1"/>
    </xf>
    <xf numFmtId="0" fontId="0" fillId="2" borderId="0" xfId="0" applyFill="1" applyAlignment="1">
      <alignment horizontal="left" vertical="top" wrapText="1"/>
    </xf>
    <xf numFmtId="0" fontId="0" fillId="0" borderId="0" xfId="0" applyAlignment="1">
      <alignment horizontal="left" vertical="top" wrapText="1"/>
    </xf>
    <xf numFmtId="0" fontId="0" fillId="2" borderId="26" xfId="0" applyFill="1" applyBorder="1" applyAlignment="1">
      <alignment horizontal="center" vertical="center" wrapText="1"/>
    </xf>
    <xf numFmtId="0" fontId="0" fillId="2" borderId="6" xfId="0" applyFill="1" applyBorder="1" applyAlignment="1">
      <alignment horizontal="center" vertical="center" wrapText="1"/>
    </xf>
    <xf numFmtId="0" fontId="0" fillId="2" borderId="24" xfId="0" applyFill="1" applyBorder="1" applyAlignment="1">
      <alignment horizontal="center" vertical="center" wrapText="1"/>
    </xf>
    <xf numFmtId="0" fontId="0" fillId="2" borderId="19" xfId="0" applyFill="1" applyBorder="1" applyAlignment="1">
      <alignment horizontal="center" vertical="center" wrapText="1"/>
    </xf>
    <xf numFmtId="0" fontId="0" fillId="2" borderId="25" xfId="0" applyFill="1" applyBorder="1" applyAlignment="1">
      <alignment horizontal="center" vertical="center" wrapText="1"/>
    </xf>
    <xf numFmtId="0" fontId="0" fillId="2" borderId="5" xfId="0" applyFill="1" applyBorder="1" applyAlignment="1">
      <alignment horizontal="center" vertical="center" wrapText="1"/>
    </xf>
    <xf numFmtId="0" fontId="0" fillId="0" borderId="0" xfId="0" applyAlignment="1">
      <alignment horizontal="center" wrapText="1"/>
    </xf>
    <xf numFmtId="0" fontId="0" fillId="0" borderId="3" xfId="0" applyBorder="1" applyAlignment="1">
      <alignment horizontal="center" wrapText="1"/>
    </xf>
    <xf numFmtId="168" fontId="8" fillId="0" borderId="0" xfId="2" applyNumberFormat="1" applyFont="1" applyBorder="1" applyAlignment="1">
      <alignment horizontal="center" wrapText="1"/>
    </xf>
    <xf numFmtId="168" fontId="8" fillId="0" borderId="3" xfId="2" applyNumberFormat="1" applyFont="1" applyBorder="1" applyAlignment="1">
      <alignment horizontal="center" wrapText="1"/>
    </xf>
    <xf numFmtId="0" fontId="0" fillId="2" borderId="4" xfId="0" applyFill="1" applyBorder="1" applyAlignment="1">
      <alignment horizontal="center" vertical="center" wrapText="1"/>
    </xf>
    <xf numFmtId="0" fontId="0" fillId="2" borderId="27" xfId="0" applyFill="1" applyBorder="1" applyAlignment="1">
      <alignment horizontal="center" vertical="center" wrapText="1"/>
    </xf>
    <xf numFmtId="0" fontId="0" fillId="2" borderId="0" xfId="0" applyFill="1" applyAlignment="1">
      <alignment horizontal="center" vertical="center" wrapText="1"/>
    </xf>
    <xf numFmtId="0" fontId="0" fillId="2" borderId="3" xfId="0" applyFill="1" applyBorder="1" applyAlignment="1">
      <alignment horizontal="center" vertical="center" wrapText="1"/>
    </xf>
    <xf numFmtId="0" fontId="0" fillId="2" borderId="13" xfId="0" applyFill="1" applyBorder="1" applyAlignment="1">
      <alignment horizontal="center" wrapText="1"/>
    </xf>
    <xf numFmtId="0" fontId="0" fillId="2" borderId="11" xfId="0" applyFill="1" applyBorder="1" applyAlignment="1">
      <alignment horizontal="center"/>
    </xf>
    <xf numFmtId="0" fontId="0" fillId="2" borderId="24" xfId="0" applyFill="1" applyBorder="1" applyAlignment="1">
      <alignment horizontal="center" wrapText="1"/>
    </xf>
    <xf numFmtId="0" fontId="0" fillId="2" borderId="19" xfId="0" applyFill="1" applyBorder="1" applyAlignment="1">
      <alignment horizontal="center" wrapText="1"/>
    </xf>
    <xf numFmtId="3" fontId="0" fillId="2" borderId="24" xfId="0" applyNumberFormat="1" applyFill="1" applyBorder="1" applyAlignment="1">
      <alignment horizontal="center" wrapText="1"/>
    </xf>
    <xf numFmtId="3" fontId="0" fillId="2" borderId="19" xfId="0" applyNumberFormat="1" applyFill="1" applyBorder="1" applyAlignment="1">
      <alignment horizontal="center" wrapText="1"/>
    </xf>
    <xf numFmtId="0" fontId="0" fillId="0" borderId="0" xfId="0" applyAlignment="1">
      <alignment horizontal="left" vertical="center" wrapText="1"/>
    </xf>
    <xf numFmtId="0" fontId="0" fillId="2" borderId="22" xfId="0" applyFill="1" applyBorder="1" applyAlignment="1">
      <alignment horizontal="center"/>
    </xf>
    <xf numFmtId="0" fontId="0" fillId="2" borderId="26" xfId="0" applyFill="1" applyBorder="1" applyAlignment="1">
      <alignment horizontal="center"/>
    </xf>
    <xf numFmtId="0" fontId="0" fillId="2" borderId="25" xfId="0" applyFill="1" applyBorder="1" applyAlignment="1">
      <alignment horizontal="center"/>
    </xf>
    <xf numFmtId="0" fontId="0" fillId="2" borderId="6" xfId="0" applyFill="1" applyBorder="1" applyAlignment="1">
      <alignment horizontal="center"/>
    </xf>
    <xf numFmtId="0" fontId="0" fillId="2" borderId="5" xfId="0" applyFill="1" applyBorder="1" applyAlignment="1">
      <alignment horizontal="center"/>
    </xf>
    <xf numFmtId="173" fontId="0" fillId="2" borderId="19" xfId="0" applyNumberFormat="1" applyFill="1" applyBorder="1" applyAlignment="1">
      <alignment horizontal="center"/>
    </xf>
    <xf numFmtId="3" fontId="0" fillId="2" borderId="22" xfId="0" applyNumberFormat="1" applyFill="1" applyBorder="1" applyAlignment="1">
      <alignment horizontal="center"/>
    </xf>
    <xf numFmtId="0" fontId="0" fillId="2" borderId="0" xfId="0" applyFill="1" applyAlignment="1">
      <alignment horizontal="left"/>
    </xf>
    <xf numFmtId="0" fontId="0" fillId="2" borderId="27" xfId="0" applyFill="1" applyBorder="1" applyAlignment="1">
      <alignment horizontal="center"/>
    </xf>
    <xf numFmtId="0" fontId="0" fillId="2" borderId="3" xfId="0" applyFill="1" applyBorder="1" applyAlignment="1">
      <alignment horizontal="center"/>
    </xf>
    <xf numFmtId="173" fontId="0" fillId="2" borderId="23" xfId="0" applyNumberFormat="1" applyFill="1" applyBorder="1" applyAlignment="1">
      <alignment horizontal="center"/>
    </xf>
    <xf numFmtId="173" fontId="0" fillId="2" borderId="20" xfId="0" applyNumberFormat="1" applyFill="1" applyBorder="1" applyAlignment="1">
      <alignment horizontal="center"/>
    </xf>
    <xf numFmtId="0" fontId="13" fillId="0" borderId="0" xfId="0" applyFont="1" applyAlignment="1">
      <alignment horizontal="left" vertical="top" wrapText="1"/>
    </xf>
    <xf numFmtId="0" fontId="34" fillId="0" borderId="0" xfId="0" applyFont="1" applyAlignment="1">
      <alignment horizontal="left" vertical="top" wrapText="1"/>
    </xf>
    <xf numFmtId="0" fontId="0" fillId="2" borderId="22" xfId="0" applyFill="1" applyBorder="1" applyAlignment="1">
      <alignment horizontal="left"/>
    </xf>
    <xf numFmtId="0" fontId="0" fillId="2" borderId="27" xfId="0" applyFill="1" applyBorder="1" applyAlignment="1">
      <alignment horizontal="center" wrapText="1"/>
    </xf>
    <xf numFmtId="0" fontId="0" fillId="2" borderId="0" xfId="0" applyFill="1" applyAlignment="1">
      <alignment horizontal="center"/>
    </xf>
    <xf numFmtId="0" fontId="0" fillId="2" borderId="4" xfId="0" applyFill="1" applyBorder="1" applyAlignment="1">
      <alignment horizontal="center"/>
    </xf>
    <xf numFmtId="0" fontId="0" fillId="2" borderId="21" xfId="0" applyFill="1" applyBorder="1" applyAlignment="1">
      <alignment horizontal="center"/>
    </xf>
    <xf numFmtId="0" fontId="0" fillId="0" borderId="7" xfId="0" applyBorder="1" applyAlignment="1">
      <alignment horizontal="center"/>
    </xf>
    <xf numFmtId="0" fontId="0" fillId="0" borderId="8" xfId="0" applyBorder="1" applyAlignment="1">
      <alignment horizontal="center"/>
    </xf>
    <xf numFmtId="0" fontId="0" fillId="2" borderId="26" xfId="0" quotePrefix="1" applyFill="1" applyBorder="1" applyAlignment="1">
      <alignment horizontal="center"/>
    </xf>
    <xf numFmtId="0" fontId="0" fillId="2" borderId="27" xfId="0" quotePrefix="1" applyFill="1" applyBorder="1" applyAlignment="1">
      <alignment horizontal="center"/>
    </xf>
    <xf numFmtId="0" fontId="0" fillId="2" borderId="25" xfId="0" quotePrefix="1" applyFill="1" applyBorder="1" applyAlignment="1">
      <alignment horizontal="center"/>
    </xf>
    <xf numFmtId="0" fontId="0" fillId="2" borderId="13" xfId="0" applyFill="1" applyBorder="1" applyAlignment="1">
      <alignment horizontal="center"/>
    </xf>
    <xf numFmtId="0" fontId="0" fillId="2" borderId="6" xfId="0" quotePrefix="1" applyFill="1" applyBorder="1" applyAlignment="1">
      <alignment horizontal="center"/>
    </xf>
    <xf numFmtId="0" fontId="0" fillId="2" borderId="3" xfId="0" quotePrefix="1" applyFill="1" applyBorder="1" applyAlignment="1">
      <alignment horizontal="center"/>
    </xf>
    <xf numFmtId="0" fontId="0" fillId="2" borderId="5" xfId="0" quotePrefix="1" applyFill="1" applyBorder="1" applyAlignment="1">
      <alignment horizontal="center"/>
    </xf>
    <xf numFmtId="0" fontId="0" fillId="0" borderId="0" xfId="0" quotePrefix="1" applyAlignment="1">
      <alignment horizontal="left" wrapText="1"/>
    </xf>
  </cellXfs>
  <cellStyles count="9">
    <cellStyle name="Comma" xfId="2" builtinId="3"/>
    <cellStyle name="Currency" xfId="1" builtinId="4"/>
    <cellStyle name="Currency 2" xfId="7" xr:uid="{BB9A0645-5B15-F846-92E0-665DDD1EB7BC}"/>
    <cellStyle name="Hyperlink 2" xfId="6" xr:uid="{167B564E-A67B-DA4C-8E79-9651B49F63A7}"/>
    <cellStyle name="Normal" xfId="0" builtinId="0"/>
    <cellStyle name="Normal 2 2" xfId="4" xr:uid="{387DC498-C78A-B240-9B97-0DB617741FDD}"/>
    <cellStyle name="Normal 4" xfId="5" xr:uid="{2FD11C41-67FF-EA42-934F-34341F9BF02B}"/>
    <cellStyle name="Percent" xfId="3" builtinId="5"/>
    <cellStyle name="Percent 2" xfId="8" xr:uid="{AC191855-66BF-D14E-A810-DFB55ADAAFB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457200</xdr:colOff>
      <xdr:row>0</xdr:row>
      <xdr:rowOff>98404</xdr:rowOff>
    </xdr:from>
    <xdr:to>
      <xdr:col>4</xdr:col>
      <xdr:colOff>80818</xdr:colOff>
      <xdr:row>4</xdr:row>
      <xdr:rowOff>180253</xdr:rowOff>
    </xdr:to>
    <xdr:pic>
      <xdr:nvPicPr>
        <xdr:cNvPr id="2" name="Picture 1">
          <a:extLst>
            <a:ext uri="{FF2B5EF4-FFF2-40B4-BE49-F238E27FC236}">
              <a16:creationId xmlns:a16="http://schemas.microsoft.com/office/drawing/2014/main" id="{478B5474-B42D-3342-B847-179F42BCB9C2}"/>
            </a:ext>
          </a:extLst>
        </xdr:cNvPr>
        <xdr:cNvPicPr>
          <a:picLocks noChangeAspect="1"/>
        </xdr:cNvPicPr>
      </xdr:nvPicPr>
      <xdr:blipFill>
        <a:blip xmlns:r="http://schemas.openxmlformats.org/officeDocument/2006/relationships" r:embed="rId1"/>
        <a:stretch>
          <a:fillRect/>
        </a:stretch>
      </xdr:blipFill>
      <xdr:spPr>
        <a:xfrm>
          <a:off x="457200" y="98404"/>
          <a:ext cx="2874818" cy="86924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11</xdr:col>
      <xdr:colOff>419100</xdr:colOff>
      <xdr:row>29</xdr:row>
      <xdr:rowOff>139700</xdr:rowOff>
    </xdr:from>
    <xdr:to>
      <xdr:col>17</xdr:col>
      <xdr:colOff>260351</xdr:colOff>
      <xdr:row>32</xdr:row>
      <xdr:rowOff>23876</xdr:rowOff>
    </xdr:to>
    <mc:AlternateContent xmlns:mc="http://schemas.openxmlformats.org/markup-compatibility/2006" xmlns:a14="http://schemas.microsoft.com/office/drawing/2010/main">
      <mc:Choice Requires="a14">
        <xdr:sp macro="" textlink="">
          <xdr:nvSpPr>
            <xdr:cNvPr id="2" name="TextBox 2">
              <a:extLst>
                <a:ext uri="{FF2B5EF4-FFF2-40B4-BE49-F238E27FC236}">
                  <a16:creationId xmlns:a16="http://schemas.microsoft.com/office/drawing/2014/main" id="{B6D53D61-5287-414F-BFE4-2E919C44BA84}"/>
                </a:ext>
              </a:extLst>
            </xdr:cNvPr>
            <xdr:cNvSpPr txBox="1"/>
          </xdr:nvSpPr>
          <xdr:spPr>
            <a:xfrm>
              <a:off x="9080500" y="6197600"/>
              <a:ext cx="4921251" cy="49377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14:m>
                <m:oMathPara xmlns:m="http://schemas.openxmlformats.org/officeDocument/2006/math">
                  <m:oMath>
                    <m:r>
                      <a:rPr lang="en-US" sz="1100" i="1">
                        <a:solidFill>
                          <a:schemeClr val="tx1"/>
                        </a:solidFill>
                        <a:effectLst/>
                        <a:latin typeface="Cambria Math" panose="02040503050406030204" pitchFamily="18" charset="0"/>
                        <a:ea typeface="+mn-ea"/>
                        <a:cs typeface="+mn-cs"/>
                      </a:rPr>
                      <m:t>𝐸𝑥𝑝𝑒𝑐𝑡𝑒𝑑</m:t>
                    </m:r>
                    <m:r>
                      <a:rPr lang="en-US" sz="1100" i="1">
                        <a:solidFill>
                          <a:schemeClr val="tx1"/>
                        </a:solidFill>
                        <a:effectLst/>
                        <a:latin typeface="Cambria Math" panose="02040503050406030204" pitchFamily="18" charset="0"/>
                        <a:ea typeface="+mn-ea"/>
                        <a:cs typeface="+mn-cs"/>
                      </a:rPr>
                      <m:t> </m:t>
                    </m:r>
                    <m:r>
                      <a:rPr lang="en-US" sz="1100" i="1">
                        <a:solidFill>
                          <a:schemeClr val="tx1"/>
                        </a:solidFill>
                        <a:effectLst/>
                        <a:latin typeface="Cambria Math" panose="02040503050406030204" pitchFamily="18" charset="0"/>
                        <a:ea typeface="+mn-ea"/>
                        <a:cs typeface="+mn-cs"/>
                      </a:rPr>
                      <m:t>𝐷𝑒𝑣𝑒𝑙𝑜𝑝𝑚𝑒𝑛𝑡</m:t>
                    </m:r>
                    <m:r>
                      <a:rPr lang="en-US" sz="1100" i="1">
                        <a:solidFill>
                          <a:schemeClr val="tx1"/>
                        </a:solidFill>
                        <a:effectLst/>
                        <a:latin typeface="Cambria Math" panose="02040503050406030204" pitchFamily="18" charset="0"/>
                        <a:ea typeface="+mn-ea"/>
                        <a:cs typeface="+mn-cs"/>
                      </a:rPr>
                      <m:t> %=</m:t>
                    </m:r>
                    <m:f>
                      <m:fPr>
                        <m:ctrlPr>
                          <a:rPr lang="en-US" sz="1100" i="1">
                            <a:solidFill>
                              <a:schemeClr val="tx1"/>
                            </a:solidFill>
                            <a:effectLst/>
                            <a:latin typeface="Cambria Math" panose="02040503050406030204" pitchFamily="18" charset="0"/>
                            <a:ea typeface="+mn-ea"/>
                            <a:cs typeface="+mn-cs"/>
                          </a:rPr>
                        </m:ctrlPr>
                      </m:fPr>
                      <m:num>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𝑅</m:t>
                            </m:r>
                          </m:e>
                          <m: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r>
                                  <a:rPr lang="en-US" sz="1100" i="1">
                                    <a:solidFill>
                                      <a:schemeClr val="tx1"/>
                                    </a:solidFill>
                                    <a:effectLst/>
                                    <a:latin typeface="Cambria Math" panose="02040503050406030204" pitchFamily="18" charset="0"/>
                                    <a:ea typeface="+mn-ea"/>
                                    <a:cs typeface="+mn-cs"/>
                                  </a:rPr>
                                  <m:t>1</m:t>
                                </m:r>
                              </m:sub>
                            </m:sSub>
                          </m:sub>
                          <m:sup>
                            <m:r>
                              <a:rPr lang="en-US" sz="1100" i="1">
                                <a:solidFill>
                                  <a:schemeClr val="tx1"/>
                                </a:solidFill>
                                <a:effectLst/>
                                <a:latin typeface="Cambria Math" panose="02040503050406030204" pitchFamily="18" charset="0"/>
                                <a:ea typeface="+mn-ea"/>
                                <a:cs typeface="+mn-cs"/>
                              </a:rPr>
                              <m:t>𝐿</m:t>
                            </m:r>
                          </m:sup>
                        </m:sSubSup>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𝐿𝐷𝐹</m:t>
                                </m:r>
                              </m:e>
                              <m: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r>
                                      <a:rPr lang="en-US" sz="1100" i="1">
                                        <a:solidFill>
                                          <a:schemeClr val="tx1"/>
                                        </a:solidFill>
                                        <a:effectLst/>
                                        <a:latin typeface="Cambria Math" panose="02040503050406030204" pitchFamily="18" charset="0"/>
                                        <a:ea typeface="+mn-ea"/>
                                        <a:cs typeface="+mn-cs"/>
                                      </a:rPr>
                                      <m:t>2</m:t>
                                    </m:r>
                                  </m:sub>
                                </m:sSub>
                              </m:sub>
                              <m:sup>
                                <m:r>
                                  <a:rPr lang="en-US" sz="1100" i="1">
                                    <a:solidFill>
                                      <a:schemeClr val="tx1"/>
                                    </a:solidFill>
                                    <a:effectLst/>
                                    <a:latin typeface="Cambria Math" panose="02040503050406030204" pitchFamily="18" charset="0"/>
                                    <a:ea typeface="+mn-ea"/>
                                    <a:cs typeface="+mn-cs"/>
                                  </a:rPr>
                                  <m:t>𝐿</m:t>
                                </m:r>
                              </m:sup>
                            </m:sSubSup>
                            <m:r>
                              <a:rPr lang="en-US" sz="1100" i="1">
                                <a:solidFill>
                                  <a:schemeClr val="tx1"/>
                                </a:solidFill>
                                <a:effectLst/>
                                <a:latin typeface="Cambria Math" panose="02040503050406030204" pitchFamily="18" charset="0"/>
                                <a:ea typeface="+mn-ea"/>
                                <a:cs typeface="+mn-cs"/>
                              </a:rPr>
                              <m:t>−1</m:t>
                            </m:r>
                          </m:e>
                        </m:d>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r>
                              <a:rPr lang="en-US" sz="1100" i="1">
                                <a:solidFill>
                                  <a:schemeClr val="tx1"/>
                                </a:solidFill>
                                <a:effectLst/>
                                <a:latin typeface="Cambria Math" panose="02040503050406030204" pitchFamily="18" charset="0"/>
                                <a:ea typeface="+mn-ea"/>
                                <a:cs typeface="+mn-cs"/>
                              </a:rPr>
                              <m:t>1−</m:t>
                            </m:r>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𝑅</m:t>
                                </m:r>
                              </m:e>
                              <m: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r>
                                      <a:rPr lang="en-US" sz="1100" i="1">
                                        <a:solidFill>
                                          <a:schemeClr val="tx1"/>
                                        </a:solidFill>
                                        <a:effectLst/>
                                        <a:latin typeface="Cambria Math" panose="02040503050406030204" pitchFamily="18" charset="0"/>
                                        <a:ea typeface="+mn-ea"/>
                                        <a:cs typeface="+mn-cs"/>
                                      </a:rPr>
                                      <m:t>1</m:t>
                                    </m:r>
                                  </m:sub>
                                </m:sSub>
                              </m:sub>
                              <m:sup>
                                <m:r>
                                  <a:rPr lang="en-US" sz="1100" i="1">
                                    <a:solidFill>
                                      <a:schemeClr val="tx1"/>
                                    </a:solidFill>
                                    <a:effectLst/>
                                    <a:latin typeface="Cambria Math" panose="02040503050406030204" pitchFamily="18" charset="0"/>
                                    <a:ea typeface="+mn-ea"/>
                                    <a:cs typeface="+mn-cs"/>
                                  </a:rPr>
                                  <m:t>𝐿</m:t>
                                </m:r>
                              </m:sup>
                            </m:sSubSup>
                          </m:e>
                        </m:d>
                        <m:r>
                          <a:rPr lang="en-US" sz="1100" i="1">
                            <a:solidFill>
                              <a:schemeClr val="tx1"/>
                            </a:solidFill>
                            <a:effectLst/>
                            <a:latin typeface="Cambria Math" panose="02040503050406030204" pitchFamily="18" charset="0"/>
                            <a:ea typeface="+mn-ea"/>
                            <a:cs typeface="+mn-cs"/>
                          </a:rPr>
                          <m:t>×</m:t>
                        </m:r>
                        <m:d>
                          <m:dPr>
                            <m:ctrlPr>
                              <a:rPr lang="en-US" sz="1100" i="1">
                                <a:solidFill>
                                  <a:schemeClr val="tx1"/>
                                </a:solidFill>
                                <a:effectLst/>
                                <a:latin typeface="Cambria Math" panose="02040503050406030204" pitchFamily="18" charset="0"/>
                                <a:ea typeface="+mn-ea"/>
                                <a:cs typeface="+mn-cs"/>
                              </a:rPr>
                            </m:ctrlPr>
                          </m:dPr>
                          <m:e>
                            <m:sSubSup>
                              <m:sSubSupPr>
                                <m:ctrlPr>
                                  <a:rPr lang="en-US" sz="1100" i="1">
                                    <a:solidFill>
                                      <a:schemeClr val="tx1"/>
                                    </a:solidFill>
                                    <a:effectLst/>
                                    <a:latin typeface="Cambria Math" panose="02040503050406030204" pitchFamily="18" charset="0"/>
                                    <a:ea typeface="+mn-ea"/>
                                    <a:cs typeface="+mn-cs"/>
                                  </a:rPr>
                                </m:ctrlPr>
                              </m:sSubSupPr>
                              <m:e>
                                <m:r>
                                  <a:rPr lang="en-US" sz="1100" i="1">
                                    <a:solidFill>
                                      <a:schemeClr val="tx1"/>
                                    </a:solidFill>
                                    <a:effectLst/>
                                    <a:latin typeface="Cambria Math" panose="02040503050406030204" pitchFamily="18" charset="0"/>
                                    <a:ea typeface="+mn-ea"/>
                                    <a:cs typeface="+mn-cs"/>
                                  </a:rPr>
                                  <m:t>𝑋𝑆𝐿𝐷𝐹</m:t>
                                </m:r>
                              </m:e>
                              <m: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r>
                                      <a:rPr lang="en-US" sz="1100" i="1">
                                        <a:solidFill>
                                          <a:schemeClr val="tx1"/>
                                        </a:solidFill>
                                        <a:effectLst/>
                                        <a:latin typeface="Cambria Math" panose="02040503050406030204" pitchFamily="18" charset="0"/>
                                        <a:ea typeface="+mn-ea"/>
                                        <a:cs typeface="+mn-cs"/>
                                      </a:rPr>
                                      <m:t>2</m:t>
                                    </m:r>
                                  </m:sub>
                                </m:sSub>
                              </m:sub>
                              <m:sup>
                                <m:r>
                                  <a:rPr lang="en-US" sz="1100" i="1">
                                    <a:solidFill>
                                      <a:schemeClr val="tx1"/>
                                    </a:solidFill>
                                    <a:effectLst/>
                                    <a:latin typeface="Cambria Math" panose="02040503050406030204" pitchFamily="18" charset="0"/>
                                    <a:ea typeface="+mn-ea"/>
                                    <a:cs typeface="+mn-cs"/>
                                  </a:rPr>
                                  <m:t>𝐿</m:t>
                                </m:r>
                              </m:sup>
                            </m:sSubSup>
                            <m:r>
                              <a:rPr lang="en-US" sz="1100" i="1">
                                <a:solidFill>
                                  <a:schemeClr val="tx1"/>
                                </a:solidFill>
                                <a:effectLst/>
                                <a:latin typeface="Cambria Math" panose="02040503050406030204" pitchFamily="18" charset="0"/>
                                <a:ea typeface="+mn-ea"/>
                                <a:cs typeface="+mn-cs"/>
                              </a:rPr>
                              <m:t>−1</m:t>
                            </m:r>
                          </m:e>
                        </m:d>
                      </m:num>
                      <m:den>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𝐿𝐷𝐹</m:t>
                            </m:r>
                          </m:e>
                          <m:sub>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r>
                                  <a:rPr lang="en-US" sz="1100" i="1">
                                    <a:solidFill>
                                      <a:schemeClr val="tx1"/>
                                    </a:solidFill>
                                    <a:effectLst/>
                                    <a:latin typeface="Cambria Math" panose="02040503050406030204" pitchFamily="18" charset="0"/>
                                    <a:ea typeface="+mn-ea"/>
                                    <a:cs typeface="+mn-cs"/>
                                  </a:rPr>
                                  <m:t>1</m:t>
                                </m:r>
                              </m:sub>
                            </m:sSub>
                            <m:r>
                              <a:rPr lang="en-US" sz="1100" i="1">
                                <a:solidFill>
                                  <a:schemeClr val="tx1"/>
                                </a:solidFill>
                                <a:effectLst/>
                                <a:latin typeface="Cambria Math" panose="02040503050406030204" pitchFamily="18" charset="0"/>
                                <a:ea typeface="+mn-ea"/>
                                <a:cs typeface="+mn-cs"/>
                              </a:rPr>
                              <m:t>−</m:t>
                            </m:r>
                            <m:sSub>
                              <m:sSubPr>
                                <m:ctrlPr>
                                  <a:rPr lang="en-US" sz="1100" i="1">
                                    <a:solidFill>
                                      <a:schemeClr val="tx1"/>
                                    </a:solidFill>
                                    <a:effectLst/>
                                    <a:latin typeface="Cambria Math" panose="02040503050406030204" pitchFamily="18" charset="0"/>
                                    <a:ea typeface="+mn-ea"/>
                                    <a:cs typeface="+mn-cs"/>
                                  </a:rPr>
                                </m:ctrlPr>
                              </m:sSubPr>
                              <m:e>
                                <m:r>
                                  <a:rPr lang="en-US" sz="1100" i="1">
                                    <a:solidFill>
                                      <a:schemeClr val="tx1"/>
                                    </a:solidFill>
                                    <a:effectLst/>
                                    <a:latin typeface="Cambria Math" panose="02040503050406030204" pitchFamily="18" charset="0"/>
                                    <a:ea typeface="+mn-ea"/>
                                    <a:cs typeface="+mn-cs"/>
                                  </a:rPr>
                                  <m:t>𝑡</m:t>
                                </m:r>
                              </m:e>
                              <m:sub>
                                <m:r>
                                  <a:rPr lang="en-US" sz="1100" i="1">
                                    <a:solidFill>
                                      <a:schemeClr val="tx1"/>
                                    </a:solidFill>
                                    <a:effectLst/>
                                    <a:latin typeface="Cambria Math" panose="02040503050406030204" pitchFamily="18" charset="0"/>
                                    <a:ea typeface="+mn-ea"/>
                                    <a:cs typeface="+mn-cs"/>
                                  </a:rPr>
                                  <m:t>2</m:t>
                                </m:r>
                              </m:sub>
                            </m:sSub>
                          </m:sub>
                        </m:sSub>
                      </m:den>
                    </m:f>
                  </m:oMath>
                </m:oMathPara>
              </a14:m>
              <a:endParaRPr lang="en-US" sz="1100">
                <a:solidFill>
                  <a:schemeClr val="tx1"/>
                </a:solidFill>
                <a:effectLst/>
                <a:latin typeface="+mn-lt"/>
                <a:ea typeface="+mn-ea"/>
                <a:cs typeface="+mn-cs"/>
              </a:endParaRPr>
            </a:p>
          </xdr:txBody>
        </xdr:sp>
      </mc:Choice>
      <mc:Fallback xmlns="">
        <xdr:sp macro="" textlink="">
          <xdr:nvSpPr>
            <xdr:cNvPr id="2" name="TextBox 2">
              <a:extLst>
                <a:ext uri="{FF2B5EF4-FFF2-40B4-BE49-F238E27FC236}">
                  <a16:creationId xmlns:a16="http://schemas.microsoft.com/office/drawing/2014/main" id="{B6D53D61-5287-414F-BFE4-2E919C44BA84}"/>
                </a:ext>
              </a:extLst>
            </xdr:cNvPr>
            <xdr:cNvSpPr txBox="1"/>
          </xdr:nvSpPr>
          <xdr:spPr>
            <a:xfrm>
              <a:off x="9080500" y="6197600"/>
              <a:ext cx="4921251" cy="493776"/>
            </a:xfrm>
            <a:prstGeom prst="rect">
              <a:avLst/>
            </a:prstGeom>
            <a:solidFill>
              <a:schemeClr val="bg1"/>
            </a:solidFill>
            <a:ln>
              <a:solidFill>
                <a:schemeClr val="tx1"/>
              </a:solidFill>
            </a:ln>
          </xdr:spPr>
          <xdr:style>
            <a:lnRef idx="0">
              <a:scrgbClr r="0" g="0" b="0"/>
            </a:lnRef>
            <a:fillRef idx="0">
              <a:scrgbClr r="0" g="0" b="0"/>
            </a:fillRef>
            <a:effectRef idx="0">
              <a:scrgbClr r="0" g="0" b="0"/>
            </a:effectRef>
            <a:fontRef idx="minor">
              <a:schemeClr val="tx1"/>
            </a:fontRef>
          </xdr:style>
          <xdr:txBody>
            <a:bodyPr wrap="square" lIns="45720" tIns="45720" rIns="45720" bIns="45720" rtlCol="0" anchor="t">
              <a:no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US" sz="1100" i="0">
                  <a:solidFill>
                    <a:schemeClr val="tx1"/>
                  </a:solidFill>
                  <a:effectLst/>
                  <a:latin typeface="Cambria Math" panose="02040503050406030204" pitchFamily="18" charset="0"/>
                  <a:ea typeface="+mn-ea"/>
                  <a:cs typeface="+mn-cs"/>
                </a:rPr>
                <a:t>𝐸𝑥𝑝𝑒𝑐𝑡𝑒𝑑 𝐷𝑒𝑣𝑒𝑙𝑜𝑝𝑚𝑒𝑛𝑡 %=(𝑅_(𝑡_1)^𝐿×(〖𝐿𝐷𝐹〗_(𝑡_1−𝑡_2)^𝐿−1)+(1−𝑅_(𝑡_1)^𝐿 )×(〖𝑋𝑆𝐿𝐷𝐹〗_(𝑡_1−𝑡_2)^𝐿−1))/〖𝐿𝐷𝐹〗_(𝑡_1−𝑡_2 ) </a:t>
              </a:r>
              <a:endParaRPr lang="en-US" sz="1100">
                <a:solidFill>
                  <a:schemeClr val="tx1"/>
                </a:solidFill>
                <a:effectLst/>
                <a:latin typeface="+mn-lt"/>
                <a:ea typeface="+mn-ea"/>
                <a:cs typeface="+mn-cs"/>
              </a:endParaRP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oneCellAnchor>
    <xdr:from>
      <xdr:col>5</xdr:col>
      <xdr:colOff>12700</xdr:colOff>
      <xdr:row>28</xdr:row>
      <xdr:rowOff>12700</xdr:rowOff>
    </xdr:from>
    <xdr:ext cx="1822165" cy="183255"/>
    <mc:AlternateContent xmlns:mc="http://schemas.openxmlformats.org/markup-compatibility/2006" xmlns:a14="http://schemas.microsoft.com/office/drawing/2010/main">
      <mc:Choice Requires="a14">
        <xdr:sp macro="" textlink="">
          <xdr:nvSpPr>
            <xdr:cNvPr id="2" name="TextBox 1">
              <a:extLst>
                <a:ext uri="{FF2B5EF4-FFF2-40B4-BE49-F238E27FC236}">
                  <a16:creationId xmlns:a16="http://schemas.microsoft.com/office/drawing/2014/main" id="{4ADFCE33-8759-8C4C-8FC7-2505546E4352}"/>
                </a:ext>
              </a:extLst>
            </xdr:cNvPr>
            <xdr:cNvSpPr txBox="1"/>
          </xdr:nvSpPr>
          <xdr:spPr>
            <a:xfrm>
              <a:off x="4203700" y="5702300"/>
              <a:ext cx="1822165" cy="183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
                    <m:r>
                      <a:rPr lang="en-US" sz="1150" b="0" i="1">
                        <a:latin typeface="Cambria Math" panose="02040503050406030204" pitchFamily="18" charset="0"/>
                      </a:rPr>
                      <m:t>𝑦</m:t>
                    </m:r>
                    <m:r>
                      <a:rPr lang="en-US" sz="1150" b="0" i="1">
                        <a:latin typeface="Cambria Math" panose="02040503050406030204" pitchFamily="18" charset="0"/>
                      </a:rPr>
                      <m:t>=</m:t>
                    </m:r>
                    <m:d>
                      <m:dPr>
                        <m:ctrlPr>
                          <a:rPr lang="en-US" sz="1150" b="0" i="1">
                            <a:latin typeface="Cambria Math" panose="02040503050406030204" pitchFamily="18" charset="0"/>
                          </a:rPr>
                        </m:ctrlPr>
                      </m:dPr>
                      <m:e>
                        <m:r>
                          <a:rPr lang="en-US" sz="1150" b="0" i="1">
                            <a:latin typeface="Cambria Math" panose="02040503050406030204" pitchFamily="18" charset="0"/>
                          </a:rPr>
                          <m:t>𝑢𝑙𝑡𝑖𝑚𝑎𝑡𝑒</m:t>
                        </m:r>
                        <m:r>
                          <a:rPr lang="en-US" sz="1150" b="0" i="1">
                            <a:latin typeface="Cambria Math" panose="02040503050406030204" pitchFamily="18" charset="0"/>
                          </a:rPr>
                          <m:t> </m:t>
                        </m:r>
                        <m:r>
                          <a:rPr lang="en-US" sz="1150" b="0" i="1">
                            <a:latin typeface="Cambria Math" panose="02040503050406030204" pitchFamily="18" charset="0"/>
                          </a:rPr>
                          <m:t>𝑟𝑎𝑡𝑖𝑜</m:t>
                        </m:r>
                      </m:e>
                    </m:d>
                    <m:sSup>
                      <m:sSupPr>
                        <m:ctrlPr>
                          <a:rPr lang="en-US" sz="1150" b="0" i="1">
                            <a:latin typeface="Cambria Math" panose="02040503050406030204" pitchFamily="18" charset="0"/>
                          </a:rPr>
                        </m:ctrlPr>
                      </m:sSupPr>
                      <m:e>
                        <m:r>
                          <a:rPr lang="en-US" sz="1150" b="0" i="1">
                            <a:latin typeface="Cambria Math" panose="02040503050406030204" pitchFamily="18" charset="0"/>
                          </a:rPr>
                          <m:t> </m:t>
                        </m:r>
                        <m:r>
                          <a:rPr lang="en-US" sz="1150" b="0" i="1">
                            <a:latin typeface="Cambria Math" panose="02040503050406030204" pitchFamily="18" charset="0"/>
                          </a:rPr>
                          <m:t>𝑒</m:t>
                        </m:r>
                      </m:e>
                      <m:sup>
                        <m:r>
                          <a:rPr lang="en-US" sz="1150" b="0" i="1">
                            <a:latin typeface="Cambria Math" panose="02040503050406030204" pitchFamily="18" charset="0"/>
                          </a:rPr>
                          <m:t>0.177</m:t>
                        </m:r>
                        <m:r>
                          <a:rPr lang="en-US" sz="1150" b="0" i="1">
                            <a:latin typeface="Cambria Math" panose="02040503050406030204" pitchFamily="18" charset="0"/>
                          </a:rPr>
                          <m:t>𝑡</m:t>
                        </m:r>
                      </m:sup>
                    </m:sSup>
                  </m:oMath>
                </m:oMathPara>
              </a14:m>
              <a:endParaRPr lang="en-US" sz="1150"/>
            </a:p>
          </xdr:txBody>
        </xdr:sp>
      </mc:Choice>
      <mc:Fallback xmlns="">
        <xdr:sp macro="" textlink="">
          <xdr:nvSpPr>
            <xdr:cNvPr id="2" name="TextBox 1">
              <a:extLst>
                <a:ext uri="{FF2B5EF4-FFF2-40B4-BE49-F238E27FC236}">
                  <a16:creationId xmlns:a16="http://schemas.microsoft.com/office/drawing/2014/main" id="{4ADFCE33-8759-8C4C-8FC7-2505546E4352}"/>
                </a:ext>
              </a:extLst>
            </xdr:cNvPr>
            <xdr:cNvSpPr txBox="1"/>
          </xdr:nvSpPr>
          <xdr:spPr>
            <a:xfrm>
              <a:off x="4203700" y="5702300"/>
              <a:ext cx="1822165" cy="18325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n-US" sz="1150" b="0" i="0">
                  <a:latin typeface="Cambria Math" panose="02040503050406030204" pitchFamily="18" charset="0"/>
                </a:rPr>
                <a:t>𝑦=(𝑢𝑙𝑡𝑖𝑚𝑎𝑡𝑒 𝑟𝑎𝑡𝑖𝑜) 〖 𝑒〗^0.177𝑡</a:t>
              </a:r>
              <a:endParaRPr lang="en-US" sz="1150"/>
            </a:p>
          </xdr:txBody>
        </xdr:sp>
      </mc:Fallback>
    </mc:AlternateContent>
    <xdr:clientData/>
  </xdr:one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risingfellow.com/"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B5FAD-B517-C642-8A4B-9C6125212967}">
  <sheetPr>
    <tabColor theme="8" tint="0.59999389629810485"/>
  </sheetPr>
  <dimension ref="A1:M52"/>
  <sheetViews>
    <sheetView showGridLines="0" tabSelected="1" zoomScaleNormal="100" workbookViewId="0"/>
  </sheetViews>
  <sheetFormatPr baseColWidth="10" defaultColWidth="8.5" defaultRowHeight="16" x14ac:dyDescent="0.2"/>
  <cols>
    <col min="1" max="5" width="10.6640625" style="122" customWidth="1"/>
    <col min="6" max="12" width="10.83203125" style="122" customWidth="1"/>
    <col min="13" max="13" width="10.6640625" style="122" customWidth="1"/>
    <col min="14" max="16" width="10" style="122" customWidth="1"/>
    <col min="17" max="16384" width="8.5" style="122"/>
  </cols>
  <sheetData>
    <row r="1" spans="1:13" ht="14.5" customHeight="1" x14ac:dyDescent="0.2">
      <c r="A1" s="118"/>
      <c r="B1" s="119"/>
      <c r="C1" s="119"/>
      <c r="D1" s="119"/>
      <c r="E1" s="119"/>
      <c r="F1" s="119"/>
      <c r="G1" s="119"/>
      <c r="H1" s="119"/>
      <c r="I1" s="119"/>
      <c r="J1" s="119"/>
      <c r="K1" s="119"/>
      <c r="L1" s="120" t="s">
        <v>231</v>
      </c>
      <c r="M1" s="121"/>
    </row>
    <row r="2" spans="1:13" s="124" customFormat="1" x14ac:dyDescent="0.2">
      <c r="A2" s="123"/>
      <c r="M2" s="125"/>
    </row>
    <row r="3" spans="1:13" s="124" customFormat="1" ht="16" customHeight="1" x14ac:dyDescent="0.2">
      <c r="A3" s="123"/>
      <c r="M3" s="125"/>
    </row>
    <row r="4" spans="1:13" s="124" customFormat="1" ht="16" customHeight="1" x14ac:dyDescent="0.2">
      <c r="A4" s="123"/>
      <c r="M4" s="125"/>
    </row>
    <row r="5" spans="1:13" s="124" customFormat="1" ht="16" customHeight="1" x14ac:dyDescent="0.2">
      <c r="A5" s="123"/>
      <c r="M5" s="125"/>
    </row>
    <row r="6" spans="1:13" s="124" customFormat="1" ht="16" customHeight="1" x14ac:dyDescent="0.2">
      <c r="A6" s="123"/>
      <c r="B6" s="126" t="s">
        <v>232</v>
      </c>
      <c r="M6" s="125"/>
    </row>
    <row r="7" spans="1:13" s="124" customFormat="1" ht="16" customHeight="1" x14ac:dyDescent="0.2">
      <c r="A7" s="123"/>
      <c r="M7" s="125"/>
    </row>
    <row r="8" spans="1:13" s="124" customFormat="1" ht="16" customHeight="1" x14ac:dyDescent="0.25">
      <c r="A8" s="123"/>
      <c r="B8" s="127" t="s">
        <v>233</v>
      </c>
      <c r="M8" s="125"/>
    </row>
    <row r="9" spans="1:13" s="124" customFormat="1" ht="17" customHeight="1" x14ac:dyDescent="0.2">
      <c r="A9" s="123"/>
      <c r="C9" s="306" t="s">
        <v>234</v>
      </c>
      <c r="D9" s="307"/>
      <c r="E9" s="307"/>
      <c r="F9" s="307"/>
      <c r="G9" s="307"/>
      <c r="H9" s="307"/>
      <c r="I9" s="307"/>
      <c r="J9" s="307"/>
      <c r="K9" s="307"/>
      <c r="M9" s="125"/>
    </row>
    <row r="10" spans="1:13" s="124" customFormat="1" x14ac:dyDescent="0.2">
      <c r="A10" s="123"/>
      <c r="C10" s="307"/>
      <c r="D10" s="307"/>
      <c r="E10" s="307"/>
      <c r="F10" s="307"/>
      <c r="G10" s="307"/>
      <c r="H10" s="307"/>
      <c r="I10" s="307"/>
      <c r="J10" s="307"/>
      <c r="K10" s="307"/>
      <c r="M10" s="125"/>
    </row>
    <row r="11" spans="1:13" s="124" customFormat="1" ht="16" customHeight="1" x14ac:dyDescent="0.2">
      <c r="A11" s="123"/>
      <c r="C11" s="307"/>
      <c r="D11" s="307"/>
      <c r="E11" s="307"/>
      <c r="F11" s="307"/>
      <c r="G11" s="307"/>
      <c r="H11" s="307"/>
      <c r="I11" s="307"/>
      <c r="J11" s="307"/>
      <c r="K11" s="307"/>
      <c r="M11" s="125"/>
    </row>
    <row r="12" spans="1:13" s="124" customFormat="1" ht="16" customHeight="1" x14ac:dyDescent="0.2">
      <c r="A12" s="123"/>
      <c r="C12" s="307"/>
      <c r="D12" s="307"/>
      <c r="E12" s="307"/>
      <c r="F12" s="307"/>
      <c r="G12" s="307"/>
      <c r="H12" s="307"/>
      <c r="I12" s="307"/>
      <c r="J12" s="307"/>
      <c r="K12" s="307"/>
      <c r="M12" s="125"/>
    </row>
    <row r="13" spans="1:13" s="124" customFormat="1" ht="16" customHeight="1" x14ac:dyDescent="0.2">
      <c r="A13" s="123"/>
      <c r="C13" s="307"/>
      <c r="D13" s="307"/>
      <c r="E13" s="307"/>
      <c r="F13" s="307"/>
      <c r="G13" s="307"/>
      <c r="H13" s="307"/>
      <c r="I13" s="307"/>
      <c r="J13" s="307"/>
      <c r="K13" s="307"/>
      <c r="M13" s="125"/>
    </row>
    <row r="14" spans="1:13" s="124" customFormat="1" ht="16" customHeight="1" x14ac:dyDescent="0.2">
      <c r="A14" s="123"/>
      <c r="C14" s="307"/>
      <c r="D14" s="307"/>
      <c r="E14" s="307"/>
      <c r="F14" s="307"/>
      <c r="G14" s="307"/>
      <c r="H14" s="307"/>
      <c r="I14" s="307"/>
      <c r="J14" s="307"/>
      <c r="K14" s="307"/>
      <c r="M14" s="125"/>
    </row>
    <row r="15" spans="1:13" s="124" customFormat="1" ht="16" customHeight="1" x14ac:dyDescent="0.2">
      <c r="A15" s="123"/>
      <c r="C15" s="307"/>
      <c r="D15" s="307"/>
      <c r="E15" s="307"/>
      <c r="F15" s="307"/>
      <c r="G15" s="307"/>
      <c r="H15" s="307"/>
      <c r="I15" s="307"/>
      <c r="J15" s="307"/>
      <c r="K15" s="307"/>
      <c r="M15" s="125"/>
    </row>
    <row r="16" spans="1:13" s="124" customFormat="1" ht="16" customHeight="1" x14ac:dyDescent="0.2">
      <c r="A16" s="123"/>
      <c r="C16" s="307"/>
      <c r="D16" s="307"/>
      <c r="E16" s="307"/>
      <c r="F16" s="307"/>
      <c r="G16" s="307"/>
      <c r="H16" s="307"/>
      <c r="I16" s="307"/>
      <c r="J16" s="307"/>
      <c r="K16" s="307"/>
      <c r="M16" s="125"/>
    </row>
    <row r="17" spans="1:13" s="124" customFormat="1" ht="16" customHeight="1" x14ac:dyDescent="0.2">
      <c r="A17" s="123"/>
      <c r="M17" s="125"/>
    </row>
    <row r="18" spans="1:13" s="124" customFormat="1" ht="16" customHeight="1" x14ac:dyDescent="0.25">
      <c r="A18" s="123"/>
      <c r="B18" s="127" t="s">
        <v>235</v>
      </c>
      <c r="M18" s="125"/>
    </row>
    <row r="19" spans="1:13" s="124" customFormat="1" ht="17" customHeight="1" x14ac:dyDescent="0.2">
      <c r="A19" s="123"/>
      <c r="C19" s="306" t="s">
        <v>236</v>
      </c>
      <c r="D19" s="307"/>
      <c r="E19" s="307"/>
      <c r="F19" s="307"/>
      <c r="G19" s="307"/>
      <c r="H19" s="307"/>
      <c r="I19" s="307"/>
      <c r="J19" s="307"/>
      <c r="K19" s="307"/>
      <c r="M19" s="125"/>
    </row>
    <row r="20" spans="1:13" s="124" customFormat="1" x14ac:dyDescent="0.2">
      <c r="A20" s="123"/>
      <c r="C20" s="307"/>
      <c r="D20" s="307"/>
      <c r="E20" s="307"/>
      <c r="F20" s="307"/>
      <c r="G20" s="307"/>
      <c r="H20" s="307"/>
      <c r="I20" s="307"/>
      <c r="J20" s="307"/>
      <c r="K20" s="307"/>
      <c r="M20" s="125"/>
    </row>
    <row r="21" spans="1:13" s="124" customFormat="1" x14ac:dyDescent="0.2">
      <c r="A21" s="123"/>
      <c r="C21" s="307"/>
      <c r="D21" s="307"/>
      <c r="E21" s="307"/>
      <c r="F21" s="307"/>
      <c r="G21" s="307"/>
      <c r="H21" s="307"/>
      <c r="I21" s="307"/>
      <c r="J21" s="307"/>
      <c r="K21" s="307"/>
      <c r="M21" s="125"/>
    </row>
    <row r="22" spans="1:13" s="124" customFormat="1" x14ac:dyDescent="0.2">
      <c r="A22" s="123"/>
      <c r="C22" s="307"/>
      <c r="D22" s="307"/>
      <c r="E22" s="307"/>
      <c r="F22" s="307"/>
      <c r="G22" s="307"/>
      <c r="H22" s="307"/>
      <c r="I22" s="307"/>
      <c r="J22" s="307"/>
      <c r="K22" s="307"/>
      <c r="M22" s="125"/>
    </row>
    <row r="23" spans="1:13" s="124" customFormat="1" x14ac:dyDescent="0.2">
      <c r="A23" s="123"/>
      <c r="C23" s="307"/>
      <c r="D23" s="307"/>
      <c r="E23" s="307"/>
      <c r="F23" s="307"/>
      <c r="G23" s="307"/>
      <c r="H23" s="307"/>
      <c r="I23" s="307"/>
      <c r="J23" s="307"/>
      <c r="K23" s="307"/>
      <c r="M23" s="125"/>
    </row>
    <row r="24" spans="1:13" s="124" customFormat="1" x14ac:dyDescent="0.2">
      <c r="A24" s="123"/>
      <c r="C24" s="307"/>
      <c r="D24" s="307"/>
      <c r="E24" s="307"/>
      <c r="F24" s="307"/>
      <c r="G24" s="307"/>
      <c r="H24" s="307"/>
      <c r="I24" s="307"/>
      <c r="J24" s="307"/>
      <c r="K24" s="307"/>
      <c r="M24" s="125"/>
    </row>
    <row r="25" spans="1:13" s="124" customFormat="1" x14ac:dyDescent="0.2">
      <c r="A25" s="123"/>
      <c r="C25" s="307"/>
      <c r="D25" s="307"/>
      <c r="E25" s="307"/>
      <c r="F25" s="307"/>
      <c r="G25" s="307"/>
      <c r="H25" s="307"/>
      <c r="I25" s="307"/>
      <c r="J25" s="307"/>
      <c r="K25" s="307"/>
      <c r="M25" s="125"/>
    </row>
    <row r="26" spans="1:13" s="124" customFormat="1" x14ac:dyDescent="0.2">
      <c r="A26" s="123"/>
      <c r="C26" s="307"/>
      <c r="D26" s="307"/>
      <c r="E26" s="307"/>
      <c r="F26" s="307"/>
      <c r="G26" s="307"/>
      <c r="H26" s="307"/>
      <c r="I26" s="307"/>
      <c r="J26" s="307"/>
      <c r="K26" s="307"/>
      <c r="M26" s="125"/>
    </row>
    <row r="27" spans="1:13" s="124" customFormat="1" x14ac:dyDescent="0.2">
      <c r="A27" s="123"/>
      <c r="C27" s="307"/>
      <c r="D27" s="307"/>
      <c r="E27" s="307"/>
      <c r="F27" s="307"/>
      <c r="G27" s="307"/>
      <c r="H27" s="307"/>
      <c r="I27" s="307"/>
      <c r="J27" s="307"/>
      <c r="K27" s="307"/>
      <c r="M27" s="125"/>
    </row>
    <row r="28" spans="1:13" s="124" customFormat="1" x14ac:dyDescent="0.2">
      <c r="A28" s="123"/>
      <c r="C28" s="307"/>
      <c r="D28" s="307"/>
      <c r="E28" s="307"/>
      <c r="F28" s="307"/>
      <c r="G28" s="307"/>
      <c r="H28" s="307"/>
      <c r="I28" s="307"/>
      <c r="J28" s="307"/>
      <c r="K28" s="307"/>
      <c r="M28" s="125"/>
    </row>
    <row r="29" spans="1:13" s="124" customFormat="1" x14ac:dyDescent="0.2">
      <c r="A29" s="123"/>
      <c r="C29" s="128"/>
      <c r="D29" s="128"/>
      <c r="E29" s="128"/>
      <c r="F29" s="128"/>
      <c r="G29" s="128"/>
      <c r="H29" s="128"/>
      <c r="I29" s="128"/>
      <c r="J29" s="128"/>
      <c r="K29" s="128"/>
      <c r="M29" s="125"/>
    </row>
    <row r="30" spans="1:13" s="124" customFormat="1" ht="19" x14ac:dyDescent="0.25">
      <c r="A30" s="123"/>
      <c r="C30" s="129" t="s">
        <v>237</v>
      </c>
      <c r="D30" s="128"/>
      <c r="E30" s="128"/>
      <c r="F30" s="128"/>
      <c r="G30" s="128"/>
      <c r="H30" s="128"/>
      <c r="I30" s="128"/>
      <c r="J30" s="128"/>
      <c r="K30" s="128"/>
      <c r="M30" s="125"/>
    </row>
    <row r="31" spans="1:13" s="124" customFormat="1" x14ac:dyDescent="0.2">
      <c r="A31" s="123"/>
      <c r="C31" s="306" t="s">
        <v>238</v>
      </c>
      <c r="D31" s="306"/>
      <c r="E31" s="306"/>
      <c r="F31" s="306"/>
      <c r="G31" s="306"/>
      <c r="H31" s="306"/>
      <c r="I31" s="306"/>
      <c r="J31" s="306"/>
      <c r="K31" s="306"/>
      <c r="M31" s="125"/>
    </row>
    <row r="32" spans="1:13" s="124" customFormat="1" x14ac:dyDescent="0.2">
      <c r="A32" s="123"/>
      <c r="C32" s="306"/>
      <c r="D32" s="306"/>
      <c r="E32" s="306"/>
      <c r="F32" s="306"/>
      <c r="G32" s="306"/>
      <c r="H32" s="306"/>
      <c r="I32" s="306"/>
      <c r="J32" s="306"/>
      <c r="K32" s="306"/>
      <c r="M32" s="125"/>
    </row>
    <row r="33" spans="1:13" s="124" customFormat="1" x14ac:dyDescent="0.2">
      <c r="A33" s="123"/>
      <c r="C33" s="306"/>
      <c r="D33" s="306"/>
      <c r="E33" s="306"/>
      <c r="F33" s="306"/>
      <c r="G33" s="306"/>
      <c r="H33" s="306"/>
      <c r="I33" s="306"/>
      <c r="J33" s="306"/>
      <c r="K33" s="306"/>
      <c r="M33" s="125"/>
    </row>
    <row r="34" spans="1:13" s="124" customFormat="1" x14ac:dyDescent="0.2">
      <c r="A34" s="123"/>
      <c r="C34" s="306"/>
      <c r="D34" s="306"/>
      <c r="E34" s="306"/>
      <c r="F34" s="306"/>
      <c r="G34" s="306"/>
      <c r="H34" s="306"/>
      <c r="I34" s="306"/>
      <c r="J34" s="306"/>
      <c r="K34" s="306"/>
      <c r="M34" s="125"/>
    </row>
    <row r="35" spans="1:13" s="124" customFormat="1" x14ac:dyDescent="0.2">
      <c r="A35" s="123"/>
      <c r="C35" s="306"/>
      <c r="D35" s="306"/>
      <c r="E35" s="306"/>
      <c r="F35" s="306"/>
      <c r="G35" s="306"/>
      <c r="H35" s="306"/>
      <c r="I35" s="306"/>
      <c r="J35" s="306"/>
      <c r="K35" s="306"/>
      <c r="M35" s="125"/>
    </row>
    <row r="36" spans="1:13" s="124" customFormat="1" x14ac:dyDescent="0.2">
      <c r="A36" s="123"/>
      <c r="C36" s="306"/>
      <c r="D36" s="306"/>
      <c r="E36" s="306"/>
      <c r="F36" s="306"/>
      <c r="G36" s="306"/>
      <c r="H36" s="306"/>
      <c r="I36" s="306"/>
      <c r="J36" s="306"/>
      <c r="K36" s="306"/>
      <c r="M36" s="125"/>
    </row>
    <row r="37" spans="1:13" s="124" customFormat="1" x14ac:dyDescent="0.2">
      <c r="A37" s="123"/>
      <c r="C37" s="306"/>
      <c r="D37" s="306"/>
      <c r="E37" s="306"/>
      <c r="F37" s="306"/>
      <c r="G37" s="306"/>
      <c r="H37" s="306"/>
      <c r="I37" s="306"/>
      <c r="J37" s="306"/>
      <c r="K37" s="306"/>
      <c r="M37" s="125"/>
    </row>
    <row r="38" spans="1:13" s="124" customFormat="1" x14ac:dyDescent="0.2">
      <c r="A38" s="123"/>
      <c r="C38" s="306"/>
      <c r="D38" s="306"/>
      <c r="E38" s="306"/>
      <c r="F38" s="306"/>
      <c r="G38" s="306"/>
      <c r="H38" s="306"/>
      <c r="I38" s="306"/>
      <c r="J38" s="306"/>
      <c r="K38" s="306"/>
      <c r="M38" s="125"/>
    </row>
    <row r="39" spans="1:13" s="124" customFormat="1" x14ac:dyDescent="0.2">
      <c r="A39" s="123"/>
      <c r="C39" s="306"/>
      <c r="D39" s="306"/>
      <c r="E39" s="306"/>
      <c r="F39" s="306"/>
      <c r="G39" s="306"/>
      <c r="H39" s="306"/>
      <c r="I39" s="306"/>
      <c r="J39" s="306"/>
      <c r="K39" s="306"/>
      <c r="M39" s="125"/>
    </row>
    <row r="40" spans="1:13" s="124" customFormat="1" x14ac:dyDescent="0.2">
      <c r="A40" s="123"/>
      <c r="C40" s="130"/>
      <c r="D40" s="130"/>
      <c r="E40" s="130"/>
      <c r="F40" s="130"/>
      <c r="G40" s="130"/>
      <c r="H40" s="130"/>
      <c r="I40" s="130"/>
      <c r="J40" s="130"/>
      <c r="K40" s="130"/>
      <c r="M40" s="125"/>
    </row>
    <row r="41" spans="1:13" s="124" customFormat="1" ht="21" x14ac:dyDescent="0.25">
      <c r="A41" s="123"/>
      <c r="B41" s="127" t="s">
        <v>239</v>
      </c>
      <c r="M41" s="125"/>
    </row>
    <row r="42" spans="1:13" s="124" customFormat="1" x14ac:dyDescent="0.2">
      <c r="A42" s="123"/>
      <c r="C42" s="308" t="s">
        <v>574</v>
      </c>
      <c r="D42" s="307"/>
      <c r="E42" s="307"/>
      <c r="F42" s="307"/>
      <c r="G42" s="307"/>
      <c r="H42" s="307"/>
      <c r="I42" s="307"/>
      <c r="J42" s="307"/>
      <c r="K42" s="307"/>
      <c r="M42" s="125"/>
    </row>
    <row r="43" spans="1:13" s="124" customFormat="1" x14ac:dyDescent="0.2">
      <c r="A43" s="123"/>
      <c r="C43" s="307"/>
      <c r="D43" s="307"/>
      <c r="E43" s="307"/>
      <c r="F43" s="307"/>
      <c r="G43" s="307"/>
      <c r="H43" s="307"/>
      <c r="I43" s="307"/>
      <c r="J43" s="307"/>
      <c r="K43" s="307"/>
      <c r="M43" s="125"/>
    </row>
    <row r="44" spans="1:13" s="124" customFormat="1" x14ac:dyDescent="0.2">
      <c r="A44" s="123"/>
      <c r="C44" s="307"/>
      <c r="D44" s="307"/>
      <c r="E44" s="307"/>
      <c r="F44" s="307"/>
      <c r="G44" s="307"/>
      <c r="H44" s="307"/>
      <c r="I44" s="307"/>
      <c r="J44" s="307"/>
      <c r="K44" s="307"/>
      <c r="M44" s="125"/>
    </row>
    <row r="45" spans="1:13" s="124" customFormat="1" x14ac:dyDescent="0.2">
      <c r="A45" s="123"/>
      <c r="C45" s="307"/>
      <c r="D45" s="307"/>
      <c r="E45" s="307"/>
      <c r="F45" s="307"/>
      <c r="G45" s="307"/>
      <c r="H45" s="307"/>
      <c r="I45" s="307"/>
      <c r="J45" s="307"/>
      <c r="K45" s="307"/>
      <c r="M45" s="125"/>
    </row>
    <row r="46" spans="1:13" s="124" customFormat="1" x14ac:dyDescent="0.2">
      <c r="A46" s="123"/>
      <c r="C46" s="307"/>
      <c r="D46" s="307"/>
      <c r="E46" s="307"/>
      <c r="F46" s="307"/>
      <c r="G46" s="307"/>
      <c r="H46" s="307"/>
      <c r="I46" s="307"/>
      <c r="J46" s="307"/>
      <c r="K46" s="307"/>
      <c r="M46" s="125"/>
    </row>
    <row r="47" spans="1:13" s="124" customFormat="1" x14ac:dyDescent="0.2">
      <c r="A47" s="123"/>
      <c r="C47" s="307"/>
      <c r="D47" s="307"/>
      <c r="E47" s="307"/>
      <c r="F47" s="307"/>
      <c r="G47" s="307"/>
      <c r="H47" s="307"/>
      <c r="I47" s="307"/>
      <c r="J47" s="307"/>
      <c r="K47" s="307"/>
      <c r="M47" s="125"/>
    </row>
    <row r="48" spans="1:13" s="124" customFormat="1" x14ac:dyDescent="0.2">
      <c r="A48" s="123"/>
      <c r="C48" s="307"/>
      <c r="D48" s="307"/>
      <c r="E48" s="307"/>
      <c r="F48" s="307"/>
      <c r="G48" s="307"/>
      <c r="H48" s="307"/>
      <c r="I48" s="307"/>
      <c r="J48" s="307"/>
      <c r="K48" s="307"/>
      <c r="M48" s="125"/>
    </row>
    <row r="49" spans="1:13" s="124" customFormat="1" x14ac:dyDescent="0.2">
      <c r="A49" s="123"/>
      <c r="C49" s="307"/>
      <c r="D49" s="307"/>
      <c r="E49" s="307"/>
      <c r="F49" s="307"/>
      <c r="G49" s="307"/>
      <c r="H49" s="307"/>
      <c r="I49" s="307"/>
      <c r="J49" s="307"/>
      <c r="K49" s="307"/>
      <c r="M49" s="125"/>
    </row>
    <row r="50" spans="1:13" s="124" customFormat="1" x14ac:dyDescent="0.2">
      <c r="A50" s="123"/>
      <c r="C50" s="307"/>
      <c r="D50" s="307"/>
      <c r="E50" s="307"/>
      <c r="F50" s="307"/>
      <c r="G50" s="307"/>
      <c r="H50" s="307"/>
      <c r="I50" s="307"/>
      <c r="J50" s="307"/>
      <c r="K50" s="307"/>
      <c r="M50" s="125"/>
    </row>
    <row r="51" spans="1:13" s="124" customFormat="1" x14ac:dyDescent="0.2">
      <c r="A51" s="123"/>
      <c r="C51" s="130"/>
      <c r="D51" s="130"/>
      <c r="E51" s="130"/>
      <c r="F51" s="130"/>
      <c r="G51" s="130"/>
      <c r="H51" s="130"/>
      <c r="I51" s="130"/>
      <c r="J51" s="130"/>
      <c r="K51" s="130"/>
      <c r="M51" s="125"/>
    </row>
    <row r="52" spans="1:13" ht="17" thickBot="1" x14ac:dyDescent="0.25">
      <c r="A52" s="131"/>
      <c r="B52" s="132"/>
      <c r="C52" s="132"/>
      <c r="D52" s="132"/>
      <c r="E52" s="132"/>
      <c r="F52" s="132"/>
      <c r="G52" s="132"/>
      <c r="H52" s="132"/>
      <c r="I52" s="132"/>
      <c r="J52" s="132"/>
      <c r="K52" s="132"/>
      <c r="L52" s="132"/>
      <c r="M52" s="133"/>
    </row>
  </sheetData>
  <mergeCells count="4">
    <mergeCell ref="C9:K16"/>
    <mergeCell ref="C19:K28"/>
    <mergeCell ref="C31:K39"/>
    <mergeCell ref="C42:K50"/>
  </mergeCells>
  <hyperlinks>
    <hyperlink ref="B6" r:id="rId1" xr:uid="{948C78F4-D601-A548-9C53-AD164781D65C}"/>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7D556-2801-8343-869F-4D14E5407649}">
  <dimension ref="A1:BL195"/>
  <sheetViews>
    <sheetView zoomScaleNormal="100" workbookViewId="0"/>
  </sheetViews>
  <sheetFormatPr baseColWidth="10" defaultColWidth="10.83203125" defaultRowHeight="16" outlineLevelCol="1" x14ac:dyDescent="0.2"/>
  <cols>
    <col min="1" max="1" width="4.6640625" style="45" customWidth="1"/>
    <col min="2" max="2" width="17.1640625" style="45" customWidth="1"/>
    <col min="3" max="3" width="11.5" style="45" customWidth="1"/>
    <col min="4" max="4" width="10.83203125" style="45" customWidth="1"/>
    <col min="5" max="5" width="12.83203125" style="45" customWidth="1"/>
    <col min="6" max="10" width="10.83203125" style="45" customWidth="1"/>
    <col min="11" max="11" width="11.5" style="45" bestFit="1" customWidth="1"/>
    <col min="12" max="12" width="10.83203125" style="45" hidden="1" customWidth="1" outlineLevel="1"/>
    <col min="13" max="13" width="11.83203125" style="45" hidden="1" customWidth="1" outlineLevel="1"/>
    <col min="14" max="19" width="10.83203125" style="45" hidden="1" customWidth="1" outlineLevel="1"/>
    <col min="20" max="20" width="10.83203125" style="45" collapsed="1"/>
    <col min="21" max="16384" width="10.83203125" style="45"/>
  </cols>
  <sheetData>
    <row r="1" spans="1:18" ht="19" x14ac:dyDescent="0.25">
      <c r="A1" s="1" t="s">
        <v>198</v>
      </c>
      <c r="B1" s="25"/>
      <c r="C1" s="42"/>
      <c r="D1" s="42"/>
      <c r="E1" s="42"/>
      <c r="F1" s="43"/>
      <c r="G1" s="43"/>
      <c r="H1" s="43"/>
      <c r="I1" s="43"/>
      <c r="J1" s="44"/>
      <c r="K1" s="3" t="s">
        <v>176</v>
      </c>
    </row>
    <row r="2" spans="1:18" x14ac:dyDescent="0.2">
      <c r="A2" s="2"/>
      <c r="B2" s="43"/>
      <c r="C2" s="43"/>
      <c r="D2" s="43"/>
      <c r="E2" s="43"/>
      <c r="F2" s="43"/>
      <c r="G2" s="43"/>
      <c r="H2" s="43"/>
      <c r="I2" s="43"/>
      <c r="J2" s="44"/>
      <c r="L2" s="16" t="s">
        <v>3</v>
      </c>
      <c r="N2" s="46"/>
    </row>
    <row r="3" spans="1:18" x14ac:dyDescent="0.2">
      <c r="A3" s="2"/>
      <c r="B3" s="43" t="s">
        <v>6</v>
      </c>
      <c r="C3" s="43"/>
      <c r="D3" s="43"/>
      <c r="E3" s="43"/>
      <c r="F3" s="43"/>
      <c r="G3" s="43"/>
      <c r="H3" s="43"/>
      <c r="I3" s="43"/>
      <c r="J3" s="44"/>
      <c r="M3" s="45" t="s">
        <v>24</v>
      </c>
    </row>
    <row r="4" spans="1:18" x14ac:dyDescent="0.2">
      <c r="A4" s="2"/>
      <c r="B4" s="43"/>
      <c r="C4" s="43"/>
      <c r="D4" s="43"/>
      <c r="E4" s="43"/>
      <c r="F4" s="43"/>
      <c r="G4" s="43"/>
      <c r="H4" s="43"/>
      <c r="I4" s="43"/>
      <c r="J4" s="44"/>
      <c r="M4" s="45" t="s">
        <v>25</v>
      </c>
    </row>
    <row r="5" spans="1:18" x14ac:dyDescent="0.2">
      <c r="A5" s="2"/>
      <c r="B5" s="117" t="s">
        <v>228</v>
      </c>
      <c r="C5" s="47">
        <v>250000</v>
      </c>
      <c r="D5" s="43"/>
      <c r="E5" s="43"/>
      <c r="F5" s="43"/>
      <c r="G5" s="43"/>
      <c r="H5" s="43"/>
      <c r="I5" s="43"/>
      <c r="J5" s="44"/>
    </row>
    <row r="6" spans="1:18" ht="34" x14ac:dyDescent="0.2">
      <c r="A6" s="2"/>
      <c r="B6" s="117" t="s">
        <v>229</v>
      </c>
      <c r="C6" s="47">
        <v>1000000</v>
      </c>
      <c r="D6" s="43"/>
      <c r="E6" s="43"/>
      <c r="F6" s="43"/>
      <c r="G6" s="43"/>
      <c r="H6" s="43"/>
      <c r="I6" s="43"/>
      <c r="J6" s="44"/>
      <c r="M6" s="9" t="s">
        <v>9</v>
      </c>
      <c r="N6" s="10" t="s">
        <v>10</v>
      </c>
      <c r="O6" s="10" t="s">
        <v>19</v>
      </c>
      <c r="P6" s="9" t="s">
        <v>12</v>
      </c>
      <c r="Q6" s="48" t="s">
        <v>20</v>
      </c>
      <c r="R6" s="48" t="s">
        <v>21</v>
      </c>
    </row>
    <row r="7" spans="1:18" ht="17" x14ac:dyDescent="0.2">
      <c r="A7" s="2"/>
      <c r="B7" s="43"/>
      <c r="C7" s="43"/>
      <c r="D7" s="43"/>
      <c r="E7" s="43"/>
      <c r="F7" s="43"/>
      <c r="G7" s="43"/>
      <c r="H7" s="43"/>
      <c r="I7" s="43"/>
      <c r="J7" s="44"/>
      <c r="M7" s="11" t="s">
        <v>13</v>
      </c>
      <c r="N7" s="12">
        <v>936000</v>
      </c>
      <c r="O7" s="13">
        <v>0.68</v>
      </c>
      <c r="P7" s="15">
        <v>7.0000000000000007E-2</v>
      </c>
      <c r="Q7" s="49">
        <f>N7*O7*P7</f>
        <v>44553.600000000006</v>
      </c>
      <c r="R7" s="49">
        <f>N7*O7*(1-P7)*$C$16</f>
        <v>17757.791999999998</v>
      </c>
    </row>
    <row r="8" spans="1:18" ht="17" x14ac:dyDescent="0.2">
      <c r="A8" s="2"/>
      <c r="B8" s="43"/>
      <c r="C8" s="78"/>
      <c r="D8" s="43"/>
      <c r="E8" s="313" t="s">
        <v>11</v>
      </c>
      <c r="F8" s="43"/>
      <c r="G8" s="43"/>
      <c r="H8" s="43"/>
      <c r="I8" s="43"/>
      <c r="J8" s="44"/>
      <c r="M8" s="11" t="s">
        <v>14</v>
      </c>
      <c r="N8" s="14">
        <v>233000</v>
      </c>
      <c r="O8" s="13">
        <v>0.54</v>
      </c>
      <c r="P8" s="15">
        <v>0.11</v>
      </c>
      <c r="Q8" s="49">
        <f>N8*O8*P8</f>
        <v>13840.200000000003</v>
      </c>
      <c r="R8" s="49">
        <f t="shared" ref="R8:R10" si="0">N8*O8*(1-P8)*$C$16</f>
        <v>3359.3940000000002</v>
      </c>
    </row>
    <row r="9" spans="1:18" ht="16" customHeight="1" x14ac:dyDescent="0.2">
      <c r="A9" s="2"/>
      <c r="B9" s="43"/>
      <c r="C9" s="78"/>
      <c r="D9" s="43"/>
      <c r="E9" s="313"/>
      <c r="F9" s="313" t="s">
        <v>12</v>
      </c>
      <c r="G9" s="43"/>
      <c r="H9" s="43"/>
      <c r="I9" s="43"/>
      <c r="J9" s="44"/>
      <c r="M9" s="11" t="s">
        <v>206</v>
      </c>
      <c r="N9" s="14">
        <v>85000</v>
      </c>
      <c r="O9" s="13">
        <v>0.57999999999999996</v>
      </c>
      <c r="P9" s="15">
        <v>0.05</v>
      </c>
      <c r="Q9" s="49">
        <f>N9*O9*P9</f>
        <v>2465</v>
      </c>
      <c r="R9" s="49">
        <f t="shared" si="0"/>
        <v>1405.05</v>
      </c>
    </row>
    <row r="10" spans="1:18" ht="16" customHeight="1" x14ac:dyDescent="0.2">
      <c r="A10" s="2"/>
      <c r="B10" s="43"/>
      <c r="C10" s="30" t="s">
        <v>9</v>
      </c>
      <c r="D10" s="28" t="s">
        <v>10</v>
      </c>
      <c r="E10" s="314"/>
      <c r="F10" s="314"/>
      <c r="G10" s="43"/>
      <c r="H10" s="43"/>
      <c r="I10" s="43"/>
      <c r="J10" s="44"/>
      <c r="M10" s="85" t="s">
        <v>15</v>
      </c>
      <c r="N10" s="38">
        <v>112000</v>
      </c>
      <c r="O10" s="37">
        <v>0.49</v>
      </c>
      <c r="P10" s="39">
        <v>0.08</v>
      </c>
      <c r="Q10" s="50">
        <f>N10*O10*P10</f>
        <v>4390.4000000000005</v>
      </c>
      <c r="R10" s="51">
        <f t="shared" si="0"/>
        <v>1514.6880000000001</v>
      </c>
    </row>
    <row r="11" spans="1:18" ht="17" customHeight="1" x14ac:dyDescent="0.2">
      <c r="A11" s="2"/>
      <c r="B11" s="43"/>
      <c r="C11" s="31" t="s">
        <v>13</v>
      </c>
      <c r="D11" s="6">
        <v>936000</v>
      </c>
      <c r="E11" s="7">
        <v>0.68</v>
      </c>
      <c r="F11" s="7">
        <v>7.0000000000000007E-2</v>
      </c>
      <c r="G11" s="43"/>
      <c r="H11" s="43"/>
      <c r="I11" s="43"/>
      <c r="J11" s="44"/>
      <c r="P11" s="52" t="s">
        <v>22</v>
      </c>
      <c r="Q11" s="49">
        <f>SUM(Q7:Q10)</f>
        <v>65249.200000000012</v>
      </c>
      <c r="R11" s="49">
        <f>SUM(R7:R10)</f>
        <v>24036.923999999999</v>
      </c>
    </row>
    <row r="12" spans="1:18" ht="16" customHeight="1" thickBot="1" x14ac:dyDescent="0.25">
      <c r="A12" s="2"/>
      <c r="B12" s="43"/>
      <c r="C12" s="31" t="s">
        <v>14</v>
      </c>
      <c r="D12" s="8">
        <v>233000</v>
      </c>
      <c r="E12" s="7">
        <v>0.54</v>
      </c>
      <c r="F12" s="7">
        <v>0.11</v>
      </c>
      <c r="G12" s="43"/>
      <c r="H12" s="43"/>
      <c r="I12" s="43"/>
      <c r="J12" s="44"/>
    </row>
    <row r="13" spans="1:18" ht="18" thickBot="1" x14ac:dyDescent="0.25">
      <c r="A13" s="2"/>
      <c r="B13" s="43"/>
      <c r="C13" s="31" t="s">
        <v>206</v>
      </c>
      <c r="D13" s="8">
        <v>85000</v>
      </c>
      <c r="E13" s="7">
        <v>0.57999999999999996</v>
      </c>
      <c r="F13" s="7">
        <v>0.05</v>
      </c>
      <c r="G13" s="43"/>
      <c r="H13" s="43"/>
      <c r="I13" s="43"/>
      <c r="J13" s="44"/>
      <c r="M13" s="82"/>
      <c r="N13" s="83" t="s">
        <v>23</v>
      </c>
      <c r="O13" s="84">
        <f>SUM(Q11:R11)</f>
        <v>89286.124000000011</v>
      </c>
    </row>
    <row r="14" spans="1:18" ht="17" x14ac:dyDescent="0.2">
      <c r="A14" s="2"/>
      <c r="B14" s="43"/>
      <c r="C14" s="31" t="s">
        <v>15</v>
      </c>
      <c r="D14" s="8">
        <v>112000</v>
      </c>
      <c r="E14" s="7">
        <v>0.49</v>
      </c>
      <c r="F14" s="7">
        <v>0.08</v>
      </c>
      <c r="G14" s="43"/>
      <c r="H14" s="43"/>
      <c r="I14" s="43"/>
      <c r="J14" s="44"/>
    </row>
    <row r="15" spans="1:18" x14ac:dyDescent="0.2">
      <c r="A15" s="2"/>
      <c r="B15" s="43"/>
      <c r="C15" s="43"/>
      <c r="D15" s="43"/>
      <c r="E15" s="43"/>
      <c r="F15" s="43"/>
      <c r="G15" s="43"/>
      <c r="H15" s="43"/>
      <c r="I15" s="43"/>
      <c r="J15" s="44"/>
      <c r="L15" s="16" t="s">
        <v>4</v>
      </c>
      <c r="N15" s="46"/>
    </row>
    <row r="16" spans="1:18" x14ac:dyDescent="0.2">
      <c r="A16" s="2"/>
      <c r="B16" s="117" t="s">
        <v>230</v>
      </c>
      <c r="C16" s="43">
        <v>0.03</v>
      </c>
      <c r="D16" s="43"/>
      <c r="E16" s="43"/>
      <c r="F16" s="43"/>
      <c r="G16" s="43"/>
      <c r="H16" s="43"/>
      <c r="I16" s="43"/>
      <c r="J16" s="44"/>
      <c r="M16" s="16" t="s">
        <v>26</v>
      </c>
    </row>
    <row r="17" spans="1:19" x14ac:dyDescent="0.2">
      <c r="A17" s="2"/>
      <c r="B17" s="43"/>
      <c r="C17" s="43"/>
      <c r="D17" s="43"/>
      <c r="E17" s="43"/>
      <c r="F17" s="43"/>
      <c r="G17" s="43"/>
      <c r="H17" s="43"/>
      <c r="I17" s="43"/>
      <c r="J17" s="44"/>
      <c r="M17" s="53" t="s">
        <v>179</v>
      </c>
    </row>
    <row r="18" spans="1:19" x14ac:dyDescent="0.2">
      <c r="A18" s="2"/>
      <c r="B18" s="43"/>
      <c r="C18" s="43"/>
      <c r="D18" s="43"/>
      <c r="E18" s="43"/>
      <c r="F18" s="43"/>
      <c r="G18" s="43"/>
      <c r="H18" s="43"/>
      <c r="I18" s="43"/>
      <c r="J18" s="44"/>
      <c r="M18" s="53" t="s">
        <v>180</v>
      </c>
    </row>
    <row r="19" spans="1:19" x14ac:dyDescent="0.2">
      <c r="A19" s="43" t="s">
        <v>0</v>
      </c>
      <c r="B19" s="43" t="s">
        <v>17</v>
      </c>
      <c r="C19" s="43"/>
      <c r="D19" s="43"/>
      <c r="E19" s="43"/>
      <c r="F19" s="43"/>
      <c r="G19" s="43"/>
      <c r="H19" s="43"/>
      <c r="I19" s="43"/>
      <c r="J19" s="44"/>
    </row>
    <row r="20" spans="1:19" x14ac:dyDescent="0.2">
      <c r="A20" s="2"/>
      <c r="B20" s="43" t="s">
        <v>16</v>
      </c>
      <c r="C20" s="43"/>
      <c r="D20" s="43"/>
      <c r="E20" s="43"/>
      <c r="F20" s="43"/>
      <c r="G20" s="43"/>
      <c r="H20" s="43"/>
      <c r="I20" s="43"/>
      <c r="J20" s="44"/>
      <c r="M20" s="16" t="s">
        <v>27</v>
      </c>
    </row>
    <row r="21" spans="1:19" x14ac:dyDescent="0.2">
      <c r="A21" s="2"/>
      <c r="B21" s="43"/>
      <c r="C21" s="43"/>
      <c r="D21" s="43"/>
      <c r="E21" s="43"/>
      <c r="F21" s="43"/>
      <c r="G21" s="43"/>
      <c r="H21" s="43"/>
      <c r="I21" s="43"/>
      <c r="J21" s="44"/>
      <c r="M21" s="312" t="s">
        <v>181</v>
      </c>
      <c r="N21" s="312"/>
      <c r="O21" s="312"/>
      <c r="P21" s="312"/>
      <c r="Q21" s="312"/>
      <c r="R21" s="312"/>
      <c r="S21" s="312"/>
    </row>
    <row r="22" spans="1:19" x14ac:dyDescent="0.2">
      <c r="A22" s="43" t="s">
        <v>1</v>
      </c>
      <c r="B22" s="43" t="s">
        <v>18</v>
      </c>
      <c r="C22" s="43"/>
      <c r="D22" s="43"/>
      <c r="E22" s="43"/>
      <c r="F22" s="43"/>
      <c r="G22" s="43"/>
      <c r="H22" s="43"/>
      <c r="I22" s="43"/>
      <c r="J22" s="44"/>
      <c r="M22" s="312"/>
      <c r="N22" s="312"/>
      <c r="O22" s="312"/>
      <c r="P22" s="312"/>
      <c r="Q22" s="312"/>
      <c r="R22" s="312"/>
      <c r="S22" s="312"/>
    </row>
    <row r="23" spans="1:19" x14ac:dyDescent="0.2">
      <c r="A23" s="2"/>
      <c r="B23" s="43"/>
      <c r="C23" s="43"/>
      <c r="D23" s="43"/>
      <c r="E23" s="43"/>
      <c r="F23" s="43"/>
      <c r="G23" s="43"/>
      <c r="H23" s="43"/>
      <c r="I23" s="43"/>
      <c r="J23" s="44"/>
      <c r="M23" s="312" t="s">
        <v>182</v>
      </c>
      <c r="N23" s="312"/>
      <c r="O23" s="312"/>
      <c r="P23" s="312"/>
      <c r="Q23" s="312"/>
      <c r="R23" s="312"/>
      <c r="S23" s="312"/>
    </row>
    <row r="24" spans="1:19" ht="17" thickBot="1" x14ac:dyDescent="0.25">
      <c r="A24" s="2"/>
      <c r="B24" s="43"/>
      <c r="C24" s="43"/>
      <c r="D24" s="43"/>
      <c r="E24" s="43"/>
      <c r="F24" s="43"/>
      <c r="G24" s="43"/>
      <c r="H24" s="43"/>
      <c r="I24" s="43"/>
      <c r="J24" s="44"/>
      <c r="M24" s="312"/>
      <c r="N24" s="312"/>
      <c r="O24" s="312"/>
      <c r="P24" s="312"/>
      <c r="Q24" s="312"/>
      <c r="R24" s="312"/>
      <c r="S24" s="312"/>
    </row>
    <row r="25" spans="1:19" ht="17" thickBot="1" x14ac:dyDescent="0.25">
      <c r="A25" s="309" t="s">
        <v>175</v>
      </c>
      <c r="B25" s="310"/>
      <c r="C25" s="310"/>
      <c r="D25" s="310"/>
      <c r="E25" s="310"/>
      <c r="F25" s="310"/>
      <c r="G25" s="310"/>
      <c r="H25" s="310"/>
      <c r="I25" s="310"/>
      <c r="J25" s="311"/>
    </row>
    <row r="27" spans="1:19" ht="19" x14ac:dyDescent="0.25">
      <c r="A27" s="3"/>
      <c r="L27" s="3" t="s">
        <v>210</v>
      </c>
    </row>
    <row r="28" spans="1:19" x14ac:dyDescent="0.2">
      <c r="L28" s="76" t="s">
        <v>209</v>
      </c>
    </row>
    <row r="30" spans="1:19" x14ac:dyDescent="0.2">
      <c r="L30" s="5"/>
    </row>
    <row r="31" spans="1:19" x14ac:dyDescent="0.2">
      <c r="L31" s="5"/>
    </row>
    <row r="32" spans="1:19" x14ac:dyDescent="0.2">
      <c r="L32" s="5"/>
    </row>
    <row r="33" spans="12:12" x14ac:dyDescent="0.2">
      <c r="L33" s="5"/>
    </row>
    <row r="34" spans="12:12" x14ac:dyDescent="0.2">
      <c r="L34" s="5"/>
    </row>
    <row r="35" spans="12:12" x14ac:dyDescent="0.2">
      <c r="L35" s="5"/>
    </row>
    <row r="36" spans="12:12" x14ac:dyDescent="0.2">
      <c r="L36" s="5"/>
    </row>
    <row r="37" spans="12:12" x14ac:dyDescent="0.2">
      <c r="L37" s="5"/>
    </row>
    <row r="38" spans="12:12" x14ac:dyDescent="0.2">
      <c r="L38" s="5"/>
    </row>
    <row r="40" spans="12:12" x14ac:dyDescent="0.2">
      <c r="L40" s="5"/>
    </row>
    <row r="52" spans="1:14" x14ac:dyDescent="0.2">
      <c r="A52" s="4"/>
      <c r="C52" s="46"/>
    </row>
    <row r="53" spans="1:14" x14ac:dyDescent="0.2">
      <c r="M53" s="46"/>
    </row>
    <row r="54" spans="1:14" x14ac:dyDescent="0.2">
      <c r="L54" s="5"/>
      <c r="M54" s="5"/>
      <c r="N54" s="5"/>
    </row>
    <row r="55" spans="1:14" x14ac:dyDescent="0.2">
      <c r="L55" s="5"/>
      <c r="M55" s="5"/>
      <c r="N55" s="5"/>
    </row>
    <row r="56" spans="1:14" x14ac:dyDescent="0.2">
      <c r="L56" s="5"/>
      <c r="M56" s="5"/>
      <c r="N56" s="5"/>
    </row>
    <row r="57" spans="1:14" x14ac:dyDescent="0.2">
      <c r="L57" s="5"/>
      <c r="M57" s="5"/>
      <c r="N57" s="5"/>
    </row>
    <row r="58" spans="1:14" x14ac:dyDescent="0.2">
      <c r="L58" s="5"/>
      <c r="M58" s="5"/>
      <c r="N58" s="5"/>
    </row>
    <row r="59" spans="1:14" x14ac:dyDescent="0.2">
      <c r="L59" s="5"/>
      <c r="M59" s="5"/>
      <c r="N59" s="5"/>
    </row>
    <row r="60" spans="1:14" x14ac:dyDescent="0.2">
      <c r="L60" s="5"/>
      <c r="M60" s="5"/>
      <c r="N60" s="5"/>
    </row>
    <row r="61" spans="1:14" x14ac:dyDescent="0.2">
      <c r="L61" s="5"/>
      <c r="M61" s="5"/>
      <c r="N61" s="5"/>
    </row>
    <row r="62" spans="1:14" x14ac:dyDescent="0.2">
      <c r="L62" s="5"/>
      <c r="M62" s="5"/>
      <c r="N62" s="5"/>
    </row>
    <row r="63" spans="1:14" x14ac:dyDescent="0.2">
      <c r="M63" s="46"/>
    </row>
    <row r="64" spans="1: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x14ac:dyDescent="0.2">
      <c r="L71" s="5"/>
      <c r="M71" s="5"/>
      <c r="N71" s="5"/>
    </row>
    <row r="72" spans="12:14" x14ac:dyDescent="0.2">
      <c r="L72" s="5"/>
      <c r="M72" s="5"/>
      <c r="N72" s="5"/>
    </row>
    <row r="73" spans="12:14" x14ac:dyDescent="0.2">
      <c r="M73" s="46"/>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64" x14ac:dyDescent="0.2">
      <c r="L81" s="5"/>
      <c r="M81" s="5"/>
      <c r="N81" s="5"/>
    </row>
    <row r="82" spans="1:64" x14ac:dyDescent="0.2">
      <c r="L82" s="5"/>
      <c r="M82" s="5"/>
      <c r="N82" s="5"/>
    </row>
    <row r="83" spans="1:64" x14ac:dyDescent="0.2">
      <c r="M83" s="46"/>
    </row>
    <row r="84" spans="1:64" x14ac:dyDescent="0.2">
      <c r="L84" s="5"/>
      <c r="M84" s="5"/>
      <c r="N84" s="5"/>
    </row>
    <row r="85" spans="1:64" x14ac:dyDescent="0.2">
      <c r="L85" s="5"/>
      <c r="M85" s="5"/>
      <c r="N85" s="5"/>
    </row>
    <row r="86" spans="1:64" x14ac:dyDescent="0.2">
      <c r="L86" s="5"/>
      <c r="M86" s="5"/>
      <c r="N86" s="5"/>
    </row>
    <row r="87" spans="1:64" x14ac:dyDescent="0.2">
      <c r="L87" s="5"/>
      <c r="M87" s="5"/>
      <c r="N87" s="5"/>
    </row>
    <row r="88" spans="1:64" x14ac:dyDescent="0.2">
      <c r="L88" s="5"/>
      <c r="M88" s="5"/>
      <c r="N88" s="5"/>
    </row>
    <row r="89" spans="1:64" x14ac:dyDescent="0.2">
      <c r="L89" s="5"/>
      <c r="M89" s="5"/>
      <c r="N89" s="5"/>
    </row>
    <row r="90" spans="1:64" x14ac:dyDescent="0.2">
      <c r="L90" s="5"/>
      <c r="M90" s="5"/>
      <c r="N90" s="5"/>
    </row>
    <row r="91" spans="1:64" x14ac:dyDescent="0.2">
      <c r="L91" s="5"/>
      <c r="M91" s="5"/>
      <c r="N91" s="5"/>
    </row>
    <row r="92" spans="1:64" x14ac:dyDescent="0.2">
      <c r="L92" s="5"/>
      <c r="M92" s="5"/>
      <c r="N92" s="5"/>
    </row>
    <row r="93" spans="1:64" x14ac:dyDescent="0.2">
      <c r="M93" s="46"/>
    </row>
    <row r="94" spans="1:64"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row>
    <row r="95" spans="1:64"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row>
    <row r="96" spans="1:64"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row>
    <row r="97" spans="1:64"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row>
    <row r="98" spans="1:64"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row>
    <row r="99" spans="1:64"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row>
    <row r="100" spans="1:64"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row>
    <row r="101" spans="1:64"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row>
    <row r="102" spans="1:64"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row>
    <row r="103" spans="1:64"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row>
    <row r="104" spans="1:64"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row>
    <row r="105" spans="1:64"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row>
    <row r="106" spans="1:64"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row>
    <row r="107" spans="1:64"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row>
    <row r="108" spans="1:64"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row>
    <row r="109" spans="1:64"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row>
    <row r="110" spans="1:64"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row>
    <row r="111" spans="1:64"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row>
    <row r="112" spans="1:64"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row>
    <row r="113" spans="1:64"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row>
    <row r="114" spans="1:64"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row>
    <row r="115" spans="1:64"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row>
    <row r="116" spans="1:64"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row>
    <row r="117" spans="1:64"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row>
    <row r="118" spans="1:64"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row>
    <row r="119" spans="1:64"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row>
    <row r="120" spans="1:64"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row>
    <row r="121" spans="1:64"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row>
    <row r="122" spans="1:64"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row>
    <row r="123" spans="1:64"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row>
    <row r="124" spans="1:64"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row>
    <row r="125" spans="1:64"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row>
    <row r="126" spans="1:64"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row>
    <row r="127" spans="1:64"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row>
    <row r="128" spans="1:64"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row>
    <row r="129" spans="1:64"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row>
    <row r="130" spans="1:64"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row>
    <row r="131" spans="1:64"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row>
    <row r="132" spans="1:64"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row>
    <row r="133" spans="1:64"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row>
    <row r="134" spans="1:64"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row>
    <row r="135" spans="1:64"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row>
    <row r="136" spans="1:64"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row>
    <row r="137" spans="1:64"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row>
    <row r="138" spans="1:64"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row>
    <row r="139" spans="1:64"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row>
    <row r="140" spans="1:64"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row>
    <row r="141" spans="1:64"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row>
    <row r="142" spans="1:64"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row>
    <row r="143" spans="1:64"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row>
    <row r="144" spans="1:64"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row>
    <row r="145" spans="1:64"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row>
    <row r="146" spans="1:64"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row>
    <row r="147" spans="1:64"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row>
    <row r="148" spans="1:64"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row>
    <row r="149" spans="1:64"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row>
    <row r="150" spans="1:64"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row>
    <row r="151" spans="1:64"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row>
    <row r="152" spans="1:64"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row>
    <row r="153" spans="1:64"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row>
    <row r="154" spans="1:64"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row>
    <row r="155" spans="1:64"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row>
    <row r="156" spans="1:64"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row>
    <row r="157" spans="1:64"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row>
    <row r="158" spans="1:64"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row>
    <row r="159" spans="1:64"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row>
    <row r="160" spans="1:64"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row>
    <row r="161" spans="1:64"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row>
    <row r="162" spans="1:64"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row>
    <row r="163" spans="1:64"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row>
    <row r="164" spans="1:64"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row>
    <row r="165" spans="1:64"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row>
    <row r="166" spans="1:64"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row>
    <row r="167" spans="1:64"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row>
    <row r="168" spans="1:64"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row>
    <row r="169" spans="1:64"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row>
    <row r="170" spans="1:64"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row>
    <row r="171" spans="1:64"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row>
    <row r="172" spans="1:64"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row>
    <row r="173" spans="1:64"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row>
    <row r="174" spans="1:64"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row>
    <row r="175" spans="1:64"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row>
    <row r="176" spans="1:64"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row>
    <row r="177" spans="1:64"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row>
    <row r="178" spans="1:64"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row>
    <row r="179" spans="1:64"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row>
    <row r="180" spans="1:64"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row>
    <row r="181" spans="1:64"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row>
    <row r="182" spans="1:64"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row>
    <row r="183" spans="1:64"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row>
    <row r="184" spans="1:64"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row>
    <row r="185" spans="1:64"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row>
    <row r="186" spans="1:64"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row>
    <row r="187" spans="1:64"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row>
    <row r="188" spans="1:64"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row>
    <row r="189" spans="1:64"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row>
    <row r="190" spans="1:64"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row>
    <row r="191" spans="1:64"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row>
    <row r="192" spans="1:64"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row>
    <row r="193" spans="1:64"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row>
    <row r="194" spans="1:64"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row>
    <row r="195" spans="1:64"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row>
  </sheetData>
  <mergeCells count="5">
    <mergeCell ref="A25:J25"/>
    <mergeCell ref="M21:S22"/>
    <mergeCell ref="M23:S24"/>
    <mergeCell ref="E8:E10"/>
    <mergeCell ref="F9:F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CE148-A74E-734C-AE16-B8B29AECEEC2}">
  <dimension ref="A1:BM208"/>
  <sheetViews>
    <sheetView zoomScaleNormal="100" workbookViewId="0"/>
  </sheetViews>
  <sheetFormatPr baseColWidth="10" defaultColWidth="10.83203125" defaultRowHeight="16" outlineLevelCol="1" x14ac:dyDescent="0.2"/>
  <cols>
    <col min="1" max="1" width="4.6640625" style="45" customWidth="1"/>
    <col min="2" max="10" width="10.83203125" style="45" customWidth="1"/>
    <col min="11" max="11" width="11.5" style="45" bestFit="1" customWidth="1"/>
    <col min="12" max="12" width="10.83203125" style="45" hidden="1" customWidth="1" outlineLevel="1"/>
    <col min="13" max="13" width="15.83203125" style="45" hidden="1" customWidth="1" outlineLevel="1"/>
    <col min="14" max="20" width="10.83203125" style="45" hidden="1" customWidth="1" outlineLevel="1"/>
    <col min="21" max="21" width="10.83203125" style="45" collapsed="1"/>
    <col min="22" max="16384" width="10.83203125" style="45"/>
  </cols>
  <sheetData>
    <row r="1" spans="1:15" ht="19" x14ac:dyDescent="0.25">
      <c r="A1" s="1" t="s">
        <v>199</v>
      </c>
      <c r="B1" s="25"/>
      <c r="C1" s="42"/>
      <c r="D1" s="42"/>
      <c r="E1" s="42"/>
      <c r="F1" s="43"/>
      <c r="G1" s="43"/>
      <c r="H1" s="43"/>
      <c r="I1" s="43"/>
      <c r="J1" s="44"/>
      <c r="K1" s="3" t="s">
        <v>176</v>
      </c>
    </row>
    <row r="2" spans="1:15" x14ac:dyDescent="0.2">
      <c r="A2" s="2"/>
      <c r="B2" s="43"/>
      <c r="C2" s="43"/>
      <c r="D2" s="43"/>
      <c r="E2" s="43"/>
      <c r="F2" s="43"/>
      <c r="G2" s="43"/>
      <c r="H2" s="43"/>
      <c r="I2" s="43"/>
      <c r="J2" s="44"/>
      <c r="L2" s="16" t="s">
        <v>3</v>
      </c>
      <c r="N2" s="46"/>
    </row>
    <row r="3" spans="1:15" x14ac:dyDescent="0.2">
      <c r="A3" s="2"/>
      <c r="B3" s="43" t="s">
        <v>28</v>
      </c>
      <c r="C3" s="43"/>
      <c r="D3" s="43"/>
      <c r="E3" s="43"/>
      <c r="F3" s="43"/>
      <c r="G3" s="43"/>
      <c r="H3" s="43"/>
      <c r="I3" s="43"/>
      <c r="J3" s="44"/>
      <c r="M3" s="45" t="s">
        <v>47</v>
      </c>
    </row>
    <row r="4" spans="1:15" x14ac:dyDescent="0.2">
      <c r="A4" s="2"/>
      <c r="B4" s="43"/>
      <c r="C4" s="43"/>
      <c r="D4" s="43"/>
      <c r="E4" s="43"/>
      <c r="F4" s="43"/>
      <c r="G4" s="43"/>
      <c r="H4" s="43"/>
      <c r="I4" s="43"/>
      <c r="J4" s="44"/>
    </row>
    <row r="5" spans="1:15" x14ac:dyDescent="0.2">
      <c r="A5" s="2"/>
      <c r="B5" s="43"/>
      <c r="C5" s="315" t="s">
        <v>42</v>
      </c>
      <c r="D5" s="315"/>
      <c r="E5" s="315"/>
      <c r="F5" s="315"/>
      <c r="G5" s="315"/>
      <c r="H5" s="43"/>
      <c r="I5" s="43"/>
      <c r="J5" s="44"/>
      <c r="M5" s="45" t="s">
        <v>49</v>
      </c>
      <c r="N5" s="46">
        <f>PRODUCT(D22:G22)</f>
        <v>1.7496139968000002</v>
      </c>
    </row>
    <row r="6" spans="1:15" ht="34" x14ac:dyDescent="0.2">
      <c r="A6" s="2"/>
      <c r="B6" s="43"/>
      <c r="C6" s="66" t="s">
        <v>32</v>
      </c>
      <c r="D6" s="67" t="s">
        <v>33</v>
      </c>
      <c r="E6" s="67" t="s">
        <v>34</v>
      </c>
      <c r="F6" s="67" t="s">
        <v>35</v>
      </c>
      <c r="G6" s="67" t="s">
        <v>36</v>
      </c>
      <c r="H6" s="43"/>
      <c r="I6" s="43"/>
      <c r="J6" s="44"/>
      <c r="M6" s="45" t="s">
        <v>48</v>
      </c>
      <c r="N6" s="46">
        <f>PRODUCT(D23:G23)</f>
        <v>1.43122105812</v>
      </c>
    </row>
    <row r="7" spans="1:15" x14ac:dyDescent="0.2">
      <c r="A7" s="2"/>
      <c r="B7" s="43"/>
      <c r="C7" s="68">
        <v>2013</v>
      </c>
      <c r="D7" s="69">
        <v>3390</v>
      </c>
      <c r="E7" s="69">
        <v>4540</v>
      </c>
      <c r="F7" s="69">
        <v>5790</v>
      </c>
      <c r="G7" s="69">
        <v>5940</v>
      </c>
      <c r="H7" s="43"/>
      <c r="I7" s="43"/>
      <c r="J7" s="44"/>
    </row>
    <row r="8" spans="1:15" x14ac:dyDescent="0.2">
      <c r="A8" s="2"/>
      <c r="B8" s="43"/>
      <c r="C8" s="68">
        <v>2014</v>
      </c>
      <c r="D8" s="69">
        <v>3670</v>
      </c>
      <c r="E8" s="69">
        <v>5100</v>
      </c>
      <c r="F8" s="69">
        <v>5920</v>
      </c>
      <c r="G8" s="70"/>
      <c r="H8" s="43"/>
      <c r="I8" s="43"/>
      <c r="J8" s="44"/>
      <c r="M8" s="45" t="s">
        <v>50</v>
      </c>
    </row>
    <row r="9" spans="1:15" x14ac:dyDescent="0.2">
      <c r="A9" s="2"/>
      <c r="B9" s="43"/>
      <c r="C9" s="68">
        <v>2015</v>
      </c>
      <c r="D9" s="69">
        <v>3550</v>
      </c>
      <c r="E9" s="69">
        <v>4960</v>
      </c>
      <c r="F9" s="70"/>
      <c r="G9" s="70"/>
      <c r="H9" s="43"/>
      <c r="I9" s="43"/>
      <c r="J9" s="44"/>
    </row>
    <row r="10" spans="1:15" x14ac:dyDescent="0.2">
      <c r="A10" s="2"/>
      <c r="B10" s="43"/>
      <c r="C10" s="68">
        <v>2016</v>
      </c>
      <c r="D10" s="69">
        <v>3740</v>
      </c>
      <c r="E10" s="70"/>
      <c r="F10" s="70"/>
      <c r="G10" s="70"/>
      <c r="H10" s="43"/>
      <c r="I10" s="43"/>
      <c r="J10" s="44"/>
      <c r="M10" s="45" t="s">
        <v>51</v>
      </c>
      <c r="N10" s="49">
        <f>N5*D10</f>
        <v>6543.5563480320006</v>
      </c>
    </row>
    <row r="11" spans="1:15" x14ac:dyDescent="0.2">
      <c r="A11" s="2"/>
      <c r="B11" s="43"/>
      <c r="C11" s="43"/>
      <c r="D11" s="43"/>
      <c r="E11" s="43"/>
      <c r="F11" s="43"/>
      <c r="G11" s="43"/>
      <c r="H11" s="43"/>
      <c r="I11" s="43"/>
      <c r="J11" s="44"/>
      <c r="M11" s="45" t="s">
        <v>52</v>
      </c>
      <c r="N11" s="49">
        <f>N6*D18</f>
        <v>3892.9212780864</v>
      </c>
    </row>
    <row r="12" spans="1:15" x14ac:dyDescent="0.2">
      <c r="A12" s="2"/>
      <c r="B12" s="43"/>
      <c r="C12" s="315" t="s">
        <v>43</v>
      </c>
      <c r="D12" s="315"/>
      <c r="E12" s="315"/>
      <c r="F12" s="315"/>
      <c r="G12" s="315"/>
      <c r="H12" s="43"/>
      <c r="I12" s="43"/>
      <c r="J12" s="44"/>
    </row>
    <row r="13" spans="1:15" ht="17" thickBot="1" x14ac:dyDescent="0.25">
      <c r="A13" s="2"/>
      <c r="B13" s="43"/>
      <c r="C13" s="317" t="s">
        <v>32</v>
      </c>
      <c r="D13" s="75"/>
      <c r="E13" s="75"/>
      <c r="F13" s="75"/>
      <c r="G13" s="75"/>
      <c r="H13" s="43"/>
      <c r="I13" s="43"/>
      <c r="J13" s="44"/>
    </row>
    <row r="14" spans="1:15" ht="18" thickBot="1" x14ac:dyDescent="0.25">
      <c r="A14" s="2"/>
      <c r="B14" s="43"/>
      <c r="C14" s="318"/>
      <c r="D14" s="67" t="s">
        <v>33</v>
      </c>
      <c r="E14" s="67" t="s">
        <v>34</v>
      </c>
      <c r="F14" s="67" t="s">
        <v>35</v>
      </c>
      <c r="G14" s="67" t="s">
        <v>36</v>
      </c>
      <c r="H14" s="43"/>
      <c r="I14" s="43"/>
      <c r="J14" s="44"/>
      <c r="M14" s="88" t="s">
        <v>53</v>
      </c>
      <c r="N14" s="89">
        <f>N10-N11</f>
        <v>2650.6350699456007</v>
      </c>
      <c r="O14" s="87" t="s">
        <v>54</v>
      </c>
    </row>
    <row r="15" spans="1:15" x14ac:dyDescent="0.2">
      <c r="A15" s="2"/>
      <c r="B15" s="43"/>
      <c r="C15" s="68">
        <v>2013</v>
      </c>
      <c r="D15" s="69">
        <v>2570</v>
      </c>
      <c r="E15" s="69">
        <v>3130</v>
      </c>
      <c r="F15" s="69">
        <v>3590</v>
      </c>
      <c r="G15" s="69">
        <v>3630</v>
      </c>
      <c r="H15" s="43"/>
      <c r="I15" s="43"/>
      <c r="J15" s="44"/>
    </row>
    <row r="16" spans="1:15" x14ac:dyDescent="0.2">
      <c r="A16" s="2"/>
      <c r="B16" s="43"/>
      <c r="C16" s="68">
        <v>2014</v>
      </c>
      <c r="D16" s="69">
        <v>2750</v>
      </c>
      <c r="E16" s="69">
        <v>3450</v>
      </c>
      <c r="F16" s="69">
        <v>3740</v>
      </c>
      <c r="G16" s="70"/>
      <c r="H16" s="43"/>
      <c r="I16" s="43"/>
      <c r="J16" s="44"/>
      <c r="L16" s="16" t="s">
        <v>4</v>
      </c>
      <c r="N16" s="46"/>
    </row>
    <row r="17" spans="1:21" ht="16" customHeight="1" x14ac:dyDescent="0.2">
      <c r="A17" s="2"/>
      <c r="B17" s="43"/>
      <c r="C17" s="68">
        <v>2015</v>
      </c>
      <c r="D17" s="69">
        <v>2590</v>
      </c>
      <c r="E17" s="69">
        <v>3320</v>
      </c>
      <c r="F17" s="70"/>
      <c r="G17" s="70"/>
      <c r="H17" s="43"/>
      <c r="I17" s="43"/>
      <c r="J17" s="44"/>
      <c r="M17" s="316" t="s">
        <v>46</v>
      </c>
      <c r="N17" s="316"/>
      <c r="O17" s="316"/>
      <c r="P17" s="316"/>
      <c r="Q17" s="316"/>
      <c r="R17" s="316"/>
      <c r="S17" s="316"/>
      <c r="T17" s="316"/>
      <c r="U17" s="71"/>
    </row>
    <row r="18" spans="1:21" x14ac:dyDescent="0.2">
      <c r="A18" s="2"/>
      <c r="B18" s="43"/>
      <c r="C18" s="68">
        <v>2016</v>
      </c>
      <c r="D18" s="69">
        <v>2720</v>
      </c>
      <c r="E18" s="70"/>
      <c r="F18" s="70"/>
      <c r="G18" s="70"/>
      <c r="H18" s="43"/>
      <c r="I18" s="43"/>
      <c r="J18" s="44"/>
      <c r="M18" s="316"/>
      <c r="N18" s="316"/>
      <c r="O18" s="316"/>
      <c r="P18" s="316"/>
      <c r="Q18" s="316"/>
      <c r="R18" s="316"/>
      <c r="S18" s="316"/>
      <c r="T18" s="316"/>
    </row>
    <row r="19" spans="1:21" x14ac:dyDescent="0.2">
      <c r="A19" s="2"/>
      <c r="B19" s="43"/>
      <c r="C19" s="43"/>
      <c r="D19" s="43"/>
      <c r="E19" s="43"/>
      <c r="F19" s="43"/>
      <c r="G19" s="43"/>
      <c r="H19" s="43"/>
      <c r="I19" s="43"/>
      <c r="J19" s="44"/>
      <c r="M19" s="316"/>
      <c r="N19" s="316"/>
      <c r="O19" s="316"/>
      <c r="P19" s="316"/>
      <c r="Q19" s="316"/>
      <c r="R19" s="316"/>
      <c r="S19" s="316"/>
      <c r="T19" s="316"/>
    </row>
    <row r="20" spans="1:21" x14ac:dyDescent="0.2">
      <c r="A20" s="2"/>
      <c r="B20" s="43"/>
      <c r="C20" s="315" t="s">
        <v>44</v>
      </c>
      <c r="D20" s="315"/>
      <c r="E20" s="315"/>
      <c r="F20" s="315"/>
      <c r="G20" s="315"/>
      <c r="H20" s="43"/>
      <c r="I20" s="43"/>
      <c r="J20" s="44"/>
      <c r="M20" s="71"/>
      <c r="N20" s="71"/>
      <c r="O20" s="71"/>
      <c r="P20" s="71"/>
      <c r="Q20" s="71"/>
      <c r="R20" s="71"/>
      <c r="S20" s="71"/>
      <c r="T20" s="71"/>
    </row>
    <row r="21" spans="1:21" ht="19" x14ac:dyDescent="0.25">
      <c r="A21" s="2"/>
      <c r="B21" s="43"/>
      <c r="C21" s="66"/>
      <c r="D21" s="72" t="s">
        <v>45</v>
      </c>
      <c r="E21" s="73" t="s">
        <v>37</v>
      </c>
      <c r="F21" s="73" t="s">
        <v>38</v>
      </c>
      <c r="G21" s="73" t="s">
        <v>39</v>
      </c>
      <c r="H21" s="43"/>
      <c r="I21" s="43"/>
      <c r="J21" s="44"/>
      <c r="L21" s="3" t="s">
        <v>173</v>
      </c>
    </row>
    <row r="22" spans="1:21" ht="16.25" customHeight="1" x14ac:dyDescent="0.2">
      <c r="A22" s="2"/>
      <c r="B22" s="43"/>
      <c r="C22" s="68" t="s">
        <v>40</v>
      </c>
      <c r="D22" s="70">
        <v>1.3759999999999999</v>
      </c>
      <c r="E22" s="70">
        <v>1.2150000000000001</v>
      </c>
      <c r="F22" s="70">
        <v>1.026</v>
      </c>
      <c r="G22" s="70">
        <v>1.02</v>
      </c>
      <c r="H22" s="43"/>
      <c r="I22" s="43"/>
      <c r="J22" s="44"/>
      <c r="L22" s="316" t="s">
        <v>174</v>
      </c>
      <c r="M22" s="316"/>
      <c r="N22" s="316"/>
      <c r="O22" s="316"/>
      <c r="P22" s="316"/>
      <c r="Q22" s="316"/>
      <c r="R22" s="316"/>
      <c r="S22" s="316"/>
      <c r="T22" s="316"/>
    </row>
    <row r="23" spans="1:21" x14ac:dyDescent="0.2">
      <c r="A23" s="2"/>
      <c r="B23" s="43"/>
      <c r="C23" s="74" t="s">
        <v>41</v>
      </c>
      <c r="D23" s="70">
        <v>1.252</v>
      </c>
      <c r="E23" s="70">
        <v>1.1140000000000001</v>
      </c>
      <c r="F23" s="70">
        <v>1.0109999999999999</v>
      </c>
      <c r="G23" s="70">
        <v>1.0149999999999999</v>
      </c>
      <c r="H23" s="43"/>
      <c r="I23" s="43"/>
      <c r="J23" s="44"/>
      <c r="L23" s="316"/>
      <c r="M23" s="316"/>
      <c r="N23" s="316"/>
      <c r="O23" s="316"/>
      <c r="P23" s="316"/>
      <c r="Q23" s="316"/>
      <c r="R23" s="316"/>
      <c r="S23" s="316"/>
      <c r="T23" s="316"/>
    </row>
    <row r="24" spans="1:21" x14ac:dyDescent="0.2">
      <c r="A24" s="2"/>
      <c r="B24" s="43"/>
      <c r="C24" s="43"/>
      <c r="D24" s="43"/>
      <c r="E24" s="43"/>
      <c r="F24" s="43"/>
      <c r="G24" s="43"/>
      <c r="H24" s="43"/>
      <c r="I24" s="43"/>
      <c r="J24" s="44"/>
      <c r="L24" s="316"/>
      <c r="M24" s="316"/>
      <c r="N24" s="316"/>
      <c r="O24" s="316"/>
      <c r="P24" s="316"/>
      <c r="Q24" s="316"/>
      <c r="R24" s="316"/>
      <c r="S24" s="316"/>
      <c r="T24" s="316"/>
    </row>
    <row r="25" spans="1:21" x14ac:dyDescent="0.2">
      <c r="A25" s="2"/>
      <c r="B25" s="43"/>
      <c r="C25" s="43"/>
      <c r="D25" s="43"/>
      <c r="E25" s="43"/>
      <c r="F25" s="43"/>
      <c r="G25" s="43"/>
      <c r="H25" s="43"/>
      <c r="I25" s="43"/>
      <c r="J25" s="44"/>
      <c r="L25" s="316"/>
      <c r="M25" s="316"/>
      <c r="N25" s="316"/>
      <c r="O25" s="316"/>
      <c r="P25" s="316"/>
      <c r="Q25" s="316"/>
      <c r="R25" s="316"/>
      <c r="S25" s="316"/>
      <c r="T25" s="316"/>
    </row>
    <row r="26" spans="1:21" x14ac:dyDescent="0.2">
      <c r="A26" s="2"/>
      <c r="B26" s="117" t="s">
        <v>183</v>
      </c>
      <c r="C26" s="43"/>
      <c r="D26" s="43"/>
      <c r="E26" s="43"/>
      <c r="F26" s="43"/>
      <c r="G26" s="43"/>
      <c r="H26" s="43"/>
      <c r="I26" s="43"/>
      <c r="J26" s="44"/>
      <c r="M26" s="71"/>
      <c r="N26" s="71"/>
      <c r="O26" s="71"/>
      <c r="P26" s="71"/>
      <c r="Q26" s="71"/>
      <c r="R26" s="71"/>
      <c r="S26" s="71"/>
      <c r="T26" s="71"/>
    </row>
    <row r="27" spans="1:21" ht="19" x14ac:dyDescent="0.25">
      <c r="A27" s="2"/>
      <c r="B27" s="43"/>
      <c r="C27" s="43"/>
      <c r="D27" s="43"/>
      <c r="E27" s="43"/>
      <c r="F27" s="43"/>
      <c r="G27" s="43"/>
      <c r="H27" s="43"/>
      <c r="I27" s="43"/>
      <c r="J27" s="44"/>
      <c r="L27" s="3" t="s">
        <v>210</v>
      </c>
    </row>
    <row r="28" spans="1:21" x14ac:dyDescent="0.2">
      <c r="A28" s="43" t="s">
        <v>0</v>
      </c>
      <c r="B28" s="43" t="s">
        <v>29</v>
      </c>
      <c r="C28" s="43"/>
      <c r="D28" s="43"/>
      <c r="E28" s="43"/>
      <c r="F28" s="43"/>
      <c r="G28" s="43"/>
      <c r="H28" s="43"/>
      <c r="I28" s="43"/>
      <c r="J28" s="44"/>
      <c r="L28" s="76" t="s">
        <v>211</v>
      </c>
    </row>
    <row r="29" spans="1:21" x14ac:dyDescent="0.2">
      <c r="A29" s="2"/>
      <c r="B29" s="43" t="s">
        <v>30</v>
      </c>
      <c r="C29" s="43"/>
      <c r="D29" s="43"/>
      <c r="E29" s="43"/>
      <c r="F29" s="43"/>
      <c r="G29" s="43"/>
      <c r="H29" s="43"/>
      <c r="I29" s="43"/>
      <c r="J29" s="44"/>
    </row>
    <row r="30" spans="1:21" x14ac:dyDescent="0.2">
      <c r="A30" s="2"/>
      <c r="B30" s="43"/>
      <c r="C30" s="43"/>
      <c r="D30" s="43"/>
      <c r="E30" s="43"/>
      <c r="F30" s="43"/>
      <c r="G30" s="43"/>
      <c r="H30" s="43"/>
      <c r="I30" s="43"/>
      <c r="J30" s="44"/>
    </row>
    <row r="31" spans="1:21" x14ac:dyDescent="0.2">
      <c r="A31" s="2"/>
      <c r="B31" s="43"/>
      <c r="C31" s="43"/>
      <c r="D31" s="43"/>
      <c r="E31" s="43"/>
      <c r="F31" s="43"/>
      <c r="G31" s="43"/>
      <c r="H31" s="43"/>
      <c r="I31" s="43"/>
      <c r="J31" s="44"/>
    </row>
    <row r="32" spans="1:21" x14ac:dyDescent="0.2">
      <c r="A32" s="43" t="s">
        <v>1</v>
      </c>
      <c r="B32" s="43" t="s">
        <v>31</v>
      </c>
      <c r="C32" s="43"/>
      <c r="D32" s="43"/>
      <c r="E32" s="43"/>
      <c r="F32" s="43"/>
      <c r="G32" s="43"/>
      <c r="H32" s="43"/>
      <c r="I32" s="43"/>
      <c r="J32" s="44"/>
    </row>
    <row r="33" spans="1:12" x14ac:dyDescent="0.2">
      <c r="A33" s="2"/>
      <c r="B33" s="43"/>
      <c r="C33" s="43"/>
      <c r="D33" s="43"/>
      <c r="E33" s="43"/>
      <c r="F33" s="43"/>
      <c r="G33" s="43"/>
      <c r="H33" s="43"/>
      <c r="I33" s="43"/>
      <c r="J33" s="44"/>
    </row>
    <row r="34" spans="1:12" ht="17" thickBot="1" x14ac:dyDescent="0.25">
      <c r="A34" s="2"/>
      <c r="B34" s="43"/>
      <c r="C34" s="43"/>
      <c r="D34" s="43"/>
      <c r="E34" s="43"/>
      <c r="F34" s="43"/>
      <c r="G34" s="43"/>
      <c r="H34" s="43"/>
      <c r="I34" s="43"/>
      <c r="J34" s="44"/>
    </row>
    <row r="35" spans="1:12" ht="17" thickBot="1" x14ac:dyDescent="0.25">
      <c r="A35" s="309" t="s">
        <v>175</v>
      </c>
      <c r="B35" s="310"/>
      <c r="C35" s="310"/>
      <c r="D35" s="310"/>
      <c r="E35" s="310"/>
      <c r="F35" s="310"/>
      <c r="G35" s="310"/>
      <c r="H35" s="310"/>
      <c r="I35" s="310"/>
      <c r="J35" s="311"/>
    </row>
    <row r="37" spans="1:12" ht="19" x14ac:dyDescent="0.25">
      <c r="A37" s="3"/>
    </row>
    <row r="43" spans="1:12" x14ac:dyDescent="0.2">
      <c r="L43" s="5"/>
    </row>
    <row r="44" spans="1:12" x14ac:dyDescent="0.2">
      <c r="L44" s="5"/>
    </row>
    <row r="45" spans="1:12" x14ac:dyDescent="0.2">
      <c r="L45" s="5"/>
    </row>
    <row r="46" spans="1:12" x14ac:dyDescent="0.2">
      <c r="L46" s="5"/>
    </row>
    <row r="47" spans="1:12" x14ac:dyDescent="0.2">
      <c r="L47" s="5"/>
    </row>
    <row r="48" spans="1:12" x14ac:dyDescent="0.2">
      <c r="L48" s="5"/>
    </row>
    <row r="49" spans="1:12" x14ac:dyDescent="0.2">
      <c r="L49" s="5"/>
    </row>
    <row r="50" spans="1:12" x14ac:dyDescent="0.2">
      <c r="L50" s="5"/>
    </row>
    <row r="51" spans="1:12" x14ac:dyDescent="0.2">
      <c r="L51" s="5"/>
    </row>
    <row r="52" spans="1:12" x14ac:dyDescent="0.2">
      <c r="L52" s="5"/>
    </row>
    <row r="53" spans="1:12" x14ac:dyDescent="0.2">
      <c r="L53" s="5"/>
    </row>
    <row r="55" spans="1:12" ht="48" customHeight="1" x14ac:dyDescent="0.2"/>
    <row r="59" spans="1:12" ht="66" customHeight="1" x14ac:dyDescent="0.2"/>
    <row r="63" spans="1:12" x14ac:dyDescent="0.2">
      <c r="A63" s="4"/>
      <c r="C63" s="46"/>
    </row>
    <row r="66" spans="12:14" x14ac:dyDescent="0.2">
      <c r="M66" s="46"/>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x14ac:dyDescent="0.2">
      <c r="L71" s="5"/>
      <c r="M71" s="5"/>
      <c r="N71" s="5"/>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M76" s="46"/>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2:14" x14ac:dyDescent="0.2">
      <c r="L81" s="5"/>
      <c r="M81" s="5"/>
      <c r="N81" s="5"/>
    </row>
    <row r="82" spans="12:14" x14ac:dyDescent="0.2">
      <c r="L82" s="5"/>
      <c r="M82" s="5"/>
      <c r="N82" s="5"/>
    </row>
    <row r="83" spans="12:14" x14ac:dyDescent="0.2">
      <c r="L83" s="5"/>
      <c r="M83" s="5"/>
      <c r="N83" s="5"/>
    </row>
    <row r="84" spans="12:14" x14ac:dyDescent="0.2">
      <c r="L84" s="5"/>
      <c r="M84" s="5"/>
      <c r="N84" s="5"/>
    </row>
    <row r="85" spans="12:14" x14ac:dyDescent="0.2">
      <c r="L85" s="5"/>
      <c r="M85" s="5"/>
      <c r="N85" s="5"/>
    </row>
    <row r="86" spans="12:14" x14ac:dyDescent="0.2">
      <c r="M86" s="46"/>
    </row>
    <row r="87" spans="12:14" x14ac:dyDescent="0.2">
      <c r="L87" s="5"/>
      <c r="M87" s="5"/>
      <c r="N87" s="5"/>
    </row>
    <row r="88" spans="12:14" x14ac:dyDescent="0.2">
      <c r="L88" s="5"/>
      <c r="M88" s="5"/>
      <c r="N88" s="5"/>
    </row>
    <row r="89" spans="12:14" x14ac:dyDescent="0.2">
      <c r="L89" s="5"/>
      <c r="M89" s="5"/>
      <c r="N89" s="5"/>
    </row>
    <row r="90" spans="12:14" x14ac:dyDescent="0.2">
      <c r="L90" s="5"/>
      <c r="M90" s="5"/>
      <c r="N90" s="5"/>
    </row>
    <row r="91" spans="12:14" x14ac:dyDescent="0.2">
      <c r="L91" s="5"/>
      <c r="M91" s="5"/>
      <c r="N91" s="5"/>
    </row>
    <row r="92" spans="12:14" x14ac:dyDescent="0.2">
      <c r="L92" s="5"/>
      <c r="M92" s="5"/>
      <c r="N92" s="5"/>
    </row>
    <row r="93" spans="12:14" x14ac:dyDescent="0.2">
      <c r="L93" s="5"/>
      <c r="M93" s="5"/>
      <c r="N93" s="5"/>
    </row>
    <row r="94" spans="12:14" x14ac:dyDescent="0.2">
      <c r="L94" s="5"/>
      <c r="M94" s="5"/>
      <c r="N94" s="5"/>
    </row>
    <row r="95" spans="12:14" x14ac:dyDescent="0.2">
      <c r="L95" s="5"/>
      <c r="M95" s="5"/>
      <c r="N95" s="5"/>
    </row>
    <row r="96" spans="12:14" x14ac:dyDescent="0.2">
      <c r="M96" s="46"/>
    </row>
    <row r="97" spans="1:65" x14ac:dyDescent="0.2">
      <c r="L97" s="5"/>
      <c r="M97" s="5"/>
      <c r="N97" s="5"/>
    </row>
    <row r="98" spans="1:65" x14ac:dyDescent="0.2">
      <c r="L98" s="5"/>
      <c r="M98" s="5"/>
      <c r="N98" s="5"/>
    </row>
    <row r="99" spans="1:65" x14ac:dyDescent="0.2">
      <c r="L99" s="5"/>
      <c r="M99" s="5"/>
      <c r="N99" s="5"/>
    </row>
    <row r="100" spans="1:65" x14ac:dyDescent="0.2">
      <c r="L100" s="5"/>
      <c r="M100" s="5"/>
      <c r="N100" s="5"/>
    </row>
    <row r="101" spans="1:65" x14ac:dyDescent="0.2">
      <c r="L101" s="5"/>
      <c r="M101" s="5"/>
      <c r="N101" s="5"/>
    </row>
    <row r="102" spans="1:65" x14ac:dyDescent="0.2">
      <c r="L102" s="5"/>
      <c r="M102" s="5"/>
      <c r="N102" s="5"/>
    </row>
    <row r="103" spans="1:65" x14ac:dyDescent="0.2">
      <c r="L103" s="5"/>
      <c r="M103" s="5"/>
      <c r="N103" s="5"/>
    </row>
    <row r="104" spans="1:65" x14ac:dyDescent="0.2">
      <c r="L104" s="5"/>
      <c r="M104" s="5"/>
      <c r="N104" s="5"/>
    </row>
    <row r="105" spans="1:65" x14ac:dyDescent="0.2">
      <c r="A105" s="5"/>
      <c r="B105" s="5"/>
      <c r="C105" s="5"/>
      <c r="D105" s="5"/>
      <c r="E105" s="5"/>
      <c r="F105" s="5"/>
      <c r="G105" s="5"/>
      <c r="H105" s="5"/>
      <c r="I105" s="5"/>
      <c r="J105" s="5"/>
      <c r="L105" s="5"/>
      <c r="M105" s="5"/>
      <c r="N105" s="5"/>
    </row>
    <row r="106" spans="1:65" x14ac:dyDescent="0.2">
      <c r="A106" s="5"/>
      <c r="B106" s="5"/>
      <c r="C106" s="5"/>
      <c r="D106" s="5"/>
      <c r="E106" s="5"/>
      <c r="F106" s="5"/>
      <c r="G106" s="5"/>
      <c r="H106" s="5"/>
      <c r="I106" s="5"/>
      <c r="J106" s="5"/>
      <c r="M106" s="46"/>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row r="199" spans="1:6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row>
    <row r="200" spans="1:6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row>
    <row r="201" spans="1:6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row>
    <row r="202" spans="1:65" x14ac:dyDescent="0.2">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row>
    <row r="203" spans="1:65" x14ac:dyDescent="0.2">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c r="AG203" s="5"/>
      <c r="AH203" s="5"/>
      <c r="AI203" s="5"/>
      <c r="AJ203" s="5"/>
      <c r="AK203" s="5"/>
      <c r="AL203" s="5"/>
      <c r="AM203" s="5"/>
      <c r="AN203" s="5"/>
      <c r="AO203" s="5"/>
      <c r="AP203" s="5"/>
      <c r="AQ203" s="5"/>
      <c r="AR203" s="5"/>
      <c r="AS203" s="5"/>
      <c r="AT203" s="5"/>
      <c r="AU203" s="5"/>
      <c r="AV203" s="5"/>
      <c r="AW203" s="5"/>
      <c r="AX203" s="5"/>
      <c r="AY203" s="5"/>
      <c r="AZ203" s="5"/>
      <c r="BA203" s="5"/>
      <c r="BB203" s="5"/>
      <c r="BC203" s="5"/>
      <c r="BD203" s="5"/>
      <c r="BE203" s="5"/>
      <c r="BF203" s="5"/>
      <c r="BG203" s="5"/>
      <c r="BH203" s="5"/>
      <c r="BI203" s="5"/>
      <c r="BJ203" s="5"/>
      <c r="BK203" s="5"/>
      <c r="BL203" s="5"/>
      <c r="BM203" s="5"/>
    </row>
    <row r="204" spans="1:65" x14ac:dyDescent="0.2">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c r="AG204" s="5"/>
      <c r="AH204" s="5"/>
      <c r="AI204" s="5"/>
      <c r="AJ204" s="5"/>
      <c r="AK204" s="5"/>
      <c r="AL204" s="5"/>
      <c r="AM204" s="5"/>
      <c r="AN204" s="5"/>
      <c r="AO204" s="5"/>
      <c r="AP204" s="5"/>
      <c r="AQ204" s="5"/>
      <c r="AR204" s="5"/>
      <c r="AS204" s="5"/>
      <c r="AT204" s="5"/>
      <c r="AU204" s="5"/>
      <c r="AV204" s="5"/>
      <c r="AW204" s="5"/>
      <c r="AX204" s="5"/>
      <c r="AY204" s="5"/>
      <c r="AZ204" s="5"/>
      <c r="BA204" s="5"/>
      <c r="BB204" s="5"/>
      <c r="BC204" s="5"/>
      <c r="BD204" s="5"/>
      <c r="BE204" s="5"/>
      <c r="BF204" s="5"/>
      <c r="BG204" s="5"/>
      <c r="BH204" s="5"/>
      <c r="BI204" s="5"/>
      <c r="BJ204" s="5"/>
      <c r="BK204" s="5"/>
      <c r="BL204" s="5"/>
      <c r="BM204" s="5"/>
    </row>
    <row r="205" spans="1:65" x14ac:dyDescent="0.2">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c r="AG205" s="5"/>
      <c r="AH205" s="5"/>
      <c r="AI205" s="5"/>
      <c r="AJ205" s="5"/>
      <c r="AK205" s="5"/>
      <c r="AL205" s="5"/>
      <c r="AM205" s="5"/>
      <c r="AN205" s="5"/>
      <c r="AO205" s="5"/>
      <c r="AP205" s="5"/>
      <c r="AQ205" s="5"/>
      <c r="AR205" s="5"/>
      <c r="AS205" s="5"/>
      <c r="AT205" s="5"/>
      <c r="AU205" s="5"/>
      <c r="AV205" s="5"/>
      <c r="AW205" s="5"/>
      <c r="AX205" s="5"/>
      <c r="AY205" s="5"/>
      <c r="AZ205" s="5"/>
      <c r="BA205" s="5"/>
      <c r="BB205" s="5"/>
      <c r="BC205" s="5"/>
      <c r="BD205" s="5"/>
      <c r="BE205" s="5"/>
      <c r="BF205" s="5"/>
      <c r="BG205" s="5"/>
      <c r="BH205" s="5"/>
      <c r="BI205" s="5"/>
      <c r="BJ205" s="5"/>
      <c r="BK205" s="5"/>
      <c r="BL205" s="5"/>
      <c r="BM205" s="5"/>
    </row>
    <row r="206" spans="1:65" x14ac:dyDescent="0.2">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c r="AG206" s="5"/>
      <c r="AH206" s="5"/>
      <c r="AI206" s="5"/>
      <c r="AJ206" s="5"/>
      <c r="AK206" s="5"/>
      <c r="AL206" s="5"/>
      <c r="AM206" s="5"/>
      <c r="AN206" s="5"/>
      <c r="AO206" s="5"/>
      <c r="AP206" s="5"/>
      <c r="AQ206" s="5"/>
      <c r="AR206" s="5"/>
      <c r="AS206" s="5"/>
      <c r="AT206" s="5"/>
      <c r="AU206" s="5"/>
      <c r="AV206" s="5"/>
      <c r="AW206" s="5"/>
      <c r="AX206" s="5"/>
      <c r="AY206" s="5"/>
      <c r="AZ206" s="5"/>
      <c r="BA206" s="5"/>
      <c r="BB206" s="5"/>
      <c r="BC206" s="5"/>
      <c r="BD206" s="5"/>
      <c r="BE206" s="5"/>
      <c r="BF206" s="5"/>
      <c r="BG206" s="5"/>
      <c r="BH206" s="5"/>
      <c r="BI206" s="5"/>
      <c r="BJ206" s="5"/>
      <c r="BK206" s="5"/>
      <c r="BL206" s="5"/>
      <c r="BM206" s="5"/>
    </row>
    <row r="207" spans="1:65" x14ac:dyDescent="0.2">
      <c r="K207" s="5"/>
      <c r="L207" s="5"/>
      <c r="M207" s="5"/>
      <c r="N207" s="5"/>
      <c r="O207" s="5"/>
      <c r="P207" s="5"/>
      <c r="Q207" s="5"/>
      <c r="R207" s="5"/>
      <c r="S207" s="5"/>
      <c r="T207" s="5"/>
      <c r="U207" s="5"/>
      <c r="V207" s="5"/>
      <c r="W207" s="5"/>
      <c r="X207" s="5"/>
      <c r="Y207" s="5"/>
      <c r="Z207" s="5"/>
      <c r="AA207" s="5"/>
      <c r="AB207" s="5"/>
      <c r="AC207" s="5"/>
      <c r="AD207" s="5"/>
      <c r="AE207" s="5"/>
      <c r="AF207" s="5"/>
      <c r="AG207" s="5"/>
      <c r="AH207" s="5"/>
      <c r="AI207" s="5"/>
      <c r="AJ207" s="5"/>
      <c r="AK207" s="5"/>
      <c r="AL207" s="5"/>
      <c r="AM207" s="5"/>
      <c r="AN207" s="5"/>
      <c r="AO207" s="5"/>
      <c r="AP207" s="5"/>
      <c r="AQ207" s="5"/>
      <c r="AR207" s="5"/>
      <c r="AS207" s="5"/>
      <c r="AT207" s="5"/>
      <c r="AU207" s="5"/>
      <c r="AV207" s="5"/>
      <c r="AW207" s="5"/>
      <c r="AX207" s="5"/>
      <c r="AY207" s="5"/>
      <c r="AZ207" s="5"/>
      <c r="BA207" s="5"/>
      <c r="BB207" s="5"/>
      <c r="BC207" s="5"/>
      <c r="BD207" s="5"/>
      <c r="BE207" s="5"/>
      <c r="BF207" s="5"/>
      <c r="BG207" s="5"/>
      <c r="BH207" s="5"/>
      <c r="BI207" s="5"/>
      <c r="BJ207" s="5"/>
      <c r="BK207" s="5"/>
      <c r="BL207" s="5"/>
      <c r="BM207" s="5"/>
    </row>
    <row r="208" spans="1:65" x14ac:dyDescent="0.2">
      <c r="K208" s="5"/>
      <c r="L208" s="5"/>
      <c r="M208" s="5"/>
      <c r="N208" s="5"/>
      <c r="O208" s="5"/>
      <c r="P208" s="5"/>
      <c r="Q208" s="5"/>
      <c r="R208" s="5"/>
      <c r="S208" s="5"/>
      <c r="T208" s="5"/>
      <c r="U208" s="5"/>
      <c r="V208" s="5"/>
      <c r="W208" s="5"/>
      <c r="X208" s="5"/>
      <c r="Y208" s="5"/>
      <c r="Z208" s="5"/>
      <c r="AA208" s="5"/>
      <c r="AB208" s="5"/>
      <c r="AC208" s="5"/>
      <c r="AD208" s="5"/>
      <c r="AE208" s="5"/>
      <c r="AF208" s="5"/>
      <c r="AG208" s="5"/>
      <c r="AH208" s="5"/>
      <c r="AI208" s="5"/>
      <c r="AJ208" s="5"/>
      <c r="AK208" s="5"/>
      <c r="AL208" s="5"/>
      <c r="AM208" s="5"/>
      <c r="AN208" s="5"/>
      <c r="AO208" s="5"/>
      <c r="AP208" s="5"/>
      <c r="AQ208" s="5"/>
      <c r="AR208" s="5"/>
      <c r="AS208" s="5"/>
      <c r="AT208" s="5"/>
      <c r="AU208" s="5"/>
      <c r="AV208" s="5"/>
      <c r="AW208" s="5"/>
      <c r="AX208" s="5"/>
      <c r="AY208" s="5"/>
      <c r="AZ208" s="5"/>
      <c r="BA208" s="5"/>
      <c r="BB208" s="5"/>
      <c r="BC208" s="5"/>
      <c r="BD208" s="5"/>
      <c r="BE208" s="5"/>
      <c r="BF208" s="5"/>
      <c r="BG208" s="5"/>
      <c r="BH208" s="5"/>
      <c r="BI208" s="5"/>
      <c r="BJ208" s="5"/>
      <c r="BK208" s="5"/>
      <c r="BL208" s="5"/>
      <c r="BM208" s="5"/>
    </row>
  </sheetData>
  <mergeCells count="7">
    <mergeCell ref="C5:G5"/>
    <mergeCell ref="C12:G12"/>
    <mergeCell ref="C20:G20"/>
    <mergeCell ref="A35:J35"/>
    <mergeCell ref="M17:T19"/>
    <mergeCell ref="C13:C14"/>
    <mergeCell ref="L22:T25"/>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39CA-8434-9349-9300-73867432625A}">
  <dimension ref="A1:BM193"/>
  <sheetViews>
    <sheetView zoomScaleNormal="100" workbookViewId="0"/>
  </sheetViews>
  <sheetFormatPr baseColWidth="10" defaultColWidth="10.83203125" defaultRowHeight="16" outlineLevelCol="1" x14ac:dyDescent="0.2"/>
  <cols>
    <col min="1" max="1" width="4.6640625" style="45" customWidth="1"/>
    <col min="2" max="10" width="10.83203125" style="45" customWidth="1"/>
    <col min="11" max="11" width="11.5" style="45" bestFit="1" customWidth="1"/>
    <col min="12" max="12" width="10.83203125" style="45" hidden="1" customWidth="1" outlineLevel="1"/>
    <col min="13" max="13" width="16.5" style="45" hidden="1" customWidth="1" outlineLevel="1"/>
    <col min="14" max="17" width="10.83203125" style="45" hidden="1" customWidth="1" outlineLevel="1"/>
    <col min="18" max="18" width="10.83203125" style="45" collapsed="1"/>
    <col min="19" max="16384" width="10.83203125" style="45"/>
  </cols>
  <sheetData>
    <row r="1" spans="1:15" ht="19" x14ac:dyDescent="0.25">
      <c r="A1" s="1" t="s">
        <v>200</v>
      </c>
      <c r="B1" s="25"/>
      <c r="C1" s="42"/>
      <c r="D1" s="42"/>
      <c r="E1" s="42"/>
      <c r="F1" s="43"/>
      <c r="G1" s="43"/>
      <c r="H1" s="43"/>
      <c r="I1" s="43"/>
      <c r="J1" s="44"/>
      <c r="K1" s="3" t="s">
        <v>176</v>
      </c>
    </row>
    <row r="2" spans="1:15" x14ac:dyDescent="0.2">
      <c r="A2" s="2"/>
      <c r="B2" s="43"/>
      <c r="C2" s="43"/>
      <c r="D2" s="43"/>
      <c r="E2" s="43"/>
      <c r="F2" s="43"/>
      <c r="G2" s="43"/>
      <c r="H2" s="43"/>
      <c r="I2" s="43"/>
      <c r="J2" s="44"/>
      <c r="L2" s="16" t="s">
        <v>3</v>
      </c>
      <c r="N2" s="46"/>
    </row>
    <row r="3" spans="1:15" x14ac:dyDescent="0.2">
      <c r="A3" s="2"/>
      <c r="B3" s="43" t="s">
        <v>55</v>
      </c>
      <c r="C3" s="43"/>
      <c r="D3" s="43"/>
      <c r="E3" s="43"/>
      <c r="F3" s="43"/>
      <c r="G3" s="43"/>
      <c r="H3" s="43"/>
      <c r="I3" s="43"/>
      <c r="J3" s="44"/>
      <c r="M3" s="45" t="s">
        <v>67</v>
      </c>
    </row>
    <row r="4" spans="1:15" x14ac:dyDescent="0.2">
      <c r="A4" s="2"/>
      <c r="B4" s="43"/>
      <c r="C4" s="43"/>
      <c r="D4" s="43"/>
      <c r="E4" s="43"/>
      <c r="F4" s="43"/>
      <c r="G4" s="43"/>
      <c r="H4" s="43"/>
      <c r="I4" s="43"/>
      <c r="J4" s="44"/>
    </row>
    <row r="5" spans="1:15" x14ac:dyDescent="0.2">
      <c r="A5" s="2"/>
      <c r="B5" s="43"/>
      <c r="C5" s="315" t="s">
        <v>44</v>
      </c>
      <c r="D5" s="315"/>
      <c r="E5" s="315"/>
      <c r="F5" s="315"/>
      <c r="G5" s="43"/>
      <c r="H5" s="43"/>
      <c r="I5" s="43"/>
      <c r="J5" s="44"/>
      <c r="M5" s="45" t="s">
        <v>68</v>
      </c>
      <c r="N5" s="46">
        <f>PRODUCT(D7:F7)</f>
        <v>5.768762999999999</v>
      </c>
    </row>
    <row r="6" spans="1:15" ht="34" x14ac:dyDescent="0.2">
      <c r="A6" s="2"/>
      <c r="B6" s="43"/>
      <c r="C6" s="32"/>
      <c r="D6" s="26" t="s">
        <v>56</v>
      </c>
      <c r="E6" s="26" t="s">
        <v>57</v>
      </c>
      <c r="F6" s="26" t="s">
        <v>58</v>
      </c>
      <c r="G6" s="43"/>
      <c r="H6" s="43"/>
      <c r="I6" s="43"/>
      <c r="J6" s="44"/>
      <c r="M6" s="45" t="s">
        <v>69</v>
      </c>
      <c r="N6" s="46">
        <f>PRODUCT(D8:F8)</f>
        <v>4.1545705000000002</v>
      </c>
    </row>
    <row r="7" spans="1:15" ht="17" x14ac:dyDescent="0.2">
      <c r="A7" s="2"/>
      <c r="B7" s="43"/>
      <c r="C7" s="33" t="s">
        <v>59</v>
      </c>
      <c r="D7" s="7">
        <v>2.38</v>
      </c>
      <c r="E7" s="7">
        <v>1.6950000000000001</v>
      </c>
      <c r="F7" s="7">
        <v>1.43</v>
      </c>
      <c r="G7" s="43"/>
      <c r="H7" s="43"/>
      <c r="I7" s="43"/>
      <c r="J7" s="44"/>
    </row>
    <row r="8" spans="1:15" ht="20" x14ac:dyDescent="0.2">
      <c r="A8" s="2"/>
      <c r="B8" s="43"/>
      <c r="C8" s="33" t="s">
        <v>60</v>
      </c>
      <c r="D8" s="7">
        <v>1.9550000000000001</v>
      </c>
      <c r="E8" s="7">
        <v>1.58</v>
      </c>
      <c r="F8" s="7">
        <v>1.345</v>
      </c>
      <c r="G8" s="43"/>
      <c r="H8" s="43"/>
      <c r="I8" s="43"/>
      <c r="J8" s="44"/>
      <c r="M8" s="45" t="s">
        <v>70</v>
      </c>
    </row>
    <row r="9" spans="1:15" x14ac:dyDescent="0.2">
      <c r="A9" s="2"/>
      <c r="B9" s="43"/>
      <c r="C9" s="43"/>
      <c r="D9" s="43"/>
      <c r="E9" s="43"/>
      <c r="F9" s="43"/>
      <c r="G9" s="43"/>
      <c r="H9" s="43"/>
      <c r="I9" s="43"/>
      <c r="J9" s="44"/>
    </row>
    <row r="10" spans="1:15" x14ac:dyDescent="0.2">
      <c r="A10" s="2"/>
      <c r="B10" s="54" t="s">
        <v>184</v>
      </c>
      <c r="C10" s="43"/>
      <c r="D10" s="43"/>
      <c r="E10" s="43"/>
      <c r="F10" s="47">
        <v>563000</v>
      </c>
      <c r="G10" s="43"/>
      <c r="H10" s="43"/>
      <c r="I10" s="43"/>
      <c r="J10" s="44"/>
      <c r="M10" s="91" t="s">
        <v>225</v>
      </c>
      <c r="N10" s="45">
        <f>0.8</f>
        <v>0.8</v>
      </c>
    </row>
    <row r="11" spans="1:15" x14ac:dyDescent="0.2">
      <c r="A11" s="2"/>
      <c r="B11" s="54" t="s">
        <v>185</v>
      </c>
      <c r="C11" s="43"/>
      <c r="D11" s="43"/>
      <c r="E11" s="43"/>
      <c r="F11" s="47">
        <v>450400</v>
      </c>
      <c r="G11" s="43"/>
      <c r="H11" s="43"/>
      <c r="I11" s="43"/>
      <c r="J11" s="44"/>
      <c r="M11" s="55"/>
    </row>
    <row r="12" spans="1:15" x14ac:dyDescent="0.2">
      <c r="A12" s="2"/>
      <c r="B12" s="43"/>
      <c r="C12" s="43"/>
      <c r="D12" s="43"/>
      <c r="E12" s="43"/>
      <c r="F12" s="43"/>
      <c r="G12" s="43"/>
      <c r="H12" s="43"/>
      <c r="I12" s="43"/>
      <c r="J12" s="44"/>
      <c r="M12" s="45" t="s">
        <v>71</v>
      </c>
      <c r="N12" s="65">
        <f>(N5-N10*N6)/(1-N10)</f>
        <v>12.225532999999995</v>
      </c>
      <c r="O12" s="86" t="s">
        <v>226</v>
      </c>
    </row>
    <row r="13" spans="1:15" ht="17" thickBot="1" x14ac:dyDescent="0.25">
      <c r="A13" s="2"/>
      <c r="B13" s="43" t="s">
        <v>61</v>
      </c>
      <c r="C13" s="43"/>
      <c r="D13" s="43"/>
      <c r="E13" s="43"/>
      <c r="F13" s="43"/>
      <c r="G13" s="43"/>
      <c r="H13" s="43"/>
      <c r="I13" s="43"/>
      <c r="J13" s="44"/>
      <c r="N13" s="49"/>
    </row>
    <row r="14" spans="1:15" ht="17" thickBot="1" x14ac:dyDescent="0.25">
      <c r="A14" s="2"/>
      <c r="B14" s="43" t="s">
        <v>62</v>
      </c>
      <c r="C14" s="43"/>
      <c r="D14" s="43"/>
      <c r="E14" s="43"/>
      <c r="F14" s="43"/>
      <c r="G14" s="43"/>
      <c r="H14" s="43"/>
      <c r="I14" s="43"/>
      <c r="J14" s="44"/>
      <c r="M14" s="115" t="s">
        <v>72</v>
      </c>
      <c r="N14" s="90">
        <f>N12*(F10-F11)</f>
        <v>1376595.0157999995</v>
      </c>
    </row>
    <row r="15" spans="1:15" x14ac:dyDescent="0.2">
      <c r="A15" s="2"/>
      <c r="B15" s="43"/>
      <c r="C15" s="43"/>
      <c r="D15" s="43"/>
      <c r="E15" s="43"/>
      <c r="F15" s="43"/>
      <c r="G15" s="43"/>
      <c r="H15" s="43"/>
      <c r="I15" s="43"/>
      <c r="J15" s="44"/>
    </row>
    <row r="16" spans="1:15" x14ac:dyDescent="0.2">
      <c r="A16" s="2"/>
      <c r="B16" s="43"/>
      <c r="C16" s="43"/>
      <c r="D16" s="43"/>
      <c r="E16" s="43"/>
      <c r="F16" s="43"/>
      <c r="G16" s="43"/>
      <c r="H16" s="43"/>
      <c r="I16" s="43"/>
      <c r="J16" s="44"/>
      <c r="L16" s="16" t="s">
        <v>4</v>
      </c>
      <c r="N16" s="46"/>
    </row>
    <row r="17" spans="1:14" x14ac:dyDescent="0.2">
      <c r="A17" s="43" t="s">
        <v>0</v>
      </c>
      <c r="B17" s="43" t="s">
        <v>66</v>
      </c>
      <c r="C17" s="43"/>
      <c r="D17" s="43"/>
      <c r="E17" s="43"/>
      <c r="F17" s="43"/>
      <c r="G17" s="43"/>
      <c r="H17" s="43"/>
      <c r="I17" s="43"/>
      <c r="J17" s="44"/>
      <c r="M17" s="45" t="s">
        <v>73</v>
      </c>
    </row>
    <row r="18" spans="1:14" ht="17" thickBot="1" x14ac:dyDescent="0.25">
      <c r="A18" s="2"/>
      <c r="B18" s="43" t="s">
        <v>63</v>
      </c>
      <c r="C18" s="43"/>
      <c r="D18" s="43"/>
      <c r="E18" s="43"/>
      <c r="F18" s="43"/>
      <c r="G18" s="43"/>
      <c r="H18" s="43"/>
      <c r="I18" s="43"/>
      <c r="J18" s="44"/>
    </row>
    <row r="19" spans="1:14" ht="17" thickBot="1" x14ac:dyDescent="0.25">
      <c r="A19" s="2"/>
      <c r="B19" s="43"/>
      <c r="C19" s="43"/>
      <c r="D19" s="43"/>
      <c r="E19" s="43"/>
      <c r="F19" s="43"/>
      <c r="G19" s="43"/>
      <c r="H19" s="43"/>
      <c r="I19" s="43"/>
      <c r="J19" s="44"/>
      <c r="M19" s="115" t="s">
        <v>227</v>
      </c>
      <c r="N19" s="116">
        <f>N6*0.8/N5</f>
        <v>0.57614715667813032</v>
      </c>
    </row>
    <row r="20" spans="1:14" x14ac:dyDescent="0.2">
      <c r="A20" s="2"/>
      <c r="B20" s="43"/>
      <c r="C20" s="43"/>
      <c r="D20" s="43"/>
      <c r="E20" s="43"/>
      <c r="F20" s="43"/>
      <c r="G20" s="43"/>
      <c r="H20" s="43"/>
      <c r="I20" s="43"/>
      <c r="J20" s="44"/>
    </row>
    <row r="21" spans="1:14" x14ac:dyDescent="0.2">
      <c r="A21" s="43" t="s">
        <v>1</v>
      </c>
      <c r="B21" s="43" t="s">
        <v>64</v>
      </c>
      <c r="C21" s="43"/>
      <c r="D21" s="43"/>
      <c r="E21" s="43"/>
      <c r="F21" s="43"/>
      <c r="G21" s="43"/>
      <c r="H21" s="43"/>
      <c r="I21" s="43"/>
      <c r="J21" s="44"/>
    </row>
    <row r="22" spans="1:14" ht="19" x14ac:dyDescent="0.25">
      <c r="A22" s="2"/>
      <c r="B22" s="43" t="s">
        <v>65</v>
      </c>
      <c r="C22" s="43"/>
      <c r="D22" s="43"/>
      <c r="E22" s="43"/>
      <c r="F22" s="43"/>
      <c r="G22" s="43"/>
      <c r="H22" s="43"/>
      <c r="I22" s="43"/>
      <c r="J22" s="44"/>
      <c r="L22" s="3" t="s">
        <v>210</v>
      </c>
    </row>
    <row r="23" spans="1:14" x14ac:dyDescent="0.2">
      <c r="A23" s="2"/>
      <c r="B23" s="43"/>
      <c r="C23" s="43"/>
      <c r="D23" s="43"/>
      <c r="E23" s="43"/>
      <c r="F23" s="43"/>
      <c r="G23" s="43"/>
      <c r="H23" s="43"/>
      <c r="I23" s="43"/>
      <c r="J23" s="44"/>
      <c r="L23" s="76" t="s">
        <v>212</v>
      </c>
    </row>
    <row r="24" spans="1:14" ht="17" thickBot="1" x14ac:dyDescent="0.25">
      <c r="A24" s="2"/>
      <c r="B24" s="43"/>
      <c r="C24" s="43"/>
      <c r="D24" s="43"/>
      <c r="E24" s="43"/>
      <c r="F24" s="43"/>
      <c r="G24" s="43"/>
      <c r="H24" s="43"/>
      <c r="I24" s="43"/>
      <c r="J24" s="44"/>
      <c r="L24" s="76" t="s">
        <v>214</v>
      </c>
    </row>
    <row r="25" spans="1:14" ht="17" thickBot="1" x14ac:dyDescent="0.25">
      <c r="A25" s="309" t="s">
        <v>175</v>
      </c>
      <c r="B25" s="310"/>
      <c r="C25" s="310"/>
      <c r="D25" s="310"/>
      <c r="E25" s="310"/>
      <c r="F25" s="310"/>
      <c r="G25" s="310"/>
      <c r="H25" s="310"/>
      <c r="I25" s="310"/>
      <c r="J25" s="311"/>
    </row>
    <row r="27" spans="1:14" ht="19" x14ac:dyDescent="0.25">
      <c r="A27" s="3"/>
    </row>
    <row r="33" spans="1:12" x14ac:dyDescent="0.2">
      <c r="L33" s="5"/>
    </row>
    <row r="34" spans="1:12" x14ac:dyDescent="0.2">
      <c r="L34" s="5"/>
    </row>
    <row r="35" spans="1:12" x14ac:dyDescent="0.2">
      <c r="L35" s="5"/>
    </row>
    <row r="36" spans="1:12" x14ac:dyDescent="0.2">
      <c r="L36" s="5"/>
    </row>
    <row r="37" spans="1:12" x14ac:dyDescent="0.2">
      <c r="L37" s="5"/>
    </row>
    <row r="38" spans="1:12" x14ac:dyDescent="0.2">
      <c r="L38" s="5"/>
    </row>
    <row r="39" spans="1:12" x14ac:dyDescent="0.2">
      <c r="L39" s="5"/>
    </row>
    <row r="40" spans="1:12" x14ac:dyDescent="0.2">
      <c r="L40" s="5"/>
    </row>
    <row r="41" spans="1:12" x14ac:dyDescent="0.2">
      <c r="L41" s="5"/>
    </row>
    <row r="42" spans="1:12" x14ac:dyDescent="0.2">
      <c r="L42" s="5"/>
    </row>
    <row r="47" spans="1:12" x14ac:dyDescent="0.2">
      <c r="A47" s="4"/>
      <c r="C47" s="46"/>
    </row>
    <row r="51" spans="12:14" x14ac:dyDescent="0.2">
      <c r="M51" s="46"/>
    </row>
    <row r="52" spans="12:14" x14ac:dyDescent="0.2">
      <c r="L52" s="5"/>
      <c r="M52" s="5"/>
      <c r="N52" s="5"/>
    </row>
    <row r="53" spans="12:14" x14ac:dyDescent="0.2">
      <c r="L53" s="5"/>
      <c r="M53" s="5"/>
      <c r="N53" s="5"/>
    </row>
    <row r="54" spans="12:14" x14ac:dyDescent="0.2">
      <c r="L54" s="5"/>
      <c r="M54" s="5"/>
      <c r="N54" s="5"/>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L59" s="5"/>
      <c r="M59" s="5"/>
      <c r="N59" s="5"/>
    </row>
    <row r="60" spans="12:14" x14ac:dyDescent="0.2">
      <c r="L60" s="5"/>
      <c r="M60" s="5"/>
      <c r="N60" s="5"/>
    </row>
    <row r="61" spans="12:14" x14ac:dyDescent="0.2">
      <c r="M61" s="46"/>
    </row>
    <row r="62" spans="12:14" x14ac:dyDescent="0.2">
      <c r="L62" s="5"/>
      <c r="M62" s="5"/>
      <c r="N62" s="5"/>
    </row>
    <row r="63" spans="12:14" x14ac:dyDescent="0.2">
      <c r="L63" s="5"/>
      <c r="M63" s="5"/>
      <c r="N63" s="5"/>
    </row>
    <row r="64" spans="12: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x14ac:dyDescent="0.2">
      <c r="M71" s="46"/>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65" x14ac:dyDescent="0.2">
      <c r="M81" s="46"/>
    </row>
    <row r="82" spans="1:65" x14ac:dyDescent="0.2">
      <c r="L82" s="5"/>
      <c r="M82" s="5"/>
      <c r="N82" s="5"/>
    </row>
    <row r="83" spans="1:65" x14ac:dyDescent="0.2">
      <c r="L83" s="5"/>
      <c r="M83" s="5"/>
      <c r="N83" s="5"/>
    </row>
    <row r="84" spans="1:65" x14ac:dyDescent="0.2">
      <c r="L84" s="5"/>
      <c r="M84" s="5"/>
      <c r="N84" s="5"/>
    </row>
    <row r="85" spans="1:65" x14ac:dyDescent="0.2">
      <c r="L85" s="5"/>
      <c r="M85" s="5"/>
      <c r="N85" s="5"/>
    </row>
    <row r="86" spans="1:65" x14ac:dyDescent="0.2">
      <c r="L86" s="5"/>
      <c r="M86" s="5"/>
      <c r="N86" s="5"/>
    </row>
    <row r="87" spans="1:65" x14ac:dyDescent="0.2">
      <c r="L87" s="5"/>
      <c r="M87" s="5"/>
      <c r="N87" s="5"/>
    </row>
    <row r="88" spans="1:65" x14ac:dyDescent="0.2">
      <c r="L88" s="5"/>
      <c r="M88" s="5"/>
      <c r="N88" s="5"/>
    </row>
    <row r="89" spans="1:65" x14ac:dyDescent="0.2">
      <c r="A89" s="5"/>
      <c r="B89" s="5"/>
      <c r="C89" s="5"/>
      <c r="D89" s="5"/>
      <c r="E89" s="5"/>
      <c r="F89" s="5"/>
      <c r="G89" s="5"/>
      <c r="H89" s="5"/>
      <c r="I89" s="5"/>
      <c r="J89" s="5"/>
      <c r="L89" s="5"/>
      <c r="M89" s="5"/>
      <c r="N89" s="5"/>
    </row>
    <row r="90" spans="1:65" x14ac:dyDescent="0.2">
      <c r="A90" s="5"/>
      <c r="B90" s="5"/>
      <c r="C90" s="5"/>
      <c r="D90" s="5"/>
      <c r="E90" s="5"/>
      <c r="F90" s="5"/>
      <c r="G90" s="5"/>
      <c r="H90" s="5"/>
      <c r="I90" s="5"/>
      <c r="J90" s="5"/>
      <c r="K90" s="5"/>
      <c r="L90" s="5"/>
      <c r="M90" s="5"/>
      <c r="N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M91" s="46"/>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L192" s="5"/>
      <c r="M192" s="5"/>
      <c r="N192" s="5"/>
      <c r="O192" s="5"/>
      <c r="P192" s="5"/>
      <c r="Q192" s="5"/>
      <c r="R192" s="5"/>
    </row>
    <row r="193" spans="12:18" x14ac:dyDescent="0.2">
      <c r="L193" s="5"/>
      <c r="M193" s="5"/>
      <c r="N193" s="5"/>
      <c r="O193" s="5"/>
      <c r="P193" s="5"/>
      <c r="Q193" s="5"/>
      <c r="R193" s="5"/>
    </row>
  </sheetData>
  <mergeCells count="2">
    <mergeCell ref="C5:F5"/>
    <mergeCell ref="A25:J2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3A4743-F3A9-B94F-B56E-71D45E49E29C}">
  <dimension ref="A1:BM199"/>
  <sheetViews>
    <sheetView zoomScaleNormal="100" workbookViewId="0">
      <selection activeCell="B1" sqref="B1"/>
    </sheetView>
  </sheetViews>
  <sheetFormatPr baseColWidth="10" defaultColWidth="10.83203125" defaultRowHeight="16" outlineLevelCol="1" x14ac:dyDescent="0.2"/>
  <cols>
    <col min="1" max="1" width="4.6640625" style="45" customWidth="1"/>
    <col min="2" max="4" width="10.83203125" style="45" customWidth="1"/>
    <col min="5" max="5" width="12" style="45" customWidth="1"/>
    <col min="6" max="10" width="10.83203125" style="45" customWidth="1"/>
    <col min="11" max="11" width="11.5" style="45" bestFit="1" customWidth="1"/>
    <col min="12" max="12" width="10.83203125" style="45" hidden="1" customWidth="1" outlineLevel="1"/>
    <col min="13" max="13" width="15.83203125" style="45" hidden="1" customWidth="1" outlineLevel="1"/>
    <col min="14" max="20" width="10.83203125" style="45" hidden="1" customWidth="1" outlineLevel="1"/>
    <col min="21" max="21" width="10.83203125" style="45" collapsed="1"/>
    <col min="22" max="16384" width="10.83203125" style="45"/>
  </cols>
  <sheetData>
    <row r="1" spans="1:14" ht="19" x14ac:dyDescent="0.25">
      <c r="A1" s="1" t="s">
        <v>201</v>
      </c>
      <c r="B1" s="25"/>
      <c r="C1" s="42"/>
      <c r="D1" s="42"/>
      <c r="E1" s="42"/>
      <c r="F1" s="43"/>
      <c r="G1" s="43"/>
      <c r="H1" s="43"/>
      <c r="I1" s="43"/>
      <c r="J1" s="44"/>
      <c r="K1" s="3" t="s">
        <v>176</v>
      </c>
    </row>
    <row r="2" spans="1:14" x14ac:dyDescent="0.2">
      <c r="A2" s="2"/>
      <c r="B2" s="43"/>
      <c r="C2" s="43"/>
      <c r="D2" s="43"/>
      <c r="E2" s="43"/>
      <c r="F2" s="43"/>
      <c r="G2" s="43"/>
      <c r="H2" s="43"/>
      <c r="I2" s="43"/>
      <c r="J2" s="44"/>
      <c r="L2" s="16"/>
      <c r="M2" s="45" t="s">
        <v>82</v>
      </c>
      <c r="N2" s="46"/>
    </row>
    <row r="3" spans="1:14" x14ac:dyDescent="0.2">
      <c r="A3" s="2"/>
      <c r="B3" s="43" t="s">
        <v>74</v>
      </c>
      <c r="C3" s="43"/>
      <c r="D3" s="43"/>
      <c r="E3" s="43"/>
      <c r="F3" s="43"/>
      <c r="G3" s="43"/>
      <c r="H3" s="43"/>
      <c r="I3" s="43"/>
      <c r="J3" s="44"/>
    </row>
    <row r="4" spans="1:14" x14ac:dyDescent="0.2">
      <c r="A4" s="2"/>
      <c r="B4" s="43"/>
      <c r="C4" s="43"/>
      <c r="D4" s="43"/>
      <c r="E4" s="43"/>
      <c r="F4" s="43"/>
      <c r="G4" s="43"/>
      <c r="H4" s="43"/>
      <c r="I4" s="43"/>
      <c r="J4" s="44"/>
      <c r="M4" s="45" t="s">
        <v>68</v>
      </c>
      <c r="N4" s="46">
        <f>PRODUCT(D7:G7)</f>
        <v>6.1172718749999992</v>
      </c>
    </row>
    <row r="5" spans="1:14" x14ac:dyDescent="0.2">
      <c r="A5" s="2"/>
      <c r="B5" s="43"/>
      <c r="C5" s="315" t="s">
        <v>81</v>
      </c>
      <c r="D5" s="315"/>
      <c r="E5" s="315"/>
      <c r="F5" s="315"/>
      <c r="G5" s="315"/>
      <c r="H5" s="43"/>
      <c r="I5" s="43"/>
      <c r="J5" s="44"/>
    </row>
    <row r="6" spans="1:14" ht="17" x14ac:dyDescent="0.2">
      <c r="A6" s="2"/>
      <c r="B6" s="43"/>
      <c r="C6" s="32"/>
      <c r="D6" s="29" t="s">
        <v>45</v>
      </c>
      <c r="E6" s="26" t="s">
        <v>37</v>
      </c>
      <c r="F6" s="26" t="s">
        <v>38</v>
      </c>
      <c r="G6" s="26" t="s">
        <v>39</v>
      </c>
      <c r="H6" s="43"/>
      <c r="I6" s="43"/>
      <c r="J6" s="44"/>
      <c r="M6" s="96"/>
      <c r="N6" s="95" t="s">
        <v>222</v>
      </c>
    </row>
    <row r="7" spans="1:14" ht="17" x14ac:dyDescent="0.2">
      <c r="A7" s="2"/>
      <c r="B7" s="43"/>
      <c r="C7" s="33" t="s">
        <v>40</v>
      </c>
      <c r="D7" s="7">
        <v>1.95</v>
      </c>
      <c r="E7" s="7">
        <v>1.625</v>
      </c>
      <c r="F7" s="7">
        <v>1.43</v>
      </c>
      <c r="G7" s="7">
        <v>1.35</v>
      </c>
      <c r="H7" s="43"/>
      <c r="I7" s="43"/>
      <c r="J7" s="44"/>
      <c r="M7" s="97" t="s">
        <v>75</v>
      </c>
      <c r="N7" s="58">
        <f>F13/F12</f>
        <v>0.84970414201183431</v>
      </c>
    </row>
    <row r="8" spans="1:14" x14ac:dyDescent="0.2">
      <c r="A8" s="2"/>
      <c r="B8" s="43"/>
      <c r="C8" s="43"/>
      <c r="D8" s="43"/>
      <c r="E8" s="43"/>
      <c r="F8" s="43"/>
      <c r="G8" s="43"/>
      <c r="H8" s="43"/>
      <c r="I8" s="43"/>
      <c r="J8" s="44"/>
      <c r="M8" s="97" t="s">
        <v>33</v>
      </c>
      <c r="N8" s="58">
        <f>E13/E12</f>
        <v>0.93970588235294117</v>
      </c>
    </row>
    <row r="9" spans="1:14" x14ac:dyDescent="0.2">
      <c r="A9" s="2"/>
      <c r="B9" s="43"/>
      <c r="C9" s="43"/>
      <c r="D9" s="43"/>
      <c r="E9" s="43"/>
      <c r="F9" s="43"/>
      <c r="G9" s="43"/>
      <c r="H9" s="43"/>
      <c r="I9" s="43"/>
      <c r="J9" s="44"/>
    </row>
    <row r="10" spans="1:14" x14ac:dyDescent="0.2">
      <c r="A10" s="2"/>
      <c r="B10" s="43"/>
      <c r="C10" s="43"/>
      <c r="D10" s="315" t="s">
        <v>221</v>
      </c>
      <c r="E10" s="315"/>
      <c r="F10" s="315"/>
      <c r="G10" s="43"/>
      <c r="H10" s="43"/>
      <c r="I10" s="43"/>
      <c r="J10" s="44"/>
      <c r="M10" s="45" t="s">
        <v>83</v>
      </c>
      <c r="N10" s="46">
        <f>N4*(1-N7)/(1-N8)</f>
        <v>15.248595731707315</v>
      </c>
    </row>
    <row r="11" spans="1:14" ht="17" x14ac:dyDescent="0.2">
      <c r="A11" s="2"/>
      <c r="B11" s="43"/>
      <c r="C11" s="43"/>
      <c r="D11" s="32" t="s">
        <v>220</v>
      </c>
      <c r="E11" s="26" t="s">
        <v>33</v>
      </c>
      <c r="F11" s="26" t="s">
        <v>75</v>
      </c>
      <c r="G11" s="43"/>
      <c r="H11" s="43"/>
      <c r="I11" s="43"/>
      <c r="J11" s="44"/>
    </row>
    <row r="12" spans="1:14" ht="17" x14ac:dyDescent="0.2">
      <c r="A12" s="2"/>
      <c r="B12" s="43"/>
      <c r="C12" s="43"/>
      <c r="D12" s="33" t="s">
        <v>40</v>
      </c>
      <c r="E12" s="8">
        <v>6800</v>
      </c>
      <c r="F12" s="8">
        <v>8450</v>
      </c>
      <c r="G12" s="43"/>
      <c r="H12" s="43"/>
      <c r="I12" s="43"/>
      <c r="J12" s="44"/>
      <c r="M12" s="45" t="s">
        <v>24</v>
      </c>
    </row>
    <row r="13" spans="1:14" x14ac:dyDescent="0.2">
      <c r="A13" s="2"/>
      <c r="B13" s="43"/>
      <c r="C13" s="43"/>
      <c r="D13" s="35">
        <v>250000</v>
      </c>
      <c r="E13" s="8">
        <v>6390</v>
      </c>
      <c r="F13" s="8">
        <v>7180</v>
      </c>
      <c r="G13" s="43"/>
      <c r="H13" s="43"/>
      <c r="I13" s="43"/>
      <c r="J13" s="44"/>
    </row>
    <row r="14" spans="1:14" x14ac:dyDescent="0.2">
      <c r="A14" s="2"/>
      <c r="B14" s="43"/>
      <c r="C14" s="43"/>
      <c r="D14" s="43"/>
      <c r="E14" s="43"/>
      <c r="F14" s="43"/>
      <c r="G14" s="43"/>
      <c r="H14" s="43"/>
      <c r="I14" s="43"/>
      <c r="J14" s="44"/>
      <c r="L14" s="16"/>
      <c r="M14" s="55" t="s">
        <v>84</v>
      </c>
      <c r="N14" s="61">
        <f>E16*E17*E18</f>
        <v>1598400</v>
      </c>
    </row>
    <row r="15" spans="1:14" x14ac:dyDescent="0.2">
      <c r="A15" s="2"/>
      <c r="B15" s="43"/>
      <c r="C15" s="43"/>
      <c r="D15" s="43"/>
      <c r="E15" s="43"/>
      <c r="F15" s="43"/>
      <c r="G15" s="43"/>
      <c r="H15" s="43"/>
      <c r="I15" s="43"/>
      <c r="J15" s="44"/>
    </row>
    <row r="16" spans="1:14" x14ac:dyDescent="0.2">
      <c r="A16" s="2"/>
      <c r="B16" s="43" t="s">
        <v>76</v>
      </c>
      <c r="C16" s="43"/>
      <c r="D16" s="43"/>
      <c r="E16" s="62">
        <v>12000000</v>
      </c>
      <c r="F16" s="43"/>
      <c r="G16" s="43"/>
      <c r="H16" s="43"/>
      <c r="I16" s="43"/>
      <c r="J16" s="44"/>
      <c r="M16" s="45" t="s">
        <v>85</v>
      </c>
    </row>
    <row r="17" spans="1:18" x14ac:dyDescent="0.2">
      <c r="A17" s="2"/>
      <c r="B17" s="43" t="s">
        <v>77</v>
      </c>
      <c r="C17" s="43"/>
      <c r="D17" s="43"/>
      <c r="E17" s="63">
        <v>0.74</v>
      </c>
      <c r="F17" s="43"/>
      <c r="G17" s="43"/>
      <c r="H17" s="43"/>
      <c r="I17" s="43"/>
      <c r="J17" s="44"/>
    </row>
    <row r="18" spans="1:18" x14ac:dyDescent="0.2">
      <c r="A18" s="2"/>
      <c r="B18" s="43" t="s">
        <v>78</v>
      </c>
      <c r="C18" s="43"/>
      <c r="D18" s="43"/>
      <c r="E18" s="64">
        <v>0.18</v>
      </c>
      <c r="F18" s="43"/>
      <c r="G18" s="43"/>
      <c r="H18" s="43"/>
      <c r="I18" s="43"/>
      <c r="J18" s="44"/>
      <c r="M18" s="45" t="s">
        <v>86</v>
      </c>
      <c r="N18" s="59">
        <f>1/N10</f>
        <v>6.5579809288316318E-2</v>
      </c>
    </row>
    <row r="19" spans="1:18" x14ac:dyDescent="0.2">
      <c r="A19" s="2"/>
      <c r="B19" s="43"/>
      <c r="C19" s="43"/>
      <c r="D19" s="43"/>
      <c r="E19" s="43"/>
      <c r="F19" s="43"/>
      <c r="G19" s="43"/>
      <c r="H19" s="43"/>
      <c r="I19" s="43"/>
      <c r="J19" s="44"/>
      <c r="N19" s="59"/>
    </row>
    <row r="20" spans="1:18" x14ac:dyDescent="0.2">
      <c r="A20" s="2"/>
      <c r="B20" s="94" t="s">
        <v>219</v>
      </c>
      <c r="C20" s="43"/>
      <c r="D20" s="43"/>
      <c r="E20" s="43"/>
      <c r="F20" s="43"/>
      <c r="G20" s="47">
        <v>210000</v>
      </c>
      <c r="H20" s="43"/>
      <c r="I20" s="43"/>
      <c r="J20" s="44"/>
      <c r="M20" s="56" t="s">
        <v>87</v>
      </c>
    </row>
    <row r="21" spans="1:18" x14ac:dyDescent="0.2">
      <c r="A21" s="2"/>
      <c r="B21" s="43"/>
      <c r="C21" s="43"/>
      <c r="D21" s="43"/>
      <c r="E21" s="43"/>
      <c r="F21" s="43"/>
      <c r="G21" s="43"/>
      <c r="H21" s="43"/>
      <c r="I21" s="43"/>
      <c r="J21" s="44"/>
      <c r="M21" s="55"/>
    </row>
    <row r="22" spans="1:18" x14ac:dyDescent="0.2">
      <c r="A22" s="2"/>
      <c r="B22" s="43"/>
      <c r="C22" s="43"/>
      <c r="D22" s="43"/>
      <c r="E22" s="43"/>
      <c r="F22" s="43"/>
      <c r="G22" s="43"/>
      <c r="H22" s="43"/>
      <c r="I22" s="43"/>
      <c r="J22" s="44"/>
      <c r="M22" s="55" t="s">
        <v>88</v>
      </c>
      <c r="N22" s="61">
        <f>N18*G20*N10+(1-N18)*N14</f>
        <v>1703577.2328335552</v>
      </c>
    </row>
    <row r="23" spans="1:18" ht="17" thickBot="1" x14ac:dyDescent="0.25">
      <c r="A23" s="2"/>
      <c r="B23" s="43" t="s">
        <v>79</v>
      </c>
      <c r="C23" s="43"/>
      <c r="D23" s="43"/>
      <c r="E23" s="43"/>
      <c r="F23" s="43"/>
      <c r="G23" s="43"/>
      <c r="H23" s="43"/>
      <c r="I23" s="43"/>
      <c r="J23" s="44"/>
    </row>
    <row r="24" spans="1:18" ht="17" thickBot="1" x14ac:dyDescent="0.25">
      <c r="A24" s="2"/>
      <c r="B24" s="43" t="s">
        <v>80</v>
      </c>
      <c r="C24" s="43"/>
      <c r="D24" s="43"/>
      <c r="E24" s="43"/>
      <c r="F24" s="43"/>
      <c r="G24" s="43"/>
      <c r="H24" s="43"/>
      <c r="I24" s="43"/>
      <c r="J24" s="44"/>
      <c r="M24" s="92" t="s">
        <v>218</v>
      </c>
      <c r="N24" s="93">
        <f>N22-G20</f>
        <v>1493577.2328335552</v>
      </c>
    </row>
    <row r="25" spans="1:18" x14ac:dyDescent="0.2">
      <c r="A25" s="2"/>
      <c r="B25" s="43"/>
      <c r="C25" s="43"/>
      <c r="D25" s="43"/>
      <c r="E25" s="43"/>
      <c r="F25" s="43"/>
      <c r="G25" s="43"/>
      <c r="H25" s="43"/>
      <c r="I25" s="43"/>
      <c r="J25" s="44"/>
    </row>
    <row r="26" spans="1:18" ht="17" thickBot="1" x14ac:dyDescent="0.25">
      <c r="A26" s="2"/>
      <c r="B26" s="43"/>
      <c r="C26" s="43"/>
      <c r="D26" s="43"/>
      <c r="E26" s="43"/>
      <c r="F26" s="43"/>
      <c r="G26" s="43"/>
      <c r="H26" s="43"/>
      <c r="I26" s="43"/>
      <c r="J26" s="44"/>
    </row>
    <row r="27" spans="1:18" ht="17" customHeight="1" thickBot="1" x14ac:dyDescent="0.3">
      <c r="A27" s="309" t="s">
        <v>175</v>
      </c>
      <c r="B27" s="310"/>
      <c r="C27" s="310"/>
      <c r="D27" s="310"/>
      <c r="E27" s="310"/>
      <c r="F27" s="310"/>
      <c r="G27" s="310"/>
      <c r="H27" s="310"/>
      <c r="I27" s="310"/>
      <c r="J27" s="311"/>
      <c r="L27" s="3" t="s">
        <v>90</v>
      </c>
      <c r="N27" s="46"/>
    </row>
    <row r="28" spans="1:18" x14ac:dyDescent="0.2">
      <c r="L28" s="319" t="s">
        <v>186</v>
      </c>
      <c r="M28" s="319"/>
      <c r="N28" s="319"/>
      <c r="O28" s="319"/>
      <c r="P28" s="319"/>
      <c r="Q28" s="319"/>
      <c r="R28" s="319"/>
    </row>
    <row r="29" spans="1:18" ht="19" x14ac:dyDescent="0.25">
      <c r="A29" s="3"/>
      <c r="L29" s="319"/>
      <c r="M29" s="319"/>
      <c r="N29" s="319"/>
      <c r="O29" s="319"/>
      <c r="P29" s="319"/>
      <c r="Q29" s="319"/>
      <c r="R29" s="319"/>
    </row>
    <row r="31" spans="1:18" x14ac:dyDescent="0.2">
      <c r="M31" s="45" t="s">
        <v>89</v>
      </c>
    </row>
    <row r="32" spans="1:18" ht="17" thickBot="1" x14ac:dyDescent="0.25"/>
    <row r="33" spans="12:14" ht="17" thickBot="1" x14ac:dyDescent="0.25">
      <c r="M33" s="92" t="s">
        <v>218</v>
      </c>
      <c r="N33" s="93">
        <f>(1-1/N10)*N14</f>
        <v>1493577.2328335552</v>
      </c>
    </row>
    <row r="34" spans="12:14" x14ac:dyDescent="0.2">
      <c r="L34" s="5"/>
    </row>
    <row r="35" spans="12:14" x14ac:dyDescent="0.2">
      <c r="L35" s="5"/>
    </row>
    <row r="36" spans="12:14" ht="19" x14ac:dyDescent="0.25">
      <c r="L36" s="3" t="s">
        <v>210</v>
      </c>
    </row>
    <row r="37" spans="12:14" x14ac:dyDescent="0.2">
      <c r="L37" s="76" t="s">
        <v>213</v>
      </c>
    </row>
    <row r="38" spans="12:14" x14ac:dyDescent="0.2">
      <c r="L38" s="5"/>
    </row>
    <row r="39" spans="12:14" x14ac:dyDescent="0.2">
      <c r="L39" s="5"/>
    </row>
    <row r="40" spans="12:14" x14ac:dyDescent="0.2">
      <c r="L40" s="5"/>
    </row>
    <row r="41" spans="12:14" x14ac:dyDescent="0.2">
      <c r="L41" s="5"/>
    </row>
    <row r="42" spans="12:14" x14ac:dyDescent="0.2">
      <c r="L42" s="5"/>
    </row>
    <row r="57" spans="12:14" x14ac:dyDescent="0.2">
      <c r="M57" s="46"/>
    </row>
    <row r="58" spans="12:14" x14ac:dyDescent="0.2">
      <c r="L58" s="5"/>
      <c r="M58" s="5"/>
      <c r="N58" s="5"/>
    </row>
    <row r="59" spans="12:14" x14ac:dyDescent="0.2">
      <c r="L59" s="5"/>
      <c r="M59" s="5"/>
      <c r="N59" s="5"/>
    </row>
    <row r="60" spans="12:14" x14ac:dyDescent="0.2">
      <c r="L60" s="5"/>
      <c r="M60" s="5"/>
      <c r="N60" s="5"/>
    </row>
    <row r="61" spans="12:14" x14ac:dyDescent="0.2">
      <c r="L61" s="5"/>
      <c r="M61" s="5"/>
      <c r="N61" s="5"/>
    </row>
    <row r="62" spans="12:14" x14ac:dyDescent="0.2">
      <c r="L62" s="5"/>
      <c r="M62" s="5"/>
      <c r="N62" s="5"/>
    </row>
    <row r="63" spans="12:14" x14ac:dyDescent="0.2">
      <c r="L63" s="5"/>
      <c r="M63" s="5"/>
      <c r="N63" s="5"/>
    </row>
    <row r="64" spans="12:14" x14ac:dyDescent="0.2">
      <c r="L64" s="5"/>
      <c r="M64" s="5"/>
      <c r="N64" s="5"/>
    </row>
    <row r="65" spans="12:14" x14ac:dyDescent="0.2">
      <c r="L65" s="5"/>
      <c r="M65" s="5"/>
      <c r="N65" s="5"/>
    </row>
    <row r="66" spans="12:14" x14ac:dyDescent="0.2">
      <c r="L66" s="5"/>
      <c r="M66" s="5"/>
      <c r="N66" s="5"/>
    </row>
    <row r="67" spans="12:14" x14ac:dyDescent="0.2">
      <c r="M67" s="46"/>
    </row>
    <row r="68" spans="12:14" x14ac:dyDescent="0.2">
      <c r="L68" s="5"/>
      <c r="M68" s="5"/>
      <c r="N68" s="5"/>
    </row>
    <row r="69" spans="12:14" x14ac:dyDescent="0.2">
      <c r="L69" s="5"/>
      <c r="M69" s="5"/>
      <c r="N69" s="5"/>
    </row>
    <row r="70" spans="12:14" x14ac:dyDescent="0.2">
      <c r="L70" s="5"/>
      <c r="M70" s="5"/>
      <c r="N70" s="5"/>
    </row>
    <row r="71" spans="12:14" x14ac:dyDescent="0.2">
      <c r="L71" s="5"/>
      <c r="M71" s="5"/>
      <c r="N71" s="5"/>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M77" s="46"/>
    </row>
    <row r="78" spans="12:14" x14ac:dyDescent="0.2">
      <c r="L78" s="5"/>
      <c r="M78" s="5"/>
      <c r="N78" s="5"/>
    </row>
    <row r="79" spans="12:14" x14ac:dyDescent="0.2">
      <c r="L79" s="5"/>
      <c r="M79" s="5"/>
      <c r="N79" s="5"/>
    </row>
    <row r="80" spans="12:14" x14ac:dyDescent="0.2">
      <c r="L80" s="5"/>
      <c r="M80" s="5"/>
      <c r="N80" s="5"/>
    </row>
    <row r="81" spans="1:14" x14ac:dyDescent="0.2">
      <c r="L81" s="5"/>
      <c r="M81" s="5"/>
      <c r="N81" s="5"/>
    </row>
    <row r="82" spans="1:14" x14ac:dyDescent="0.2">
      <c r="L82" s="5"/>
      <c r="M82" s="5"/>
      <c r="N82" s="5"/>
    </row>
    <row r="83" spans="1:14" x14ac:dyDescent="0.2">
      <c r="L83" s="5"/>
      <c r="M83" s="5"/>
      <c r="N83" s="5"/>
    </row>
    <row r="84" spans="1:14" x14ac:dyDescent="0.2">
      <c r="L84" s="5"/>
      <c r="M84" s="5"/>
      <c r="N84" s="5"/>
    </row>
    <row r="85" spans="1:14" x14ac:dyDescent="0.2">
      <c r="L85" s="5"/>
      <c r="M85" s="5"/>
      <c r="N85" s="5"/>
    </row>
    <row r="86" spans="1:14" x14ac:dyDescent="0.2">
      <c r="L86" s="5"/>
      <c r="M86" s="5"/>
      <c r="N86" s="5"/>
    </row>
    <row r="87" spans="1:14" x14ac:dyDescent="0.2">
      <c r="M87" s="46"/>
    </row>
    <row r="88" spans="1:14" x14ac:dyDescent="0.2">
      <c r="L88" s="5"/>
      <c r="M88" s="5"/>
      <c r="N88" s="5"/>
    </row>
    <row r="89" spans="1:14" x14ac:dyDescent="0.2">
      <c r="L89" s="5"/>
      <c r="M89" s="5"/>
      <c r="N89" s="5"/>
    </row>
    <row r="90" spans="1:14" x14ac:dyDescent="0.2">
      <c r="L90" s="5"/>
      <c r="M90" s="5"/>
      <c r="N90" s="5"/>
    </row>
    <row r="91" spans="1:14" x14ac:dyDescent="0.2">
      <c r="L91" s="5"/>
      <c r="M91" s="5"/>
      <c r="N91" s="5"/>
    </row>
    <row r="92" spans="1:14" x14ac:dyDescent="0.2">
      <c r="L92" s="5"/>
      <c r="M92" s="5"/>
      <c r="N92" s="5"/>
    </row>
    <row r="93" spans="1:14" x14ac:dyDescent="0.2">
      <c r="L93" s="5"/>
      <c r="M93" s="5"/>
      <c r="N93" s="5"/>
    </row>
    <row r="94" spans="1:14" x14ac:dyDescent="0.2">
      <c r="L94" s="5"/>
      <c r="M94" s="5"/>
      <c r="N94" s="5"/>
    </row>
    <row r="95" spans="1:14" x14ac:dyDescent="0.2">
      <c r="L95" s="5"/>
      <c r="M95" s="5"/>
      <c r="N95" s="5"/>
    </row>
    <row r="96" spans="1:14" x14ac:dyDescent="0.2">
      <c r="A96" s="5"/>
      <c r="B96" s="5"/>
      <c r="C96" s="5"/>
      <c r="D96" s="5"/>
      <c r="E96" s="5"/>
      <c r="F96" s="5"/>
      <c r="G96" s="5"/>
      <c r="H96" s="5"/>
      <c r="I96" s="5"/>
      <c r="J96" s="5"/>
      <c r="L96" s="5"/>
      <c r="M96" s="5"/>
      <c r="N96" s="5"/>
    </row>
    <row r="97" spans="1:65" x14ac:dyDescent="0.2">
      <c r="A97" s="5"/>
      <c r="B97" s="5"/>
      <c r="C97" s="5"/>
      <c r="D97" s="5"/>
      <c r="E97" s="5"/>
      <c r="F97" s="5"/>
      <c r="G97" s="5"/>
      <c r="H97" s="5"/>
      <c r="I97" s="5"/>
      <c r="J97" s="5"/>
      <c r="K97" s="5"/>
      <c r="M97" s="46"/>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row r="199" spans="1:65" x14ac:dyDescent="0.2">
      <c r="L199" s="5"/>
      <c r="M199" s="5"/>
      <c r="N199" s="5"/>
      <c r="O199" s="5"/>
      <c r="P199" s="5"/>
      <c r="Q199" s="5"/>
      <c r="R199" s="5"/>
      <c r="S199" s="5"/>
      <c r="T199" s="5"/>
      <c r="U199" s="5"/>
    </row>
  </sheetData>
  <mergeCells count="4">
    <mergeCell ref="D10:F10"/>
    <mergeCell ref="C5:G5"/>
    <mergeCell ref="A27:J27"/>
    <mergeCell ref="L28:R29"/>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8DD0-15CA-4447-8DF1-C4EAD58B4152}">
  <dimension ref="A1:BL204"/>
  <sheetViews>
    <sheetView zoomScaleNormal="100" workbookViewId="0"/>
  </sheetViews>
  <sheetFormatPr baseColWidth="10" defaultColWidth="10.83203125" defaultRowHeight="16" outlineLevelCol="1" x14ac:dyDescent="0.2"/>
  <cols>
    <col min="1" max="1" width="4.6640625" style="45" customWidth="1"/>
    <col min="2" max="10" width="10.83203125" style="45" customWidth="1"/>
    <col min="11" max="11" width="11.5" style="45" bestFit="1" customWidth="1"/>
    <col min="12" max="12" width="10.83203125" style="45" hidden="1" customWidth="1" outlineLevel="1"/>
    <col min="13" max="13" width="12.5" style="45" hidden="1" customWidth="1" outlineLevel="1"/>
    <col min="14" max="18" width="10.83203125" style="45" hidden="1" customWidth="1" outlineLevel="1"/>
    <col min="19" max="19" width="10.83203125" style="45" collapsed="1"/>
    <col min="20" max="16384" width="10.83203125" style="45"/>
  </cols>
  <sheetData>
    <row r="1" spans="1:14" ht="19" x14ac:dyDescent="0.25">
      <c r="A1" s="1" t="s">
        <v>202</v>
      </c>
      <c r="B1" s="25"/>
      <c r="C1" s="42"/>
      <c r="D1" s="42"/>
      <c r="E1" s="42"/>
      <c r="F1" s="43"/>
      <c r="G1" s="43"/>
      <c r="H1" s="43"/>
      <c r="I1" s="43"/>
      <c r="J1" s="44"/>
      <c r="K1" s="3" t="s">
        <v>176</v>
      </c>
    </row>
    <row r="2" spans="1:14" x14ac:dyDescent="0.2">
      <c r="A2" s="2"/>
      <c r="B2" s="43"/>
      <c r="C2" s="43"/>
      <c r="D2" s="43"/>
      <c r="E2" s="43"/>
      <c r="F2" s="43"/>
      <c r="G2" s="43"/>
      <c r="H2" s="43"/>
      <c r="I2" s="43"/>
      <c r="J2" s="44"/>
      <c r="L2" s="16" t="s">
        <v>3</v>
      </c>
      <c r="N2" s="46"/>
    </row>
    <row r="3" spans="1:14" x14ac:dyDescent="0.2">
      <c r="A3" s="2"/>
      <c r="B3" s="43" t="s">
        <v>91</v>
      </c>
      <c r="C3" s="43"/>
      <c r="D3" s="43"/>
      <c r="E3" s="43"/>
      <c r="F3" s="43"/>
      <c r="G3" s="43"/>
      <c r="H3" s="43"/>
      <c r="I3" s="43"/>
      <c r="J3" s="44"/>
      <c r="M3" s="55" t="s">
        <v>104</v>
      </c>
      <c r="N3" s="58">
        <f>D13/D12</f>
        <v>0.97768762677484788</v>
      </c>
    </row>
    <row r="4" spans="1:14" x14ac:dyDescent="0.2">
      <c r="A4" s="2"/>
      <c r="B4" s="43" t="s">
        <v>92</v>
      </c>
      <c r="C4" s="43"/>
      <c r="D4" s="43"/>
      <c r="E4" s="43"/>
      <c r="F4" s="43"/>
      <c r="G4" s="43"/>
      <c r="H4" s="43"/>
      <c r="I4" s="43"/>
      <c r="J4" s="44"/>
      <c r="M4" s="55" t="s">
        <v>106</v>
      </c>
      <c r="N4" s="58">
        <f>G13/G12</f>
        <v>0.84292035398230092</v>
      </c>
    </row>
    <row r="5" spans="1:14" x14ac:dyDescent="0.2">
      <c r="A5" s="2"/>
      <c r="B5" s="43" t="s">
        <v>93</v>
      </c>
      <c r="C5" s="43"/>
      <c r="D5" s="43"/>
      <c r="E5" s="43"/>
      <c r="F5" s="43"/>
      <c r="G5" s="43"/>
      <c r="H5" s="43"/>
      <c r="I5" s="43"/>
      <c r="J5" s="44"/>
      <c r="M5" s="55"/>
    </row>
    <row r="6" spans="1:14" x14ac:dyDescent="0.2">
      <c r="A6" s="2"/>
      <c r="B6" s="43" t="s">
        <v>94</v>
      </c>
      <c r="C6" s="43"/>
      <c r="D6" s="43"/>
      <c r="E6" s="43"/>
      <c r="F6" s="43"/>
      <c r="G6" s="43"/>
      <c r="H6" s="43"/>
      <c r="I6" s="43"/>
      <c r="J6" s="44"/>
      <c r="M6" s="56" t="s">
        <v>107</v>
      </c>
    </row>
    <row r="7" spans="1:14" x14ac:dyDescent="0.2">
      <c r="A7" s="2"/>
      <c r="B7" s="43"/>
      <c r="C7" s="43"/>
      <c r="D7" s="43"/>
      <c r="E7" s="43"/>
      <c r="F7" s="43"/>
      <c r="G7" s="43"/>
      <c r="H7" s="43"/>
      <c r="I7" s="43"/>
      <c r="J7" s="44"/>
      <c r="M7" s="56"/>
    </row>
    <row r="8" spans="1:14" x14ac:dyDescent="0.2">
      <c r="A8" s="2"/>
      <c r="B8" s="43" t="s">
        <v>95</v>
      </c>
      <c r="C8" s="43"/>
      <c r="D8" s="43"/>
      <c r="E8" s="43"/>
      <c r="F8" s="43"/>
      <c r="G8" s="43"/>
      <c r="H8" s="43"/>
      <c r="I8" s="43"/>
      <c r="J8" s="44"/>
      <c r="M8" s="99"/>
      <c r="N8" s="100" t="s">
        <v>223</v>
      </c>
    </row>
    <row r="9" spans="1:14" ht="17" thickBot="1" x14ac:dyDescent="0.25">
      <c r="A9" s="2"/>
      <c r="B9" s="43"/>
      <c r="C9" s="43"/>
      <c r="D9" s="43"/>
      <c r="E9" s="43"/>
      <c r="F9" s="43"/>
      <c r="G9" s="43"/>
      <c r="H9" s="43"/>
      <c r="I9" s="43"/>
      <c r="J9" s="44"/>
      <c r="M9" s="98" t="s">
        <v>59</v>
      </c>
      <c r="N9" s="46">
        <f>D19*E19*F19</f>
        <v>2.8630387500000003</v>
      </c>
    </row>
    <row r="10" spans="1:14" ht="17" thickBot="1" x14ac:dyDescent="0.25">
      <c r="A10" s="2"/>
      <c r="B10" s="43"/>
      <c r="C10" s="315" t="s">
        <v>97</v>
      </c>
      <c r="D10" s="315"/>
      <c r="E10" s="315"/>
      <c r="F10" s="315"/>
      <c r="G10" s="315"/>
      <c r="H10" s="43"/>
      <c r="I10" s="43"/>
      <c r="J10" s="44"/>
      <c r="M10" s="101" t="s">
        <v>224</v>
      </c>
      <c r="N10" s="102">
        <f>N9*N4/N3</f>
        <v>2.468389259027421</v>
      </c>
    </row>
    <row r="11" spans="1:14" ht="17" x14ac:dyDescent="0.2">
      <c r="A11" s="2"/>
      <c r="B11" s="43"/>
      <c r="C11" s="32"/>
      <c r="D11" s="26" t="s">
        <v>34</v>
      </c>
      <c r="E11" s="26" t="s">
        <v>35</v>
      </c>
      <c r="F11" s="26" t="s">
        <v>36</v>
      </c>
      <c r="G11" s="26" t="s">
        <v>75</v>
      </c>
      <c r="H11" s="43"/>
      <c r="I11" s="43"/>
      <c r="J11" s="44"/>
    </row>
    <row r="12" spans="1:14" ht="17" x14ac:dyDescent="0.2">
      <c r="A12" s="2"/>
      <c r="B12" s="43"/>
      <c r="C12" s="33" t="s">
        <v>40</v>
      </c>
      <c r="D12" s="8">
        <v>4930</v>
      </c>
      <c r="E12" s="8">
        <v>7890</v>
      </c>
      <c r="F12" s="8">
        <v>11050</v>
      </c>
      <c r="G12" s="8">
        <v>13560</v>
      </c>
      <c r="H12" s="43"/>
      <c r="I12" s="43"/>
      <c r="J12" s="44"/>
      <c r="L12" s="16" t="s">
        <v>4</v>
      </c>
    </row>
    <row r="13" spans="1:14" x14ac:dyDescent="0.2">
      <c r="A13" s="2"/>
      <c r="B13" s="43"/>
      <c r="C13" s="34" t="s">
        <v>96</v>
      </c>
      <c r="D13" s="8">
        <v>4820</v>
      </c>
      <c r="E13" s="8">
        <v>7480</v>
      </c>
      <c r="F13" s="8">
        <v>9835</v>
      </c>
      <c r="G13" s="8">
        <v>11430</v>
      </c>
      <c r="H13" s="43"/>
      <c r="I13" s="43"/>
      <c r="J13" s="44"/>
      <c r="M13" s="56" t="s">
        <v>108</v>
      </c>
    </row>
    <row r="14" spans="1:14" ht="17" thickBot="1" x14ac:dyDescent="0.25">
      <c r="A14" s="2"/>
      <c r="B14" s="43"/>
      <c r="C14" s="43"/>
      <c r="D14" s="43"/>
      <c r="E14" s="43"/>
      <c r="F14" s="43"/>
      <c r="G14" s="43"/>
      <c r="H14" s="43"/>
      <c r="I14" s="43"/>
      <c r="J14" s="44"/>
    </row>
    <row r="15" spans="1:14" ht="17" thickBot="1" x14ac:dyDescent="0.25">
      <c r="A15" s="2"/>
      <c r="B15" s="43" t="s">
        <v>98</v>
      </c>
      <c r="C15" s="43"/>
      <c r="D15" s="43"/>
      <c r="E15" s="43"/>
      <c r="F15" s="43"/>
      <c r="G15" s="43"/>
      <c r="H15" s="43"/>
      <c r="I15" s="43"/>
      <c r="J15" s="44"/>
      <c r="M15" s="92" t="s">
        <v>109</v>
      </c>
      <c r="N15" s="103">
        <f>N9*(1-N4)/(1-N3)</f>
        <v>20.155861899889391</v>
      </c>
    </row>
    <row r="16" spans="1:14" x14ac:dyDescent="0.2">
      <c r="A16" s="2"/>
      <c r="B16" s="43"/>
      <c r="C16" s="43"/>
      <c r="D16" s="43"/>
      <c r="E16" s="43"/>
      <c r="F16" s="43"/>
      <c r="G16" s="43"/>
      <c r="H16" s="43"/>
      <c r="I16" s="43"/>
      <c r="J16" s="44"/>
    </row>
    <row r="17" spans="1:14" x14ac:dyDescent="0.2">
      <c r="A17" s="2"/>
      <c r="B17" s="43"/>
      <c r="C17" s="315" t="s">
        <v>44</v>
      </c>
      <c r="D17" s="315"/>
      <c r="E17" s="315"/>
      <c r="F17" s="315"/>
      <c r="G17" s="43"/>
      <c r="H17" s="43"/>
      <c r="I17" s="43"/>
      <c r="J17" s="44"/>
      <c r="M17" s="16"/>
      <c r="N17" s="18"/>
    </row>
    <row r="18" spans="1:14" ht="17" x14ac:dyDescent="0.2">
      <c r="A18" s="2"/>
      <c r="B18" s="43"/>
      <c r="C18" s="32"/>
      <c r="D18" s="26" t="s">
        <v>37</v>
      </c>
      <c r="E18" s="26" t="s">
        <v>38</v>
      </c>
      <c r="F18" s="26" t="s">
        <v>39</v>
      </c>
      <c r="G18" s="43"/>
      <c r="H18" s="43"/>
      <c r="I18" s="43"/>
      <c r="J18" s="44"/>
      <c r="L18" s="16" t="s">
        <v>5</v>
      </c>
      <c r="N18" s="46"/>
    </row>
    <row r="19" spans="1:14" ht="17" x14ac:dyDescent="0.2">
      <c r="A19" s="2"/>
      <c r="B19" s="43"/>
      <c r="C19" s="33" t="s">
        <v>40</v>
      </c>
      <c r="D19" s="7">
        <v>1.65</v>
      </c>
      <c r="E19" s="7">
        <v>1.405</v>
      </c>
      <c r="F19" s="7">
        <v>1.2350000000000001</v>
      </c>
      <c r="G19" s="43"/>
      <c r="H19" s="43"/>
      <c r="I19" s="43"/>
      <c r="J19" s="44"/>
      <c r="M19" s="45" t="s">
        <v>110</v>
      </c>
    </row>
    <row r="20" spans="1:14" ht="17" thickBot="1" x14ac:dyDescent="0.25">
      <c r="A20" s="2"/>
      <c r="B20" s="43"/>
      <c r="C20" s="43"/>
      <c r="D20" s="43"/>
      <c r="E20" s="43"/>
      <c r="F20" s="43"/>
      <c r="G20" s="43"/>
      <c r="H20" s="43"/>
      <c r="I20" s="43"/>
      <c r="J20" s="44"/>
    </row>
    <row r="21" spans="1:14" ht="17" thickBot="1" x14ac:dyDescent="0.25">
      <c r="A21" s="2"/>
      <c r="B21" s="54" t="s">
        <v>187</v>
      </c>
      <c r="C21" s="43"/>
      <c r="D21" s="43"/>
      <c r="E21" s="43"/>
      <c r="F21" s="43"/>
      <c r="G21" s="43"/>
      <c r="H21" s="43"/>
      <c r="I21" s="43"/>
      <c r="J21" s="44"/>
      <c r="M21" s="92" t="s">
        <v>105</v>
      </c>
      <c r="N21" s="104">
        <f>N3*N10+(1-N3)*N15</f>
        <v>2.8630387500000003</v>
      </c>
    </row>
    <row r="22" spans="1:14" x14ac:dyDescent="0.2">
      <c r="A22" s="2"/>
      <c r="B22" s="43"/>
      <c r="C22" s="43"/>
      <c r="D22" s="43"/>
      <c r="E22" s="43"/>
      <c r="F22" s="43"/>
      <c r="G22" s="43"/>
      <c r="H22" s="43"/>
      <c r="I22" s="43"/>
      <c r="J22" s="44"/>
      <c r="N22" s="49"/>
    </row>
    <row r="23" spans="1:14" x14ac:dyDescent="0.2">
      <c r="A23" s="2"/>
      <c r="B23" s="43"/>
      <c r="C23" s="43"/>
      <c r="D23" s="43"/>
      <c r="E23" s="43"/>
      <c r="F23" s="43"/>
      <c r="G23" s="43"/>
      <c r="H23" s="43"/>
      <c r="I23" s="43"/>
      <c r="J23" s="44"/>
    </row>
    <row r="24" spans="1:14" x14ac:dyDescent="0.2">
      <c r="A24" s="43" t="s">
        <v>0</v>
      </c>
      <c r="B24" s="43" t="s">
        <v>99</v>
      </c>
      <c r="C24" s="43"/>
      <c r="D24" s="43"/>
      <c r="E24" s="43"/>
      <c r="F24" s="43"/>
      <c r="G24" s="43"/>
      <c r="H24" s="43"/>
      <c r="I24" s="43"/>
      <c r="J24" s="44"/>
      <c r="L24" s="16" t="s">
        <v>111</v>
      </c>
    </row>
    <row r="25" spans="1:14" x14ac:dyDescent="0.2">
      <c r="A25" s="2"/>
      <c r="B25" s="43"/>
      <c r="C25" s="43"/>
      <c r="D25" s="43"/>
      <c r="E25" s="43"/>
      <c r="F25" s="43"/>
      <c r="G25" s="43"/>
      <c r="H25" s="43"/>
      <c r="I25" s="43"/>
      <c r="J25" s="44"/>
      <c r="M25" s="45" t="s">
        <v>112</v>
      </c>
    </row>
    <row r="26" spans="1:14" x14ac:dyDescent="0.2">
      <c r="A26" s="2"/>
      <c r="B26" s="43"/>
      <c r="C26" s="43"/>
      <c r="D26" s="43"/>
      <c r="E26" s="43"/>
      <c r="F26" s="43"/>
      <c r="G26" s="43"/>
      <c r="H26" s="43"/>
      <c r="I26" s="43"/>
      <c r="J26" s="44"/>
    </row>
    <row r="27" spans="1:14" x14ac:dyDescent="0.2">
      <c r="A27" s="43" t="s">
        <v>1</v>
      </c>
      <c r="B27" s="43" t="s">
        <v>100</v>
      </c>
      <c r="C27" s="43"/>
      <c r="D27" s="43"/>
      <c r="E27" s="43"/>
      <c r="F27" s="43"/>
      <c r="G27" s="43"/>
      <c r="H27" s="43"/>
      <c r="I27" s="43"/>
      <c r="J27" s="44"/>
      <c r="M27" s="55" t="s">
        <v>113</v>
      </c>
      <c r="N27" s="59">
        <f>1-1/N9</f>
        <v>0.65072075954263631</v>
      </c>
    </row>
    <row r="28" spans="1:14" x14ac:dyDescent="0.2">
      <c r="A28" s="2"/>
      <c r="B28" s="43"/>
      <c r="C28" s="43"/>
      <c r="D28" s="43"/>
      <c r="E28" s="43"/>
      <c r="F28" s="43"/>
      <c r="G28" s="43"/>
      <c r="H28" s="43"/>
      <c r="I28" s="43"/>
      <c r="J28" s="44"/>
    </row>
    <row r="29" spans="1:14" x14ac:dyDescent="0.2">
      <c r="A29" s="2"/>
      <c r="B29" s="43"/>
      <c r="C29" s="43"/>
      <c r="D29" s="43"/>
      <c r="E29" s="43"/>
      <c r="F29" s="43"/>
      <c r="G29" s="43"/>
      <c r="H29" s="43"/>
      <c r="I29" s="43"/>
      <c r="J29" s="44"/>
    </row>
    <row r="30" spans="1:14" x14ac:dyDescent="0.2">
      <c r="A30" s="43" t="s">
        <v>2</v>
      </c>
      <c r="B30" s="43" t="s">
        <v>177</v>
      </c>
      <c r="C30" s="43"/>
      <c r="D30" s="43"/>
      <c r="E30" s="43"/>
      <c r="F30" s="43"/>
      <c r="G30" s="43"/>
      <c r="H30" s="43"/>
      <c r="I30" s="43"/>
      <c r="J30" s="44"/>
    </row>
    <row r="31" spans="1:14" x14ac:dyDescent="0.2">
      <c r="A31" s="2"/>
      <c r="B31" s="43" t="s">
        <v>178</v>
      </c>
      <c r="C31" s="43"/>
      <c r="D31" s="43"/>
      <c r="E31" s="43"/>
      <c r="F31" s="43"/>
      <c r="G31" s="43"/>
      <c r="H31" s="43"/>
      <c r="I31" s="43"/>
      <c r="J31" s="44"/>
    </row>
    <row r="32" spans="1:14" x14ac:dyDescent="0.2">
      <c r="A32" s="2"/>
      <c r="B32" s="43"/>
      <c r="C32" s="43"/>
      <c r="D32" s="43"/>
      <c r="E32" s="43"/>
      <c r="F32" s="43"/>
      <c r="G32" s="43"/>
      <c r="H32" s="43"/>
      <c r="I32" s="43"/>
      <c r="J32" s="44"/>
    </row>
    <row r="33" spans="1:15" x14ac:dyDescent="0.2">
      <c r="A33" s="2"/>
      <c r="B33" s="43"/>
      <c r="C33" s="43"/>
      <c r="D33" s="43"/>
      <c r="E33" s="43"/>
      <c r="F33" s="43"/>
      <c r="G33" s="43"/>
      <c r="H33" s="43"/>
      <c r="I33" s="43"/>
      <c r="J33" s="44"/>
    </row>
    <row r="34" spans="1:15" x14ac:dyDescent="0.2">
      <c r="A34" s="43" t="s">
        <v>101</v>
      </c>
      <c r="B34" s="43" t="s">
        <v>102</v>
      </c>
      <c r="C34" s="43"/>
      <c r="D34" s="43"/>
      <c r="E34" s="43"/>
      <c r="F34" s="43"/>
      <c r="G34" s="43"/>
      <c r="H34" s="43"/>
      <c r="I34" s="43"/>
      <c r="J34" s="44"/>
      <c r="M34" s="55" t="s">
        <v>113</v>
      </c>
      <c r="N34" s="59">
        <f>($N$3*($N$10-1) + (1-$N$3)*($N$15-1))/$N$9</f>
        <v>0.65072075954263631</v>
      </c>
    </row>
    <row r="35" spans="1:15" x14ac:dyDescent="0.2">
      <c r="A35" s="2"/>
      <c r="B35" s="43" t="s">
        <v>103</v>
      </c>
      <c r="C35" s="43"/>
      <c r="D35" s="43"/>
      <c r="E35" s="43"/>
      <c r="F35" s="43"/>
      <c r="G35" s="43"/>
      <c r="H35" s="43"/>
      <c r="I35" s="43"/>
      <c r="J35" s="44"/>
      <c r="M35" s="55"/>
      <c r="N35" s="59"/>
    </row>
    <row r="36" spans="1:15" x14ac:dyDescent="0.2">
      <c r="A36" s="2"/>
      <c r="B36" s="43"/>
      <c r="C36" s="43"/>
      <c r="D36" s="43"/>
      <c r="E36" s="43"/>
      <c r="F36" s="43"/>
      <c r="G36" s="43"/>
      <c r="H36" s="43"/>
      <c r="I36" s="43"/>
      <c r="J36" s="44"/>
      <c r="M36" s="19" t="s">
        <v>115</v>
      </c>
      <c r="N36" s="20">
        <f>($N$3*($N$10-1))/$N$9</f>
        <v>0.50143436229781957</v>
      </c>
      <c r="O36" s="59"/>
    </row>
    <row r="37" spans="1:15" ht="17" thickBot="1" x14ac:dyDescent="0.25">
      <c r="A37" s="2"/>
      <c r="B37" s="43"/>
      <c r="C37" s="43"/>
      <c r="D37" s="43"/>
      <c r="E37" s="43"/>
      <c r="F37" s="43"/>
      <c r="G37" s="43"/>
      <c r="H37" s="43"/>
      <c r="I37" s="43"/>
      <c r="J37" s="44"/>
      <c r="L37" s="60"/>
      <c r="M37" s="40" t="s">
        <v>116</v>
      </c>
      <c r="N37" s="41">
        <f>((1-$N$3)*($N$15-1))/$N$9</f>
        <v>0.14928639724481674</v>
      </c>
    </row>
    <row r="38" spans="1:15" ht="17" thickBot="1" x14ac:dyDescent="0.25">
      <c r="A38" s="309" t="s">
        <v>175</v>
      </c>
      <c r="B38" s="310"/>
      <c r="C38" s="310"/>
      <c r="D38" s="310"/>
      <c r="E38" s="310"/>
      <c r="F38" s="310"/>
      <c r="G38" s="310"/>
      <c r="H38" s="310"/>
      <c r="I38" s="310"/>
      <c r="J38" s="311"/>
      <c r="M38" s="19" t="s">
        <v>114</v>
      </c>
      <c r="N38" s="21">
        <f>SUM(N36:N37)</f>
        <v>0.65072075954263631</v>
      </c>
    </row>
    <row r="40" spans="1:15" ht="19" x14ac:dyDescent="0.25">
      <c r="A40" s="3"/>
    </row>
    <row r="41" spans="1:15" ht="19" x14ac:dyDescent="0.25">
      <c r="L41" s="3" t="s">
        <v>210</v>
      </c>
    </row>
    <row r="42" spans="1:15" x14ac:dyDescent="0.2">
      <c r="L42" s="76" t="s">
        <v>214</v>
      </c>
    </row>
    <row r="47" spans="1:15" x14ac:dyDescent="0.2">
      <c r="L47" s="5"/>
    </row>
    <row r="48" spans="1:15" x14ac:dyDescent="0.2">
      <c r="L48" s="5"/>
    </row>
    <row r="49" spans="12:14" x14ac:dyDescent="0.2">
      <c r="L49" s="5"/>
    </row>
    <row r="50" spans="12:14" x14ac:dyDescent="0.2">
      <c r="L50" s="5"/>
    </row>
    <row r="51" spans="12:14" x14ac:dyDescent="0.2">
      <c r="L51" s="5"/>
    </row>
    <row r="52" spans="12:14" x14ac:dyDescent="0.2">
      <c r="L52" s="5"/>
    </row>
    <row r="53" spans="12:14" x14ac:dyDescent="0.2">
      <c r="L53" s="5"/>
    </row>
    <row r="61" spans="12:14" x14ac:dyDescent="0.2">
      <c r="M61" s="46"/>
    </row>
    <row r="62" spans="12:14" x14ac:dyDescent="0.2">
      <c r="L62" s="5"/>
      <c r="M62" s="5"/>
      <c r="N62" s="5"/>
    </row>
    <row r="63" spans="12:14" x14ac:dyDescent="0.2">
      <c r="L63" s="5"/>
      <c r="M63" s="5"/>
      <c r="N63" s="5"/>
    </row>
    <row r="64" spans="12: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x14ac:dyDescent="0.2">
      <c r="M71" s="46"/>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2:14" x14ac:dyDescent="0.2">
      <c r="L81" s="5"/>
      <c r="M81" s="5"/>
      <c r="N81" s="5"/>
    </row>
    <row r="82" spans="12:14" x14ac:dyDescent="0.2">
      <c r="M82" s="46"/>
    </row>
    <row r="83" spans="12:14" x14ac:dyDescent="0.2">
      <c r="L83" s="5"/>
      <c r="M83" s="5"/>
      <c r="N83" s="5"/>
    </row>
    <row r="84" spans="12:14" x14ac:dyDescent="0.2">
      <c r="L84" s="5"/>
      <c r="M84" s="5"/>
      <c r="N84" s="5"/>
    </row>
    <row r="85" spans="12:14" x14ac:dyDescent="0.2">
      <c r="L85" s="5"/>
      <c r="M85" s="5"/>
      <c r="N85" s="5"/>
    </row>
    <row r="86" spans="12:14" x14ac:dyDescent="0.2">
      <c r="L86" s="5"/>
      <c r="M86" s="5"/>
      <c r="N86" s="5"/>
    </row>
    <row r="87" spans="12:14" x14ac:dyDescent="0.2">
      <c r="L87" s="5"/>
      <c r="M87" s="5"/>
      <c r="N87" s="5"/>
    </row>
    <row r="88" spans="12:14" x14ac:dyDescent="0.2">
      <c r="L88" s="5"/>
      <c r="M88" s="5"/>
      <c r="N88" s="5"/>
    </row>
    <row r="89" spans="12:14" x14ac:dyDescent="0.2">
      <c r="L89" s="5"/>
      <c r="M89" s="5"/>
      <c r="N89" s="5"/>
    </row>
    <row r="90" spans="12:14" x14ac:dyDescent="0.2">
      <c r="L90" s="5"/>
      <c r="M90" s="5"/>
      <c r="N90" s="5"/>
    </row>
    <row r="91" spans="12:14" x14ac:dyDescent="0.2">
      <c r="L91" s="5"/>
      <c r="M91" s="5"/>
      <c r="N91" s="5"/>
    </row>
    <row r="92" spans="12:14" x14ac:dyDescent="0.2">
      <c r="M92" s="46"/>
    </row>
    <row r="93" spans="12:14" x14ac:dyDescent="0.2">
      <c r="L93" s="5"/>
      <c r="M93" s="5"/>
      <c r="N93" s="5"/>
    </row>
    <row r="94" spans="12:14" x14ac:dyDescent="0.2">
      <c r="L94" s="5"/>
      <c r="M94" s="5"/>
      <c r="N94" s="5"/>
    </row>
    <row r="95" spans="12:14" x14ac:dyDescent="0.2">
      <c r="L95" s="5"/>
      <c r="M95" s="5"/>
      <c r="N95" s="5"/>
    </row>
    <row r="96" spans="12:14" x14ac:dyDescent="0.2">
      <c r="L96" s="5"/>
      <c r="M96" s="5"/>
      <c r="N96" s="5"/>
    </row>
    <row r="97" spans="1:64" x14ac:dyDescent="0.2">
      <c r="L97" s="5"/>
      <c r="M97" s="5"/>
      <c r="N97" s="5"/>
    </row>
    <row r="98" spans="1:64" x14ac:dyDescent="0.2">
      <c r="L98" s="5"/>
      <c r="M98" s="5"/>
      <c r="N98" s="5"/>
    </row>
    <row r="99" spans="1:64" x14ac:dyDescent="0.2">
      <c r="A99" s="5"/>
      <c r="B99" s="5"/>
      <c r="C99" s="5"/>
      <c r="D99" s="5"/>
      <c r="E99" s="5"/>
      <c r="F99" s="5"/>
      <c r="G99" s="5"/>
      <c r="H99" s="5"/>
      <c r="I99" s="5"/>
      <c r="J99" s="5"/>
      <c r="L99" s="5"/>
      <c r="M99" s="5"/>
      <c r="N99" s="5"/>
    </row>
    <row r="100" spans="1:64" x14ac:dyDescent="0.2">
      <c r="A100" s="5"/>
      <c r="B100" s="5"/>
      <c r="C100" s="5"/>
      <c r="D100" s="5"/>
      <c r="E100" s="5"/>
      <c r="F100" s="5"/>
      <c r="G100" s="5"/>
      <c r="H100" s="5"/>
      <c r="I100" s="5"/>
      <c r="J100" s="5"/>
      <c r="K100" s="5"/>
      <c r="L100" s="5"/>
      <c r="M100" s="5"/>
      <c r="N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row>
    <row r="101" spans="1:64" x14ac:dyDescent="0.2">
      <c r="A101" s="5"/>
      <c r="B101" s="5"/>
      <c r="C101" s="5"/>
      <c r="D101" s="5"/>
      <c r="E101" s="5"/>
      <c r="F101" s="5"/>
      <c r="G101" s="5"/>
      <c r="H101" s="5"/>
      <c r="I101" s="5"/>
      <c r="J101" s="5"/>
      <c r="K101" s="5"/>
      <c r="L101" s="5"/>
      <c r="M101" s="5"/>
      <c r="N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row>
    <row r="102" spans="1:64" x14ac:dyDescent="0.2">
      <c r="A102" s="5"/>
      <c r="B102" s="5"/>
      <c r="C102" s="5"/>
      <c r="D102" s="5"/>
      <c r="E102" s="5"/>
      <c r="F102" s="5"/>
      <c r="G102" s="5"/>
      <c r="H102" s="5"/>
      <c r="I102" s="5"/>
      <c r="J102" s="5"/>
      <c r="K102" s="5"/>
      <c r="M102" s="46"/>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row>
    <row r="103" spans="1:64"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row>
    <row r="104" spans="1:64"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row>
    <row r="105" spans="1:64"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row>
    <row r="106" spans="1:64"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row>
    <row r="107" spans="1:64"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row>
    <row r="108" spans="1:64"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row>
    <row r="109" spans="1:64"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row>
    <row r="110" spans="1:64"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row>
    <row r="111" spans="1:64"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row>
    <row r="112" spans="1:64"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row>
    <row r="113" spans="1:64"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row>
    <row r="114" spans="1:64"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row>
    <row r="115" spans="1:64"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row>
    <row r="116" spans="1:64"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row>
    <row r="117" spans="1:64"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row>
    <row r="118" spans="1:64"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row>
    <row r="119" spans="1:64"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row>
    <row r="120" spans="1:64"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row>
    <row r="121" spans="1:64"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row>
    <row r="122" spans="1:64"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row>
    <row r="123" spans="1:64"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row>
    <row r="124" spans="1:64"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row>
    <row r="125" spans="1:64"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row>
    <row r="126" spans="1:64"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row>
    <row r="127" spans="1:64"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row>
    <row r="128" spans="1:64"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row>
    <row r="129" spans="1:64"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row>
    <row r="130" spans="1:64"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row>
    <row r="131" spans="1:64"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row>
    <row r="132" spans="1:64"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row>
    <row r="133" spans="1:64"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row>
    <row r="134" spans="1:64"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row>
    <row r="135" spans="1:64"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row>
    <row r="136" spans="1:64"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row>
    <row r="137" spans="1:64"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row>
    <row r="138" spans="1:64"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row>
    <row r="139" spans="1:64"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row>
    <row r="140" spans="1:64"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row>
    <row r="141" spans="1:64"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row>
    <row r="142" spans="1:64"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row>
    <row r="143" spans="1:64"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row>
    <row r="144" spans="1:64"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row>
    <row r="145" spans="1:64"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row>
    <row r="146" spans="1:64"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row>
    <row r="147" spans="1:64"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row>
    <row r="148" spans="1:64"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row>
    <row r="149" spans="1:64"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row>
    <row r="150" spans="1:64"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row>
    <row r="151" spans="1:64"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row>
    <row r="152" spans="1:64"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row>
    <row r="153" spans="1:64"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row>
    <row r="154" spans="1:64"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row>
    <row r="155" spans="1:64"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row>
    <row r="156" spans="1:64"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row>
    <row r="157" spans="1:64"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row>
    <row r="158" spans="1:64"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row>
    <row r="159" spans="1:64"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row>
    <row r="160" spans="1:64"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row>
    <row r="161" spans="1:64"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row>
    <row r="162" spans="1:64"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row>
    <row r="163" spans="1:64"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row>
    <row r="164" spans="1:64"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row>
    <row r="165" spans="1:64"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row>
    <row r="166" spans="1:64"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row>
    <row r="167" spans="1:64"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row>
    <row r="168" spans="1:64"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row>
    <row r="169" spans="1:64"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row>
    <row r="170" spans="1:64"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row>
    <row r="171" spans="1:64"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row>
    <row r="172" spans="1:64"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row>
    <row r="173" spans="1:64"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row>
    <row r="174" spans="1:64"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row>
    <row r="175" spans="1:64"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row>
    <row r="176" spans="1:64"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row>
    <row r="177" spans="1:64"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row>
    <row r="178" spans="1:64"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row>
    <row r="179" spans="1:64"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row>
    <row r="180" spans="1:64"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row>
    <row r="181" spans="1:64"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row>
    <row r="182" spans="1:64"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row>
    <row r="183" spans="1:64"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row>
    <row r="184" spans="1:64"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row>
    <row r="185" spans="1:64"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row>
    <row r="186" spans="1:64"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row>
    <row r="187" spans="1:64"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row>
    <row r="188" spans="1:64"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row>
    <row r="189" spans="1:64"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row>
    <row r="190" spans="1:64"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row>
    <row r="191" spans="1:64"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row>
    <row r="192" spans="1:64"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row>
    <row r="193" spans="1:64"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row>
    <row r="194" spans="1:64"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row>
    <row r="195" spans="1:64"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row>
    <row r="196" spans="1:64"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row>
    <row r="197" spans="1:64"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row>
    <row r="198" spans="1:64"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row>
    <row r="199" spans="1:64"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row>
    <row r="200" spans="1:64"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row>
    <row r="201" spans="1:64" x14ac:dyDescent="0.2">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row>
    <row r="202" spans="1:64" x14ac:dyDescent="0.2">
      <c r="L202" s="5"/>
      <c r="M202" s="5"/>
      <c r="N202" s="5"/>
      <c r="O202" s="5"/>
      <c r="P202" s="5"/>
      <c r="Q202" s="5"/>
      <c r="R202" s="5"/>
      <c r="S202" s="5"/>
    </row>
    <row r="203" spans="1:64" x14ac:dyDescent="0.2">
      <c r="L203" s="5"/>
      <c r="M203" s="5"/>
      <c r="N203" s="5"/>
      <c r="O203" s="5"/>
      <c r="P203" s="5"/>
      <c r="Q203" s="5"/>
      <c r="R203" s="5"/>
    </row>
    <row r="204" spans="1:64" x14ac:dyDescent="0.2">
      <c r="L204" s="5"/>
      <c r="M204" s="5"/>
      <c r="N204" s="5"/>
      <c r="O204" s="5"/>
      <c r="P204" s="5"/>
      <c r="Q204" s="5"/>
      <c r="R204" s="5"/>
    </row>
  </sheetData>
  <mergeCells count="3">
    <mergeCell ref="C17:F17"/>
    <mergeCell ref="C10:G10"/>
    <mergeCell ref="A38:J38"/>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99056A-3C28-514F-9672-D33096FEA2CA}">
  <dimension ref="A1:BM202"/>
  <sheetViews>
    <sheetView zoomScaleNormal="100" workbookViewId="0"/>
  </sheetViews>
  <sheetFormatPr baseColWidth="10" defaultColWidth="10.83203125" defaultRowHeight="16" outlineLevelCol="1" x14ac:dyDescent="0.2"/>
  <cols>
    <col min="1" max="1" width="4.6640625" style="45" customWidth="1"/>
    <col min="2" max="5" width="10.83203125" style="45" customWidth="1"/>
    <col min="6" max="6" width="12.33203125" style="45" customWidth="1"/>
    <col min="7" max="10" width="10.83203125" style="45" customWidth="1"/>
    <col min="11" max="11" width="11.5" style="45" bestFit="1" customWidth="1"/>
    <col min="12" max="18" width="10.83203125" style="45" hidden="1" customWidth="1" outlineLevel="1"/>
    <col min="19" max="19" width="10.83203125" style="45" collapsed="1"/>
    <col min="20" max="16384" width="10.83203125" style="45"/>
  </cols>
  <sheetData>
    <row r="1" spans="1:18" ht="19" x14ac:dyDescent="0.25">
      <c r="A1" s="1" t="s">
        <v>203</v>
      </c>
      <c r="B1" s="25"/>
      <c r="C1" s="42"/>
      <c r="D1" s="42"/>
      <c r="E1" s="42"/>
      <c r="F1" s="43"/>
      <c r="G1" s="43"/>
      <c r="H1" s="43"/>
      <c r="I1" s="43"/>
      <c r="J1" s="44"/>
      <c r="K1" s="3" t="s">
        <v>176</v>
      </c>
    </row>
    <row r="2" spans="1:18" x14ac:dyDescent="0.2">
      <c r="A2" s="2"/>
      <c r="B2" s="43"/>
      <c r="C2" s="43"/>
      <c r="D2" s="43"/>
      <c r="E2" s="43"/>
      <c r="F2" s="43"/>
      <c r="G2" s="43"/>
      <c r="H2" s="43"/>
      <c r="I2" s="43"/>
      <c r="J2" s="44"/>
      <c r="L2" s="45" t="s">
        <v>130</v>
      </c>
      <c r="M2" s="46"/>
    </row>
    <row r="3" spans="1:18" x14ac:dyDescent="0.2">
      <c r="A3" s="2"/>
      <c r="B3" s="43" t="s">
        <v>117</v>
      </c>
      <c r="C3" s="43"/>
      <c r="D3" s="43"/>
      <c r="E3" s="43"/>
      <c r="F3" s="43"/>
      <c r="G3" s="43"/>
      <c r="H3" s="43"/>
      <c r="I3" s="43"/>
      <c r="J3" s="44"/>
    </row>
    <row r="4" spans="1:18" x14ac:dyDescent="0.2">
      <c r="A4" s="2"/>
      <c r="B4" s="43" t="s">
        <v>118</v>
      </c>
      <c r="C4" s="43"/>
      <c r="D4" s="43"/>
      <c r="E4" s="43"/>
      <c r="F4" s="43"/>
      <c r="G4" s="43"/>
      <c r="H4" s="43"/>
      <c r="I4" s="43"/>
      <c r="J4" s="44"/>
      <c r="L4" s="16" t="s">
        <v>131</v>
      </c>
    </row>
    <row r="5" spans="1:18" x14ac:dyDescent="0.2">
      <c r="A5" s="2"/>
      <c r="B5" s="43"/>
      <c r="C5" s="43"/>
      <c r="D5" s="43"/>
      <c r="E5" s="43"/>
      <c r="F5" s="43"/>
      <c r="G5" s="43"/>
      <c r="H5" s="43"/>
      <c r="I5" s="43"/>
      <c r="J5" s="44"/>
    </row>
    <row r="6" spans="1:18" x14ac:dyDescent="0.2">
      <c r="A6" s="2"/>
      <c r="B6" s="43"/>
      <c r="C6" s="315" t="s">
        <v>122</v>
      </c>
      <c r="D6" s="315"/>
      <c r="E6" s="315"/>
      <c r="F6" s="315"/>
      <c r="G6" s="315"/>
      <c r="H6" s="43"/>
      <c r="I6" s="43"/>
      <c r="J6" s="44"/>
      <c r="L6" s="45" t="s">
        <v>132</v>
      </c>
    </row>
    <row r="7" spans="1:18" x14ac:dyDescent="0.2">
      <c r="A7" s="2"/>
      <c r="B7" s="43"/>
      <c r="C7" s="320" t="s">
        <v>8</v>
      </c>
      <c r="D7" s="80"/>
      <c r="E7" s="313" t="s">
        <v>119</v>
      </c>
      <c r="F7" s="313" t="s">
        <v>120</v>
      </c>
      <c r="G7" s="313" t="s">
        <v>121</v>
      </c>
      <c r="H7" s="43"/>
      <c r="I7" s="43"/>
      <c r="J7" s="44"/>
    </row>
    <row r="8" spans="1:18" ht="17" x14ac:dyDescent="0.2">
      <c r="A8" s="2"/>
      <c r="B8" s="43"/>
      <c r="C8" s="321"/>
      <c r="D8" s="30" t="s">
        <v>7</v>
      </c>
      <c r="E8" s="314"/>
      <c r="F8" s="314"/>
      <c r="G8" s="314"/>
      <c r="H8" s="43"/>
      <c r="I8" s="43"/>
      <c r="J8" s="44"/>
      <c r="M8" s="55"/>
      <c r="N8" s="57"/>
    </row>
    <row r="9" spans="1:18" x14ac:dyDescent="0.2">
      <c r="A9" s="2"/>
      <c r="B9" s="43"/>
      <c r="C9" s="35">
        <v>500000</v>
      </c>
      <c r="D9" s="35">
        <v>100000</v>
      </c>
      <c r="E9" s="8">
        <v>9254</v>
      </c>
      <c r="F9" s="8">
        <v>114646</v>
      </c>
      <c r="G9" s="8">
        <v>120523</v>
      </c>
      <c r="H9" s="43"/>
      <c r="I9" s="43"/>
      <c r="J9" s="44"/>
      <c r="L9" s="16" t="s">
        <v>139</v>
      </c>
    </row>
    <row r="10" spans="1:18" x14ac:dyDescent="0.2">
      <c r="A10" s="2"/>
      <c r="B10" s="43"/>
      <c r="C10" s="35">
        <v>500000</v>
      </c>
      <c r="D10" s="35">
        <v>250000</v>
      </c>
      <c r="E10" s="8">
        <v>22883</v>
      </c>
      <c r="F10" s="8">
        <v>228070</v>
      </c>
      <c r="G10" s="8">
        <v>274760</v>
      </c>
      <c r="H10" s="43"/>
      <c r="I10" s="43"/>
      <c r="J10" s="44"/>
    </row>
    <row r="11" spans="1:18" x14ac:dyDescent="0.2">
      <c r="A11" s="2"/>
      <c r="B11" s="43"/>
      <c r="C11" s="35">
        <v>750000</v>
      </c>
      <c r="D11" s="35">
        <v>100000</v>
      </c>
      <c r="E11" s="7">
        <v>155</v>
      </c>
      <c r="F11" s="8">
        <v>18006</v>
      </c>
      <c r="G11" s="8">
        <v>21163</v>
      </c>
      <c r="H11" s="43"/>
      <c r="I11" s="43"/>
      <c r="J11" s="44"/>
      <c r="L11" s="45" t="s">
        <v>140</v>
      </c>
      <c r="M11" s="46"/>
    </row>
    <row r="12" spans="1:18" x14ac:dyDescent="0.2">
      <c r="A12" s="2"/>
      <c r="B12" s="43"/>
      <c r="C12" s="35">
        <v>750000</v>
      </c>
      <c r="D12" s="35">
        <v>250000</v>
      </c>
      <c r="E12" s="8">
        <v>1845</v>
      </c>
      <c r="F12" s="8">
        <v>84475</v>
      </c>
      <c r="G12" s="8">
        <v>117788</v>
      </c>
      <c r="H12" s="43"/>
      <c r="I12" s="43"/>
      <c r="J12" s="44"/>
    </row>
    <row r="13" spans="1:18" ht="16" customHeight="1" x14ac:dyDescent="0.2">
      <c r="A13" s="2"/>
      <c r="B13" s="43"/>
      <c r="C13" s="43"/>
      <c r="D13" s="43"/>
      <c r="E13" s="43"/>
      <c r="F13" s="43"/>
      <c r="G13" s="43"/>
      <c r="H13" s="43"/>
      <c r="I13" s="43"/>
      <c r="J13" s="44"/>
    </row>
    <row r="14" spans="1:18" ht="16" customHeight="1" x14ac:dyDescent="0.2">
      <c r="A14" s="2"/>
      <c r="B14" s="43"/>
      <c r="C14" s="315" t="s">
        <v>123</v>
      </c>
      <c r="D14" s="315"/>
      <c r="E14" s="315"/>
      <c r="F14" s="315"/>
      <c r="G14" s="315"/>
      <c r="H14" s="43"/>
      <c r="I14" s="43"/>
      <c r="J14" s="44"/>
      <c r="L14" s="108"/>
      <c r="M14" s="112"/>
      <c r="N14" s="110"/>
      <c r="O14" s="79" t="s">
        <v>134</v>
      </c>
      <c r="P14" s="324" t="s">
        <v>136</v>
      </c>
      <c r="Q14" s="322" t="s">
        <v>138</v>
      </c>
      <c r="R14" s="110"/>
    </row>
    <row r="15" spans="1:18" ht="20" x14ac:dyDescent="0.2">
      <c r="A15" s="2"/>
      <c r="B15" s="43"/>
      <c r="C15" s="320" t="s">
        <v>8</v>
      </c>
      <c r="D15" s="81"/>
      <c r="E15" s="313" t="s">
        <v>119</v>
      </c>
      <c r="F15" s="313" t="s">
        <v>120</v>
      </c>
      <c r="G15" s="313" t="s">
        <v>121</v>
      </c>
      <c r="H15" s="43"/>
      <c r="I15" s="43"/>
      <c r="J15" s="44"/>
      <c r="L15" s="109" t="s">
        <v>124</v>
      </c>
      <c r="M15" s="113" t="s">
        <v>133</v>
      </c>
      <c r="N15" s="107" t="s">
        <v>7</v>
      </c>
      <c r="O15" s="10" t="s">
        <v>135</v>
      </c>
      <c r="P15" s="325"/>
      <c r="Q15" s="323"/>
      <c r="R15" s="111" t="s">
        <v>137</v>
      </c>
    </row>
    <row r="16" spans="1:18" ht="17" x14ac:dyDescent="0.2">
      <c r="A16" s="2"/>
      <c r="B16" s="43"/>
      <c r="C16" s="321"/>
      <c r="D16" s="30" t="s">
        <v>7</v>
      </c>
      <c r="E16" s="314"/>
      <c r="F16" s="314"/>
      <c r="G16" s="314"/>
      <c r="H16" s="43"/>
      <c r="I16" s="43"/>
      <c r="J16" s="44"/>
      <c r="L16" s="15" t="s">
        <v>126</v>
      </c>
      <c r="M16" s="14">
        <f t="shared" ref="M16:N18" si="0">D28</f>
        <v>500000</v>
      </c>
      <c r="N16" s="14">
        <f t="shared" si="0"/>
        <v>250000</v>
      </c>
      <c r="O16" s="14">
        <f>MAX(F28-D28,0)</f>
        <v>24000</v>
      </c>
      <c r="P16" s="14">
        <f>G10</f>
        <v>274760</v>
      </c>
      <c r="Q16" s="105">
        <f>G10/E10</f>
        <v>12.007166892452913</v>
      </c>
      <c r="R16" s="14">
        <f>O16+(1-1/Q16)*P16</f>
        <v>275877</v>
      </c>
    </row>
    <row r="17" spans="1:18" ht="17" x14ac:dyDescent="0.2">
      <c r="A17" s="2"/>
      <c r="B17" s="43"/>
      <c r="C17" s="35">
        <v>1000000</v>
      </c>
      <c r="D17" s="35">
        <v>100000</v>
      </c>
      <c r="E17" s="8">
        <v>39703</v>
      </c>
      <c r="F17" s="8">
        <v>456499</v>
      </c>
      <c r="G17" s="8">
        <v>466934</v>
      </c>
      <c r="H17" s="43"/>
      <c r="I17" s="43"/>
      <c r="J17" s="44"/>
      <c r="L17" s="15" t="s">
        <v>127</v>
      </c>
      <c r="M17" s="14">
        <f t="shared" si="0"/>
        <v>750000</v>
      </c>
      <c r="N17" s="14">
        <f t="shared" si="0"/>
        <v>250000</v>
      </c>
      <c r="O17" s="14">
        <f>MAX(F29-D29,0)</f>
        <v>29600</v>
      </c>
      <c r="P17" s="14">
        <f>G12</f>
        <v>117788</v>
      </c>
      <c r="Q17" s="105">
        <f>G12/E12</f>
        <v>63.841734417344171</v>
      </c>
      <c r="R17" s="14">
        <f>O17+(1-1/Q17)*P17</f>
        <v>145543</v>
      </c>
    </row>
    <row r="18" spans="1:18" ht="17" x14ac:dyDescent="0.2">
      <c r="A18" s="2"/>
      <c r="B18" s="43"/>
      <c r="C18" s="35">
        <v>1000000</v>
      </c>
      <c r="D18" s="35">
        <v>250000</v>
      </c>
      <c r="E18" s="8">
        <v>81085</v>
      </c>
      <c r="F18" s="8">
        <v>759354</v>
      </c>
      <c r="G18" s="8">
        <v>881844</v>
      </c>
      <c r="H18" s="43"/>
      <c r="I18" s="43"/>
      <c r="J18" s="44"/>
      <c r="L18" s="39" t="s">
        <v>128</v>
      </c>
      <c r="M18" s="38">
        <f t="shared" si="0"/>
        <v>1000000</v>
      </c>
      <c r="N18" s="38">
        <f t="shared" si="0"/>
        <v>250000</v>
      </c>
      <c r="O18" s="38">
        <f>MAX(F30-D30,0)</f>
        <v>0</v>
      </c>
      <c r="P18" s="38">
        <f>G18</f>
        <v>881844</v>
      </c>
      <c r="Q18" s="106">
        <f>G18/E18</f>
        <v>10.875550348399827</v>
      </c>
      <c r="R18" s="38">
        <f>O18+(1-1/Q18)*P18</f>
        <v>800759</v>
      </c>
    </row>
    <row r="19" spans="1:18" ht="17" x14ac:dyDescent="0.2">
      <c r="A19" s="2"/>
      <c r="B19" s="43"/>
      <c r="C19" s="35">
        <v>1250000</v>
      </c>
      <c r="D19" s="35">
        <v>100000</v>
      </c>
      <c r="E19" s="8">
        <v>3829</v>
      </c>
      <c r="F19" s="8">
        <v>236271</v>
      </c>
      <c r="G19" s="8">
        <v>248038</v>
      </c>
      <c r="H19" s="43"/>
      <c r="I19" s="43"/>
      <c r="J19" s="44"/>
      <c r="L19" s="15" t="s">
        <v>207</v>
      </c>
      <c r="Q19" s="52"/>
      <c r="R19" s="17">
        <f>SUM(R16:R18)</f>
        <v>1222179</v>
      </c>
    </row>
    <row r="20" spans="1:18" x14ac:dyDescent="0.2">
      <c r="A20" s="2"/>
      <c r="B20" s="43"/>
      <c r="C20" s="35">
        <v>1250000</v>
      </c>
      <c r="D20" s="35">
        <v>250000</v>
      </c>
      <c r="E20" s="8">
        <v>17740</v>
      </c>
      <c r="F20" s="8">
        <v>522364</v>
      </c>
      <c r="G20" s="8">
        <v>642047</v>
      </c>
      <c r="H20" s="43"/>
      <c r="I20" s="43"/>
      <c r="J20" s="44"/>
    </row>
    <row r="21" spans="1:18" x14ac:dyDescent="0.2">
      <c r="A21" s="2"/>
      <c r="B21" s="43"/>
      <c r="C21" s="43"/>
      <c r="D21" s="43"/>
      <c r="E21" s="43"/>
      <c r="F21" s="43"/>
      <c r="G21" s="43"/>
      <c r="H21" s="43"/>
      <c r="I21" s="43"/>
      <c r="J21" s="44"/>
      <c r="L21" s="23" t="s">
        <v>141</v>
      </c>
    </row>
    <row r="22" spans="1:18" x14ac:dyDescent="0.2">
      <c r="A22" s="2"/>
      <c r="B22" s="54" t="s">
        <v>188</v>
      </c>
      <c r="C22" s="43"/>
      <c r="D22" s="43"/>
      <c r="E22" s="43"/>
      <c r="F22" s="47">
        <v>1000000</v>
      </c>
      <c r="G22" s="43"/>
      <c r="H22" s="43"/>
      <c r="I22" s="43"/>
      <c r="J22" s="44"/>
    </row>
    <row r="23" spans="1:18" x14ac:dyDescent="0.2">
      <c r="A23" s="2"/>
      <c r="B23" s="54" t="s">
        <v>189</v>
      </c>
      <c r="C23" s="43"/>
      <c r="D23" s="43"/>
      <c r="E23" s="43"/>
      <c r="F23" s="47">
        <v>2500000</v>
      </c>
      <c r="G23" s="43"/>
      <c r="H23" s="43"/>
      <c r="I23" s="43"/>
      <c r="J23" s="44"/>
    </row>
    <row r="24" spans="1:18" x14ac:dyDescent="0.2">
      <c r="A24" s="2"/>
      <c r="B24" s="43"/>
      <c r="C24" s="43"/>
      <c r="D24" s="43"/>
      <c r="E24" s="43"/>
      <c r="F24" s="43"/>
      <c r="G24" s="43"/>
      <c r="H24" s="43"/>
      <c r="I24" s="43"/>
      <c r="J24" s="44"/>
    </row>
    <row r="25" spans="1:18" ht="19" x14ac:dyDescent="0.25">
      <c r="A25" s="2"/>
      <c r="B25" s="43"/>
      <c r="C25" s="43"/>
      <c r="D25" s="43"/>
      <c r="E25" s="43"/>
      <c r="F25" s="313" t="s">
        <v>125</v>
      </c>
      <c r="G25" s="43"/>
      <c r="H25" s="43"/>
      <c r="I25" s="43"/>
      <c r="J25" s="44"/>
      <c r="L25" s="3" t="s">
        <v>210</v>
      </c>
    </row>
    <row r="26" spans="1:18" x14ac:dyDescent="0.2">
      <c r="A26" s="2"/>
      <c r="B26" s="43"/>
      <c r="C26" s="78"/>
      <c r="D26" s="313" t="s">
        <v>8</v>
      </c>
      <c r="E26" s="43"/>
      <c r="F26" s="313"/>
      <c r="G26" s="43"/>
      <c r="H26" s="43"/>
      <c r="I26" s="43"/>
      <c r="J26" s="44"/>
      <c r="L26" s="76" t="s">
        <v>216</v>
      </c>
    </row>
    <row r="27" spans="1:18" ht="17" x14ac:dyDescent="0.2">
      <c r="A27" s="2"/>
      <c r="B27" s="43"/>
      <c r="C27" s="30" t="s">
        <v>124</v>
      </c>
      <c r="D27" s="314"/>
      <c r="E27" s="28" t="s">
        <v>7</v>
      </c>
      <c r="F27" s="314"/>
      <c r="G27" s="43"/>
      <c r="H27" s="43"/>
      <c r="I27" s="43"/>
      <c r="J27" s="44"/>
    </row>
    <row r="28" spans="1:18" ht="17" x14ac:dyDescent="0.2">
      <c r="A28" s="2"/>
      <c r="B28" s="43"/>
      <c r="C28" s="33" t="s">
        <v>126</v>
      </c>
      <c r="D28" s="8">
        <v>500000</v>
      </c>
      <c r="E28" s="8">
        <v>250000</v>
      </c>
      <c r="F28" s="8">
        <v>524000</v>
      </c>
      <c r="G28" s="43"/>
      <c r="H28" s="43"/>
      <c r="I28" s="43"/>
      <c r="J28" s="44"/>
    </row>
    <row r="29" spans="1:18" ht="17" x14ac:dyDescent="0.2">
      <c r="A29" s="2"/>
      <c r="B29" s="43"/>
      <c r="C29" s="33" t="s">
        <v>127</v>
      </c>
      <c r="D29" s="8">
        <v>750000</v>
      </c>
      <c r="E29" s="8">
        <v>250000</v>
      </c>
      <c r="F29" s="8">
        <v>779600</v>
      </c>
      <c r="G29" s="43"/>
      <c r="H29" s="43"/>
      <c r="I29" s="43"/>
      <c r="J29" s="44"/>
    </row>
    <row r="30" spans="1:18" ht="17" x14ac:dyDescent="0.2">
      <c r="A30" s="2"/>
      <c r="B30" s="43"/>
      <c r="C30" s="33" t="s">
        <v>128</v>
      </c>
      <c r="D30" s="8">
        <v>1000000</v>
      </c>
      <c r="E30" s="8">
        <v>250000</v>
      </c>
      <c r="F30" s="8">
        <v>784000</v>
      </c>
      <c r="G30" s="43"/>
      <c r="H30" s="43"/>
      <c r="I30" s="43"/>
      <c r="J30" s="44"/>
    </row>
    <row r="31" spans="1:18" x14ac:dyDescent="0.2">
      <c r="A31" s="2"/>
      <c r="B31" s="43"/>
      <c r="C31" s="43"/>
      <c r="D31" s="43"/>
      <c r="E31" s="43"/>
      <c r="F31" s="43"/>
      <c r="G31" s="43"/>
      <c r="H31" s="43"/>
      <c r="I31" s="43"/>
      <c r="J31" s="44"/>
    </row>
    <row r="32" spans="1:18" x14ac:dyDescent="0.2">
      <c r="A32" s="2"/>
      <c r="B32" s="43" t="s">
        <v>129</v>
      </c>
      <c r="C32" s="43"/>
      <c r="D32" s="43"/>
      <c r="E32" s="43"/>
      <c r="F32" s="43"/>
      <c r="G32" s="43"/>
      <c r="H32" s="43"/>
      <c r="I32" s="43"/>
      <c r="J32" s="44"/>
    </row>
    <row r="33" spans="1:12" x14ac:dyDescent="0.2">
      <c r="A33" s="2"/>
      <c r="B33" s="43" t="s">
        <v>80</v>
      </c>
      <c r="C33" s="43"/>
      <c r="D33" s="43"/>
      <c r="E33" s="43"/>
      <c r="F33" s="43"/>
      <c r="G33" s="43"/>
      <c r="H33" s="43"/>
      <c r="I33" s="43"/>
      <c r="J33" s="44"/>
    </row>
    <row r="34" spans="1:12" x14ac:dyDescent="0.2">
      <c r="A34" s="2"/>
      <c r="B34" s="43"/>
      <c r="C34" s="43"/>
      <c r="D34" s="43"/>
      <c r="E34" s="43"/>
      <c r="F34" s="43"/>
      <c r="G34" s="43"/>
      <c r="H34" s="43"/>
      <c r="I34" s="43"/>
      <c r="J34" s="44"/>
    </row>
    <row r="35" spans="1:12" ht="17" thickBot="1" x14ac:dyDescent="0.25">
      <c r="A35" s="2"/>
      <c r="B35" s="43"/>
      <c r="C35" s="43"/>
      <c r="D35" s="43"/>
      <c r="E35" s="43"/>
      <c r="F35" s="43"/>
      <c r="G35" s="43"/>
      <c r="H35" s="43"/>
      <c r="I35" s="43"/>
      <c r="J35" s="44"/>
    </row>
    <row r="36" spans="1:12" ht="17" thickBot="1" x14ac:dyDescent="0.25">
      <c r="A36" s="309" t="s">
        <v>175</v>
      </c>
      <c r="B36" s="310"/>
      <c r="C36" s="310"/>
      <c r="D36" s="310"/>
      <c r="E36" s="310"/>
      <c r="F36" s="310"/>
      <c r="G36" s="310"/>
      <c r="H36" s="310"/>
      <c r="I36" s="310"/>
      <c r="J36" s="311"/>
    </row>
    <row r="38" spans="1:12" ht="19" x14ac:dyDescent="0.25">
      <c r="A38" s="3"/>
    </row>
    <row r="39" spans="1:12" x14ac:dyDescent="0.2">
      <c r="A39" s="4"/>
    </row>
    <row r="40" spans="1:12" x14ac:dyDescent="0.2">
      <c r="L40" s="5"/>
    </row>
    <row r="41" spans="1:12" x14ac:dyDescent="0.2">
      <c r="L41" s="5"/>
    </row>
    <row r="42" spans="1:12" x14ac:dyDescent="0.2">
      <c r="L42" s="5"/>
    </row>
    <row r="43" spans="1:12" x14ac:dyDescent="0.2">
      <c r="L43" s="5"/>
    </row>
    <row r="44" spans="1:12" x14ac:dyDescent="0.2">
      <c r="L44" s="5"/>
    </row>
    <row r="45" spans="1:12" x14ac:dyDescent="0.2">
      <c r="L45" s="5"/>
    </row>
    <row r="46" spans="1:12" x14ac:dyDescent="0.2">
      <c r="L46" s="5"/>
    </row>
    <row r="48" spans="1:12" x14ac:dyDescent="0.2">
      <c r="A48" s="4"/>
    </row>
    <row r="51" spans="1:14" ht="17" customHeight="1" x14ac:dyDescent="0.2"/>
    <row r="52" spans="1:14" ht="18" customHeight="1" x14ac:dyDescent="0.2"/>
    <row r="59" spans="1:14" x14ac:dyDescent="0.2">
      <c r="A59" s="4"/>
      <c r="C59" s="46"/>
      <c r="M59" s="46"/>
    </row>
    <row r="60" spans="1:14" x14ac:dyDescent="0.2">
      <c r="L60" s="5"/>
      <c r="M60" s="5"/>
      <c r="N60" s="5"/>
    </row>
    <row r="61" spans="1:14" x14ac:dyDescent="0.2">
      <c r="L61" s="5"/>
      <c r="M61" s="5"/>
      <c r="N61" s="5"/>
    </row>
    <row r="62" spans="1:14" x14ac:dyDescent="0.2">
      <c r="L62" s="5"/>
      <c r="M62" s="5"/>
      <c r="N62" s="5"/>
    </row>
    <row r="63" spans="1:14" x14ac:dyDescent="0.2">
      <c r="L63" s="5"/>
      <c r="M63" s="5"/>
      <c r="N63" s="5"/>
    </row>
    <row r="64" spans="1:14"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M69" s="46"/>
    </row>
    <row r="70" spans="12:14" x14ac:dyDescent="0.2">
      <c r="L70" s="5"/>
      <c r="M70" s="5"/>
      <c r="N70" s="5"/>
    </row>
    <row r="71" spans="12:14" x14ac:dyDescent="0.2">
      <c r="L71" s="5"/>
      <c r="M71" s="5"/>
      <c r="N71" s="5"/>
    </row>
    <row r="72" spans="12:14" x14ac:dyDescent="0.2">
      <c r="L72" s="5"/>
      <c r="M72" s="5"/>
      <c r="N72" s="5"/>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M79" s="46"/>
    </row>
    <row r="80" spans="12:14" x14ac:dyDescent="0.2">
      <c r="L80" s="5"/>
      <c r="M80" s="5"/>
      <c r="N80" s="5"/>
    </row>
    <row r="81" spans="12:14" x14ac:dyDescent="0.2">
      <c r="L81" s="5"/>
      <c r="M81" s="5"/>
      <c r="N81" s="5"/>
    </row>
    <row r="82" spans="12:14" x14ac:dyDescent="0.2">
      <c r="L82" s="5"/>
      <c r="M82" s="5"/>
      <c r="N82" s="5"/>
    </row>
    <row r="83" spans="12:14" x14ac:dyDescent="0.2">
      <c r="L83" s="5"/>
      <c r="M83" s="5"/>
      <c r="N83" s="5"/>
    </row>
    <row r="84" spans="12:14" x14ac:dyDescent="0.2">
      <c r="L84" s="5"/>
      <c r="M84" s="5"/>
      <c r="N84" s="5"/>
    </row>
    <row r="85" spans="12:14" x14ac:dyDescent="0.2">
      <c r="L85" s="5"/>
      <c r="M85" s="5"/>
      <c r="N85" s="5"/>
    </row>
    <row r="86" spans="12:14" x14ac:dyDescent="0.2">
      <c r="L86" s="5"/>
      <c r="M86" s="5"/>
      <c r="N86" s="5"/>
    </row>
    <row r="87" spans="12:14" x14ac:dyDescent="0.2">
      <c r="L87" s="5"/>
      <c r="M87" s="5"/>
      <c r="N87" s="5"/>
    </row>
    <row r="88" spans="12:14" x14ac:dyDescent="0.2">
      <c r="L88" s="5"/>
      <c r="M88" s="5"/>
      <c r="N88" s="5"/>
    </row>
    <row r="89" spans="12:14" x14ac:dyDescent="0.2">
      <c r="M89" s="46"/>
    </row>
    <row r="90" spans="12:14" x14ac:dyDescent="0.2">
      <c r="L90" s="5"/>
      <c r="M90" s="5"/>
      <c r="N90" s="5"/>
    </row>
    <row r="91" spans="12:14" x14ac:dyDescent="0.2">
      <c r="L91" s="5"/>
      <c r="M91" s="5"/>
      <c r="N91" s="5"/>
    </row>
    <row r="92" spans="12:14" x14ac:dyDescent="0.2">
      <c r="L92" s="5"/>
      <c r="M92" s="5"/>
      <c r="N92" s="5"/>
    </row>
    <row r="93" spans="12:14" x14ac:dyDescent="0.2">
      <c r="L93" s="5"/>
      <c r="M93" s="5"/>
      <c r="N93" s="5"/>
    </row>
    <row r="94" spans="12:14" x14ac:dyDescent="0.2">
      <c r="L94" s="5"/>
      <c r="M94" s="5"/>
      <c r="N94" s="5"/>
    </row>
    <row r="95" spans="12:14" x14ac:dyDescent="0.2">
      <c r="L95" s="5"/>
      <c r="M95" s="5"/>
      <c r="N95" s="5"/>
    </row>
    <row r="96" spans="12:14" x14ac:dyDescent="0.2">
      <c r="L96" s="5"/>
      <c r="M96" s="5"/>
      <c r="N96" s="5"/>
    </row>
    <row r="97" spans="1:65" x14ac:dyDescent="0.2">
      <c r="L97" s="5"/>
      <c r="M97" s="5"/>
      <c r="N97" s="5"/>
    </row>
    <row r="98" spans="1:65" x14ac:dyDescent="0.2">
      <c r="L98" s="5"/>
      <c r="M98" s="5"/>
      <c r="N98" s="5"/>
    </row>
    <row r="99" spans="1:65" x14ac:dyDescent="0.2">
      <c r="M99" s="46"/>
    </row>
    <row r="100" spans="1:65" x14ac:dyDescent="0.2">
      <c r="L100" s="5"/>
      <c r="M100" s="5"/>
      <c r="N100" s="5"/>
      <c r="O100" s="5"/>
      <c r="P100" s="5"/>
      <c r="Q100" s="5"/>
      <c r="R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row r="195" spans="1:65" x14ac:dyDescent="0.2">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c r="AG195" s="5"/>
      <c r="AH195" s="5"/>
      <c r="AI195" s="5"/>
      <c r="AJ195" s="5"/>
      <c r="AK195" s="5"/>
      <c r="AL195" s="5"/>
      <c r="AM195" s="5"/>
      <c r="AN195" s="5"/>
      <c r="AO195" s="5"/>
      <c r="AP195" s="5"/>
      <c r="AQ195" s="5"/>
      <c r="AR195" s="5"/>
      <c r="AS195" s="5"/>
      <c r="AT195" s="5"/>
      <c r="AU195" s="5"/>
      <c r="AV195" s="5"/>
      <c r="AW195" s="5"/>
      <c r="AX195" s="5"/>
      <c r="AY195" s="5"/>
      <c r="AZ195" s="5"/>
      <c r="BA195" s="5"/>
      <c r="BB195" s="5"/>
      <c r="BC195" s="5"/>
      <c r="BD195" s="5"/>
      <c r="BE195" s="5"/>
      <c r="BF195" s="5"/>
      <c r="BG195" s="5"/>
      <c r="BH195" s="5"/>
      <c r="BI195" s="5"/>
      <c r="BJ195" s="5"/>
      <c r="BK195" s="5"/>
      <c r="BL195" s="5"/>
      <c r="BM195" s="5"/>
    </row>
    <row r="196" spans="1:65" x14ac:dyDescent="0.2">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c r="AG196" s="5"/>
      <c r="AH196" s="5"/>
      <c r="AI196" s="5"/>
      <c r="AJ196" s="5"/>
      <c r="AK196" s="5"/>
      <c r="AL196" s="5"/>
      <c r="AM196" s="5"/>
      <c r="AN196" s="5"/>
      <c r="AO196" s="5"/>
      <c r="AP196" s="5"/>
      <c r="AQ196" s="5"/>
      <c r="AR196" s="5"/>
      <c r="AS196" s="5"/>
      <c r="AT196" s="5"/>
      <c r="AU196" s="5"/>
      <c r="AV196" s="5"/>
      <c r="AW196" s="5"/>
      <c r="AX196" s="5"/>
      <c r="AY196" s="5"/>
      <c r="AZ196" s="5"/>
      <c r="BA196" s="5"/>
      <c r="BB196" s="5"/>
      <c r="BC196" s="5"/>
      <c r="BD196" s="5"/>
      <c r="BE196" s="5"/>
      <c r="BF196" s="5"/>
      <c r="BG196" s="5"/>
      <c r="BH196" s="5"/>
      <c r="BI196" s="5"/>
      <c r="BJ196" s="5"/>
      <c r="BK196" s="5"/>
      <c r="BL196" s="5"/>
      <c r="BM196" s="5"/>
    </row>
    <row r="197" spans="1:65" x14ac:dyDescent="0.2">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c r="AG197" s="5"/>
      <c r="AH197" s="5"/>
      <c r="AI197" s="5"/>
      <c r="AJ197" s="5"/>
      <c r="AK197" s="5"/>
      <c r="AL197" s="5"/>
      <c r="AM197" s="5"/>
      <c r="AN197" s="5"/>
      <c r="AO197" s="5"/>
      <c r="AP197" s="5"/>
      <c r="AQ197" s="5"/>
      <c r="AR197" s="5"/>
      <c r="AS197" s="5"/>
      <c r="AT197" s="5"/>
      <c r="AU197" s="5"/>
      <c r="AV197" s="5"/>
      <c r="AW197" s="5"/>
      <c r="AX197" s="5"/>
      <c r="AY197" s="5"/>
      <c r="AZ197" s="5"/>
      <c r="BA197" s="5"/>
      <c r="BB197" s="5"/>
      <c r="BC197" s="5"/>
      <c r="BD197" s="5"/>
      <c r="BE197" s="5"/>
      <c r="BF197" s="5"/>
      <c r="BG197" s="5"/>
      <c r="BH197" s="5"/>
      <c r="BI197" s="5"/>
      <c r="BJ197" s="5"/>
      <c r="BK197" s="5"/>
      <c r="BL197" s="5"/>
      <c r="BM197" s="5"/>
    </row>
    <row r="198" spans="1:65" x14ac:dyDescent="0.2">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c r="AG198" s="5"/>
      <c r="AH198" s="5"/>
      <c r="AI198" s="5"/>
      <c r="AJ198" s="5"/>
      <c r="AK198" s="5"/>
      <c r="AL198" s="5"/>
      <c r="AM198" s="5"/>
      <c r="AN198" s="5"/>
      <c r="AO198" s="5"/>
      <c r="AP198" s="5"/>
      <c r="AQ198" s="5"/>
      <c r="AR198" s="5"/>
      <c r="AS198" s="5"/>
      <c r="AT198" s="5"/>
      <c r="AU198" s="5"/>
      <c r="AV198" s="5"/>
      <c r="AW198" s="5"/>
      <c r="AX198" s="5"/>
      <c r="AY198" s="5"/>
      <c r="AZ198" s="5"/>
      <c r="BA198" s="5"/>
      <c r="BB198" s="5"/>
      <c r="BC198" s="5"/>
      <c r="BD198" s="5"/>
      <c r="BE198" s="5"/>
      <c r="BF198" s="5"/>
      <c r="BG198" s="5"/>
      <c r="BH198" s="5"/>
      <c r="BI198" s="5"/>
      <c r="BJ198" s="5"/>
      <c r="BK198" s="5"/>
      <c r="BL198" s="5"/>
      <c r="BM198" s="5"/>
    </row>
    <row r="199" spans="1:65" x14ac:dyDescent="0.2">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c r="AG199" s="5"/>
      <c r="AH199" s="5"/>
      <c r="AI199" s="5"/>
      <c r="AJ199" s="5"/>
      <c r="AK199" s="5"/>
      <c r="AL199" s="5"/>
      <c r="AM199" s="5"/>
      <c r="AN199" s="5"/>
      <c r="AO199" s="5"/>
      <c r="AP199" s="5"/>
      <c r="AQ199" s="5"/>
      <c r="AR199" s="5"/>
      <c r="AS199" s="5"/>
      <c r="AT199" s="5"/>
      <c r="AU199" s="5"/>
      <c r="AV199" s="5"/>
      <c r="AW199" s="5"/>
      <c r="AX199" s="5"/>
      <c r="AY199" s="5"/>
      <c r="AZ199" s="5"/>
      <c r="BA199" s="5"/>
      <c r="BB199" s="5"/>
      <c r="BC199" s="5"/>
      <c r="BD199" s="5"/>
      <c r="BE199" s="5"/>
      <c r="BF199" s="5"/>
      <c r="BG199" s="5"/>
      <c r="BH199" s="5"/>
      <c r="BI199" s="5"/>
      <c r="BJ199" s="5"/>
      <c r="BK199" s="5"/>
      <c r="BL199" s="5"/>
      <c r="BM199" s="5"/>
    </row>
    <row r="200" spans="1:65" x14ac:dyDescent="0.2">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c r="AG200" s="5"/>
      <c r="AH200" s="5"/>
      <c r="AI200" s="5"/>
      <c r="AJ200" s="5"/>
      <c r="AK200" s="5"/>
      <c r="AL200" s="5"/>
      <c r="AM200" s="5"/>
      <c r="AN200" s="5"/>
      <c r="AO200" s="5"/>
      <c r="AP200" s="5"/>
      <c r="AQ200" s="5"/>
      <c r="AR200" s="5"/>
      <c r="AS200" s="5"/>
      <c r="AT200" s="5"/>
      <c r="AU200" s="5"/>
      <c r="AV200" s="5"/>
      <c r="AW200" s="5"/>
      <c r="AX200" s="5"/>
      <c r="AY200" s="5"/>
      <c r="AZ200" s="5"/>
      <c r="BA200" s="5"/>
      <c r="BB200" s="5"/>
      <c r="BC200" s="5"/>
      <c r="BD200" s="5"/>
      <c r="BE200" s="5"/>
      <c r="BF200" s="5"/>
      <c r="BG200" s="5"/>
      <c r="BH200" s="5"/>
      <c r="BI200" s="5"/>
      <c r="BJ200" s="5"/>
      <c r="BK200" s="5"/>
      <c r="BL200" s="5"/>
      <c r="BM200" s="5"/>
    </row>
    <row r="201" spans="1:65" x14ac:dyDescent="0.2">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c r="AG201" s="5"/>
      <c r="AH201" s="5"/>
      <c r="AI201" s="5"/>
      <c r="AJ201" s="5"/>
      <c r="AK201" s="5"/>
      <c r="AL201" s="5"/>
      <c r="AM201" s="5"/>
      <c r="AN201" s="5"/>
      <c r="AO201" s="5"/>
      <c r="AP201" s="5"/>
      <c r="AQ201" s="5"/>
      <c r="AR201" s="5"/>
      <c r="AS201" s="5"/>
      <c r="AT201" s="5"/>
      <c r="AU201" s="5"/>
      <c r="AV201" s="5"/>
      <c r="AW201" s="5"/>
      <c r="AX201" s="5"/>
      <c r="AY201" s="5"/>
      <c r="AZ201" s="5"/>
      <c r="BA201" s="5"/>
      <c r="BB201" s="5"/>
      <c r="BC201" s="5"/>
      <c r="BD201" s="5"/>
      <c r="BE201" s="5"/>
      <c r="BF201" s="5"/>
      <c r="BG201" s="5"/>
      <c r="BH201" s="5"/>
      <c r="BI201" s="5"/>
      <c r="BJ201" s="5"/>
      <c r="BK201" s="5"/>
      <c r="BL201" s="5"/>
      <c r="BM201" s="5"/>
    </row>
    <row r="202" spans="1:65" x14ac:dyDescent="0.2">
      <c r="A202" s="5"/>
      <c r="B202" s="5"/>
      <c r="C202" s="5"/>
      <c r="D202" s="5"/>
      <c r="E202" s="5"/>
      <c r="F202" s="5"/>
      <c r="G202" s="5"/>
      <c r="H202" s="5"/>
      <c r="I202" s="5"/>
      <c r="J202" s="5"/>
      <c r="K202" s="5"/>
      <c r="S202" s="5"/>
      <c r="T202" s="5"/>
      <c r="U202" s="5"/>
      <c r="V202" s="5"/>
      <c r="W202" s="5"/>
      <c r="X202" s="5"/>
      <c r="Y202" s="5"/>
      <c r="Z202" s="5"/>
      <c r="AA202" s="5"/>
      <c r="AB202" s="5"/>
      <c r="AC202" s="5"/>
      <c r="AD202" s="5"/>
      <c r="AE202" s="5"/>
      <c r="AF202" s="5"/>
      <c r="AG202" s="5"/>
      <c r="AH202" s="5"/>
      <c r="AI202" s="5"/>
      <c r="AJ202" s="5"/>
      <c r="AK202" s="5"/>
      <c r="AL202" s="5"/>
      <c r="AM202" s="5"/>
      <c r="AN202" s="5"/>
      <c r="AO202" s="5"/>
      <c r="AP202" s="5"/>
      <c r="AQ202" s="5"/>
      <c r="AR202" s="5"/>
      <c r="AS202" s="5"/>
      <c r="AT202" s="5"/>
      <c r="AU202" s="5"/>
      <c r="AV202" s="5"/>
      <c r="AW202" s="5"/>
      <c r="AX202" s="5"/>
      <c r="AY202" s="5"/>
      <c r="AZ202" s="5"/>
      <c r="BA202" s="5"/>
      <c r="BB202" s="5"/>
      <c r="BC202" s="5"/>
      <c r="BD202" s="5"/>
      <c r="BE202" s="5"/>
      <c r="BF202" s="5"/>
      <c r="BG202" s="5"/>
      <c r="BH202" s="5"/>
      <c r="BI202" s="5"/>
      <c r="BJ202" s="5"/>
      <c r="BK202" s="5"/>
      <c r="BL202" s="5"/>
      <c r="BM202" s="5"/>
    </row>
  </sheetData>
  <mergeCells count="15">
    <mergeCell ref="A36:J36"/>
    <mergeCell ref="F25:F27"/>
    <mergeCell ref="D26:D27"/>
    <mergeCell ref="Q14:Q15"/>
    <mergeCell ref="P14:P15"/>
    <mergeCell ref="C6:G6"/>
    <mergeCell ref="C14:G14"/>
    <mergeCell ref="G15:G16"/>
    <mergeCell ref="F15:F16"/>
    <mergeCell ref="E15:E16"/>
    <mergeCell ref="C15:C16"/>
    <mergeCell ref="G7:G8"/>
    <mergeCell ref="F7:F8"/>
    <mergeCell ref="E7:E8"/>
    <mergeCell ref="C7:C8"/>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6889FB-38B8-A54B-960D-933D380AA1BC}">
  <dimension ref="A1:BM183"/>
  <sheetViews>
    <sheetView zoomScaleNormal="100" workbookViewId="0"/>
  </sheetViews>
  <sheetFormatPr baseColWidth="10" defaultColWidth="10.83203125" defaultRowHeight="16" outlineLevelCol="1" x14ac:dyDescent="0.2"/>
  <cols>
    <col min="1" max="1" width="4.6640625" style="45" customWidth="1"/>
    <col min="2" max="10" width="10.83203125" style="45" customWidth="1"/>
    <col min="11" max="11" width="11.5" style="45" bestFit="1" customWidth="1"/>
    <col min="12" max="12" width="10.83203125" style="45" hidden="1" customWidth="1" outlineLevel="1"/>
    <col min="13" max="15" width="12.6640625" style="45" hidden="1" customWidth="1" outlineLevel="1"/>
    <col min="16" max="16" width="13.6640625" style="45" hidden="1" customWidth="1" outlineLevel="1"/>
    <col min="17" max="17" width="10.83203125" style="45" collapsed="1"/>
    <col min="18" max="16384" width="10.83203125" style="45"/>
  </cols>
  <sheetData>
    <row r="1" spans="1:16" ht="19" x14ac:dyDescent="0.25">
      <c r="A1" s="1" t="s">
        <v>204</v>
      </c>
      <c r="B1" s="25"/>
      <c r="C1" s="42"/>
      <c r="D1" s="42"/>
      <c r="E1" s="42"/>
      <c r="F1" s="43"/>
      <c r="G1" s="43"/>
      <c r="H1" s="43"/>
      <c r="I1" s="43"/>
      <c r="J1" s="44"/>
      <c r="K1" s="3" t="s">
        <v>176</v>
      </c>
    </row>
    <row r="2" spans="1:16" x14ac:dyDescent="0.2">
      <c r="A2" s="2"/>
      <c r="B2" s="43"/>
      <c r="C2" s="43"/>
      <c r="D2" s="43"/>
      <c r="E2" s="43"/>
      <c r="F2" s="43"/>
      <c r="G2" s="43"/>
      <c r="H2" s="43"/>
      <c r="I2" s="43"/>
      <c r="J2" s="44"/>
    </row>
    <row r="3" spans="1:16" x14ac:dyDescent="0.2">
      <c r="A3" s="2"/>
      <c r="B3" s="43" t="s">
        <v>142</v>
      </c>
      <c r="C3" s="43"/>
      <c r="D3" s="43"/>
      <c r="E3" s="43"/>
      <c r="F3" s="43"/>
      <c r="G3" s="43"/>
      <c r="H3" s="43"/>
      <c r="I3" s="43"/>
      <c r="J3" s="44"/>
      <c r="L3" s="45" t="s">
        <v>150</v>
      </c>
      <c r="M3" s="46"/>
    </row>
    <row r="4" spans="1:16" x14ac:dyDescent="0.2">
      <c r="A4" s="2"/>
      <c r="B4" s="43" t="s">
        <v>143</v>
      </c>
      <c r="C4" s="43"/>
      <c r="D4" s="43"/>
      <c r="E4" s="43"/>
      <c r="F4" s="43"/>
      <c r="G4" s="43"/>
      <c r="H4" s="43"/>
      <c r="I4" s="43"/>
      <c r="J4" s="44"/>
    </row>
    <row r="5" spans="1:16" x14ac:dyDescent="0.2">
      <c r="A5" s="2"/>
      <c r="B5" s="43"/>
      <c r="C5" s="43"/>
      <c r="D5" s="43"/>
      <c r="E5" s="43"/>
      <c r="F5" s="43"/>
      <c r="G5" s="43"/>
      <c r="H5" s="43"/>
      <c r="I5" s="43"/>
      <c r="J5" s="44"/>
      <c r="L5" s="45" t="s">
        <v>151</v>
      </c>
    </row>
    <row r="6" spans="1:16" x14ac:dyDescent="0.2">
      <c r="A6" s="2"/>
      <c r="B6" s="43"/>
      <c r="C6" s="315" t="s">
        <v>146</v>
      </c>
      <c r="D6" s="315"/>
      <c r="E6" s="315"/>
      <c r="F6" s="43"/>
      <c r="G6" s="43"/>
      <c r="H6" s="43"/>
      <c r="I6" s="43"/>
      <c r="J6" s="44"/>
    </row>
    <row r="7" spans="1:16" ht="51" x14ac:dyDescent="0.2">
      <c r="A7" s="2"/>
      <c r="B7" s="43"/>
      <c r="C7" s="30" t="s">
        <v>124</v>
      </c>
      <c r="D7" s="28" t="s">
        <v>144</v>
      </c>
      <c r="E7" s="28" t="s">
        <v>145</v>
      </c>
      <c r="F7" s="43"/>
      <c r="G7" s="43"/>
      <c r="H7" s="43"/>
      <c r="I7" s="43"/>
      <c r="J7" s="44"/>
      <c r="L7" s="39" t="s">
        <v>124</v>
      </c>
      <c r="M7" s="37" t="s">
        <v>190</v>
      </c>
      <c r="N7" s="37" t="s">
        <v>148</v>
      </c>
      <c r="O7" s="37" t="s">
        <v>191</v>
      </c>
      <c r="P7" s="37" t="s">
        <v>149</v>
      </c>
    </row>
    <row r="8" spans="1:16" ht="17" x14ac:dyDescent="0.2">
      <c r="A8" s="2"/>
      <c r="B8" s="43"/>
      <c r="C8" s="36" t="s">
        <v>126</v>
      </c>
      <c r="D8" s="24">
        <v>742000</v>
      </c>
      <c r="E8" s="24">
        <v>238970</v>
      </c>
      <c r="F8" s="43"/>
      <c r="G8" s="43"/>
      <c r="H8" s="43"/>
      <c r="I8" s="43"/>
      <c r="J8" s="44"/>
      <c r="L8" s="15" t="s">
        <v>126</v>
      </c>
      <c r="M8" s="14">
        <f t="shared" ref="M8:N10" si="0">D8</f>
        <v>742000</v>
      </c>
      <c r="N8" s="14">
        <f t="shared" si="0"/>
        <v>238970</v>
      </c>
      <c r="O8" s="14">
        <f>M8-N8</f>
        <v>503030</v>
      </c>
      <c r="P8" s="14">
        <f>O8*0.1</f>
        <v>50303</v>
      </c>
    </row>
    <row r="9" spans="1:16" ht="17" x14ac:dyDescent="0.2">
      <c r="A9" s="2"/>
      <c r="B9" s="43"/>
      <c r="C9" s="36" t="s">
        <v>127</v>
      </c>
      <c r="D9" s="24">
        <v>684000</v>
      </c>
      <c r="E9" s="24">
        <v>181480</v>
      </c>
      <c r="F9" s="43"/>
      <c r="G9" s="43"/>
      <c r="H9" s="43"/>
      <c r="I9" s="43"/>
      <c r="J9" s="44"/>
      <c r="L9" s="15" t="s">
        <v>127</v>
      </c>
      <c r="M9" s="14">
        <f t="shared" si="0"/>
        <v>684000</v>
      </c>
      <c r="N9" s="14">
        <f t="shared" si="0"/>
        <v>181480</v>
      </c>
      <c r="O9" s="14">
        <f t="shared" ref="O9:O10" si="1">M9-N9</f>
        <v>502520</v>
      </c>
      <c r="P9" s="14">
        <f>O9*0.1</f>
        <v>50252</v>
      </c>
    </row>
    <row r="10" spans="1:16" ht="17" x14ac:dyDescent="0.2">
      <c r="A10" s="2"/>
      <c r="B10" s="43"/>
      <c r="C10" s="36" t="s">
        <v>128</v>
      </c>
      <c r="D10" s="24">
        <v>896000</v>
      </c>
      <c r="E10" s="24">
        <v>142360</v>
      </c>
      <c r="F10" s="43"/>
      <c r="G10" s="43"/>
      <c r="H10" s="43"/>
      <c r="I10" s="43"/>
      <c r="J10" s="44"/>
      <c r="L10" s="39" t="s">
        <v>128</v>
      </c>
      <c r="M10" s="38">
        <f t="shared" si="0"/>
        <v>896000</v>
      </c>
      <c r="N10" s="38">
        <f t="shared" si="0"/>
        <v>142360</v>
      </c>
      <c r="O10" s="38">
        <f t="shared" si="1"/>
        <v>753640</v>
      </c>
      <c r="P10" s="38">
        <f>O10*0.1</f>
        <v>75364</v>
      </c>
    </row>
    <row r="11" spans="1:16" ht="17" x14ac:dyDescent="0.2">
      <c r="A11" s="2"/>
      <c r="B11" s="43"/>
      <c r="C11" s="43"/>
      <c r="D11" s="43"/>
      <c r="E11" s="43"/>
      <c r="F11" s="43"/>
      <c r="G11" s="43"/>
      <c r="H11" s="43"/>
      <c r="I11" s="43"/>
      <c r="J11" s="44"/>
      <c r="L11" s="15" t="s">
        <v>207</v>
      </c>
      <c r="M11" s="13"/>
      <c r="N11" s="13"/>
      <c r="O11" s="13"/>
      <c r="P11" s="14">
        <f>SUM(P8:P10)</f>
        <v>175919</v>
      </c>
    </row>
    <row r="12" spans="1:16" x14ac:dyDescent="0.2">
      <c r="A12" s="2"/>
      <c r="B12" s="54" t="s">
        <v>192</v>
      </c>
      <c r="C12" s="43"/>
      <c r="D12" s="43"/>
      <c r="E12" s="43"/>
      <c r="F12" s="43"/>
      <c r="G12" s="43"/>
      <c r="H12" s="43"/>
      <c r="I12" s="43"/>
      <c r="J12" s="44"/>
    </row>
    <row r="13" spans="1:16" x14ac:dyDescent="0.2">
      <c r="A13" s="2"/>
      <c r="B13" s="54" t="s">
        <v>193</v>
      </c>
      <c r="C13" s="43"/>
      <c r="D13" s="43"/>
      <c r="E13" s="43"/>
      <c r="F13" s="43"/>
      <c r="G13" s="43"/>
      <c r="H13" s="43"/>
      <c r="I13" s="43"/>
      <c r="J13" s="44"/>
      <c r="L13" s="22" t="s">
        <v>152</v>
      </c>
    </row>
    <row r="14" spans="1:16" ht="17" thickBot="1" x14ac:dyDescent="0.25">
      <c r="A14" s="2"/>
      <c r="B14" s="43"/>
      <c r="C14" s="43"/>
      <c r="D14" s="43"/>
      <c r="E14" s="43"/>
      <c r="F14" s="43"/>
      <c r="G14" s="43"/>
      <c r="H14" s="43"/>
      <c r="I14" s="43"/>
      <c r="J14" s="44"/>
    </row>
    <row r="15" spans="1:16" ht="17" thickBot="1" x14ac:dyDescent="0.25">
      <c r="A15" s="2"/>
      <c r="B15" s="43"/>
      <c r="C15" s="43"/>
      <c r="D15" s="43"/>
      <c r="E15" s="43"/>
      <c r="F15" s="43"/>
      <c r="G15" s="43"/>
      <c r="H15" s="43"/>
      <c r="I15" s="43"/>
      <c r="J15" s="44"/>
      <c r="L15" s="88" t="s">
        <v>153</v>
      </c>
      <c r="M15" s="114"/>
      <c r="N15" s="89">
        <f>P11-143000</f>
        <v>32919</v>
      </c>
    </row>
    <row r="16" spans="1:16" x14ac:dyDescent="0.2">
      <c r="A16" s="2"/>
      <c r="B16" s="43" t="s">
        <v>147</v>
      </c>
      <c r="C16" s="43"/>
      <c r="D16" s="43"/>
      <c r="E16" s="43"/>
      <c r="F16" s="43"/>
      <c r="G16" s="43"/>
      <c r="H16" s="43"/>
      <c r="I16" s="43"/>
      <c r="J16" s="44"/>
    </row>
    <row r="17" spans="1:12" x14ac:dyDescent="0.2">
      <c r="A17" s="2"/>
      <c r="B17" s="43"/>
      <c r="C17" s="43"/>
      <c r="D17" s="43"/>
      <c r="E17" s="43"/>
      <c r="F17" s="43"/>
      <c r="G17" s="43"/>
      <c r="H17" s="43"/>
      <c r="I17" s="43"/>
      <c r="J17" s="44"/>
    </row>
    <row r="18" spans="1:12" ht="20" thickBot="1" x14ac:dyDescent="0.3">
      <c r="A18" s="2"/>
      <c r="B18" s="43"/>
      <c r="C18" s="43"/>
      <c r="D18" s="43"/>
      <c r="E18" s="43"/>
      <c r="F18" s="43"/>
      <c r="G18" s="43"/>
      <c r="H18" s="43"/>
      <c r="I18" s="43"/>
      <c r="J18" s="44"/>
      <c r="L18" s="3" t="s">
        <v>210</v>
      </c>
    </row>
    <row r="19" spans="1:12" ht="17" thickBot="1" x14ac:dyDescent="0.25">
      <c r="A19" s="309" t="s">
        <v>175</v>
      </c>
      <c r="B19" s="310"/>
      <c r="C19" s="310"/>
      <c r="D19" s="310"/>
      <c r="E19" s="310"/>
      <c r="F19" s="310"/>
      <c r="G19" s="310"/>
      <c r="H19" s="310"/>
      <c r="I19" s="310"/>
      <c r="J19" s="311"/>
      <c r="L19" s="76" t="s">
        <v>217</v>
      </c>
    </row>
    <row r="21" spans="1:12" ht="19" x14ac:dyDescent="0.25">
      <c r="A21" s="3"/>
    </row>
    <row r="22" spans="1:12" x14ac:dyDescent="0.2">
      <c r="A22" s="4"/>
    </row>
    <row r="26" spans="1:12" x14ac:dyDescent="0.2">
      <c r="L26" s="5"/>
    </row>
    <row r="27" spans="1:12" x14ac:dyDescent="0.2">
      <c r="A27" s="4"/>
      <c r="L27" s="5"/>
    </row>
    <row r="28" spans="1:12" x14ac:dyDescent="0.2">
      <c r="L28" s="5"/>
    </row>
    <row r="38" spans="1:14" x14ac:dyDescent="0.2">
      <c r="A38" s="4"/>
      <c r="C38" s="46"/>
    </row>
    <row r="41" spans="1:14" x14ac:dyDescent="0.2">
      <c r="M41" s="46"/>
    </row>
    <row r="42" spans="1:14" x14ac:dyDescent="0.2">
      <c r="L42" s="5"/>
      <c r="M42" s="5"/>
      <c r="N42" s="5"/>
    </row>
    <row r="43" spans="1:14" x14ac:dyDescent="0.2">
      <c r="L43" s="5"/>
      <c r="M43" s="5"/>
      <c r="N43" s="5"/>
    </row>
    <row r="44" spans="1:14" x14ac:dyDescent="0.2">
      <c r="L44" s="5"/>
      <c r="M44" s="5"/>
      <c r="N44" s="5"/>
    </row>
    <row r="45" spans="1:14" x14ac:dyDescent="0.2">
      <c r="L45" s="5"/>
      <c r="M45" s="5"/>
      <c r="N45" s="5"/>
    </row>
    <row r="46" spans="1:14" x14ac:dyDescent="0.2">
      <c r="L46" s="5"/>
      <c r="M46" s="5"/>
      <c r="N46" s="5"/>
    </row>
    <row r="47" spans="1:14" x14ac:dyDescent="0.2">
      <c r="L47" s="5"/>
      <c r="M47" s="5"/>
      <c r="N47" s="5"/>
    </row>
    <row r="48" spans="1:14" x14ac:dyDescent="0.2">
      <c r="L48" s="5"/>
      <c r="M48" s="5"/>
      <c r="N48" s="5"/>
    </row>
    <row r="49" spans="12:14" x14ac:dyDescent="0.2">
      <c r="L49" s="5"/>
      <c r="M49" s="5"/>
      <c r="N49" s="5"/>
    </row>
    <row r="50" spans="12:14" x14ac:dyDescent="0.2">
      <c r="L50" s="5"/>
      <c r="M50" s="5"/>
      <c r="N50" s="5"/>
    </row>
    <row r="51" spans="12:14" x14ac:dyDescent="0.2">
      <c r="M51" s="46"/>
    </row>
    <row r="52" spans="12:14" x14ac:dyDescent="0.2">
      <c r="L52" s="5"/>
      <c r="M52" s="5"/>
      <c r="N52" s="5"/>
    </row>
    <row r="53" spans="12:14" x14ac:dyDescent="0.2">
      <c r="L53" s="5"/>
      <c r="M53" s="5"/>
      <c r="N53" s="5"/>
    </row>
    <row r="54" spans="12:14" x14ac:dyDescent="0.2">
      <c r="L54" s="5"/>
      <c r="M54" s="5"/>
      <c r="N54" s="5"/>
    </row>
    <row r="55" spans="12:14" x14ac:dyDescent="0.2">
      <c r="L55" s="5"/>
      <c r="M55" s="5"/>
      <c r="N55" s="5"/>
    </row>
    <row r="56" spans="12:14" x14ac:dyDescent="0.2">
      <c r="L56" s="5"/>
      <c r="M56" s="5"/>
      <c r="N56" s="5"/>
    </row>
    <row r="57" spans="12:14" x14ac:dyDescent="0.2">
      <c r="L57" s="5"/>
      <c r="M57" s="5"/>
      <c r="N57" s="5"/>
    </row>
    <row r="58" spans="12:14" x14ac:dyDescent="0.2">
      <c r="L58" s="5"/>
      <c r="M58" s="5"/>
      <c r="N58" s="5"/>
    </row>
    <row r="59" spans="12:14" x14ac:dyDescent="0.2">
      <c r="L59" s="5"/>
      <c r="M59" s="5"/>
      <c r="N59" s="5"/>
    </row>
    <row r="60" spans="12:14" x14ac:dyDescent="0.2">
      <c r="L60" s="5"/>
      <c r="M60" s="5"/>
      <c r="N60" s="5"/>
    </row>
    <row r="61" spans="12:14" x14ac:dyDescent="0.2">
      <c r="M61" s="46"/>
    </row>
    <row r="62" spans="12:14" x14ac:dyDescent="0.2">
      <c r="L62" s="5"/>
      <c r="M62" s="5"/>
      <c r="N62" s="5"/>
    </row>
    <row r="63" spans="12:14" x14ac:dyDescent="0.2">
      <c r="L63" s="5"/>
      <c r="M63" s="5"/>
      <c r="N63" s="5"/>
    </row>
    <row r="64" spans="12:14" x14ac:dyDescent="0.2">
      <c r="L64" s="5"/>
      <c r="M64" s="5"/>
      <c r="N64" s="5"/>
    </row>
    <row r="65" spans="1:14" x14ac:dyDescent="0.2">
      <c r="L65" s="5"/>
      <c r="M65" s="5"/>
      <c r="N65" s="5"/>
    </row>
    <row r="66" spans="1:14" x14ac:dyDescent="0.2">
      <c r="L66" s="5"/>
      <c r="M66" s="5"/>
      <c r="N66" s="5"/>
    </row>
    <row r="67" spans="1:14" x14ac:dyDescent="0.2">
      <c r="L67" s="5"/>
      <c r="M67" s="5"/>
      <c r="N67" s="5"/>
    </row>
    <row r="68" spans="1:14" x14ac:dyDescent="0.2">
      <c r="L68" s="5"/>
      <c r="M68" s="5"/>
      <c r="N68" s="5"/>
    </row>
    <row r="69" spans="1:14" x14ac:dyDescent="0.2">
      <c r="L69" s="5"/>
      <c r="M69" s="5"/>
      <c r="N69" s="5"/>
    </row>
    <row r="70" spans="1:14" x14ac:dyDescent="0.2">
      <c r="L70" s="5"/>
      <c r="M70" s="5"/>
      <c r="N70" s="5"/>
    </row>
    <row r="71" spans="1:14" x14ac:dyDescent="0.2">
      <c r="M71" s="46"/>
    </row>
    <row r="72" spans="1:14" x14ac:dyDescent="0.2">
      <c r="L72" s="5"/>
      <c r="M72" s="5"/>
      <c r="N72" s="5"/>
    </row>
    <row r="73" spans="1:14" x14ac:dyDescent="0.2">
      <c r="L73" s="5"/>
      <c r="M73" s="5"/>
      <c r="N73" s="5"/>
    </row>
    <row r="74" spans="1:14" x14ac:dyDescent="0.2">
      <c r="L74" s="5"/>
      <c r="M74" s="5"/>
      <c r="N74" s="5"/>
    </row>
    <row r="75" spans="1:14" x14ac:dyDescent="0.2">
      <c r="L75" s="5"/>
      <c r="M75" s="5"/>
      <c r="N75" s="5"/>
    </row>
    <row r="76" spans="1:14" x14ac:dyDescent="0.2">
      <c r="L76" s="5"/>
      <c r="M76" s="5"/>
      <c r="N76" s="5"/>
    </row>
    <row r="77" spans="1:14" x14ac:dyDescent="0.2">
      <c r="L77" s="5"/>
      <c r="M77" s="5"/>
      <c r="N77" s="5"/>
    </row>
    <row r="78" spans="1:14" x14ac:dyDescent="0.2">
      <c r="L78" s="5"/>
      <c r="M78" s="5"/>
      <c r="N78" s="5"/>
    </row>
    <row r="79" spans="1:14" x14ac:dyDescent="0.2">
      <c r="L79" s="5"/>
      <c r="M79" s="5"/>
      <c r="N79" s="5"/>
    </row>
    <row r="80" spans="1:14" x14ac:dyDescent="0.2">
      <c r="A80" s="5"/>
      <c r="B80" s="5"/>
      <c r="C80" s="5"/>
      <c r="D80" s="5"/>
      <c r="E80" s="5"/>
      <c r="F80" s="5"/>
      <c r="G80" s="5"/>
      <c r="H80" s="5"/>
      <c r="I80" s="5"/>
      <c r="J80" s="5"/>
      <c r="L80" s="5"/>
      <c r="M80" s="5"/>
      <c r="N80" s="5"/>
    </row>
    <row r="81" spans="1:65" x14ac:dyDescent="0.2">
      <c r="A81" s="5"/>
      <c r="B81" s="5"/>
      <c r="C81" s="5"/>
      <c r="D81" s="5"/>
      <c r="E81" s="5"/>
      <c r="F81" s="5"/>
      <c r="G81" s="5"/>
      <c r="H81" s="5"/>
      <c r="I81" s="5"/>
      <c r="J81" s="5"/>
      <c r="K81" s="5"/>
      <c r="M81" s="46"/>
      <c r="Q81" s="5"/>
      <c r="R81" s="5"/>
      <c r="S81" s="5"/>
      <c r="T81" s="5"/>
      <c r="U81" s="5"/>
      <c r="V81" s="5"/>
      <c r="W81" s="5"/>
      <c r="X81" s="5"/>
      <c r="Y81" s="5"/>
      <c r="Z81" s="5"/>
      <c r="AA81" s="5"/>
      <c r="AB81" s="5"/>
      <c r="AC81" s="5"/>
      <c r="AD81" s="5"/>
      <c r="AE81" s="5"/>
      <c r="AF81" s="5"/>
      <c r="AG81" s="5"/>
      <c r="AH81" s="5"/>
      <c r="AI81" s="5"/>
      <c r="AJ81" s="5"/>
      <c r="AK81" s="5"/>
      <c r="AL81" s="5"/>
      <c r="AM81" s="5"/>
      <c r="AN81" s="5"/>
      <c r="AO81" s="5"/>
      <c r="AP81" s="5"/>
      <c r="AQ81" s="5"/>
      <c r="AR81" s="5"/>
      <c r="AS81" s="5"/>
      <c r="AT81" s="5"/>
      <c r="AU81" s="5"/>
      <c r="AV81" s="5"/>
      <c r="AW81" s="5"/>
      <c r="AX81" s="5"/>
      <c r="AY81" s="5"/>
      <c r="AZ81" s="5"/>
      <c r="BA81" s="5"/>
      <c r="BB81" s="5"/>
      <c r="BC81" s="5"/>
      <c r="BD81" s="5"/>
      <c r="BE81" s="5"/>
      <c r="BF81" s="5"/>
      <c r="BG81" s="5"/>
      <c r="BH81" s="5"/>
      <c r="BI81" s="5"/>
      <c r="BJ81" s="5"/>
      <c r="BK81" s="5"/>
      <c r="BL81" s="5"/>
      <c r="BM81" s="5"/>
    </row>
    <row r="82" spans="1:65" x14ac:dyDescent="0.2">
      <c r="A82" s="5"/>
      <c r="B82" s="5"/>
      <c r="C82" s="5"/>
      <c r="D82" s="5"/>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c r="AU82" s="5"/>
      <c r="AV82" s="5"/>
      <c r="AW82" s="5"/>
      <c r="AX82" s="5"/>
      <c r="AY82" s="5"/>
      <c r="AZ82" s="5"/>
      <c r="BA82" s="5"/>
      <c r="BB82" s="5"/>
      <c r="BC82" s="5"/>
      <c r="BD82" s="5"/>
      <c r="BE82" s="5"/>
      <c r="BF82" s="5"/>
      <c r="BG82" s="5"/>
      <c r="BH82" s="5"/>
      <c r="BI82" s="5"/>
      <c r="BJ82" s="5"/>
      <c r="BK82" s="5"/>
      <c r="BL82" s="5"/>
      <c r="BM82" s="5"/>
    </row>
    <row r="83" spans="1:65" x14ac:dyDescent="0.2">
      <c r="A83" s="5"/>
      <c r="B83" s="5"/>
      <c r="C83" s="5"/>
      <c r="D83" s="5"/>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c r="AU83" s="5"/>
      <c r="AV83" s="5"/>
      <c r="AW83" s="5"/>
      <c r="AX83" s="5"/>
      <c r="AY83" s="5"/>
      <c r="AZ83" s="5"/>
      <c r="BA83" s="5"/>
      <c r="BB83" s="5"/>
      <c r="BC83" s="5"/>
      <c r="BD83" s="5"/>
      <c r="BE83" s="5"/>
      <c r="BF83" s="5"/>
      <c r="BG83" s="5"/>
      <c r="BH83" s="5"/>
      <c r="BI83" s="5"/>
      <c r="BJ83" s="5"/>
      <c r="BK83" s="5"/>
      <c r="BL83" s="5"/>
      <c r="BM83" s="5"/>
    </row>
    <row r="84" spans="1:65" x14ac:dyDescent="0.2">
      <c r="A84" s="5"/>
      <c r="B84" s="5"/>
      <c r="C84" s="5"/>
      <c r="D84" s="5"/>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c r="AU84" s="5"/>
      <c r="AV84" s="5"/>
      <c r="AW84" s="5"/>
      <c r="AX84" s="5"/>
      <c r="AY84" s="5"/>
      <c r="AZ84" s="5"/>
      <c r="BA84" s="5"/>
      <c r="BB84" s="5"/>
      <c r="BC84" s="5"/>
      <c r="BD84" s="5"/>
      <c r="BE84" s="5"/>
      <c r="BF84" s="5"/>
      <c r="BG84" s="5"/>
      <c r="BH84" s="5"/>
      <c r="BI84" s="5"/>
      <c r="BJ84" s="5"/>
      <c r="BK84" s="5"/>
      <c r="BL84" s="5"/>
      <c r="BM84" s="5"/>
    </row>
    <row r="85" spans="1:65" x14ac:dyDescent="0.2">
      <c r="A85" s="5"/>
      <c r="B85" s="5"/>
      <c r="C85" s="5"/>
      <c r="D85" s="5"/>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c r="AU85" s="5"/>
      <c r="AV85" s="5"/>
      <c r="AW85" s="5"/>
      <c r="AX85" s="5"/>
      <c r="AY85" s="5"/>
      <c r="AZ85" s="5"/>
      <c r="BA85" s="5"/>
      <c r="BB85" s="5"/>
      <c r="BC85" s="5"/>
      <c r="BD85" s="5"/>
      <c r="BE85" s="5"/>
      <c r="BF85" s="5"/>
      <c r="BG85" s="5"/>
      <c r="BH85" s="5"/>
      <c r="BI85" s="5"/>
      <c r="BJ85" s="5"/>
      <c r="BK85" s="5"/>
      <c r="BL85" s="5"/>
      <c r="BM85" s="5"/>
    </row>
    <row r="86" spans="1:65" x14ac:dyDescent="0.2">
      <c r="A86" s="5"/>
      <c r="B86" s="5"/>
      <c r="C86" s="5"/>
      <c r="D86" s="5"/>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c r="AU86" s="5"/>
      <c r="AV86" s="5"/>
      <c r="AW86" s="5"/>
      <c r="AX86" s="5"/>
      <c r="AY86" s="5"/>
      <c r="AZ86" s="5"/>
      <c r="BA86" s="5"/>
      <c r="BB86" s="5"/>
      <c r="BC86" s="5"/>
      <c r="BD86" s="5"/>
      <c r="BE86" s="5"/>
      <c r="BF86" s="5"/>
      <c r="BG86" s="5"/>
      <c r="BH86" s="5"/>
      <c r="BI86" s="5"/>
      <c r="BJ86" s="5"/>
      <c r="BK86" s="5"/>
      <c r="BL86" s="5"/>
      <c r="BM86" s="5"/>
    </row>
    <row r="87" spans="1:65" x14ac:dyDescent="0.2">
      <c r="A87" s="5"/>
      <c r="B87" s="5"/>
      <c r="C87" s="5"/>
      <c r="D87" s="5"/>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c r="AU87" s="5"/>
      <c r="AV87" s="5"/>
      <c r="AW87" s="5"/>
      <c r="AX87" s="5"/>
      <c r="AY87" s="5"/>
      <c r="AZ87" s="5"/>
      <c r="BA87" s="5"/>
      <c r="BB87" s="5"/>
      <c r="BC87" s="5"/>
      <c r="BD87" s="5"/>
      <c r="BE87" s="5"/>
      <c r="BF87" s="5"/>
      <c r="BG87" s="5"/>
      <c r="BH87" s="5"/>
      <c r="BI87" s="5"/>
      <c r="BJ87" s="5"/>
      <c r="BK87" s="5"/>
      <c r="BL87" s="5"/>
      <c r="BM87" s="5"/>
    </row>
    <row r="88" spans="1:65" x14ac:dyDescent="0.2">
      <c r="A88" s="5"/>
      <c r="B88" s="5"/>
      <c r="C88" s="5"/>
      <c r="D88" s="5"/>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c r="AU88" s="5"/>
      <c r="AV88" s="5"/>
      <c r="AW88" s="5"/>
      <c r="AX88" s="5"/>
      <c r="AY88" s="5"/>
      <c r="AZ88" s="5"/>
      <c r="BA88" s="5"/>
      <c r="BB88" s="5"/>
      <c r="BC88" s="5"/>
      <c r="BD88" s="5"/>
      <c r="BE88" s="5"/>
      <c r="BF88" s="5"/>
      <c r="BG88" s="5"/>
      <c r="BH88" s="5"/>
      <c r="BI88" s="5"/>
      <c r="BJ88" s="5"/>
      <c r="BK88" s="5"/>
      <c r="BL88" s="5"/>
      <c r="BM88" s="5"/>
    </row>
    <row r="89" spans="1:65" x14ac:dyDescent="0.2">
      <c r="A89" s="5"/>
      <c r="B89" s="5"/>
      <c r="C89" s="5"/>
      <c r="D89" s="5"/>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c r="AG89" s="5"/>
      <c r="AH89" s="5"/>
      <c r="AI89" s="5"/>
      <c r="AJ89" s="5"/>
      <c r="AK89" s="5"/>
      <c r="AL89" s="5"/>
      <c r="AM89" s="5"/>
      <c r="AN89" s="5"/>
      <c r="AO89" s="5"/>
      <c r="AP89" s="5"/>
      <c r="AQ89" s="5"/>
      <c r="AR89" s="5"/>
      <c r="AS89" s="5"/>
      <c r="AT89" s="5"/>
      <c r="AU89" s="5"/>
      <c r="AV89" s="5"/>
      <c r="AW89" s="5"/>
      <c r="AX89" s="5"/>
      <c r="AY89" s="5"/>
      <c r="AZ89" s="5"/>
      <c r="BA89" s="5"/>
      <c r="BB89" s="5"/>
      <c r="BC89" s="5"/>
      <c r="BD89" s="5"/>
      <c r="BE89" s="5"/>
      <c r="BF89" s="5"/>
      <c r="BG89" s="5"/>
      <c r="BH89" s="5"/>
      <c r="BI89" s="5"/>
      <c r="BJ89" s="5"/>
      <c r="BK89" s="5"/>
      <c r="BL89" s="5"/>
      <c r="BM89" s="5"/>
    </row>
    <row r="90" spans="1:65" x14ac:dyDescent="0.2">
      <c r="A90" s="5"/>
      <c r="B90" s="5"/>
      <c r="C90" s="5"/>
      <c r="D90" s="5"/>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c r="AG90" s="5"/>
      <c r="AH90" s="5"/>
      <c r="AI90" s="5"/>
      <c r="AJ90" s="5"/>
      <c r="AK90" s="5"/>
      <c r="AL90" s="5"/>
      <c r="AM90" s="5"/>
      <c r="AN90" s="5"/>
      <c r="AO90" s="5"/>
      <c r="AP90" s="5"/>
      <c r="AQ90" s="5"/>
      <c r="AR90" s="5"/>
      <c r="AS90" s="5"/>
      <c r="AT90" s="5"/>
      <c r="AU90" s="5"/>
      <c r="AV90" s="5"/>
      <c r="AW90" s="5"/>
      <c r="AX90" s="5"/>
      <c r="AY90" s="5"/>
      <c r="AZ90" s="5"/>
      <c r="BA90" s="5"/>
      <c r="BB90" s="5"/>
      <c r="BC90" s="5"/>
      <c r="BD90" s="5"/>
      <c r="BE90" s="5"/>
      <c r="BF90" s="5"/>
      <c r="BG90" s="5"/>
      <c r="BH90" s="5"/>
      <c r="BI90" s="5"/>
      <c r="BJ90" s="5"/>
      <c r="BK90" s="5"/>
      <c r="BL90" s="5"/>
      <c r="BM90" s="5"/>
    </row>
    <row r="91" spans="1:65" x14ac:dyDescent="0.2">
      <c r="A91" s="5"/>
      <c r="B91" s="5"/>
      <c r="C91" s="5"/>
      <c r="D91" s="5"/>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c r="AG91" s="5"/>
      <c r="AH91" s="5"/>
      <c r="AI91" s="5"/>
      <c r="AJ91" s="5"/>
      <c r="AK91" s="5"/>
      <c r="AL91" s="5"/>
      <c r="AM91" s="5"/>
      <c r="AN91" s="5"/>
      <c r="AO91" s="5"/>
      <c r="AP91" s="5"/>
      <c r="AQ91" s="5"/>
      <c r="AR91" s="5"/>
      <c r="AS91" s="5"/>
      <c r="AT91" s="5"/>
      <c r="AU91" s="5"/>
      <c r="AV91" s="5"/>
      <c r="AW91" s="5"/>
      <c r="AX91" s="5"/>
      <c r="AY91" s="5"/>
      <c r="AZ91" s="5"/>
      <c r="BA91" s="5"/>
      <c r="BB91" s="5"/>
      <c r="BC91" s="5"/>
      <c r="BD91" s="5"/>
      <c r="BE91" s="5"/>
      <c r="BF91" s="5"/>
      <c r="BG91" s="5"/>
      <c r="BH91" s="5"/>
      <c r="BI91" s="5"/>
      <c r="BJ91" s="5"/>
      <c r="BK91" s="5"/>
      <c r="BL91" s="5"/>
      <c r="BM91" s="5"/>
    </row>
    <row r="92" spans="1:65" x14ac:dyDescent="0.2">
      <c r="A92" s="5"/>
      <c r="B92" s="5"/>
      <c r="C92" s="5"/>
      <c r="D92" s="5"/>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c r="AG92" s="5"/>
      <c r="AH92" s="5"/>
      <c r="AI92" s="5"/>
      <c r="AJ92" s="5"/>
      <c r="AK92" s="5"/>
      <c r="AL92" s="5"/>
      <c r="AM92" s="5"/>
      <c r="AN92" s="5"/>
      <c r="AO92" s="5"/>
      <c r="AP92" s="5"/>
      <c r="AQ92" s="5"/>
      <c r="AR92" s="5"/>
      <c r="AS92" s="5"/>
      <c r="AT92" s="5"/>
      <c r="AU92" s="5"/>
      <c r="AV92" s="5"/>
      <c r="AW92" s="5"/>
      <c r="AX92" s="5"/>
      <c r="AY92" s="5"/>
      <c r="AZ92" s="5"/>
      <c r="BA92" s="5"/>
      <c r="BB92" s="5"/>
      <c r="BC92" s="5"/>
      <c r="BD92" s="5"/>
      <c r="BE92" s="5"/>
      <c r="BF92" s="5"/>
      <c r="BG92" s="5"/>
      <c r="BH92" s="5"/>
      <c r="BI92" s="5"/>
      <c r="BJ92" s="5"/>
      <c r="BK92" s="5"/>
      <c r="BL92" s="5"/>
      <c r="BM92" s="5"/>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L183" s="5"/>
      <c r="M183" s="5"/>
      <c r="N183" s="5"/>
      <c r="O183" s="5"/>
      <c r="P183" s="5"/>
    </row>
  </sheetData>
  <mergeCells count="2">
    <mergeCell ref="C6:E6"/>
    <mergeCell ref="A19:J19"/>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3AF63F-6757-334D-8DA4-92DAE58C8E92}">
  <dimension ref="A1:BM194"/>
  <sheetViews>
    <sheetView zoomScaleNormal="100" workbookViewId="0"/>
  </sheetViews>
  <sheetFormatPr baseColWidth="10" defaultColWidth="10.83203125" defaultRowHeight="16" outlineLevelCol="1" x14ac:dyDescent="0.2"/>
  <cols>
    <col min="1" max="1" width="4.6640625" style="45" customWidth="1"/>
    <col min="2" max="4" width="10.83203125" style="45" customWidth="1"/>
    <col min="5" max="5" width="11.83203125" style="45" customWidth="1"/>
    <col min="6" max="10" width="10.83203125" style="45" customWidth="1"/>
    <col min="11" max="11" width="11.5" style="45" bestFit="1" customWidth="1"/>
    <col min="12" max="12" width="10.83203125" style="45" hidden="1" customWidth="1" outlineLevel="1"/>
    <col min="13" max="13" width="13.33203125" style="45" hidden="1" customWidth="1" outlineLevel="1"/>
    <col min="14" max="20" width="10.83203125" style="45" hidden="1" customWidth="1" outlineLevel="1"/>
    <col min="21" max="21" width="10.83203125" style="45" collapsed="1"/>
    <col min="22" max="16384" width="10.83203125" style="45"/>
  </cols>
  <sheetData>
    <row r="1" spans="1:14" ht="19" x14ac:dyDescent="0.25">
      <c r="A1" s="1" t="s">
        <v>205</v>
      </c>
      <c r="B1" s="25"/>
      <c r="C1" s="42"/>
      <c r="D1" s="42"/>
      <c r="E1" s="42"/>
      <c r="F1" s="43"/>
      <c r="G1" s="43"/>
      <c r="H1" s="43"/>
      <c r="I1" s="43"/>
      <c r="J1" s="44"/>
      <c r="K1" s="3" t="s">
        <v>176</v>
      </c>
    </row>
    <row r="2" spans="1:14" x14ac:dyDescent="0.2">
      <c r="A2" s="2"/>
      <c r="B2" s="43"/>
      <c r="C2" s="43"/>
      <c r="D2" s="43"/>
      <c r="E2" s="43"/>
      <c r="F2" s="43"/>
      <c r="G2" s="43"/>
      <c r="H2" s="43"/>
      <c r="I2" s="43"/>
      <c r="J2" s="44"/>
      <c r="L2" s="16" t="s">
        <v>3</v>
      </c>
      <c r="N2" s="46"/>
    </row>
    <row r="3" spans="1:14" x14ac:dyDescent="0.2">
      <c r="A3" s="2"/>
      <c r="B3" s="43" t="s">
        <v>154</v>
      </c>
      <c r="C3" s="43"/>
      <c r="D3" s="43"/>
      <c r="E3" s="43"/>
      <c r="F3" s="43"/>
      <c r="G3" s="43"/>
      <c r="H3" s="43"/>
      <c r="I3" s="43"/>
      <c r="J3" s="44"/>
      <c r="M3" s="45" t="s">
        <v>162</v>
      </c>
    </row>
    <row r="4" spans="1:14" x14ac:dyDescent="0.2">
      <c r="A4" s="2"/>
      <c r="B4" s="43" t="s">
        <v>208</v>
      </c>
      <c r="C4" s="43"/>
      <c r="D4" s="43"/>
      <c r="E4" s="43"/>
      <c r="F4" s="43"/>
      <c r="G4" s="43"/>
      <c r="H4" s="43"/>
      <c r="I4" s="43"/>
      <c r="J4" s="44"/>
    </row>
    <row r="5" spans="1:14" x14ac:dyDescent="0.2">
      <c r="A5" s="2"/>
      <c r="B5" s="43"/>
      <c r="C5" s="43"/>
      <c r="D5" s="43"/>
      <c r="E5" s="43"/>
      <c r="F5" s="43"/>
      <c r="G5" s="43"/>
      <c r="H5" s="43"/>
      <c r="I5" s="43"/>
      <c r="J5" s="44"/>
      <c r="M5" s="45" t="s">
        <v>163</v>
      </c>
      <c r="N5" s="46">
        <f>D14/D15</f>
        <v>1.2704791344667696</v>
      </c>
    </row>
    <row r="6" spans="1:14" x14ac:dyDescent="0.2">
      <c r="A6" s="2"/>
      <c r="B6" s="54" t="s">
        <v>195</v>
      </c>
      <c r="C6" s="43"/>
      <c r="D6" s="43"/>
      <c r="E6" s="43"/>
      <c r="F6" s="47">
        <v>212000</v>
      </c>
      <c r="G6" s="43"/>
      <c r="H6" s="43"/>
      <c r="I6" s="43"/>
      <c r="J6" s="44"/>
    </row>
    <row r="7" spans="1:14" x14ac:dyDescent="0.2">
      <c r="A7" s="2"/>
      <c r="B7" s="54" t="s">
        <v>196</v>
      </c>
      <c r="C7" s="43"/>
      <c r="D7" s="43"/>
      <c r="E7" s="43"/>
      <c r="F7" s="47">
        <v>178000</v>
      </c>
      <c r="G7" s="43"/>
      <c r="H7" s="43"/>
      <c r="I7" s="43"/>
      <c r="J7" s="44"/>
      <c r="M7" s="45" t="s">
        <v>164</v>
      </c>
    </row>
    <row r="8" spans="1:14" x14ac:dyDescent="0.2">
      <c r="A8" s="2"/>
      <c r="B8" s="43"/>
      <c r="C8" s="43"/>
      <c r="D8" s="43"/>
      <c r="E8" s="43"/>
      <c r="F8" s="43"/>
      <c r="G8" s="43"/>
      <c r="H8" s="43"/>
      <c r="I8" s="43"/>
      <c r="J8" s="44"/>
    </row>
    <row r="9" spans="1:14" x14ac:dyDescent="0.2">
      <c r="A9" s="2"/>
      <c r="B9" s="43" t="s">
        <v>155</v>
      </c>
      <c r="C9" s="43"/>
      <c r="D9" s="43"/>
      <c r="E9" s="43"/>
      <c r="F9" s="43"/>
      <c r="G9" s="43"/>
      <c r="H9" s="43"/>
      <c r="I9" s="43"/>
      <c r="J9" s="44"/>
      <c r="M9" s="55" t="s">
        <v>165</v>
      </c>
      <c r="N9" s="46">
        <f>F15/D15</f>
        <v>0.93663060278207111</v>
      </c>
    </row>
    <row r="10" spans="1:14" x14ac:dyDescent="0.2">
      <c r="A10" s="2"/>
      <c r="B10" s="43" t="s">
        <v>156</v>
      </c>
      <c r="C10" s="43"/>
      <c r="D10" s="43"/>
      <c r="E10" s="43"/>
      <c r="F10" s="43"/>
      <c r="G10" s="43"/>
      <c r="H10" s="43"/>
      <c r="I10" s="43"/>
      <c r="J10" s="44"/>
      <c r="M10" s="55" t="s">
        <v>166</v>
      </c>
      <c r="N10" s="46">
        <f>F14/D14</f>
        <v>0.84428223844282235</v>
      </c>
    </row>
    <row r="11" spans="1:14" x14ac:dyDescent="0.2">
      <c r="A11" s="2"/>
      <c r="B11" s="43"/>
      <c r="C11" s="43"/>
      <c r="D11" s="43"/>
      <c r="E11" s="43"/>
      <c r="F11" s="43"/>
      <c r="G11" s="43"/>
      <c r="H11" s="43"/>
      <c r="I11" s="43"/>
      <c r="J11" s="44"/>
      <c r="M11" s="55"/>
    </row>
    <row r="12" spans="1:14" x14ac:dyDescent="0.2">
      <c r="A12" s="2"/>
      <c r="B12" s="43"/>
      <c r="C12" s="315" t="s">
        <v>97</v>
      </c>
      <c r="D12" s="315"/>
      <c r="E12" s="315"/>
      <c r="F12" s="315"/>
      <c r="G12" s="43"/>
      <c r="H12" s="43"/>
      <c r="I12" s="43"/>
      <c r="J12" s="44"/>
      <c r="M12" s="56" t="s">
        <v>108</v>
      </c>
    </row>
    <row r="13" spans="1:14" ht="17" x14ac:dyDescent="0.2">
      <c r="A13" s="2"/>
      <c r="B13" s="43"/>
      <c r="C13" s="32"/>
      <c r="D13" s="26" t="s">
        <v>40</v>
      </c>
      <c r="E13" s="27">
        <v>500000</v>
      </c>
      <c r="F13" s="27">
        <v>100000</v>
      </c>
      <c r="G13" s="43"/>
      <c r="H13" s="43"/>
      <c r="I13" s="43"/>
      <c r="J13" s="44"/>
      <c r="N13" s="46"/>
    </row>
    <row r="14" spans="1:14" ht="17" x14ac:dyDescent="0.2">
      <c r="A14" s="2"/>
      <c r="B14" s="43"/>
      <c r="C14" s="33" t="s">
        <v>75</v>
      </c>
      <c r="D14" s="8">
        <v>8220</v>
      </c>
      <c r="E14" s="8">
        <v>7550</v>
      </c>
      <c r="F14" s="8">
        <v>6940</v>
      </c>
      <c r="G14" s="43"/>
      <c r="H14" s="43"/>
      <c r="I14" s="43"/>
      <c r="J14" s="44"/>
      <c r="M14" s="55" t="s">
        <v>167</v>
      </c>
      <c r="N14" s="46">
        <f>N5*(1-N10)/(1-N9)</f>
        <v>3.1219512195121961</v>
      </c>
    </row>
    <row r="15" spans="1:14" ht="17" x14ac:dyDescent="0.2">
      <c r="A15" s="2"/>
      <c r="B15" s="43"/>
      <c r="C15" s="33" t="s">
        <v>34</v>
      </c>
      <c r="D15" s="8">
        <v>6470</v>
      </c>
      <c r="E15" s="8">
        <v>6260</v>
      </c>
      <c r="F15" s="8">
        <v>6060</v>
      </c>
      <c r="G15" s="43"/>
      <c r="H15" s="43"/>
      <c r="I15" s="43"/>
      <c r="J15" s="44"/>
    </row>
    <row r="16" spans="1:14" ht="17" x14ac:dyDescent="0.2">
      <c r="A16" s="2"/>
      <c r="B16" s="43"/>
      <c r="C16" s="33" t="s">
        <v>33</v>
      </c>
      <c r="D16" s="8">
        <v>4850</v>
      </c>
      <c r="E16" s="8">
        <v>4690</v>
      </c>
      <c r="F16" s="8">
        <v>4550</v>
      </c>
      <c r="G16" s="43"/>
      <c r="H16" s="43"/>
      <c r="I16" s="43"/>
      <c r="J16" s="44"/>
      <c r="M16" s="45" t="s">
        <v>168</v>
      </c>
    </row>
    <row r="17" spans="1:20" ht="17" thickBot="1" x14ac:dyDescent="0.25">
      <c r="A17" s="2"/>
      <c r="B17" s="43"/>
      <c r="C17" s="43"/>
      <c r="D17" s="43"/>
      <c r="E17" s="43"/>
      <c r="F17" s="43"/>
      <c r="G17" s="43"/>
      <c r="H17" s="43"/>
      <c r="I17" s="43"/>
      <c r="J17" s="44"/>
    </row>
    <row r="18" spans="1:20" ht="17" thickBot="1" x14ac:dyDescent="0.25">
      <c r="A18" s="2"/>
      <c r="B18" s="54" t="s">
        <v>194</v>
      </c>
      <c r="C18" s="43"/>
      <c r="D18" s="43"/>
      <c r="E18" s="43"/>
      <c r="F18" s="43"/>
      <c r="G18" s="43"/>
      <c r="H18" s="43"/>
      <c r="I18" s="43"/>
      <c r="J18" s="44"/>
      <c r="M18" s="88" t="s">
        <v>169</v>
      </c>
      <c r="N18" s="90">
        <f>(N14-1)*(F6-F7)</f>
        <v>72146.341463414661</v>
      </c>
    </row>
    <row r="19" spans="1:20" x14ac:dyDescent="0.2">
      <c r="A19" s="2"/>
      <c r="B19" s="43"/>
      <c r="C19" s="43"/>
      <c r="D19" s="43"/>
      <c r="E19" s="43"/>
      <c r="F19" s="43"/>
      <c r="G19" s="43"/>
      <c r="H19" s="43"/>
      <c r="I19" s="43"/>
      <c r="J19" s="44"/>
    </row>
    <row r="20" spans="1:20" x14ac:dyDescent="0.2">
      <c r="A20" s="2"/>
      <c r="B20" s="43"/>
      <c r="C20" s="43"/>
      <c r="D20" s="43"/>
      <c r="E20" s="43"/>
      <c r="F20" s="43"/>
      <c r="G20" s="43"/>
      <c r="H20" s="43"/>
      <c r="I20" s="43"/>
      <c r="J20" s="44"/>
    </row>
    <row r="21" spans="1:20" x14ac:dyDescent="0.2">
      <c r="A21" s="43" t="s">
        <v>0</v>
      </c>
      <c r="B21" s="43" t="s">
        <v>157</v>
      </c>
      <c r="C21" s="43"/>
      <c r="D21" s="43"/>
      <c r="E21" s="43"/>
      <c r="F21" s="43"/>
      <c r="G21" s="43"/>
      <c r="H21" s="43"/>
      <c r="I21" s="43"/>
      <c r="J21" s="44"/>
      <c r="L21" s="16" t="s">
        <v>4</v>
      </c>
      <c r="N21" s="46"/>
    </row>
    <row r="22" spans="1:20" x14ac:dyDescent="0.2">
      <c r="A22" s="2"/>
      <c r="B22" s="43" t="s">
        <v>158</v>
      </c>
      <c r="C22" s="43"/>
      <c r="D22" s="43"/>
      <c r="E22" s="43"/>
      <c r="F22" s="43"/>
      <c r="G22" s="43"/>
      <c r="H22" s="43"/>
      <c r="I22" s="43"/>
      <c r="J22" s="44"/>
      <c r="M22" s="316" t="s">
        <v>197</v>
      </c>
      <c r="N22" s="316"/>
      <c r="O22" s="316"/>
      <c r="P22" s="316"/>
      <c r="Q22" s="316"/>
      <c r="R22" s="316"/>
      <c r="S22" s="316"/>
      <c r="T22" s="316"/>
    </row>
    <row r="23" spans="1:20" x14ac:dyDescent="0.2">
      <c r="A23" s="2"/>
      <c r="B23" s="43"/>
      <c r="C23" s="43"/>
      <c r="D23" s="43"/>
      <c r="E23" s="43"/>
      <c r="F23" s="43"/>
      <c r="G23" s="43"/>
      <c r="H23" s="43"/>
      <c r="I23" s="43"/>
      <c r="J23" s="44"/>
      <c r="M23" s="316"/>
      <c r="N23" s="316"/>
      <c r="O23" s="316"/>
      <c r="P23" s="316"/>
      <c r="Q23" s="316"/>
      <c r="R23" s="316"/>
      <c r="S23" s="316"/>
      <c r="T23" s="316"/>
    </row>
    <row r="24" spans="1:20" x14ac:dyDescent="0.2">
      <c r="A24" s="43" t="s">
        <v>1</v>
      </c>
      <c r="B24" s="43" t="s">
        <v>159</v>
      </c>
      <c r="C24" s="43"/>
      <c r="D24" s="43"/>
      <c r="E24" s="43"/>
      <c r="F24" s="43"/>
      <c r="G24" s="43"/>
      <c r="H24" s="43"/>
      <c r="I24" s="43"/>
      <c r="J24" s="44"/>
    </row>
    <row r="25" spans="1:20" x14ac:dyDescent="0.2">
      <c r="A25" s="2"/>
      <c r="B25" s="43" t="s">
        <v>160</v>
      </c>
      <c r="C25" s="43"/>
      <c r="D25" s="43"/>
      <c r="E25" s="43"/>
      <c r="F25" s="43"/>
      <c r="G25" s="43"/>
      <c r="H25" s="43"/>
      <c r="I25" s="43"/>
      <c r="J25" s="44"/>
      <c r="M25" s="45" t="s">
        <v>170</v>
      </c>
    </row>
    <row r="26" spans="1:20" x14ac:dyDescent="0.2">
      <c r="A26" s="2"/>
      <c r="B26" s="43" t="s">
        <v>161</v>
      </c>
      <c r="C26" s="43"/>
      <c r="D26" s="43"/>
      <c r="E26" s="43"/>
      <c r="F26" s="43"/>
      <c r="G26" s="43"/>
      <c r="H26" s="43"/>
      <c r="I26" s="43"/>
      <c r="J26" s="44"/>
    </row>
    <row r="27" spans="1:20" x14ac:dyDescent="0.2">
      <c r="A27" s="2"/>
      <c r="B27" s="43"/>
      <c r="C27" s="43"/>
      <c r="D27" s="43"/>
      <c r="E27" s="43"/>
      <c r="F27" s="43"/>
      <c r="G27" s="43"/>
      <c r="H27" s="43"/>
      <c r="I27" s="43"/>
      <c r="J27" s="44"/>
      <c r="M27" s="45" t="s">
        <v>171</v>
      </c>
      <c r="N27" s="46">
        <f>D14/D15*1.2</f>
        <v>1.5245749613601236</v>
      </c>
    </row>
    <row r="28" spans="1:20" ht="17" thickBot="1" x14ac:dyDescent="0.25">
      <c r="A28" s="2"/>
      <c r="B28" s="43"/>
      <c r="C28" s="43"/>
      <c r="D28" s="43"/>
      <c r="E28" s="43"/>
      <c r="F28" s="43"/>
      <c r="G28" s="43"/>
      <c r="H28" s="43"/>
      <c r="I28" s="43"/>
      <c r="J28" s="44"/>
    </row>
    <row r="29" spans="1:20" ht="17" thickBot="1" x14ac:dyDescent="0.25">
      <c r="A29" s="309" t="s">
        <v>175</v>
      </c>
      <c r="B29" s="310"/>
      <c r="C29" s="310"/>
      <c r="D29" s="310"/>
      <c r="E29" s="310"/>
      <c r="F29" s="310"/>
      <c r="G29" s="310"/>
      <c r="H29" s="310"/>
      <c r="I29" s="310"/>
      <c r="J29" s="311"/>
      <c r="M29" s="55" t="s">
        <v>167</v>
      </c>
      <c r="N29" s="46">
        <f>N27*(1-N10)/(1-N9)</f>
        <v>3.7463414634146353</v>
      </c>
    </row>
    <row r="30" spans="1:20" ht="17" thickBot="1" x14ac:dyDescent="0.25"/>
    <row r="31" spans="1:20" ht="20" thickBot="1" x14ac:dyDescent="0.3">
      <c r="A31" s="3"/>
      <c r="M31" s="88" t="s">
        <v>172</v>
      </c>
      <c r="N31" s="90">
        <f>(N29-1)*(F6-F7)</f>
        <v>93375.609756097605</v>
      </c>
    </row>
    <row r="34" spans="12:20" x14ac:dyDescent="0.2">
      <c r="L34" s="5"/>
    </row>
    <row r="35" spans="12:20" ht="19" x14ac:dyDescent="0.25">
      <c r="L35" s="3" t="s">
        <v>210</v>
      </c>
    </row>
    <row r="36" spans="12:20" x14ac:dyDescent="0.2">
      <c r="L36" s="76" t="s">
        <v>214</v>
      </c>
    </row>
    <row r="37" spans="12:20" x14ac:dyDescent="0.2">
      <c r="L37" s="76" t="s">
        <v>215</v>
      </c>
    </row>
    <row r="38" spans="12:20" x14ac:dyDescent="0.2">
      <c r="L38" s="76"/>
      <c r="M38" s="76"/>
      <c r="N38" s="76"/>
      <c r="O38" s="76"/>
      <c r="P38" s="76"/>
      <c r="Q38" s="76"/>
      <c r="R38" s="76"/>
      <c r="S38" s="76"/>
      <c r="T38" s="76"/>
    </row>
    <row r="39" spans="12:20" x14ac:dyDescent="0.2">
      <c r="L39" s="76"/>
      <c r="M39" s="76"/>
      <c r="N39" s="76"/>
      <c r="O39" s="76"/>
      <c r="P39" s="76"/>
      <c r="Q39" s="76"/>
      <c r="R39" s="76"/>
      <c r="S39" s="76"/>
      <c r="T39" s="76"/>
    </row>
    <row r="40" spans="12:20" x14ac:dyDescent="0.2">
      <c r="L40" s="76"/>
      <c r="M40" s="76"/>
      <c r="N40" s="76"/>
      <c r="O40" s="76"/>
      <c r="P40" s="76"/>
      <c r="Q40" s="76"/>
      <c r="R40" s="76"/>
      <c r="S40" s="76"/>
      <c r="T40" s="76"/>
    </row>
    <row r="41" spans="12:20" x14ac:dyDescent="0.2">
      <c r="L41" s="76"/>
      <c r="M41" s="76"/>
      <c r="N41" s="76"/>
      <c r="O41" s="76"/>
      <c r="P41" s="76"/>
      <c r="Q41" s="76"/>
      <c r="R41" s="76"/>
      <c r="S41" s="76"/>
      <c r="T41" s="76"/>
    </row>
    <row r="42" spans="12:20" x14ac:dyDescent="0.2">
      <c r="L42" s="76"/>
      <c r="M42" s="76"/>
      <c r="N42" s="76"/>
      <c r="O42" s="76"/>
      <c r="P42" s="76"/>
      <c r="Q42" s="76"/>
      <c r="R42" s="76"/>
      <c r="S42" s="76"/>
      <c r="T42" s="76"/>
    </row>
    <row r="43" spans="12:20" x14ac:dyDescent="0.2">
      <c r="L43" s="76"/>
      <c r="M43" s="76"/>
      <c r="N43" s="76"/>
      <c r="O43" s="76"/>
      <c r="P43" s="76"/>
      <c r="Q43" s="76"/>
      <c r="R43" s="76"/>
      <c r="S43" s="76"/>
      <c r="T43" s="76"/>
    </row>
    <row r="44" spans="12:20" x14ac:dyDescent="0.2">
      <c r="L44" s="76"/>
      <c r="M44" s="76"/>
      <c r="N44" s="76"/>
      <c r="O44" s="76"/>
      <c r="P44" s="76"/>
      <c r="Q44" s="76"/>
      <c r="R44" s="76"/>
      <c r="S44" s="76"/>
      <c r="T44" s="76"/>
    </row>
    <row r="45" spans="12:20" x14ac:dyDescent="0.2">
      <c r="L45" s="76"/>
      <c r="M45" s="76"/>
      <c r="N45" s="76"/>
      <c r="O45" s="76"/>
      <c r="P45" s="76"/>
      <c r="Q45" s="76"/>
      <c r="R45" s="76"/>
      <c r="S45" s="76"/>
      <c r="T45" s="76"/>
    </row>
    <row r="46" spans="12:20" x14ac:dyDescent="0.2">
      <c r="L46" s="76"/>
      <c r="M46" s="76"/>
      <c r="N46" s="76"/>
      <c r="O46" s="76"/>
      <c r="P46" s="76"/>
      <c r="Q46" s="76"/>
      <c r="R46" s="76"/>
      <c r="S46" s="76"/>
      <c r="T46" s="76"/>
    </row>
    <row r="47" spans="12:20" x14ac:dyDescent="0.2">
      <c r="L47" s="76"/>
      <c r="M47" s="76"/>
      <c r="N47" s="76"/>
      <c r="O47" s="76"/>
      <c r="P47" s="76"/>
      <c r="Q47" s="76"/>
      <c r="R47" s="76"/>
      <c r="S47" s="76"/>
      <c r="T47" s="76"/>
    </row>
    <row r="48" spans="12:20" x14ac:dyDescent="0.2">
      <c r="L48" s="76"/>
      <c r="M48" s="76"/>
      <c r="N48" s="76"/>
      <c r="O48" s="76"/>
      <c r="P48" s="76"/>
      <c r="Q48" s="76"/>
      <c r="R48" s="76"/>
      <c r="S48" s="76"/>
      <c r="T48" s="76"/>
    </row>
    <row r="49" spans="12:20" x14ac:dyDescent="0.2">
      <c r="L49" s="76"/>
      <c r="M49" s="76"/>
      <c r="N49" s="76"/>
      <c r="O49" s="76"/>
      <c r="P49" s="76"/>
      <c r="Q49" s="76"/>
      <c r="R49" s="76"/>
      <c r="S49" s="76"/>
      <c r="T49" s="76"/>
    </row>
    <row r="50" spans="12:20" x14ac:dyDescent="0.2">
      <c r="L50" s="76"/>
      <c r="M50" s="76"/>
      <c r="N50" s="76"/>
      <c r="O50" s="76"/>
      <c r="P50" s="76"/>
      <c r="Q50" s="76"/>
      <c r="R50" s="76"/>
      <c r="S50" s="76"/>
      <c r="T50" s="76"/>
    </row>
    <row r="51" spans="12:20" x14ac:dyDescent="0.2">
      <c r="L51" s="76"/>
      <c r="M51" s="76"/>
      <c r="N51" s="76"/>
      <c r="O51" s="76"/>
      <c r="P51" s="76"/>
      <c r="Q51" s="76"/>
      <c r="R51" s="76"/>
      <c r="S51" s="76"/>
      <c r="T51" s="76"/>
    </row>
    <row r="52" spans="12:20" x14ac:dyDescent="0.2">
      <c r="L52" s="76"/>
      <c r="M52" s="77"/>
      <c r="N52" s="76"/>
      <c r="O52" s="76"/>
      <c r="P52" s="76"/>
      <c r="Q52" s="76"/>
      <c r="R52" s="76"/>
      <c r="S52" s="76"/>
      <c r="T52" s="76"/>
    </row>
    <row r="53" spans="12:20" x14ac:dyDescent="0.2">
      <c r="L53" s="76"/>
      <c r="M53" s="76"/>
      <c r="N53" s="76"/>
      <c r="O53" s="76"/>
      <c r="P53" s="76"/>
      <c r="Q53" s="76"/>
      <c r="R53" s="76"/>
      <c r="S53" s="76"/>
      <c r="T53" s="76"/>
    </row>
    <row r="54" spans="12:20" x14ac:dyDescent="0.2">
      <c r="L54" s="76"/>
      <c r="M54" s="76"/>
      <c r="N54" s="76"/>
      <c r="O54" s="76"/>
      <c r="P54" s="76"/>
      <c r="Q54" s="76"/>
      <c r="R54" s="76"/>
      <c r="S54" s="76"/>
      <c r="T54" s="76"/>
    </row>
    <row r="55" spans="12:20" x14ac:dyDescent="0.2">
      <c r="L55" s="76"/>
      <c r="M55" s="76"/>
      <c r="N55" s="76"/>
      <c r="O55" s="76"/>
      <c r="P55" s="76"/>
      <c r="Q55" s="76"/>
      <c r="R55" s="76"/>
      <c r="S55" s="76"/>
      <c r="T55" s="76"/>
    </row>
    <row r="56" spans="12:20" x14ac:dyDescent="0.2">
      <c r="L56" s="76"/>
      <c r="M56" s="76"/>
      <c r="N56" s="76"/>
      <c r="O56" s="76"/>
      <c r="P56" s="76"/>
      <c r="Q56" s="76"/>
      <c r="R56" s="76"/>
      <c r="S56" s="76"/>
      <c r="T56" s="76"/>
    </row>
    <row r="57" spans="12:20" x14ac:dyDescent="0.2">
      <c r="L57" s="76"/>
      <c r="M57" s="76"/>
      <c r="N57" s="76"/>
      <c r="O57" s="76"/>
      <c r="P57" s="76"/>
      <c r="Q57" s="76"/>
      <c r="R57" s="76"/>
      <c r="S57" s="76"/>
      <c r="T57" s="76"/>
    </row>
    <row r="58" spans="12:20" x14ac:dyDescent="0.2">
      <c r="L58" s="76"/>
      <c r="M58" s="76"/>
      <c r="N58" s="76"/>
      <c r="O58" s="76"/>
      <c r="P58" s="76"/>
      <c r="Q58" s="76"/>
      <c r="R58" s="76"/>
      <c r="S58" s="76"/>
      <c r="T58" s="76"/>
    </row>
    <row r="59" spans="12:20" x14ac:dyDescent="0.2">
      <c r="L59" s="76"/>
      <c r="M59" s="76"/>
      <c r="N59" s="76"/>
      <c r="O59" s="76"/>
      <c r="P59" s="76"/>
      <c r="Q59" s="76"/>
      <c r="R59" s="76"/>
      <c r="S59" s="76"/>
      <c r="T59" s="76"/>
    </row>
    <row r="60" spans="12:20" x14ac:dyDescent="0.2">
      <c r="L60" s="76"/>
      <c r="M60" s="76"/>
      <c r="N60" s="76"/>
      <c r="O60" s="76"/>
      <c r="P60" s="76"/>
      <c r="Q60" s="76"/>
      <c r="R60" s="76"/>
      <c r="S60" s="76"/>
      <c r="T60" s="76"/>
    </row>
    <row r="61" spans="12:20" x14ac:dyDescent="0.2">
      <c r="L61" s="76"/>
      <c r="M61" s="76"/>
      <c r="N61" s="76"/>
      <c r="O61" s="76"/>
      <c r="P61" s="76"/>
      <c r="Q61" s="76"/>
      <c r="R61" s="76"/>
      <c r="S61" s="76"/>
      <c r="T61" s="76"/>
    </row>
    <row r="62" spans="12:20" x14ac:dyDescent="0.2">
      <c r="L62" s="76"/>
      <c r="M62" s="77"/>
      <c r="N62" s="76"/>
      <c r="O62" s="76"/>
      <c r="P62" s="76"/>
      <c r="Q62" s="76"/>
      <c r="R62" s="76"/>
      <c r="S62" s="76"/>
      <c r="T62" s="76"/>
    </row>
    <row r="63" spans="12:20" x14ac:dyDescent="0.2">
      <c r="L63" s="5"/>
      <c r="M63" s="5"/>
      <c r="N63" s="5"/>
    </row>
    <row r="64" spans="12:20" x14ac:dyDescent="0.2">
      <c r="L64" s="5"/>
      <c r="M64" s="5"/>
      <c r="N64" s="5"/>
    </row>
    <row r="65" spans="12:14" x14ac:dyDescent="0.2">
      <c r="L65" s="5"/>
      <c r="M65" s="5"/>
      <c r="N65" s="5"/>
    </row>
    <row r="66" spans="12:14" x14ac:dyDescent="0.2">
      <c r="L66" s="5"/>
      <c r="M66" s="5"/>
      <c r="N66" s="5"/>
    </row>
    <row r="67" spans="12:14" x14ac:dyDescent="0.2">
      <c r="L67" s="5"/>
      <c r="M67" s="5"/>
      <c r="N67" s="5"/>
    </row>
    <row r="68" spans="12:14" x14ac:dyDescent="0.2">
      <c r="L68" s="5"/>
      <c r="M68" s="5"/>
      <c r="N68" s="5"/>
    </row>
    <row r="69" spans="12:14" x14ac:dyDescent="0.2">
      <c r="L69" s="5"/>
      <c r="M69" s="5"/>
      <c r="N69" s="5"/>
    </row>
    <row r="70" spans="12:14" x14ac:dyDescent="0.2">
      <c r="L70" s="5"/>
      <c r="M70" s="5"/>
      <c r="N70" s="5"/>
    </row>
    <row r="71" spans="12:14" x14ac:dyDescent="0.2">
      <c r="L71" s="5"/>
      <c r="M71" s="5"/>
      <c r="N71" s="5"/>
    </row>
    <row r="72" spans="12:14" x14ac:dyDescent="0.2">
      <c r="M72" s="46"/>
    </row>
    <row r="73" spans="12:14" x14ac:dyDescent="0.2">
      <c r="L73" s="5"/>
      <c r="M73" s="5"/>
      <c r="N73" s="5"/>
    </row>
    <row r="74" spans="12:14" x14ac:dyDescent="0.2">
      <c r="L74" s="5"/>
      <c r="M74" s="5"/>
      <c r="N74" s="5"/>
    </row>
    <row r="75" spans="12:14" x14ac:dyDescent="0.2">
      <c r="L75" s="5"/>
      <c r="M75" s="5"/>
      <c r="N75" s="5"/>
    </row>
    <row r="76" spans="12:14" x14ac:dyDescent="0.2">
      <c r="L76" s="5"/>
      <c r="M76" s="5"/>
      <c r="N76" s="5"/>
    </row>
    <row r="77" spans="12:14" x14ac:dyDescent="0.2">
      <c r="L77" s="5"/>
      <c r="M77" s="5"/>
      <c r="N77" s="5"/>
    </row>
    <row r="78" spans="12:14" x14ac:dyDescent="0.2">
      <c r="L78" s="5"/>
      <c r="M78" s="5"/>
      <c r="N78" s="5"/>
    </row>
    <row r="79" spans="12:14" x14ac:dyDescent="0.2">
      <c r="L79" s="5"/>
      <c r="M79" s="5"/>
      <c r="N79" s="5"/>
    </row>
    <row r="80" spans="12:14" x14ac:dyDescent="0.2">
      <c r="L80" s="5"/>
      <c r="M80" s="5"/>
      <c r="N80" s="5"/>
    </row>
    <row r="81" spans="1:65" x14ac:dyDescent="0.2">
      <c r="L81" s="5"/>
      <c r="M81" s="5"/>
      <c r="N81" s="5"/>
    </row>
    <row r="82" spans="1:65" x14ac:dyDescent="0.2">
      <c r="M82" s="46"/>
    </row>
    <row r="83" spans="1:65" x14ac:dyDescent="0.2">
      <c r="L83" s="5"/>
      <c r="M83" s="5"/>
      <c r="N83" s="5"/>
    </row>
    <row r="84" spans="1:65" x14ac:dyDescent="0.2">
      <c r="L84" s="5"/>
      <c r="M84" s="5"/>
      <c r="N84" s="5"/>
    </row>
    <row r="85" spans="1:65" x14ac:dyDescent="0.2">
      <c r="L85" s="5"/>
      <c r="M85" s="5"/>
      <c r="N85" s="5"/>
    </row>
    <row r="86" spans="1:65" x14ac:dyDescent="0.2">
      <c r="L86" s="5"/>
      <c r="M86" s="5"/>
      <c r="N86" s="5"/>
    </row>
    <row r="87" spans="1:65" x14ac:dyDescent="0.2">
      <c r="L87" s="5"/>
      <c r="M87" s="5"/>
      <c r="N87" s="5"/>
    </row>
    <row r="88" spans="1:65" x14ac:dyDescent="0.2">
      <c r="L88" s="5"/>
      <c r="M88" s="5"/>
      <c r="N88" s="5"/>
    </row>
    <row r="89" spans="1:65" x14ac:dyDescent="0.2">
      <c r="L89" s="5"/>
      <c r="M89" s="5"/>
      <c r="N89" s="5"/>
    </row>
    <row r="90" spans="1:65" x14ac:dyDescent="0.2">
      <c r="L90" s="5"/>
      <c r="M90" s="5"/>
      <c r="N90" s="5"/>
    </row>
    <row r="91" spans="1:65" x14ac:dyDescent="0.2">
      <c r="L91" s="5"/>
      <c r="M91" s="5"/>
      <c r="N91" s="5"/>
    </row>
    <row r="92" spans="1:65" x14ac:dyDescent="0.2">
      <c r="M92" s="46"/>
    </row>
    <row r="93" spans="1:65" x14ac:dyDescent="0.2">
      <c r="A93" s="5"/>
      <c r="B93" s="5"/>
      <c r="C93" s="5"/>
      <c r="D93" s="5"/>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c r="AU93" s="5"/>
      <c r="AV93" s="5"/>
      <c r="AW93" s="5"/>
      <c r="AX93" s="5"/>
      <c r="AY93" s="5"/>
      <c r="AZ93" s="5"/>
      <c r="BA93" s="5"/>
      <c r="BB93" s="5"/>
      <c r="BC93" s="5"/>
      <c r="BD93" s="5"/>
      <c r="BE93" s="5"/>
      <c r="BF93" s="5"/>
      <c r="BG93" s="5"/>
      <c r="BH93" s="5"/>
      <c r="BI93" s="5"/>
      <c r="BJ93" s="5"/>
      <c r="BK93" s="5"/>
      <c r="BL93" s="5"/>
      <c r="BM93" s="5"/>
    </row>
    <row r="94" spans="1:65" x14ac:dyDescent="0.2">
      <c r="A94" s="5"/>
      <c r="B94" s="5"/>
      <c r="C94" s="5"/>
      <c r="D94" s="5"/>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c r="AG94" s="5"/>
      <c r="AH94" s="5"/>
      <c r="AI94" s="5"/>
      <c r="AJ94" s="5"/>
      <c r="AK94" s="5"/>
      <c r="AL94" s="5"/>
      <c r="AM94" s="5"/>
      <c r="AN94" s="5"/>
      <c r="AO94" s="5"/>
      <c r="AP94" s="5"/>
      <c r="AQ94" s="5"/>
      <c r="AR94" s="5"/>
      <c r="AS94" s="5"/>
      <c r="AT94" s="5"/>
      <c r="AU94" s="5"/>
      <c r="AV94" s="5"/>
      <c r="AW94" s="5"/>
      <c r="AX94" s="5"/>
      <c r="AY94" s="5"/>
      <c r="AZ94" s="5"/>
      <c r="BA94" s="5"/>
      <c r="BB94" s="5"/>
      <c r="BC94" s="5"/>
      <c r="BD94" s="5"/>
      <c r="BE94" s="5"/>
      <c r="BF94" s="5"/>
      <c r="BG94" s="5"/>
      <c r="BH94" s="5"/>
      <c r="BI94" s="5"/>
      <c r="BJ94" s="5"/>
      <c r="BK94" s="5"/>
      <c r="BL94" s="5"/>
      <c r="BM94" s="5"/>
    </row>
    <row r="95" spans="1:65" x14ac:dyDescent="0.2">
      <c r="A95" s="5"/>
      <c r="B95" s="5"/>
      <c r="C95" s="5"/>
      <c r="D95" s="5"/>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c r="AG95" s="5"/>
      <c r="AH95" s="5"/>
      <c r="AI95" s="5"/>
      <c r="AJ95" s="5"/>
      <c r="AK95" s="5"/>
      <c r="AL95" s="5"/>
      <c r="AM95" s="5"/>
      <c r="AN95" s="5"/>
      <c r="AO95" s="5"/>
      <c r="AP95" s="5"/>
      <c r="AQ95" s="5"/>
      <c r="AR95" s="5"/>
      <c r="AS95" s="5"/>
      <c r="AT95" s="5"/>
      <c r="AU95" s="5"/>
      <c r="AV95" s="5"/>
      <c r="AW95" s="5"/>
      <c r="AX95" s="5"/>
      <c r="AY95" s="5"/>
      <c r="AZ95" s="5"/>
      <c r="BA95" s="5"/>
      <c r="BB95" s="5"/>
      <c r="BC95" s="5"/>
      <c r="BD95" s="5"/>
      <c r="BE95" s="5"/>
      <c r="BF95" s="5"/>
      <c r="BG95" s="5"/>
      <c r="BH95" s="5"/>
      <c r="BI95" s="5"/>
      <c r="BJ95" s="5"/>
      <c r="BK95" s="5"/>
      <c r="BL95" s="5"/>
      <c r="BM95" s="5"/>
    </row>
    <row r="96" spans="1:65" x14ac:dyDescent="0.2">
      <c r="A96" s="5"/>
      <c r="B96" s="5"/>
      <c r="C96" s="5"/>
      <c r="D96" s="5"/>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c r="AG96" s="5"/>
      <c r="AH96" s="5"/>
      <c r="AI96" s="5"/>
      <c r="AJ96" s="5"/>
      <c r="AK96" s="5"/>
      <c r="AL96" s="5"/>
      <c r="AM96" s="5"/>
      <c r="AN96" s="5"/>
      <c r="AO96" s="5"/>
      <c r="AP96" s="5"/>
      <c r="AQ96" s="5"/>
      <c r="AR96" s="5"/>
      <c r="AS96" s="5"/>
      <c r="AT96" s="5"/>
      <c r="AU96" s="5"/>
      <c r="AV96" s="5"/>
      <c r="AW96" s="5"/>
      <c r="AX96" s="5"/>
      <c r="AY96" s="5"/>
      <c r="AZ96" s="5"/>
      <c r="BA96" s="5"/>
      <c r="BB96" s="5"/>
      <c r="BC96" s="5"/>
      <c r="BD96" s="5"/>
      <c r="BE96" s="5"/>
      <c r="BF96" s="5"/>
      <c r="BG96" s="5"/>
      <c r="BH96" s="5"/>
      <c r="BI96" s="5"/>
      <c r="BJ96" s="5"/>
      <c r="BK96" s="5"/>
      <c r="BL96" s="5"/>
      <c r="BM96" s="5"/>
    </row>
    <row r="97" spans="1:65" x14ac:dyDescent="0.2">
      <c r="A97" s="5"/>
      <c r="B97" s="5"/>
      <c r="C97" s="5"/>
      <c r="D97" s="5"/>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c r="AG97" s="5"/>
      <c r="AH97" s="5"/>
      <c r="AI97" s="5"/>
      <c r="AJ97" s="5"/>
      <c r="AK97" s="5"/>
      <c r="AL97" s="5"/>
      <c r="AM97" s="5"/>
      <c r="AN97" s="5"/>
      <c r="AO97" s="5"/>
      <c r="AP97" s="5"/>
      <c r="AQ97" s="5"/>
      <c r="AR97" s="5"/>
      <c r="AS97" s="5"/>
      <c r="AT97" s="5"/>
      <c r="AU97" s="5"/>
      <c r="AV97" s="5"/>
      <c r="AW97" s="5"/>
      <c r="AX97" s="5"/>
      <c r="AY97" s="5"/>
      <c r="AZ97" s="5"/>
      <c r="BA97" s="5"/>
      <c r="BB97" s="5"/>
      <c r="BC97" s="5"/>
      <c r="BD97" s="5"/>
      <c r="BE97" s="5"/>
      <c r="BF97" s="5"/>
      <c r="BG97" s="5"/>
      <c r="BH97" s="5"/>
      <c r="BI97" s="5"/>
      <c r="BJ97" s="5"/>
      <c r="BK97" s="5"/>
      <c r="BL97" s="5"/>
      <c r="BM97" s="5"/>
    </row>
    <row r="98" spans="1:65" x14ac:dyDescent="0.2">
      <c r="A98" s="5"/>
      <c r="B98" s="5"/>
      <c r="C98" s="5"/>
      <c r="D98" s="5"/>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c r="AU98" s="5"/>
      <c r="AV98" s="5"/>
      <c r="AW98" s="5"/>
      <c r="AX98" s="5"/>
      <c r="AY98" s="5"/>
      <c r="AZ98" s="5"/>
      <c r="BA98" s="5"/>
      <c r="BB98" s="5"/>
      <c r="BC98" s="5"/>
      <c r="BD98" s="5"/>
      <c r="BE98" s="5"/>
      <c r="BF98" s="5"/>
      <c r="BG98" s="5"/>
      <c r="BH98" s="5"/>
      <c r="BI98" s="5"/>
      <c r="BJ98" s="5"/>
      <c r="BK98" s="5"/>
      <c r="BL98" s="5"/>
      <c r="BM98" s="5"/>
    </row>
    <row r="99" spans="1:65" x14ac:dyDescent="0.2">
      <c r="A99" s="5"/>
      <c r="B99" s="5"/>
      <c r="C99" s="5"/>
      <c r="D99" s="5"/>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c r="AU99" s="5"/>
      <c r="AV99" s="5"/>
      <c r="AW99" s="5"/>
      <c r="AX99" s="5"/>
      <c r="AY99" s="5"/>
      <c r="AZ99" s="5"/>
      <c r="BA99" s="5"/>
      <c r="BB99" s="5"/>
      <c r="BC99" s="5"/>
      <c r="BD99" s="5"/>
      <c r="BE99" s="5"/>
      <c r="BF99" s="5"/>
      <c r="BG99" s="5"/>
      <c r="BH99" s="5"/>
      <c r="BI99" s="5"/>
      <c r="BJ99" s="5"/>
      <c r="BK99" s="5"/>
      <c r="BL99" s="5"/>
      <c r="BM99" s="5"/>
    </row>
    <row r="100" spans="1:65" x14ac:dyDescent="0.2">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c r="AU100" s="5"/>
      <c r="AV100" s="5"/>
      <c r="AW100" s="5"/>
      <c r="AX100" s="5"/>
      <c r="AY100" s="5"/>
      <c r="AZ100" s="5"/>
      <c r="BA100" s="5"/>
      <c r="BB100" s="5"/>
      <c r="BC100" s="5"/>
      <c r="BD100" s="5"/>
      <c r="BE100" s="5"/>
      <c r="BF100" s="5"/>
      <c r="BG100" s="5"/>
      <c r="BH100" s="5"/>
      <c r="BI100" s="5"/>
      <c r="BJ100" s="5"/>
      <c r="BK100" s="5"/>
      <c r="BL100" s="5"/>
      <c r="BM100" s="5"/>
    </row>
    <row r="101" spans="1:65" x14ac:dyDescent="0.2">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c r="AG101" s="5"/>
      <c r="AH101" s="5"/>
      <c r="AI101" s="5"/>
      <c r="AJ101" s="5"/>
      <c r="AK101" s="5"/>
      <c r="AL101" s="5"/>
      <c r="AM101" s="5"/>
      <c r="AN101" s="5"/>
      <c r="AO101" s="5"/>
      <c r="AP101" s="5"/>
      <c r="AQ101" s="5"/>
      <c r="AR101" s="5"/>
      <c r="AS101" s="5"/>
      <c r="AT101" s="5"/>
      <c r="AU101" s="5"/>
      <c r="AV101" s="5"/>
      <c r="AW101" s="5"/>
      <c r="AX101" s="5"/>
      <c r="AY101" s="5"/>
      <c r="AZ101" s="5"/>
      <c r="BA101" s="5"/>
      <c r="BB101" s="5"/>
      <c r="BC101" s="5"/>
      <c r="BD101" s="5"/>
      <c r="BE101" s="5"/>
      <c r="BF101" s="5"/>
      <c r="BG101" s="5"/>
      <c r="BH101" s="5"/>
      <c r="BI101" s="5"/>
      <c r="BJ101" s="5"/>
      <c r="BK101" s="5"/>
      <c r="BL101" s="5"/>
      <c r="BM101" s="5"/>
    </row>
    <row r="102" spans="1:65" x14ac:dyDescent="0.2">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c r="AG102" s="5"/>
      <c r="AH102" s="5"/>
      <c r="AI102" s="5"/>
      <c r="AJ102" s="5"/>
      <c r="AK102" s="5"/>
      <c r="AL102" s="5"/>
      <c r="AM102" s="5"/>
      <c r="AN102" s="5"/>
      <c r="AO102" s="5"/>
      <c r="AP102" s="5"/>
      <c r="AQ102" s="5"/>
      <c r="AR102" s="5"/>
      <c r="AS102" s="5"/>
      <c r="AT102" s="5"/>
      <c r="AU102" s="5"/>
      <c r="AV102" s="5"/>
      <c r="AW102" s="5"/>
      <c r="AX102" s="5"/>
      <c r="AY102" s="5"/>
      <c r="AZ102" s="5"/>
      <c r="BA102" s="5"/>
      <c r="BB102" s="5"/>
      <c r="BC102" s="5"/>
      <c r="BD102" s="5"/>
      <c r="BE102" s="5"/>
      <c r="BF102" s="5"/>
      <c r="BG102" s="5"/>
      <c r="BH102" s="5"/>
      <c r="BI102" s="5"/>
      <c r="BJ102" s="5"/>
      <c r="BK102" s="5"/>
      <c r="BL102" s="5"/>
      <c r="BM102" s="5"/>
    </row>
    <row r="103" spans="1:65" x14ac:dyDescent="0.2">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c r="AG103" s="5"/>
      <c r="AH103" s="5"/>
      <c r="AI103" s="5"/>
      <c r="AJ103" s="5"/>
      <c r="AK103" s="5"/>
      <c r="AL103" s="5"/>
      <c r="AM103" s="5"/>
      <c r="AN103" s="5"/>
      <c r="AO103" s="5"/>
      <c r="AP103" s="5"/>
      <c r="AQ103" s="5"/>
      <c r="AR103" s="5"/>
      <c r="AS103" s="5"/>
      <c r="AT103" s="5"/>
      <c r="AU103" s="5"/>
      <c r="AV103" s="5"/>
      <c r="AW103" s="5"/>
      <c r="AX103" s="5"/>
      <c r="AY103" s="5"/>
      <c r="AZ103" s="5"/>
      <c r="BA103" s="5"/>
      <c r="BB103" s="5"/>
      <c r="BC103" s="5"/>
      <c r="BD103" s="5"/>
      <c r="BE103" s="5"/>
      <c r="BF103" s="5"/>
      <c r="BG103" s="5"/>
      <c r="BH103" s="5"/>
      <c r="BI103" s="5"/>
      <c r="BJ103" s="5"/>
      <c r="BK103" s="5"/>
      <c r="BL103" s="5"/>
      <c r="BM103" s="5"/>
    </row>
    <row r="104" spans="1:65" x14ac:dyDescent="0.2">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c r="AG104" s="5"/>
      <c r="AH104" s="5"/>
      <c r="AI104" s="5"/>
      <c r="AJ104" s="5"/>
      <c r="AK104" s="5"/>
      <c r="AL104" s="5"/>
      <c r="AM104" s="5"/>
      <c r="AN104" s="5"/>
      <c r="AO104" s="5"/>
      <c r="AP104" s="5"/>
      <c r="AQ104" s="5"/>
      <c r="AR104" s="5"/>
      <c r="AS104" s="5"/>
      <c r="AT104" s="5"/>
      <c r="AU104" s="5"/>
      <c r="AV104" s="5"/>
      <c r="AW104" s="5"/>
      <c r="AX104" s="5"/>
      <c r="AY104" s="5"/>
      <c r="AZ104" s="5"/>
      <c r="BA104" s="5"/>
      <c r="BB104" s="5"/>
      <c r="BC104" s="5"/>
      <c r="BD104" s="5"/>
      <c r="BE104" s="5"/>
      <c r="BF104" s="5"/>
      <c r="BG104" s="5"/>
      <c r="BH104" s="5"/>
      <c r="BI104" s="5"/>
      <c r="BJ104" s="5"/>
      <c r="BK104" s="5"/>
      <c r="BL104" s="5"/>
      <c r="BM104" s="5"/>
    </row>
    <row r="105" spans="1:65" x14ac:dyDescent="0.2">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c r="AG105" s="5"/>
      <c r="AH105" s="5"/>
      <c r="AI105" s="5"/>
      <c r="AJ105" s="5"/>
      <c r="AK105" s="5"/>
      <c r="AL105" s="5"/>
      <c r="AM105" s="5"/>
      <c r="AN105" s="5"/>
      <c r="AO105" s="5"/>
      <c r="AP105" s="5"/>
      <c r="AQ105" s="5"/>
      <c r="AR105" s="5"/>
      <c r="AS105" s="5"/>
      <c r="AT105" s="5"/>
      <c r="AU105" s="5"/>
      <c r="AV105" s="5"/>
      <c r="AW105" s="5"/>
      <c r="AX105" s="5"/>
      <c r="AY105" s="5"/>
      <c r="AZ105" s="5"/>
      <c r="BA105" s="5"/>
      <c r="BB105" s="5"/>
      <c r="BC105" s="5"/>
      <c r="BD105" s="5"/>
      <c r="BE105" s="5"/>
      <c r="BF105" s="5"/>
      <c r="BG105" s="5"/>
      <c r="BH105" s="5"/>
      <c r="BI105" s="5"/>
      <c r="BJ105" s="5"/>
      <c r="BK105" s="5"/>
      <c r="BL105" s="5"/>
      <c r="BM105" s="5"/>
    </row>
    <row r="106" spans="1:65" x14ac:dyDescent="0.2">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c r="AG106" s="5"/>
      <c r="AH106" s="5"/>
      <c r="AI106" s="5"/>
      <c r="AJ106" s="5"/>
      <c r="AK106" s="5"/>
      <c r="AL106" s="5"/>
      <c r="AM106" s="5"/>
      <c r="AN106" s="5"/>
      <c r="AO106" s="5"/>
      <c r="AP106" s="5"/>
      <c r="AQ106" s="5"/>
      <c r="AR106" s="5"/>
      <c r="AS106" s="5"/>
      <c r="AT106" s="5"/>
      <c r="AU106" s="5"/>
      <c r="AV106" s="5"/>
      <c r="AW106" s="5"/>
      <c r="AX106" s="5"/>
      <c r="AY106" s="5"/>
      <c r="AZ106" s="5"/>
      <c r="BA106" s="5"/>
      <c r="BB106" s="5"/>
      <c r="BC106" s="5"/>
      <c r="BD106" s="5"/>
      <c r="BE106" s="5"/>
      <c r="BF106" s="5"/>
      <c r="BG106" s="5"/>
      <c r="BH106" s="5"/>
      <c r="BI106" s="5"/>
      <c r="BJ106" s="5"/>
      <c r="BK106" s="5"/>
      <c r="BL106" s="5"/>
      <c r="BM106" s="5"/>
    </row>
    <row r="107" spans="1:65" x14ac:dyDescent="0.2">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c r="AG107" s="5"/>
      <c r="AH107" s="5"/>
      <c r="AI107" s="5"/>
      <c r="AJ107" s="5"/>
      <c r="AK107" s="5"/>
      <c r="AL107" s="5"/>
      <c r="AM107" s="5"/>
      <c r="AN107" s="5"/>
      <c r="AO107" s="5"/>
      <c r="AP107" s="5"/>
      <c r="AQ107" s="5"/>
      <c r="AR107" s="5"/>
      <c r="AS107" s="5"/>
      <c r="AT107" s="5"/>
      <c r="AU107" s="5"/>
      <c r="AV107" s="5"/>
      <c r="AW107" s="5"/>
      <c r="AX107" s="5"/>
      <c r="AY107" s="5"/>
      <c r="AZ107" s="5"/>
      <c r="BA107" s="5"/>
      <c r="BB107" s="5"/>
      <c r="BC107" s="5"/>
      <c r="BD107" s="5"/>
      <c r="BE107" s="5"/>
      <c r="BF107" s="5"/>
      <c r="BG107" s="5"/>
      <c r="BH107" s="5"/>
      <c r="BI107" s="5"/>
      <c r="BJ107" s="5"/>
      <c r="BK107" s="5"/>
      <c r="BL107" s="5"/>
      <c r="BM107" s="5"/>
    </row>
    <row r="108" spans="1:65" x14ac:dyDescent="0.2">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c r="AG108" s="5"/>
      <c r="AH108" s="5"/>
      <c r="AI108" s="5"/>
      <c r="AJ108" s="5"/>
      <c r="AK108" s="5"/>
      <c r="AL108" s="5"/>
      <c r="AM108" s="5"/>
      <c r="AN108" s="5"/>
      <c r="AO108" s="5"/>
      <c r="AP108" s="5"/>
      <c r="AQ108" s="5"/>
      <c r="AR108" s="5"/>
      <c r="AS108" s="5"/>
      <c r="AT108" s="5"/>
      <c r="AU108" s="5"/>
      <c r="AV108" s="5"/>
      <c r="AW108" s="5"/>
      <c r="AX108" s="5"/>
      <c r="AY108" s="5"/>
      <c r="AZ108" s="5"/>
      <c r="BA108" s="5"/>
      <c r="BB108" s="5"/>
      <c r="BC108" s="5"/>
      <c r="BD108" s="5"/>
      <c r="BE108" s="5"/>
      <c r="BF108" s="5"/>
      <c r="BG108" s="5"/>
      <c r="BH108" s="5"/>
      <c r="BI108" s="5"/>
      <c r="BJ108" s="5"/>
      <c r="BK108" s="5"/>
      <c r="BL108" s="5"/>
      <c r="BM108" s="5"/>
    </row>
    <row r="109" spans="1:65" x14ac:dyDescent="0.2">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c r="AG109" s="5"/>
      <c r="AH109" s="5"/>
      <c r="AI109" s="5"/>
      <c r="AJ109" s="5"/>
      <c r="AK109" s="5"/>
      <c r="AL109" s="5"/>
      <c r="AM109" s="5"/>
      <c r="AN109" s="5"/>
      <c r="AO109" s="5"/>
      <c r="AP109" s="5"/>
      <c r="AQ109" s="5"/>
      <c r="AR109" s="5"/>
      <c r="AS109" s="5"/>
      <c r="AT109" s="5"/>
      <c r="AU109" s="5"/>
      <c r="AV109" s="5"/>
      <c r="AW109" s="5"/>
      <c r="AX109" s="5"/>
      <c r="AY109" s="5"/>
      <c r="AZ109" s="5"/>
      <c r="BA109" s="5"/>
      <c r="BB109" s="5"/>
      <c r="BC109" s="5"/>
      <c r="BD109" s="5"/>
      <c r="BE109" s="5"/>
      <c r="BF109" s="5"/>
      <c r="BG109" s="5"/>
      <c r="BH109" s="5"/>
      <c r="BI109" s="5"/>
      <c r="BJ109" s="5"/>
      <c r="BK109" s="5"/>
      <c r="BL109" s="5"/>
      <c r="BM109" s="5"/>
    </row>
    <row r="110" spans="1:65" x14ac:dyDescent="0.2">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c r="AG110" s="5"/>
      <c r="AH110" s="5"/>
      <c r="AI110" s="5"/>
      <c r="AJ110" s="5"/>
      <c r="AK110" s="5"/>
      <c r="AL110" s="5"/>
      <c r="AM110" s="5"/>
      <c r="AN110" s="5"/>
      <c r="AO110" s="5"/>
      <c r="AP110" s="5"/>
      <c r="AQ110" s="5"/>
      <c r="AR110" s="5"/>
      <c r="AS110" s="5"/>
      <c r="AT110" s="5"/>
      <c r="AU110" s="5"/>
      <c r="AV110" s="5"/>
      <c r="AW110" s="5"/>
      <c r="AX110" s="5"/>
      <c r="AY110" s="5"/>
      <c r="AZ110" s="5"/>
      <c r="BA110" s="5"/>
      <c r="BB110" s="5"/>
      <c r="BC110" s="5"/>
      <c r="BD110" s="5"/>
      <c r="BE110" s="5"/>
      <c r="BF110" s="5"/>
      <c r="BG110" s="5"/>
      <c r="BH110" s="5"/>
      <c r="BI110" s="5"/>
      <c r="BJ110" s="5"/>
      <c r="BK110" s="5"/>
      <c r="BL110" s="5"/>
      <c r="BM110" s="5"/>
    </row>
    <row r="111" spans="1:65" x14ac:dyDescent="0.2">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c r="AG111" s="5"/>
      <c r="AH111" s="5"/>
      <c r="AI111" s="5"/>
      <c r="AJ111" s="5"/>
      <c r="AK111" s="5"/>
      <c r="AL111" s="5"/>
      <c r="AM111" s="5"/>
      <c r="AN111" s="5"/>
      <c r="AO111" s="5"/>
      <c r="AP111" s="5"/>
      <c r="AQ111" s="5"/>
      <c r="AR111" s="5"/>
      <c r="AS111" s="5"/>
      <c r="AT111" s="5"/>
      <c r="AU111" s="5"/>
      <c r="AV111" s="5"/>
      <c r="AW111" s="5"/>
      <c r="AX111" s="5"/>
      <c r="AY111" s="5"/>
      <c r="AZ111" s="5"/>
      <c r="BA111" s="5"/>
      <c r="BB111" s="5"/>
      <c r="BC111" s="5"/>
      <c r="BD111" s="5"/>
      <c r="BE111" s="5"/>
      <c r="BF111" s="5"/>
      <c r="BG111" s="5"/>
      <c r="BH111" s="5"/>
      <c r="BI111" s="5"/>
      <c r="BJ111" s="5"/>
      <c r="BK111" s="5"/>
      <c r="BL111" s="5"/>
      <c r="BM111" s="5"/>
    </row>
    <row r="112" spans="1:65" x14ac:dyDescent="0.2">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c r="AG112" s="5"/>
      <c r="AH112" s="5"/>
      <c r="AI112" s="5"/>
      <c r="AJ112" s="5"/>
      <c r="AK112" s="5"/>
      <c r="AL112" s="5"/>
      <c r="AM112" s="5"/>
      <c r="AN112" s="5"/>
      <c r="AO112" s="5"/>
      <c r="AP112" s="5"/>
      <c r="AQ112" s="5"/>
      <c r="AR112" s="5"/>
      <c r="AS112" s="5"/>
      <c r="AT112" s="5"/>
      <c r="AU112" s="5"/>
      <c r="AV112" s="5"/>
      <c r="AW112" s="5"/>
      <c r="AX112" s="5"/>
      <c r="AY112" s="5"/>
      <c r="AZ112" s="5"/>
      <c r="BA112" s="5"/>
      <c r="BB112" s="5"/>
      <c r="BC112" s="5"/>
      <c r="BD112" s="5"/>
      <c r="BE112" s="5"/>
      <c r="BF112" s="5"/>
      <c r="BG112" s="5"/>
      <c r="BH112" s="5"/>
      <c r="BI112" s="5"/>
      <c r="BJ112" s="5"/>
      <c r="BK112" s="5"/>
      <c r="BL112" s="5"/>
      <c r="BM112" s="5"/>
    </row>
    <row r="113" spans="1:65" x14ac:dyDescent="0.2">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c r="AG113" s="5"/>
      <c r="AH113" s="5"/>
      <c r="AI113" s="5"/>
      <c r="AJ113" s="5"/>
      <c r="AK113" s="5"/>
      <c r="AL113" s="5"/>
      <c r="AM113" s="5"/>
      <c r="AN113" s="5"/>
      <c r="AO113" s="5"/>
      <c r="AP113" s="5"/>
      <c r="AQ113" s="5"/>
      <c r="AR113" s="5"/>
      <c r="AS113" s="5"/>
      <c r="AT113" s="5"/>
      <c r="AU113" s="5"/>
      <c r="AV113" s="5"/>
      <c r="AW113" s="5"/>
      <c r="AX113" s="5"/>
      <c r="AY113" s="5"/>
      <c r="AZ113" s="5"/>
      <c r="BA113" s="5"/>
      <c r="BB113" s="5"/>
      <c r="BC113" s="5"/>
      <c r="BD113" s="5"/>
      <c r="BE113" s="5"/>
      <c r="BF113" s="5"/>
      <c r="BG113" s="5"/>
      <c r="BH113" s="5"/>
      <c r="BI113" s="5"/>
      <c r="BJ113" s="5"/>
      <c r="BK113" s="5"/>
      <c r="BL113" s="5"/>
      <c r="BM113" s="5"/>
    </row>
    <row r="114" spans="1:65" x14ac:dyDescent="0.2">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c r="AG114" s="5"/>
      <c r="AH114" s="5"/>
      <c r="AI114" s="5"/>
      <c r="AJ114" s="5"/>
      <c r="AK114" s="5"/>
      <c r="AL114" s="5"/>
      <c r="AM114" s="5"/>
      <c r="AN114" s="5"/>
      <c r="AO114" s="5"/>
      <c r="AP114" s="5"/>
      <c r="AQ114" s="5"/>
      <c r="AR114" s="5"/>
      <c r="AS114" s="5"/>
      <c r="AT114" s="5"/>
      <c r="AU114" s="5"/>
      <c r="AV114" s="5"/>
      <c r="AW114" s="5"/>
      <c r="AX114" s="5"/>
      <c r="AY114" s="5"/>
      <c r="AZ114" s="5"/>
      <c r="BA114" s="5"/>
      <c r="BB114" s="5"/>
      <c r="BC114" s="5"/>
      <c r="BD114" s="5"/>
      <c r="BE114" s="5"/>
      <c r="BF114" s="5"/>
      <c r="BG114" s="5"/>
      <c r="BH114" s="5"/>
      <c r="BI114" s="5"/>
      <c r="BJ114" s="5"/>
      <c r="BK114" s="5"/>
      <c r="BL114" s="5"/>
      <c r="BM114" s="5"/>
    </row>
    <row r="115" spans="1:65" x14ac:dyDescent="0.2">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c r="AG115" s="5"/>
      <c r="AH115" s="5"/>
      <c r="AI115" s="5"/>
      <c r="AJ115" s="5"/>
      <c r="AK115" s="5"/>
      <c r="AL115" s="5"/>
      <c r="AM115" s="5"/>
      <c r="AN115" s="5"/>
      <c r="AO115" s="5"/>
      <c r="AP115" s="5"/>
      <c r="AQ115" s="5"/>
      <c r="AR115" s="5"/>
      <c r="AS115" s="5"/>
      <c r="AT115" s="5"/>
      <c r="AU115" s="5"/>
      <c r="AV115" s="5"/>
      <c r="AW115" s="5"/>
      <c r="AX115" s="5"/>
      <c r="AY115" s="5"/>
      <c r="AZ115" s="5"/>
      <c r="BA115" s="5"/>
      <c r="BB115" s="5"/>
      <c r="BC115" s="5"/>
      <c r="BD115" s="5"/>
      <c r="BE115" s="5"/>
      <c r="BF115" s="5"/>
      <c r="BG115" s="5"/>
      <c r="BH115" s="5"/>
      <c r="BI115" s="5"/>
      <c r="BJ115" s="5"/>
      <c r="BK115" s="5"/>
      <c r="BL115" s="5"/>
      <c r="BM115" s="5"/>
    </row>
    <row r="116" spans="1:65" x14ac:dyDescent="0.2">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c r="AG116" s="5"/>
      <c r="AH116" s="5"/>
      <c r="AI116" s="5"/>
      <c r="AJ116" s="5"/>
      <c r="AK116" s="5"/>
      <c r="AL116" s="5"/>
      <c r="AM116" s="5"/>
      <c r="AN116" s="5"/>
      <c r="AO116" s="5"/>
      <c r="AP116" s="5"/>
      <c r="AQ116" s="5"/>
      <c r="AR116" s="5"/>
      <c r="AS116" s="5"/>
      <c r="AT116" s="5"/>
      <c r="AU116" s="5"/>
      <c r="AV116" s="5"/>
      <c r="AW116" s="5"/>
      <c r="AX116" s="5"/>
      <c r="AY116" s="5"/>
      <c r="AZ116" s="5"/>
      <c r="BA116" s="5"/>
      <c r="BB116" s="5"/>
      <c r="BC116" s="5"/>
      <c r="BD116" s="5"/>
      <c r="BE116" s="5"/>
      <c r="BF116" s="5"/>
      <c r="BG116" s="5"/>
      <c r="BH116" s="5"/>
      <c r="BI116" s="5"/>
      <c r="BJ116" s="5"/>
      <c r="BK116" s="5"/>
      <c r="BL116" s="5"/>
      <c r="BM116" s="5"/>
    </row>
    <row r="117" spans="1:65" x14ac:dyDescent="0.2">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c r="AG117" s="5"/>
      <c r="AH117" s="5"/>
      <c r="AI117" s="5"/>
      <c r="AJ117" s="5"/>
      <c r="AK117" s="5"/>
      <c r="AL117" s="5"/>
      <c r="AM117" s="5"/>
      <c r="AN117" s="5"/>
      <c r="AO117" s="5"/>
      <c r="AP117" s="5"/>
      <c r="AQ117" s="5"/>
      <c r="AR117" s="5"/>
      <c r="AS117" s="5"/>
      <c r="AT117" s="5"/>
      <c r="AU117" s="5"/>
      <c r="AV117" s="5"/>
      <c r="AW117" s="5"/>
      <c r="AX117" s="5"/>
      <c r="AY117" s="5"/>
      <c r="AZ117" s="5"/>
      <c r="BA117" s="5"/>
      <c r="BB117" s="5"/>
      <c r="BC117" s="5"/>
      <c r="BD117" s="5"/>
      <c r="BE117" s="5"/>
      <c r="BF117" s="5"/>
      <c r="BG117" s="5"/>
      <c r="BH117" s="5"/>
      <c r="BI117" s="5"/>
      <c r="BJ117" s="5"/>
      <c r="BK117" s="5"/>
      <c r="BL117" s="5"/>
      <c r="BM117" s="5"/>
    </row>
    <row r="118" spans="1:65" x14ac:dyDescent="0.2">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c r="AG118" s="5"/>
      <c r="AH118" s="5"/>
      <c r="AI118" s="5"/>
      <c r="AJ118" s="5"/>
      <c r="AK118" s="5"/>
      <c r="AL118" s="5"/>
      <c r="AM118" s="5"/>
      <c r="AN118" s="5"/>
      <c r="AO118" s="5"/>
      <c r="AP118" s="5"/>
      <c r="AQ118" s="5"/>
      <c r="AR118" s="5"/>
      <c r="AS118" s="5"/>
      <c r="AT118" s="5"/>
      <c r="AU118" s="5"/>
      <c r="AV118" s="5"/>
      <c r="AW118" s="5"/>
      <c r="AX118" s="5"/>
      <c r="AY118" s="5"/>
      <c r="AZ118" s="5"/>
      <c r="BA118" s="5"/>
      <c r="BB118" s="5"/>
      <c r="BC118" s="5"/>
      <c r="BD118" s="5"/>
      <c r="BE118" s="5"/>
      <c r="BF118" s="5"/>
      <c r="BG118" s="5"/>
      <c r="BH118" s="5"/>
      <c r="BI118" s="5"/>
      <c r="BJ118" s="5"/>
      <c r="BK118" s="5"/>
      <c r="BL118" s="5"/>
      <c r="BM118" s="5"/>
    </row>
    <row r="119" spans="1:65" x14ac:dyDescent="0.2">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c r="AG119" s="5"/>
      <c r="AH119" s="5"/>
      <c r="AI119" s="5"/>
      <c r="AJ119" s="5"/>
      <c r="AK119" s="5"/>
      <c r="AL119" s="5"/>
      <c r="AM119" s="5"/>
      <c r="AN119" s="5"/>
      <c r="AO119" s="5"/>
      <c r="AP119" s="5"/>
      <c r="AQ119" s="5"/>
      <c r="AR119" s="5"/>
      <c r="AS119" s="5"/>
      <c r="AT119" s="5"/>
      <c r="AU119" s="5"/>
      <c r="AV119" s="5"/>
      <c r="AW119" s="5"/>
      <c r="AX119" s="5"/>
      <c r="AY119" s="5"/>
      <c r="AZ119" s="5"/>
      <c r="BA119" s="5"/>
      <c r="BB119" s="5"/>
      <c r="BC119" s="5"/>
      <c r="BD119" s="5"/>
      <c r="BE119" s="5"/>
      <c r="BF119" s="5"/>
      <c r="BG119" s="5"/>
      <c r="BH119" s="5"/>
      <c r="BI119" s="5"/>
      <c r="BJ119" s="5"/>
      <c r="BK119" s="5"/>
      <c r="BL119" s="5"/>
      <c r="BM119" s="5"/>
    </row>
    <row r="120" spans="1:65" x14ac:dyDescent="0.2">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c r="AG120" s="5"/>
      <c r="AH120" s="5"/>
      <c r="AI120" s="5"/>
      <c r="AJ120" s="5"/>
      <c r="AK120" s="5"/>
      <c r="AL120" s="5"/>
      <c r="AM120" s="5"/>
      <c r="AN120" s="5"/>
      <c r="AO120" s="5"/>
      <c r="AP120" s="5"/>
      <c r="AQ120" s="5"/>
      <c r="AR120" s="5"/>
      <c r="AS120" s="5"/>
      <c r="AT120" s="5"/>
      <c r="AU120" s="5"/>
      <c r="AV120" s="5"/>
      <c r="AW120" s="5"/>
      <c r="AX120" s="5"/>
      <c r="AY120" s="5"/>
      <c r="AZ120" s="5"/>
      <c r="BA120" s="5"/>
      <c r="BB120" s="5"/>
      <c r="BC120" s="5"/>
      <c r="BD120" s="5"/>
      <c r="BE120" s="5"/>
      <c r="BF120" s="5"/>
      <c r="BG120" s="5"/>
      <c r="BH120" s="5"/>
      <c r="BI120" s="5"/>
      <c r="BJ120" s="5"/>
      <c r="BK120" s="5"/>
      <c r="BL120" s="5"/>
      <c r="BM120" s="5"/>
    </row>
    <row r="121" spans="1:65" x14ac:dyDescent="0.2">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c r="AG121" s="5"/>
      <c r="AH121" s="5"/>
      <c r="AI121" s="5"/>
      <c r="AJ121" s="5"/>
      <c r="AK121" s="5"/>
      <c r="AL121" s="5"/>
      <c r="AM121" s="5"/>
      <c r="AN121" s="5"/>
      <c r="AO121" s="5"/>
      <c r="AP121" s="5"/>
      <c r="AQ121" s="5"/>
      <c r="AR121" s="5"/>
      <c r="AS121" s="5"/>
      <c r="AT121" s="5"/>
      <c r="AU121" s="5"/>
      <c r="AV121" s="5"/>
      <c r="AW121" s="5"/>
      <c r="AX121" s="5"/>
      <c r="AY121" s="5"/>
      <c r="AZ121" s="5"/>
      <c r="BA121" s="5"/>
      <c r="BB121" s="5"/>
      <c r="BC121" s="5"/>
      <c r="BD121" s="5"/>
      <c r="BE121" s="5"/>
      <c r="BF121" s="5"/>
      <c r="BG121" s="5"/>
      <c r="BH121" s="5"/>
      <c r="BI121" s="5"/>
      <c r="BJ121" s="5"/>
      <c r="BK121" s="5"/>
      <c r="BL121" s="5"/>
      <c r="BM121" s="5"/>
    </row>
    <row r="122" spans="1:65" x14ac:dyDescent="0.2">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c r="AG122" s="5"/>
      <c r="AH122" s="5"/>
      <c r="AI122" s="5"/>
      <c r="AJ122" s="5"/>
      <c r="AK122" s="5"/>
      <c r="AL122" s="5"/>
      <c r="AM122" s="5"/>
      <c r="AN122" s="5"/>
      <c r="AO122" s="5"/>
      <c r="AP122" s="5"/>
      <c r="AQ122" s="5"/>
      <c r="AR122" s="5"/>
      <c r="AS122" s="5"/>
      <c r="AT122" s="5"/>
      <c r="AU122" s="5"/>
      <c r="AV122" s="5"/>
      <c r="AW122" s="5"/>
      <c r="AX122" s="5"/>
      <c r="AY122" s="5"/>
      <c r="AZ122" s="5"/>
      <c r="BA122" s="5"/>
      <c r="BB122" s="5"/>
      <c r="BC122" s="5"/>
      <c r="BD122" s="5"/>
      <c r="BE122" s="5"/>
      <c r="BF122" s="5"/>
      <c r="BG122" s="5"/>
      <c r="BH122" s="5"/>
      <c r="BI122" s="5"/>
      <c r="BJ122" s="5"/>
      <c r="BK122" s="5"/>
      <c r="BL122" s="5"/>
      <c r="BM122" s="5"/>
    </row>
    <row r="123" spans="1:65" x14ac:dyDescent="0.2">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c r="AG123" s="5"/>
      <c r="AH123" s="5"/>
      <c r="AI123" s="5"/>
      <c r="AJ123" s="5"/>
      <c r="AK123" s="5"/>
      <c r="AL123" s="5"/>
      <c r="AM123" s="5"/>
      <c r="AN123" s="5"/>
      <c r="AO123" s="5"/>
      <c r="AP123" s="5"/>
      <c r="AQ123" s="5"/>
      <c r="AR123" s="5"/>
      <c r="AS123" s="5"/>
      <c r="AT123" s="5"/>
      <c r="AU123" s="5"/>
      <c r="AV123" s="5"/>
      <c r="AW123" s="5"/>
      <c r="AX123" s="5"/>
      <c r="AY123" s="5"/>
      <c r="AZ123" s="5"/>
      <c r="BA123" s="5"/>
      <c r="BB123" s="5"/>
      <c r="BC123" s="5"/>
      <c r="BD123" s="5"/>
      <c r="BE123" s="5"/>
      <c r="BF123" s="5"/>
      <c r="BG123" s="5"/>
      <c r="BH123" s="5"/>
      <c r="BI123" s="5"/>
      <c r="BJ123" s="5"/>
      <c r="BK123" s="5"/>
      <c r="BL123" s="5"/>
      <c r="BM123" s="5"/>
    </row>
    <row r="124" spans="1:65" x14ac:dyDescent="0.2">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c r="AG124" s="5"/>
      <c r="AH124" s="5"/>
      <c r="AI124" s="5"/>
      <c r="AJ124" s="5"/>
      <c r="AK124" s="5"/>
      <c r="AL124" s="5"/>
      <c r="AM124" s="5"/>
      <c r="AN124" s="5"/>
      <c r="AO124" s="5"/>
      <c r="AP124" s="5"/>
      <c r="AQ124" s="5"/>
      <c r="AR124" s="5"/>
      <c r="AS124" s="5"/>
      <c r="AT124" s="5"/>
      <c r="AU124" s="5"/>
      <c r="AV124" s="5"/>
      <c r="AW124" s="5"/>
      <c r="AX124" s="5"/>
      <c r="AY124" s="5"/>
      <c r="AZ124" s="5"/>
      <c r="BA124" s="5"/>
      <c r="BB124" s="5"/>
      <c r="BC124" s="5"/>
      <c r="BD124" s="5"/>
      <c r="BE124" s="5"/>
      <c r="BF124" s="5"/>
      <c r="BG124" s="5"/>
      <c r="BH124" s="5"/>
      <c r="BI124" s="5"/>
      <c r="BJ124" s="5"/>
      <c r="BK124" s="5"/>
      <c r="BL124" s="5"/>
      <c r="BM124" s="5"/>
    </row>
    <row r="125" spans="1:65" x14ac:dyDescent="0.2">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c r="AG125" s="5"/>
      <c r="AH125" s="5"/>
      <c r="AI125" s="5"/>
      <c r="AJ125" s="5"/>
      <c r="AK125" s="5"/>
      <c r="AL125" s="5"/>
      <c r="AM125" s="5"/>
      <c r="AN125" s="5"/>
      <c r="AO125" s="5"/>
      <c r="AP125" s="5"/>
      <c r="AQ125" s="5"/>
      <c r="AR125" s="5"/>
      <c r="AS125" s="5"/>
      <c r="AT125" s="5"/>
      <c r="AU125" s="5"/>
      <c r="AV125" s="5"/>
      <c r="AW125" s="5"/>
      <c r="AX125" s="5"/>
      <c r="AY125" s="5"/>
      <c r="AZ125" s="5"/>
      <c r="BA125" s="5"/>
      <c r="BB125" s="5"/>
      <c r="BC125" s="5"/>
      <c r="BD125" s="5"/>
      <c r="BE125" s="5"/>
      <c r="BF125" s="5"/>
      <c r="BG125" s="5"/>
      <c r="BH125" s="5"/>
      <c r="BI125" s="5"/>
      <c r="BJ125" s="5"/>
      <c r="BK125" s="5"/>
      <c r="BL125" s="5"/>
      <c r="BM125" s="5"/>
    </row>
    <row r="126" spans="1:65" x14ac:dyDescent="0.2">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c r="AG126" s="5"/>
      <c r="AH126" s="5"/>
      <c r="AI126" s="5"/>
      <c r="AJ126" s="5"/>
      <c r="AK126" s="5"/>
      <c r="AL126" s="5"/>
      <c r="AM126" s="5"/>
      <c r="AN126" s="5"/>
      <c r="AO126" s="5"/>
      <c r="AP126" s="5"/>
      <c r="AQ126" s="5"/>
      <c r="AR126" s="5"/>
      <c r="AS126" s="5"/>
      <c r="AT126" s="5"/>
      <c r="AU126" s="5"/>
      <c r="AV126" s="5"/>
      <c r="AW126" s="5"/>
      <c r="AX126" s="5"/>
      <c r="AY126" s="5"/>
      <c r="AZ126" s="5"/>
      <c r="BA126" s="5"/>
      <c r="BB126" s="5"/>
      <c r="BC126" s="5"/>
      <c r="BD126" s="5"/>
      <c r="BE126" s="5"/>
      <c r="BF126" s="5"/>
      <c r="BG126" s="5"/>
      <c r="BH126" s="5"/>
      <c r="BI126" s="5"/>
      <c r="BJ126" s="5"/>
      <c r="BK126" s="5"/>
      <c r="BL126" s="5"/>
      <c r="BM126" s="5"/>
    </row>
    <row r="127" spans="1:65" x14ac:dyDescent="0.2">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c r="AG127" s="5"/>
      <c r="AH127" s="5"/>
      <c r="AI127" s="5"/>
      <c r="AJ127" s="5"/>
      <c r="AK127" s="5"/>
      <c r="AL127" s="5"/>
      <c r="AM127" s="5"/>
      <c r="AN127" s="5"/>
      <c r="AO127" s="5"/>
      <c r="AP127" s="5"/>
      <c r="AQ127" s="5"/>
      <c r="AR127" s="5"/>
      <c r="AS127" s="5"/>
      <c r="AT127" s="5"/>
      <c r="AU127" s="5"/>
      <c r="AV127" s="5"/>
      <c r="AW127" s="5"/>
      <c r="AX127" s="5"/>
      <c r="AY127" s="5"/>
      <c r="AZ127" s="5"/>
      <c r="BA127" s="5"/>
      <c r="BB127" s="5"/>
      <c r="BC127" s="5"/>
      <c r="BD127" s="5"/>
      <c r="BE127" s="5"/>
      <c r="BF127" s="5"/>
      <c r="BG127" s="5"/>
      <c r="BH127" s="5"/>
      <c r="BI127" s="5"/>
      <c r="BJ127" s="5"/>
      <c r="BK127" s="5"/>
      <c r="BL127" s="5"/>
      <c r="BM127" s="5"/>
    </row>
    <row r="128" spans="1:65" x14ac:dyDescent="0.2">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c r="AG128" s="5"/>
      <c r="AH128" s="5"/>
      <c r="AI128" s="5"/>
      <c r="AJ128" s="5"/>
      <c r="AK128" s="5"/>
      <c r="AL128" s="5"/>
      <c r="AM128" s="5"/>
      <c r="AN128" s="5"/>
      <c r="AO128" s="5"/>
      <c r="AP128" s="5"/>
      <c r="AQ128" s="5"/>
      <c r="AR128" s="5"/>
      <c r="AS128" s="5"/>
      <c r="AT128" s="5"/>
      <c r="AU128" s="5"/>
      <c r="AV128" s="5"/>
      <c r="AW128" s="5"/>
      <c r="AX128" s="5"/>
      <c r="AY128" s="5"/>
      <c r="AZ128" s="5"/>
      <c r="BA128" s="5"/>
      <c r="BB128" s="5"/>
      <c r="BC128" s="5"/>
      <c r="BD128" s="5"/>
      <c r="BE128" s="5"/>
      <c r="BF128" s="5"/>
      <c r="BG128" s="5"/>
      <c r="BH128" s="5"/>
      <c r="BI128" s="5"/>
      <c r="BJ128" s="5"/>
      <c r="BK128" s="5"/>
      <c r="BL128" s="5"/>
      <c r="BM128" s="5"/>
    </row>
    <row r="129" spans="1:65" x14ac:dyDescent="0.2">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c r="AG129" s="5"/>
      <c r="AH129" s="5"/>
      <c r="AI129" s="5"/>
      <c r="AJ129" s="5"/>
      <c r="AK129" s="5"/>
      <c r="AL129" s="5"/>
      <c r="AM129" s="5"/>
      <c r="AN129" s="5"/>
      <c r="AO129" s="5"/>
      <c r="AP129" s="5"/>
      <c r="AQ129" s="5"/>
      <c r="AR129" s="5"/>
      <c r="AS129" s="5"/>
      <c r="AT129" s="5"/>
      <c r="AU129" s="5"/>
      <c r="AV129" s="5"/>
      <c r="AW129" s="5"/>
      <c r="AX129" s="5"/>
      <c r="AY129" s="5"/>
      <c r="AZ129" s="5"/>
      <c r="BA129" s="5"/>
      <c r="BB129" s="5"/>
      <c r="BC129" s="5"/>
      <c r="BD129" s="5"/>
      <c r="BE129" s="5"/>
      <c r="BF129" s="5"/>
      <c r="BG129" s="5"/>
      <c r="BH129" s="5"/>
      <c r="BI129" s="5"/>
      <c r="BJ129" s="5"/>
      <c r="BK129" s="5"/>
      <c r="BL129" s="5"/>
      <c r="BM129" s="5"/>
    </row>
    <row r="130" spans="1:65" x14ac:dyDescent="0.2">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c r="AG130" s="5"/>
      <c r="AH130" s="5"/>
      <c r="AI130" s="5"/>
      <c r="AJ130" s="5"/>
      <c r="AK130" s="5"/>
      <c r="AL130" s="5"/>
      <c r="AM130" s="5"/>
      <c r="AN130" s="5"/>
      <c r="AO130" s="5"/>
      <c r="AP130" s="5"/>
      <c r="AQ130" s="5"/>
      <c r="AR130" s="5"/>
      <c r="AS130" s="5"/>
      <c r="AT130" s="5"/>
      <c r="AU130" s="5"/>
      <c r="AV130" s="5"/>
      <c r="AW130" s="5"/>
      <c r="AX130" s="5"/>
      <c r="AY130" s="5"/>
      <c r="AZ130" s="5"/>
      <c r="BA130" s="5"/>
      <c r="BB130" s="5"/>
      <c r="BC130" s="5"/>
      <c r="BD130" s="5"/>
      <c r="BE130" s="5"/>
      <c r="BF130" s="5"/>
      <c r="BG130" s="5"/>
      <c r="BH130" s="5"/>
      <c r="BI130" s="5"/>
      <c r="BJ130" s="5"/>
      <c r="BK130" s="5"/>
      <c r="BL130" s="5"/>
      <c r="BM130" s="5"/>
    </row>
    <row r="131" spans="1:65" x14ac:dyDescent="0.2">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c r="AG131" s="5"/>
      <c r="AH131" s="5"/>
      <c r="AI131" s="5"/>
      <c r="AJ131" s="5"/>
      <c r="AK131" s="5"/>
      <c r="AL131" s="5"/>
      <c r="AM131" s="5"/>
      <c r="AN131" s="5"/>
      <c r="AO131" s="5"/>
      <c r="AP131" s="5"/>
      <c r="AQ131" s="5"/>
      <c r="AR131" s="5"/>
      <c r="AS131" s="5"/>
      <c r="AT131" s="5"/>
      <c r="AU131" s="5"/>
      <c r="AV131" s="5"/>
      <c r="AW131" s="5"/>
      <c r="AX131" s="5"/>
      <c r="AY131" s="5"/>
      <c r="AZ131" s="5"/>
      <c r="BA131" s="5"/>
      <c r="BB131" s="5"/>
      <c r="BC131" s="5"/>
      <c r="BD131" s="5"/>
      <c r="BE131" s="5"/>
      <c r="BF131" s="5"/>
      <c r="BG131" s="5"/>
      <c r="BH131" s="5"/>
      <c r="BI131" s="5"/>
      <c r="BJ131" s="5"/>
      <c r="BK131" s="5"/>
      <c r="BL131" s="5"/>
      <c r="BM131" s="5"/>
    </row>
    <row r="132" spans="1:65" x14ac:dyDescent="0.2">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c r="AG132" s="5"/>
      <c r="AH132" s="5"/>
      <c r="AI132" s="5"/>
      <c r="AJ132" s="5"/>
      <c r="AK132" s="5"/>
      <c r="AL132" s="5"/>
      <c r="AM132" s="5"/>
      <c r="AN132" s="5"/>
      <c r="AO132" s="5"/>
      <c r="AP132" s="5"/>
      <c r="AQ132" s="5"/>
      <c r="AR132" s="5"/>
      <c r="AS132" s="5"/>
      <c r="AT132" s="5"/>
      <c r="AU132" s="5"/>
      <c r="AV132" s="5"/>
      <c r="AW132" s="5"/>
      <c r="AX132" s="5"/>
      <c r="AY132" s="5"/>
      <c r="AZ132" s="5"/>
      <c r="BA132" s="5"/>
      <c r="BB132" s="5"/>
      <c r="BC132" s="5"/>
      <c r="BD132" s="5"/>
      <c r="BE132" s="5"/>
      <c r="BF132" s="5"/>
      <c r="BG132" s="5"/>
      <c r="BH132" s="5"/>
      <c r="BI132" s="5"/>
      <c r="BJ132" s="5"/>
      <c r="BK132" s="5"/>
      <c r="BL132" s="5"/>
      <c r="BM132" s="5"/>
    </row>
    <row r="133" spans="1:65" x14ac:dyDescent="0.2">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c r="AG133" s="5"/>
      <c r="AH133" s="5"/>
      <c r="AI133" s="5"/>
      <c r="AJ133" s="5"/>
      <c r="AK133" s="5"/>
      <c r="AL133" s="5"/>
      <c r="AM133" s="5"/>
      <c r="AN133" s="5"/>
      <c r="AO133" s="5"/>
      <c r="AP133" s="5"/>
      <c r="AQ133" s="5"/>
      <c r="AR133" s="5"/>
      <c r="AS133" s="5"/>
      <c r="AT133" s="5"/>
      <c r="AU133" s="5"/>
      <c r="AV133" s="5"/>
      <c r="AW133" s="5"/>
      <c r="AX133" s="5"/>
      <c r="AY133" s="5"/>
      <c r="AZ133" s="5"/>
      <c r="BA133" s="5"/>
      <c r="BB133" s="5"/>
      <c r="BC133" s="5"/>
      <c r="BD133" s="5"/>
      <c r="BE133" s="5"/>
      <c r="BF133" s="5"/>
      <c r="BG133" s="5"/>
      <c r="BH133" s="5"/>
      <c r="BI133" s="5"/>
      <c r="BJ133" s="5"/>
      <c r="BK133" s="5"/>
      <c r="BL133" s="5"/>
      <c r="BM133" s="5"/>
    </row>
    <row r="134" spans="1:65" x14ac:dyDescent="0.2">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c r="AG134" s="5"/>
      <c r="AH134" s="5"/>
      <c r="AI134" s="5"/>
      <c r="AJ134" s="5"/>
      <c r="AK134" s="5"/>
      <c r="AL134" s="5"/>
      <c r="AM134" s="5"/>
      <c r="AN134" s="5"/>
      <c r="AO134" s="5"/>
      <c r="AP134" s="5"/>
      <c r="AQ134" s="5"/>
      <c r="AR134" s="5"/>
      <c r="AS134" s="5"/>
      <c r="AT134" s="5"/>
      <c r="AU134" s="5"/>
      <c r="AV134" s="5"/>
      <c r="AW134" s="5"/>
      <c r="AX134" s="5"/>
      <c r="AY134" s="5"/>
      <c r="AZ134" s="5"/>
      <c r="BA134" s="5"/>
      <c r="BB134" s="5"/>
      <c r="BC134" s="5"/>
      <c r="BD134" s="5"/>
      <c r="BE134" s="5"/>
      <c r="BF134" s="5"/>
      <c r="BG134" s="5"/>
      <c r="BH134" s="5"/>
      <c r="BI134" s="5"/>
      <c r="BJ134" s="5"/>
      <c r="BK134" s="5"/>
      <c r="BL134" s="5"/>
      <c r="BM134" s="5"/>
    </row>
    <row r="135" spans="1:65" x14ac:dyDescent="0.2">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c r="AG135" s="5"/>
      <c r="AH135" s="5"/>
      <c r="AI135" s="5"/>
      <c r="AJ135" s="5"/>
      <c r="AK135" s="5"/>
      <c r="AL135" s="5"/>
      <c r="AM135" s="5"/>
      <c r="AN135" s="5"/>
      <c r="AO135" s="5"/>
      <c r="AP135" s="5"/>
      <c r="AQ135" s="5"/>
      <c r="AR135" s="5"/>
      <c r="AS135" s="5"/>
      <c r="AT135" s="5"/>
      <c r="AU135" s="5"/>
      <c r="AV135" s="5"/>
      <c r="AW135" s="5"/>
      <c r="AX135" s="5"/>
      <c r="AY135" s="5"/>
      <c r="AZ135" s="5"/>
      <c r="BA135" s="5"/>
      <c r="BB135" s="5"/>
      <c r="BC135" s="5"/>
      <c r="BD135" s="5"/>
      <c r="BE135" s="5"/>
      <c r="BF135" s="5"/>
      <c r="BG135" s="5"/>
      <c r="BH135" s="5"/>
      <c r="BI135" s="5"/>
      <c r="BJ135" s="5"/>
      <c r="BK135" s="5"/>
      <c r="BL135" s="5"/>
      <c r="BM135" s="5"/>
    </row>
    <row r="136" spans="1:65" x14ac:dyDescent="0.2">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c r="AG136" s="5"/>
      <c r="AH136" s="5"/>
      <c r="AI136" s="5"/>
      <c r="AJ136" s="5"/>
      <c r="AK136" s="5"/>
      <c r="AL136" s="5"/>
      <c r="AM136" s="5"/>
      <c r="AN136" s="5"/>
      <c r="AO136" s="5"/>
      <c r="AP136" s="5"/>
      <c r="AQ136" s="5"/>
      <c r="AR136" s="5"/>
      <c r="AS136" s="5"/>
      <c r="AT136" s="5"/>
      <c r="AU136" s="5"/>
      <c r="AV136" s="5"/>
      <c r="AW136" s="5"/>
      <c r="AX136" s="5"/>
      <c r="AY136" s="5"/>
      <c r="AZ136" s="5"/>
      <c r="BA136" s="5"/>
      <c r="BB136" s="5"/>
      <c r="BC136" s="5"/>
      <c r="BD136" s="5"/>
      <c r="BE136" s="5"/>
      <c r="BF136" s="5"/>
      <c r="BG136" s="5"/>
      <c r="BH136" s="5"/>
      <c r="BI136" s="5"/>
      <c r="BJ136" s="5"/>
      <c r="BK136" s="5"/>
      <c r="BL136" s="5"/>
      <c r="BM136" s="5"/>
    </row>
    <row r="137" spans="1:65" x14ac:dyDescent="0.2">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c r="AG137" s="5"/>
      <c r="AH137" s="5"/>
      <c r="AI137" s="5"/>
      <c r="AJ137" s="5"/>
      <c r="AK137" s="5"/>
      <c r="AL137" s="5"/>
      <c r="AM137" s="5"/>
      <c r="AN137" s="5"/>
      <c r="AO137" s="5"/>
      <c r="AP137" s="5"/>
      <c r="AQ137" s="5"/>
      <c r="AR137" s="5"/>
      <c r="AS137" s="5"/>
      <c r="AT137" s="5"/>
      <c r="AU137" s="5"/>
      <c r="AV137" s="5"/>
      <c r="AW137" s="5"/>
      <c r="AX137" s="5"/>
      <c r="AY137" s="5"/>
      <c r="AZ137" s="5"/>
      <c r="BA137" s="5"/>
      <c r="BB137" s="5"/>
      <c r="BC137" s="5"/>
      <c r="BD137" s="5"/>
      <c r="BE137" s="5"/>
      <c r="BF137" s="5"/>
      <c r="BG137" s="5"/>
      <c r="BH137" s="5"/>
      <c r="BI137" s="5"/>
      <c r="BJ137" s="5"/>
      <c r="BK137" s="5"/>
      <c r="BL137" s="5"/>
      <c r="BM137" s="5"/>
    </row>
    <row r="138" spans="1:65" x14ac:dyDescent="0.2">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c r="AG138" s="5"/>
      <c r="AH138" s="5"/>
      <c r="AI138" s="5"/>
      <c r="AJ138" s="5"/>
      <c r="AK138" s="5"/>
      <c r="AL138" s="5"/>
      <c r="AM138" s="5"/>
      <c r="AN138" s="5"/>
      <c r="AO138" s="5"/>
      <c r="AP138" s="5"/>
      <c r="AQ138" s="5"/>
      <c r="AR138" s="5"/>
      <c r="AS138" s="5"/>
      <c r="AT138" s="5"/>
      <c r="AU138" s="5"/>
      <c r="AV138" s="5"/>
      <c r="AW138" s="5"/>
      <c r="AX138" s="5"/>
      <c r="AY138" s="5"/>
      <c r="AZ138" s="5"/>
      <c r="BA138" s="5"/>
      <c r="BB138" s="5"/>
      <c r="BC138" s="5"/>
      <c r="BD138" s="5"/>
      <c r="BE138" s="5"/>
      <c r="BF138" s="5"/>
      <c r="BG138" s="5"/>
      <c r="BH138" s="5"/>
      <c r="BI138" s="5"/>
      <c r="BJ138" s="5"/>
      <c r="BK138" s="5"/>
      <c r="BL138" s="5"/>
      <c r="BM138" s="5"/>
    </row>
    <row r="139" spans="1:65" x14ac:dyDescent="0.2">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c r="AG139" s="5"/>
      <c r="AH139" s="5"/>
      <c r="AI139" s="5"/>
      <c r="AJ139" s="5"/>
      <c r="AK139" s="5"/>
      <c r="AL139" s="5"/>
      <c r="AM139" s="5"/>
      <c r="AN139" s="5"/>
      <c r="AO139" s="5"/>
      <c r="AP139" s="5"/>
      <c r="AQ139" s="5"/>
      <c r="AR139" s="5"/>
      <c r="AS139" s="5"/>
      <c r="AT139" s="5"/>
      <c r="AU139" s="5"/>
      <c r="AV139" s="5"/>
      <c r="AW139" s="5"/>
      <c r="AX139" s="5"/>
      <c r="AY139" s="5"/>
      <c r="AZ139" s="5"/>
      <c r="BA139" s="5"/>
      <c r="BB139" s="5"/>
      <c r="BC139" s="5"/>
      <c r="BD139" s="5"/>
      <c r="BE139" s="5"/>
      <c r="BF139" s="5"/>
      <c r="BG139" s="5"/>
      <c r="BH139" s="5"/>
      <c r="BI139" s="5"/>
      <c r="BJ139" s="5"/>
      <c r="BK139" s="5"/>
      <c r="BL139" s="5"/>
      <c r="BM139" s="5"/>
    </row>
    <row r="140" spans="1:65" x14ac:dyDescent="0.2">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c r="AG140" s="5"/>
      <c r="AH140" s="5"/>
      <c r="AI140" s="5"/>
      <c r="AJ140" s="5"/>
      <c r="AK140" s="5"/>
      <c r="AL140" s="5"/>
      <c r="AM140" s="5"/>
      <c r="AN140" s="5"/>
      <c r="AO140" s="5"/>
      <c r="AP140" s="5"/>
      <c r="AQ140" s="5"/>
      <c r="AR140" s="5"/>
      <c r="AS140" s="5"/>
      <c r="AT140" s="5"/>
      <c r="AU140" s="5"/>
      <c r="AV140" s="5"/>
      <c r="AW140" s="5"/>
      <c r="AX140" s="5"/>
      <c r="AY140" s="5"/>
      <c r="AZ140" s="5"/>
      <c r="BA140" s="5"/>
      <c r="BB140" s="5"/>
      <c r="BC140" s="5"/>
      <c r="BD140" s="5"/>
      <c r="BE140" s="5"/>
      <c r="BF140" s="5"/>
      <c r="BG140" s="5"/>
      <c r="BH140" s="5"/>
      <c r="BI140" s="5"/>
      <c r="BJ140" s="5"/>
      <c r="BK140" s="5"/>
      <c r="BL140" s="5"/>
      <c r="BM140" s="5"/>
    </row>
    <row r="141" spans="1:65" x14ac:dyDescent="0.2">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c r="AG141" s="5"/>
      <c r="AH141" s="5"/>
      <c r="AI141" s="5"/>
      <c r="AJ141" s="5"/>
      <c r="AK141" s="5"/>
      <c r="AL141" s="5"/>
      <c r="AM141" s="5"/>
      <c r="AN141" s="5"/>
      <c r="AO141" s="5"/>
      <c r="AP141" s="5"/>
      <c r="AQ141" s="5"/>
      <c r="AR141" s="5"/>
      <c r="AS141" s="5"/>
      <c r="AT141" s="5"/>
      <c r="AU141" s="5"/>
      <c r="AV141" s="5"/>
      <c r="AW141" s="5"/>
      <c r="AX141" s="5"/>
      <c r="AY141" s="5"/>
      <c r="AZ141" s="5"/>
      <c r="BA141" s="5"/>
      <c r="BB141" s="5"/>
      <c r="BC141" s="5"/>
      <c r="BD141" s="5"/>
      <c r="BE141" s="5"/>
      <c r="BF141" s="5"/>
      <c r="BG141" s="5"/>
      <c r="BH141" s="5"/>
      <c r="BI141" s="5"/>
      <c r="BJ141" s="5"/>
      <c r="BK141" s="5"/>
      <c r="BL141" s="5"/>
      <c r="BM141" s="5"/>
    </row>
    <row r="142" spans="1:65" x14ac:dyDescent="0.2">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c r="AG142" s="5"/>
      <c r="AH142" s="5"/>
      <c r="AI142" s="5"/>
      <c r="AJ142" s="5"/>
      <c r="AK142" s="5"/>
      <c r="AL142" s="5"/>
      <c r="AM142" s="5"/>
      <c r="AN142" s="5"/>
      <c r="AO142" s="5"/>
      <c r="AP142" s="5"/>
      <c r="AQ142" s="5"/>
      <c r="AR142" s="5"/>
      <c r="AS142" s="5"/>
      <c r="AT142" s="5"/>
      <c r="AU142" s="5"/>
      <c r="AV142" s="5"/>
      <c r="AW142" s="5"/>
      <c r="AX142" s="5"/>
      <c r="AY142" s="5"/>
      <c r="AZ142" s="5"/>
      <c r="BA142" s="5"/>
      <c r="BB142" s="5"/>
      <c r="BC142" s="5"/>
      <c r="BD142" s="5"/>
      <c r="BE142" s="5"/>
      <c r="BF142" s="5"/>
      <c r="BG142" s="5"/>
      <c r="BH142" s="5"/>
      <c r="BI142" s="5"/>
      <c r="BJ142" s="5"/>
      <c r="BK142" s="5"/>
      <c r="BL142" s="5"/>
      <c r="BM142" s="5"/>
    </row>
    <row r="143" spans="1:65" x14ac:dyDescent="0.2">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c r="AG143" s="5"/>
      <c r="AH143" s="5"/>
      <c r="AI143" s="5"/>
      <c r="AJ143" s="5"/>
      <c r="AK143" s="5"/>
      <c r="AL143" s="5"/>
      <c r="AM143" s="5"/>
      <c r="AN143" s="5"/>
      <c r="AO143" s="5"/>
      <c r="AP143" s="5"/>
      <c r="AQ143" s="5"/>
      <c r="AR143" s="5"/>
      <c r="AS143" s="5"/>
      <c r="AT143" s="5"/>
      <c r="AU143" s="5"/>
      <c r="AV143" s="5"/>
      <c r="AW143" s="5"/>
      <c r="AX143" s="5"/>
      <c r="AY143" s="5"/>
      <c r="AZ143" s="5"/>
      <c r="BA143" s="5"/>
      <c r="BB143" s="5"/>
      <c r="BC143" s="5"/>
      <c r="BD143" s="5"/>
      <c r="BE143" s="5"/>
      <c r="BF143" s="5"/>
      <c r="BG143" s="5"/>
      <c r="BH143" s="5"/>
      <c r="BI143" s="5"/>
      <c r="BJ143" s="5"/>
      <c r="BK143" s="5"/>
      <c r="BL143" s="5"/>
      <c r="BM143" s="5"/>
    </row>
    <row r="144" spans="1:65" x14ac:dyDescent="0.2">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c r="AG144" s="5"/>
      <c r="AH144" s="5"/>
      <c r="AI144" s="5"/>
      <c r="AJ144" s="5"/>
      <c r="AK144" s="5"/>
      <c r="AL144" s="5"/>
      <c r="AM144" s="5"/>
      <c r="AN144" s="5"/>
      <c r="AO144" s="5"/>
      <c r="AP144" s="5"/>
      <c r="AQ144" s="5"/>
      <c r="AR144" s="5"/>
      <c r="AS144" s="5"/>
      <c r="AT144" s="5"/>
      <c r="AU144" s="5"/>
      <c r="AV144" s="5"/>
      <c r="AW144" s="5"/>
      <c r="AX144" s="5"/>
      <c r="AY144" s="5"/>
      <c r="AZ144" s="5"/>
      <c r="BA144" s="5"/>
      <c r="BB144" s="5"/>
      <c r="BC144" s="5"/>
      <c r="BD144" s="5"/>
      <c r="BE144" s="5"/>
      <c r="BF144" s="5"/>
      <c r="BG144" s="5"/>
      <c r="BH144" s="5"/>
      <c r="BI144" s="5"/>
      <c r="BJ144" s="5"/>
      <c r="BK144" s="5"/>
      <c r="BL144" s="5"/>
      <c r="BM144" s="5"/>
    </row>
    <row r="145" spans="1:65" x14ac:dyDescent="0.2">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c r="AG145" s="5"/>
      <c r="AH145" s="5"/>
      <c r="AI145" s="5"/>
      <c r="AJ145" s="5"/>
      <c r="AK145" s="5"/>
      <c r="AL145" s="5"/>
      <c r="AM145" s="5"/>
      <c r="AN145" s="5"/>
      <c r="AO145" s="5"/>
      <c r="AP145" s="5"/>
      <c r="AQ145" s="5"/>
      <c r="AR145" s="5"/>
      <c r="AS145" s="5"/>
      <c r="AT145" s="5"/>
      <c r="AU145" s="5"/>
      <c r="AV145" s="5"/>
      <c r="AW145" s="5"/>
      <c r="AX145" s="5"/>
      <c r="AY145" s="5"/>
      <c r="AZ145" s="5"/>
      <c r="BA145" s="5"/>
      <c r="BB145" s="5"/>
      <c r="BC145" s="5"/>
      <c r="BD145" s="5"/>
      <c r="BE145" s="5"/>
      <c r="BF145" s="5"/>
      <c r="BG145" s="5"/>
      <c r="BH145" s="5"/>
      <c r="BI145" s="5"/>
      <c r="BJ145" s="5"/>
      <c r="BK145" s="5"/>
      <c r="BL145" s="5"/>
      <c r="BM145" s="5"/>
    </row>
    <row r="146" spans="1:65" x14ac:dyDescent="0.2">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c r="AG146" s="5"/>
      <c r="AH146" s="5"/>
      <c r="AI146" s="5"/>
      <c r="AJ146" s="5"/>
      <c r="AK146" s="5"/>
      <c r="AL146" s="5"/>
      <c r="AM146" s="5"/>
      <c r="AN146" s="5"/>
      <c r="AO146" s="5"/>
      <c r="AP146" s="5"/>
      <c r="AQ146" s="5"/>
      <c r="AR146" s="5"/>
      <c r="AS146" s="5"/>
      <c r="AT146" s="5"/>
      <c r="AU146" s="5"/>
      <c r="AV146" s="5"/>
      <c r="AW146" s="5"/>
      <c r="AX146" s="5"/>
      <c r="AY146" s="5"/>
      <c r="AZ146" s="5"/>
      <c r="BA146" s="5"/>
      <c r="BB146" s="5"/>
      <c r="BC146" s="5"/>
      <c r="BD146" s="5"/>
      <c r="BE146" s="5"/>
      <c r="BF146" s="5"/>
      <c r="BG146" s="5"/>
      <c r="BH146" s="5"/>
      <c r="BI146" s="5"/>
      <c r="BJ146" s="5"/>
      <c r="BK146" s="5"/>
      <c r="BL146" s="5"/>
      <c r="BM146" s="5"/>
    </row>
    <row r="147" spans="1:65" x14ac:dyDescent="0.2">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c r="AG147" s="5"/>
      <c r="AH147" s="5"/>
      <c r="AI147" s="5"/>
      <c r="AJ147" s="5"/>
      <c r="AK147" s="5"/>
      <c r="AL147" s="5"/>
      <c r="AM147" s="5"/>
      <c r="AN147" s="5"/>
      <c r="AO147" s="5"/>
      <c r="AP147" s="5"/>
      <c r="AQ147" s="5"/>
      <c r="AR147" s="5"/>
      <c r="AS147" s="5"/>
      <c r="AT147" s="5"/>
      <c r="AU147" s="5"/>
      <c r="AV147" s="5"/>
      <c r="AW147" s="5"/>
      <c r="AX147" s="5"/>
      <c r="AY147" s="5"/>
      <c r="AZ147" s="5"/>
      <c r="BA147" s="5"/>
      <c r="BB147" s="5"/>
      <c r="BC147" s="5"/>
      <c r="BD147" s="5"/>
      <c r="BE147" s="5"/>
      <c r="BF147" s="5"/>
      <c r="BG147" s="5"/>
      <c r="BH147" s="5"/>
      <c r="BI147" s="5"/>
      <c r="BJ147" s="5"/>
      <c r="BK147" s="5"/>
      <c r="BL147" s="5"/>
      <c r="BM147" s="5"/>
    </row>
    <row r="148" spans="1:65" x14ac:dyDescent="0.2">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c r="AG148" s="5"/>
      <c r="AH148" s="5"/>
      <c r="AI148" s="5"/>
      <c r="AJ148" s="5"/>
      <c r="AK148" s="5"/>
      <c r="AL148" s="5"/>
      <c r="AM148" s="5"/>
      <c r="AN148" s="5"/>
      <c r="AO148" s="5"/>
      <c r="AP148" s="5"/>
      <c r="AQ148" s="5"/>
      <c r="AR148" s="5"/>
      <c r="AS148" s="5"/>
      <c r="AT148" s="5"/>
      <c r="AU148" s="5"/>
      <c r="AV148" s="5"/>
      <c r="AW148" s="5"/>
      <c r="AX148" s="5"/>
      <c r="AY148" s="5"/>
      <c r="AZ148" s="5"/>
      <c r="BA148" s="5"/>
      <c r="BB148" s="5"/>
      <c r="BC148" s="5"/>
      <c r="BD148" s="5"/>
      <c r="BE148" s="5"/>
      <c r="BF148" s="5"/>
      <c r="BG148" s="5"/>
      <c r="BH148" s="5"/>
      <c r="BI148" s="5"/>
      <c r="BJ148" s="5"/>
      <c r="BK148" s="5"/>
      <c r="BL148" s="5"/>
      <c r="BM148" s="5"/>
    </row>
    <row r="149" spans="1:65" x14ac:dyDescent="0.2">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c r="AG149" s="5"/>
      <c r="AH149" s="5"/>
      <c r="AI149" s="5"/>
      <c r="AJ149" s="5"/>
      <c r="AK149" s="5"/>
      <c r="AL149" s="5"/>
      <c r="AM149" s="5"/>
      <c r="AN149" s="5"/>
      <c r="AO149" s="5"/>
      <c r="AP149" s="5"/>
      <c r="AQ149" s="5"/>
      <c r="AR149" s="5"/>
      <c r="AS149" s="5"/>
      <c r="AT149" s="5"/>
      <c r="AU149" s="5"/>
      <c r="AV149" s="5"/>
      <c r="AW149" s="5"/>
      <c r="AX149" s="5"/>
      <c r="AY149" s="5"/>
      <c r="AZ149" s="5"/>
      <c r="BA149" s="5"/>
      <c r="BB149" s="5"/>
      <c r="BC149" s="5"/>
      <c r="BD149" s="5"/>
      <c r="BE149" s="5"/>
      <c r="BF149" s="5"/>
      <c r="BG149" s="5"/>
      <c r="BH149" s="5"/>
      <c r="BI149" s="5"/>
      <c r="BJ149" s="5"/>
      <c r="BK149" s="5"/>
      <c r="BL149" s="5"/>
      <c r="BM149" s="5"/>
    </row>
    <row r="150" spans="1:65" x14ac:dyDescent="0.2">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c r="AG150" s="5"/>
      <c r="AH150" s="5"/>
      <c r="AI150" s="5"/>
      <c r="AJ150" s="5"/>
      <c r="AK150" s="5"/>
      <c r="AL150" s="5"/>
      <c r="AM150" s="5"/>
      <c r="AN150" s="5"/>
      <c r="AO150" s="5"/>
      <c r="AP150" s="5"/>
      <c r="AQ150" s="5"/>
      <c r="AR150" s="5"/>
      <c r="AS150" s="5"/>
      <c r="AT150" s="5"/>
      <c r="AU150" s="5"/>
      <c r="AV150" s="5"/>
      <c r="AW150" s="5"/>
      <c r="AX150" s="5"/>
      <c r="AY150" s="5"/>
      <c r="AZ150" s="5"/>
      <c r="BA150" s="5"/>
      <c r="BB150" s="5"/>
      <c r="BC150" s="5"/>
      <c r="BD150" s="5"/>
      <c r="BE150" s="5"/>
      <c r="BF150" s="5"/>
      <c r="BG150" s="5"/>
      <c r="BH150" s="5"/>
      <c r="BI150" s="5"/>
      <c r="BJ150" s="5"/>
      <c r="BK150" s="5"/>
      <c r="BL150" s="5"/>
      <c r="BM150" s="5"/>
    </row>
    <row r="151" spans="1:65" x14ac:dyDescent="0.2">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c r="AG151" s="5"/>
      <c r="AH151" s="5"/>
      <c r="AI151" s="5"/>
      <c r="AJ151" s="5"/>
      <c r="AK151" s="5"/>
      <c r="AL151" s="5"/>
      <c r="AM151" s="5"/>
      <c r="AN151" s="5"/>
      <c r="AO151" s="5"/>
      <c r="AP151" s="5"/>
      <c r="AQ151" s="5"/>
      <c r="AR151" s="5"/>
      <c r="AS151" s="5"/>
      <c r="AT151" s="5"/>
      <c r="AU151" s="5"/>
      <c r="AV151" s="5"/>
      <c r="AW151" s="5"/>
      <c r="AX151" s="5"/>
      <c r="AY151" s="5"/>
      <c r="AZ151" s="5"/>
      <c r="BA151" s="5"/>
      <c r="BB151" s="5"/>
      <c r="BC151" s="5"/>
      <c r="BD151" s="5"/>
      <c r="BE151" s="5"/>
      <c r="BF151" s="5"/>
      <c r="BG151" s="5"/>
      <c r="BH151" s="5"/>
      <c r="BI151" s="5"/>
      <c r="BJ151" s="5"/>
      <c r="BK151" s="5"/>
      <c r="BL151" s="5"/>
      <c r="BM151" s="5"/>
    </row>
    <row r="152" spans="1:65" x14ac:dyDescent="0.2">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c r="AG152" s="5"/>
      <c r="AH152" s="5"/>
      <c r="AI152" s="5"/>
      <c r="AJ152" s="5"/>
      <c r="AK152" s="5"/>
      <c r="AL152" s="5"/>
      <c r="AM152" s="5"/>
      <c r="AN152" s="5"/>
      <c r="AO152" s="5"/>
      <c r="AP152" s="5"/>
      <c r="AQ152" s="5"/>
      <c r="AR152" s="5"/>
      <c r="AS152" s="5"/>
      <c r="AT152" s="5"/>
      <c r="AU152" s="5"/>
      <c r="AV152" s="5"/>
      <c r="AW152" s="5"/>
      <c r="AX152" s="5"/>
      <c r="AY152" s="5"/>
      <c r="AZ152" s="5"/>
      <c r="BA152" s="5"/>
      <c r="BB152" s="5"/>
      <c r="BC152" s="5"/>
      <c r="BD152" s="5"/>
      <c r="BE152" s="5"/>
      <c r="BF152" s="5"/>
      <c r="BG152" s="5"/>
      <c r="BH152" s="5"/>
      <c r="BI152" s="5"/>
      <c r="BJ152" s="5"/>
      <c r="BK152" s="5"/>
      <c r="BL152" s="5"/>
      <c r="BM152" s="5"/>
    </row>
    <row r="153" spans="1:65" x14ac:dyDescent="0.2">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c r="AG153" s="5"/>
      <c r="AH153" s="5"/>
      <c r="AI153" s="5"/>
      <c r="AJ153" s="5"/>
      <c r="AK153" s="5"/>
      <c r="AL153" s="5"/>
      <c r="AM153" s="5"/>
      <c r="AN153" s="5"/>
      <c r="AO153" s="5"/>
      <c r="AP153" s="5"/>
      <c r="AQ153" s="5"/>
      <c r="AR153" s="5"/>
      <c r="AS153" s="5"/>
      <c r="AT153" s="5"/>
      <c r="AU153" s="5"/>
      <c r="AV153" s="5"/>
      <c r="AW153" s="5"/>
      <c r="AX153" s="5"/>
      <c r="AY153" s="5"/>
      <c r="AZ153" s="5"/>
      <c r="BA153" s="5"/>
      <c r="BB153" s="5"/>
      <c r="BC153" s="5"/>
      <c r="BD153" s="5"/>
      <c r="BE153" s="5"/>
      <c r="BF153" s="5"/>
      <c r="BG153" s="5"/>
      <c r="BH153" s="5"/>
      <c r="BI153" s="5"/>
      <c r="BJ153" s="5"/>
      <c r="BK153" s="5"/>
      <c r="BL153" s="5"/>
      <c r="BM153" s="5"/>
    </row>
    <row r="154" spans="1:65" x14ac:dyDescent="0.2">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c r="AG154" s="5"/>
      <c r="AH154" s="5"/>
      <c r="AI154" s="5"/>
      <c r="AJ154" s="5"/>
      <c r="AK154" s="5"/>
      <c r="AL154" s="5"/>
      <c r="AM154" s="5"/>
      <c r="AN154" s="5"/>
      <c r="AO154" s="5"/>
      <c r="AP154" s="5"/>
      <c r="AQ154" s="5"/>
      <c r="AR154" s="5"/>
      <c r="AS154" s="5"/>
      <c r="AT154" s="5"/>
      <c r="AU154" s="5"/>
      <c r="AV154" s="5"/>
      <c r="AW154" s="5"/>
      <c r="AX154" s="5"/>
      <c r="AY154" s="5"/>
      <c r="AZ154" s="5"/>
      <c r="BA154" s="5"/>
      <c r="BB154" s="5"/>
      <c r="BC154" s="5"/>
      <c r="BD154" s="5"/>
      <c r="BE154" s="5"/>
      <c r="BF154" s="5"/>
      <c r="BG154" s="5"/>
      <c r="BH154" s="5"/>
      <c r="BI154" s="5"/>
      <c r="BJ154" s="5"/>
      <c r="BK154" s="5"/>
      <c r="BL154" s="5"/>
      <c r="BM154" s="5"/>
    </row>
    <row r="155" spans="1:65" x14ac:dyDescent="0.2">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c r="AG155" s="5"/>
      <c r="AH155" s="5"/>
      <c r="AI155" s="5"/>
      <c r="AJ155" s="5"/>
      <c r="AK155" s="5"/>
      <c r="AL155" s="5"/>
      <c r="AM155" s="5"/>
      <c r="AN155" s="5"/>
      <c r="AO155" s="5"/>
      <c r="AP155" s="5"/>
      <c r="AQ155" s="5"/>
      <c r="AR155" s="5"/>
      <c r="AS155" s="5"/>
      <c r="AT155" s="5"/>
      <c r="AU155" s="5"/>
      <c r="AV155" s="5"/>
      <c r="AW155" s="5"/>
      <c r="AX155" s="5"/>
      <c r="AY155" s="5"/>
      <c r="AZ155" s="5"/>
      <c r="BA155" s="5"/>
      <c r="BB155" s="5"/>
      <c r="BC155" s="5"/>
      <c r="BD155" s="5"/>
      <c r="BE155" s="5"/>
      <c r="BF155" s="5"/>
      <c r="BG155" s="5"/>
      <c r="BH155" s="5"/>
      <c r="BI155" s="5"/>
      <c r="BJ155" s="5"/>
      <c r="BK155" s="5"/>
      <c r="BL155" s="5"/>
      <c r="BM155" s="5"/>
    </row>
    <row r="156" spans="1:65" x14ac:dyDescent="0.2">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c r="AG156" s="5"/>
      <c r="AH156" s="5"/>
      <c r="AI156" s="5"/>
      <c r="AJ156" s="5"/>
      <c r="AK156" s="5"/>
      <c r="AL156" s="5"/>
      <c r="AM156" s="5"/>
      <c r="AN156" s="5"/>
      <c r="AO156" s="5"/>
      <c r="AP156" s="5"/>
      <c r="AQ156" s="5"/>
      <c r="AR156" s="5"/>
      <c r="AS156" s="5"/>
      <c r="AT156" s="5"/>
      <c r="AU156" s="5"/>
      <c r="AV156" s="5"/>
      <c r="AW156" s="5"/>
      <c r="AX156" s="5"/>
      <c r="AY156" s="5"/>
      <c r="AZ156" s="5"/>
      <c r="BA156" s="5"/>
      <c r="BB156" s="5"/>
      <c r="BC156" s="5"/>
      <c r="BD156" s="5"/>
      <c r="BE156" s="5"/>
      <c r="BF156" s="5"/>
      <c r="BG156" s="5"/>
      <c r="BH156" s="5"/>
      <c r="BI156" s="5"/>
      <c r="BJ156" s="5"/>
      <c r="BK156" s="5"/>
      <c r="BL156" s="5"/>
      <c r="BM156" s="5"/>
    </row>
    <row r="157" spans="1:65" x14ac:dyDescent="0.2">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c r="AG157" s="5"/>
      <c r="AH157" s="5"/>
      <c r="AI157" s="5"/>
      <c r="AJ157" s="5"/>
      <c r="AK157" s="5"/>
      <c r="AL157" s="5"/>
      <c r="AM157" s="5"/>
      <c r="AN157" s="5"/>
      <c r="AO157" s="5"/>
      <c r="AP157" s="5"/>
      <c r="AQ157" s="5"/>
      <c r="AR157" s="5"/>
      <c r="AS157" s="5"/>
      <c r="AT157" s="5"/>
      <c r="AU157" s="5"/>
      <c r="AV157" s="5"/>
      <c r="AW157" s="5"/>
      <c r="AX157" s="5"/>
      <c r="AY157" s="5"/>
      <c r="AZ157" s="5"/>
      <c r="BA157" s="5"/>
      <c r="BB157" s="5"/>
      <c r="BC157" s="5"/>
      <c r="BD157" s="5"/>
      <c r="BE157" s="5"/>
      <c r="BF157" s="5"/>
      <c r="BG157" s="5"/>
      <c r="BH157" s="5"/>
      <c r="BI157" s="5"/>
      <c r="BJ157" s="5"/>
      <c r="BK157" s="5"/>
      <c r="BL157" s="5"/>
      <c r="BM157" s="5"/>
    </row>
    <row r="158" spans="1:65" x14ac:dyDescent="0.2">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c r="AG158" s="5"/>
      <c r="AH158" s="5"/>
      <c r="AI158" s="5"/>
      <c r="AJ158" s="5"/>
      <c r="AK158" s="5"/>
      <c r="AL158" s="5"/>
      <c r="AM158" s="5"/>
      <c r="AN158" s="5"/>
      <c r="AO158" s="5"/>
      <c r="AP158" s="5"/>
      <c r="AQ158" s="5"/>
      <c r="AR158" s="5"/>
      <c r="AS158" s="5"/>
      <c r="AT158" s="5"/>
      <c r="AU158" s="5"/>
      <c r="AV158" s="5"/>
      <c r="AW158" s="5"/>
      <c r="AX158" s="5"/>
      <c r="AY158" s="5"/>
      <c r="AZ158" s="5"/>
      <c r="BA158" s="5"/>
      <c r="BB158" s="5"/>
      <c r="BC158" s="5"/>
      <c r="BD158" s="5"/>
      <c r="BE158" s="5"/>
      <c r="BF158" s="5"/>
      <c r="BG158" s="5"/>
      <c r="BH158" s="5"/>
      <c r="BI158" s="5"/>
      <c r="BJ158" s="5"/>
      <c r="BK158" s="5"/>
      <c r="BL158" s="5"/>
      <c r="BM158" s="5"/>
    </row>
    <row r="159" spans="1:65" x14ac:dyDescent="0.2">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c r="AG159" s="5"/>
      <c r="AH159" s="5"/>
      <c r="AI159" s="5"/>
      <c r="AJ159" s="5"/>
      <c r="AK159" s="5"/>
      <c r="AL159" s="5"/>
      <c r="AM159" s="5"/>
      <c r="AN159" s="5"/>
      <c r="AO159" s="5"/>
      <c r="AP159" s="5"/>
      <c r="AQ159" s="5"/>
      <c r="AR159" s="5"/>
      <c r="AS159" s="5"/>
      <c r="AT159" s="5"/>
      <c r="AU159" s="5"/>
      <c r="AV159" s="5"/>
      <c r="AW159" s="5"/>
      <c r="AX159" s="5"/>
      <c r="AY159" s="5"/>
      <c r="AZ159" s="5"/>
      <c r="BA159" s="5"/>
      <c r="BB159" s="5"/>
      <c r="BC159" s="5"/>
      <c r="BD159" s="5"/>
      <c r="BE159" s="5"/>
      <c r="BF159" s="5"/>
      <c r="BG159" s="5"/>
      <c r="BH159" s="5"/>
      <c r="BI159" s="5"/>
      <c r="BJ159" s="5"/>
      <c r="BK159" s="5"/>
      <c r="BL159" s="5"/>
      <c r="BM159" s="5"/>
    </row>
    <row r="160" spans="1:65" x14ac:dyDescent="0.2">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c r="AG160" s="5"/>
      <c r="AH160" s="5"/>
      <c r="AI160" s="5"/>
      <c r="AJ160" s="5"/>
      <c r="AK160" s="5"/>
      <c r="AL160" s="5"/>
      <c r="AM160" s="5"/>
      <c r="AN160" s="5"/>
      <c r="AO160" s="5"/>
      <c r="AP160" s="5"/>
      <c r="AQ160" s="5"/>
      <c r="AR160" s="5"/>
      <c r="AS160" s="5"/>
      <c r="AT160" s="5"/>
      <c r="AU160" s="5"/>
      <c r="AV160" s="5"/>
      <c r="AW160" s="5"/>
      <c r="AX160" s="5"/>
      <c r="AY160" s="5"/>
      <c r="AZ160" s="5"/>
      <c r="BA160" s="5"/>
      <c r="BB160" s="5"/>
      <c r="BC160" s="5"/>
      <c r="BD160" s="5"/>
      <c r="BE160" s="5"/>
      <c r="BF160" s="5"/>
      <c r="BG160" s="5"/>
      <c r="BH160" s="5"/>
      <c r="BI160" s="5"/>
      <c r="BJ160" s="5"/>
      <c r="BK160" s="5"/>
      <c r="BL160" s="5"/>
      <c r="BM160" s="5"/>
    </row>
    <row r="161" spans="1:65" x14ac:dyDescent="0.2">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c r="AG161" s="5"/>
      <c r="AH161" s="5"/>
      <c r="AI161" s="5"/>
      <c r="AJ161" s="5"/>
      <c r="AK161" s="5"/>
      <c r="AL161" s="5"/>
      <c r="AM161" s="5"/>
      <c r="AN161" s="5"/>
      <c r="AO161" s="5"/>
      <c r="AP161" s="5"/>
      <c r="AQ161" s="5"/>
      <c r="AR161" s="5"/>
      <c r="AS161" s="5"/>
      <c r="AT161" s="5"/>
      <c r="AU161" s="5"/>
      <c r="AV161" s="5"/>
      <c r="AW161" s="5"/>
      <c r="AX161" s="5"/>
      <c r="AY161" s="5"/>
      <c r="AZ161" s="5"/>
      <c r="BA161" s="5"/>
      <c r="BB161" s="5"/>
      <c r="BC161" s="5"/>
      <c r="BD161" s="5"/>
      <c r="BE161" s="5"/>
      <c r="BF161" s="5"/>
      <c r="BG161" s="5"/>
      <c r="BH161" s="5"/>
      <c r="BI161" s="5"/>
      <c r="BJ161" s="5"/>
      <c r="BK161" s="5"/>
      <c r="BL161" s="5"/>
      <c r="BM161" s="5"/>
    </row>
    <row r="162" spans="1:65" x14ac:dyDescent="0.2">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c r="AG162" s="5"/>
      <c r="AH162" s="5"/>
      <c r="AI162" s="5"/>
      <c r="AJ162" s="5"/>
      <c r="AK162" s="5"/>
      <c r="AL162" s="5"/>
      <c r="AM162" s="5"/>
      <c r="AN162" s="5"/>
      <c r="AO162" s="5"/>
      <c r="AP162" s="5"/>
      <c r="AQ162" s="5"/>
      <c r="AR162" s="5"/>
      <c r="AS162" s="5"/>
      <c r="AT162" s="5"/>
      <c r="AU162" s="5"/>
      <c r="AV162" s="5"/>
      <c r="AW162" s="5"/>
      <c r="AX162" s="5"/>
      <c r="AY162" s="5"/>
      <c r="AZ162" s="5"/>
      <c r="BA162" s="5"/>
      <c r="BB162" s="5"/>
      <c r="BC162" s="5"/>
      <c r="BD162" s="5"/>
      <c r="BE162" s="5"/>
      <c r="BF162" s="5"/>
      <c r="BG162" s="5"/>
      <c r="BH162" s="5"/>
      <c r="BI162" s="5"/>
      <c r="BJ162" s="5"/>
      <c r="BK162" s="5"/>
      <c r="BL162" s="5"/>
      <c r="BM162" s="5"/>
    </row>
    <row r="163" spans="1:65" x14ac:dyDescent="0.2">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c r="AG163" s="5"/>
      <c r="AH163" s="5"/>
      <c r="AI163" s="5"/>
      <c r="AJ163" s="5"/>
      <c r="AK163" s="5"/>
      <c r="AL163" s="5"/>
      <c r="AM163" s="5"/>
      <c r="AN163" s="5"/>
      <c r="AO163" s="5"/>
      <c r="AP163" s="5"/>
      <c r="AQ163" s="5"/>
      <c r="AR163" s="5"/>
      <c r="AS163" s="5"/>
      <c r="AT163" s="5"/>
      <c r="AU163" s="5"/>
      <c r="AV163" s="5"/>
      <c r="AW163" s="5"/>
      <c r="AX163" s="5"/>
      <c r="AY163" s="5"/>
      <c r="AZ163" s="5"/>
      <c r="BA163" s="5"/>
      <c r="BB163" s="5"/>
      <c r="BC163" s="5"/>
      <c r="BD163" s="5"/>
      <c r="BE163" s="5"/>
      <c r="BF163" s="5"/>
      <c r="BG163" s="5"/>
      <c r="BH163" s="5"/>
      <c r="BI163" s="5"/>
      <c r="BJ163" s="5"/>
      <c r="BK163" s="5"/>
      <c r="BL163" s="5"/>
      <c r="BM163" s="5"/>
    </row>
    <row r="164" spans="1:65" x14ac:dyDescent="0.2">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c r="AG164" s="5"/>
      <c r="AH164" s="5"/>
      <c r="AI164" s="5"/>
      <c r="AJ164" s="5"/>
      <c r="AK164" s="5"/>
      <c r="AL164" s="5"/>
      <c r="AM164" s="5"/>
      <c r="AN164" s="5"/>
      <c r="AO164" s="5"/>
      <c r="AP164" s="5"/>
      <c r="AQ164" s="5"/>
      <c r="AR164" s="5"/>
      <c r="AS164" s="5"/>
      <c r="AT164" s="5"/>
      <c r="AU164" s="5"/>
      <c r="AV164" s="5"/>
      <c r="AW164" s="5"/>
      <c r="AX164" s="5"/>
      <c r="AY164" s="5"/>
      <c r="AZ164" s="5"/>
      <c r="BA164" s="5"/>
      <c r="BB164" s="5"/>
      <c r="BC164" s="5"/>
      <c r="BD164" s="5"/>
      <c r="BE164" s="5"/>
      <c r="BF164" s="5"/>
      <c r="BG164" s="5"/>
      <c r="BH164" s="5"/>
      <c r="BI164" s="5"/>
      <c r="BJ164" s="5"/>
      <c r="BK164" s="5"/>
      <c r="BL164" s="5"/>
      <c r="BM164" s="5"/>
    </row>
    <row r="165" spans="1:65" x14ac:dyDescent="0.2">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c r="AG165" s="5"/>
      <c r="AH165" s="5"/>
      <c r="AI165" s="5"/>
      <c r="AJ165" s="5"/>
      <c r="AK165" s="5"/>
      <c r="AL165" s="5"/>
      <c r="AM165" s="5"/>
      <c r="AN165" s="5"/>
      <c r="AO165" s="5"/>
      <c r="AP165" s="5"/>
      <c r="AQ165" s="5"/>
      <c r="AR165" s="5"/>
      <c r="AS165" s="5"/>
      <c r="AT165" s="5"/>
      <c r="AU165" s="5"/>
      <c r="AV165" s="5"/>
      <c r="AW165" s="5"/>
      <c r="AX165" s="5"/>
      <c r="AY165" s="5"/>
      <c r="AZ165" s="5"/>
      <c r="BA165" s="5"/>
      <c r="BB165" s="5"/>
      <c r="BC165" s="5"/>
      <c r="BD165" s="5"/>
      <c r="BE165" s="5"/>
      <c r="BF165" s="5"/>
      <c r="BG165" s="5"/>
      <c r="BH165" s="5"/>
      <c r="BI165" s="5"/>
      <c r="BJ165" s="5"/>
      <c r="BK165" s="5"/>
      <c r="BL165" s="5"/>
      <c r="BM165" s="5"/>
    </row>
    <row r="166" spans="1:65" x14ac:dyDescent="0.2">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c r="AG166" s="5"/>
      <c r="AH166" s="5"/>
      <c r="AI166" s="5"/>
      <c r="AJ166" s="5"/>
      <c r="AK166" s="5"/>
      <c r="AL166" s="5"/>
      <c r="AM166" s="5"/>
      <c r="AN166" s="5"/>
      <c r="AO166" s="5"/>
      <c r="AP166" s="5"/>
      <c r="AQ166" s="5"/>
      <c r="AR166" s="5"/>
      <c r="AS166" s="5"/>
      <c r="AT166" s="5"/>
      <c r="AU166" s="5"/>
      <c r="AV166" s="5"/>
      <c r="AW166" s="5"/>
      <c r="AX166" s="5"/>
      <c r="AY166" s="5"/>
      <c r="AZ166" s="5"/>
      <c r="BA166" s="5"/>
      <c r="BB166" s="5"/>
      <c r="BC166" s="5"/>
      <c r="BD166" s="5"/>
      <c r="BE166" s="5"/>
      <c r="BF166" s="5"/>
      <c r="BG166" s="5"/>
      <c r="BH166" s="5"/>
      <c r="BI166" s="5"/>
      <c r="BJ166" s="5"/>
      <c r="BK166" s="5"/>
      <c r="BL166" s="5"/>
      <c r="BM166" s="5"/>
    </row>
    <row r="167" spans="1:65" x14ac:dyDescent="0.2">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c r="AG167" s="5"/>
      <c r="AH167" s="5"/>
      <c r="AI167" s="5"/>
      <c r="AJ167" s="5"/>
      <c r="AK167" s="5"/>
      <c r="AL167" s="5"/>
      <c r="AM167" s="5"/>
      <c r="AN167" s="5"/>
      <c r="AO167" s="5"/>
      <c r="AP167" s="5"/>
      <c r="AQ167" s="5"/>
      <c r="AR167" s="5"/>
      <c r="AS167" s="5"/>
      <c r="AT167" s="5"/>
      <c r="AU167" s="5"/>
      <c r="AV167" s="5"/>
      <c r="AW167" s="5"/>
      <c r="AX167" s="5"/>
      <c r="AY167" s="5"/>
      <c r="AZ167" s="5"/>
      <c r="BA167" s="5"/>
      <c r="BB167" s="5"/>
      <c r="BC167" s="5"/>
      <c r="BD167" s="5"/>
      <c r="BE167" s="5"/>
      <c r="BF167" s="5"/>
      <c r="BG167" s="5"/>
      <c r="BH167" s="5"/>
      <c r="BI167" s="5"/>
      <c r="BJ167" s="5"/>
      <c r="BK167" s="5"/>
      <c r="BL167" s="5"/>
      <c r="BM167" s="5"/>
    </row>
    <row r="168" spans="1:65" x14ac:dyDescent="0.2">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c r="AG168" s="5"/>
      <c r="AH168" s="5"/>
      <c r="AI168" s="5"/>
      <c r="AJ168" s="5"/>
      <c r="AK168" s="5"/>
      <c r="AL168" s="5"/>
      <c r="AM168" s="5"/>
      <c r="AN168" s="5"/>
      <c r="AO168" s="5"/>
      <c r="AP168" s="5"/>
      <c r="AQ168" s="5"/>
      <c r="AR168" s="5"/>
      <c r="AS168" s="5"/>
      <c r="AT168" s="5"/>
      <c r="AU168" s="5"/>
      <c r="AV168" s="5"/>
      <c r="AW168" s="5"/>
      <c r="AX168" s="5"/>
      <c r="AY168" s="5"/>
      <c r="AZ168" s="5"/>
      <c r="BA168" s="5"/>
      <c r="BB168" s="5"/>
      <c r="BC168" s="5"/>
      <c r="BD168" s="5"/>
      <c r="BE168" s="5"/>
      <c r="BF168" s="5"/>
      <c r="BG168" s="5"/>
      <c r="BH168" s="5"/>
      <c r="BI168" s="5"/>
      <c r="BJ168" s="5"/>
      <c r="BK168" s="5"/>
      <c r="BL168" s="5"/>
      <c r="BM168" s="5"/>
    </row>
    <row r="169" spans="1:65" x14ac:dyDescent="0.2">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c r="AG169" s="5"/>
      <c r="AH169" s="5"/>
      <c r="AI169" s="5"/>
      <c r="AJ169" s="5"/>
      <c r="AK169" s="5"/>
      <c r="AL169" s="5"/>
      <c r="AM169" s="5"/>
      <c r="AN169" s="5"/>
      <c r="AO169" s="5"/>
      <c r="AP169" s="5"/>
      <c r="AQ169" s="5"/>
      <c r="AR169" s="5"/>
      <c r="AS169" s="5"/>
      <c r="AT169" s="5"/>
      <c r="AU169" s="5"/>
      <c r="AV169" s="5"/>
      <c r="AW169" s="5"/>
      <c r="AX169" s="5"/>
      <c r="AY169" s="5"/>
      <c r="AZ169" s="5"/>
      <c r="BA169" s="5"/>
      <c r="BB169" s="5"/>
      <c r="BC169" s="5"/>
      <c r="BD169" s="5"/>
      <c r="BE169" s="5"/>
      <c r="BF169" s="5"/>
      <c r="BG169" s="5"/>
      <c r="BH169" s="5"/>
      <c r="BI169" s="5"/>
      <c r="BJ169" s="5"/>
      <c r="BK169" s="5"/>
      <c r="BL169" s="5"/>
      <c r="BM169" s="5"/>
    </row>
    <row r="170" spans="1:65" x14ac:dyDescent="0.2">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c r="AG170" s="5"/>
      <c r="AH170" s="5"/>
      <c r="AI170" s="5"/>
      <c r="AJ170" s="5"/>
      <c r="AK170" s="5"/>
      <c r="AL170" s="5"/>
      <c r="AM170" s="5"/>
      <c r="AN170" s="5"/>
      <c r="AO170" s="5"/>
      <c r="AP170" s="5"/>
      <c r="AQ170" s="5"/>
      <c r="AR170" s="5"/>
      <c r="AS170" s="5"/>
      <c r="AT170" s="5"/>
      <c r="AU170" s="5"/>
      <c r="AV170" s="5"/>
      <c r="AW170" s="5"/>
      <c r="AX170" s="5"/>
      <c r="AY170" s="5"/>
      <c r="AZ170" s="5"/>
      <c r="BA170" s="5"/>
      <c r="BB170" s="5"/>
      <c r="BC170" s="5"/>
      <c r="BD170" s="5"/>
      <c r="BE170" s="5"/>
      <c r="BF170" s="5"/>
      <c r="BG170" s="5"/>
      <c r="BH170" s="5"/>
      <c r="BI170" s="5"/>
      <c r="BJ170" s="5"/>
      <c r="BK170" s="5"/>
      <c r="BL170" s="5"/>
      <c r="BM170" s="5"/>
    </row>
    <row r="171" spans="1:65" x14ac:dyDescent="0.2">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c r="AG171" s="5"/>
      <c r="AH171" s="5"/>
      <c r="AI171" s="5"/>
      <c r="AJ171" s="5"/>
      <c r="AK171" s="5"/>
      <c r="AL171" s="5"/>
      <c r="AM171" s="5"/>
      <c r="AN171" s="5"/>
      <c r="AO171" s="5"/>
      <c r="AP171" s="5"/>
      <c r="AQ171" s="5"/>
      <c r="AR171" s="5"/>
      <c r="AS171" s="5"/>
      <c r="AT171" s="5"/>
      <c r="AU171" s="5"/>
      <c r="AV171" s="5"/>
      <c r="AW171" s="5"/>
      <c r="AX171" s="5"/>
      <c r="AY171" s="5"/>
      <c r="AZ171" s="5"/>
      <c r="BA171" s="5"/>
      <c r="BB171" s="5"/>
      <c r="BC171" s="5"/>
      <c r="BD171" s="5"/>
      <c r="BE171" s="5"/>
      <c r="BF171" s="5"/>
      <c r="BG171" s="5"/>
      <c r="BH171" s="5"/>
      <c r="BI171" s="5"/>
      <c r="BJ171" s="5"/>
      <c r="BK171" s="5"/>
      <c r="BL171" s="5"/>
      <c r="BM171" s="5"/>
    </row>
    <row r="172" spans="1:65" x14ac:dyDescent="0.2">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c r="AG172" s="5"/>
      <c r="AH172" s="5"/>
      <c r="AI172" s="5"/>
      <c r="AJ172" s="5"/>
      <c r="AK172" s="5"/>
      <c r="AL172" s="5"/>
      <c r="AM172" s="5"/>
      <c r="AN172" s="5"/>
      <c r="AO172" s="5"/>
      <c r="AP172" s="5"/>
      <c r="AQ172" s="5"/>
      <c r="AR172" s="5"/>
      <c r="AS172" s="5"/>
      <c r="AT172" s="5"/>
      <c r="AU172" s="5"/>
      <c r="AV172" s="5"/>
      <c r="AW172" s="5"/>
      <c r="AX172" s="5"/>
      <c r="AY172" s="5"/>
      <c r="AZ172" s="5"/>
      <c r="BA172" s="5"/>
      <c r="BB172" s="5"/>
      <c r="BC172" s="5"/>
      <c r="BD172" s="5"/>
      <c r="BE172" s="5"/>
      <c r="BF172" s="5"/>
      <c r="BG172" s="5"/>
      <c r="BH172" s="5"/>
      <c r="BI172" s="5"/>
      <c r="BJ172" s="5"/>
      <c r="BK172" s="5"/>
      <c r="BL172" s="5"/>
      <c r="BM172" s="5"/>
    </row>
    <row r="173" spans="1:65" x14ac:dyDescent="0.2">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c r="AG173" s="5"/>
      <c r="AH173" s="5"/>
      <c r="AI173" s="5"/>
      <c r="AJ173" s="5"/>
      <c r="AK173" s="5"/>
      <c r="AL173" s="5"/>
      <c r="AM173" s="5"/>
      <c r="AN173" s="5"/>
      <c r="AO173" s="5"/>
      <c r="AP173" s="5"/>
      <c r="AQ173" s="5"/>
      <c r="AR173" s="5"/>
      <c r="AS173" s="5"/>
      <c r="AT173" s="5"/>
      <c r="AU173" s="5"/>
      <c r="AV173" s="5"/>
      <c r="AW173" s="5"/>
      <c r="AX173" s="5"/>
      <c r="AY173" s="5"/>
      <c r="AZ173" s="5"/>
      <c r="BA173" s="5"/>
      <c r="BB173" s="5"/>
      <c r="BC173" s="5"/>
      <c r="BD173" s="5"/>
      <c r="BE173" s="5"/>
      <c r="BF173" s="5"/>
      <c r="BG173" s="5"/>
      <c r="BH173" s="5"/>
      <c r="BI173" s="5"/>
      <c r="BJ173" s="5"/>
      <c r="BK173" s="5"/>
      <c r="BL173" s="5"/>
      <c r="BM173" s="5"/>
    </row>
    <row r="174" spans="1:65" x14ac:dyDescent="0.2">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c r="AG174" s="5"/>
      <c r="AH174" s="5"/>
      <c r="AI174" s="5"/>
      <c r="AJ174" s="5"/>
      <c r="AK174" s="5"/>
      <c r="AL174" s="5"/>
      <c r="AM174" s="5"/>
      <c r="AN174" s="5"/>
      <c r="AO174" s="5"/>
      <c r="AP174" s="5"/>
      <c r="AQ174" s="5"/>
      <c r="AR174" s="5"/>
      <c r="AS174" s="5"/>
      <c r="AT174" s="5"/>
      <c r="AU174" s="5"/>
      <c r="AV174" s="5"/>
      <c r="AW174" s="5"/>
      <c r="AX174" s="5"/>
      <c r="AY174" s="5"/>
      <c r="AZ174" s="5"/>
      <c r="BA174" s="5"/>
      <c r="BB174" s="5"/>
      <c r="BC174" s="5"/>
      <c r="BD174" s="5"/>
      <c r="BE174" s="5"/>
      <c r="BF174" s="5"/>
      <c r="BG174" s="5"/>
      <c r="BH174" s="5"/>
      <c r="BI174" s="5"/>
      <c r="BJ174" s="5"/>
      <c r="BK174" s="5"/>
      <c r="BL174" s="5"/>
      <c r="BM174" s="5"/>
    </row>
    <row r="175" spans="1:65" x14ac:dyDescent="0.2">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c r="AG175" s="5"/>
      <c r="AH175" s="5"/>
      <c r="AI175" s="5"/>
      <c r="AJ175" s="5"/>
      <c r="AK175" s="5"/>
      <c r="AL175" s="5"/>
      <c r="AM175" s="5"/>
      <c r="AN175" s="5"/>
      <c r="AO175" s="5"/>
      <c r="AP175" s="5"/>
      <c r="AQ175" s="5"/>
      <c r="AR175" s="5"/>
      <c r="AS175" s="5"/>
      <c r="AT175" s="5"/>
      <c r="AU175" s="5"/>
      <c r="AV175" s="5"/>
      <c r="AW175" s="5"/>
      <c r="AX175" s="5"/>
      <c r="AY175" s="5"/>
      <c r="AZ175" s="5"/>
      <c r="BA175" s="5"/>
      <c r="BB175" s="5"/>
      <c r="BC175" s="5"/>
      <c r="BD175" s="5"/>
      <c r="BE175" s="5"/>
      <c r="BF175" s="5"/>
      <c r="BG175" s="5"/>
      <c r="BH175" s="5"/>
      <c r="BI175" s="5"/>
      <c r="BJ175" s="5"/>
      <c r="BK175" s="5"/>
      <c r="BL175" s="5"/>
      <c r="BM175" s="5"/>
    </row>
    <row r="176" spans="1:65" x14ac:dyDescent="0.2">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c r="AG176" s="5"/>
      <c r="AH176" s="5"/>
      <c r="AI176" s="5"/>
      <c r="AJ176" s="5"/>
      <c r="AK176" s="5"/>
      <c r="AL176" s="5"/>
      <c r="AM176" s="5"/>
      <c r="AN176" s="5"/>
      <c r="AO176" s="5"/>
      <c r="AP176" s="5"/>
      <c r="AQ176" s="5"/>
      <c r="AR176" s="5"/>
      <c r="AS176" s="5"/>
      <c r="AT176" s="5"/>
      <c r="AU176" s="5"/>
      <c r="AV176" s="5"/>
      <c r="AW176" s="5"/>
      <c r="AX176" s="5"/>
      <c r="AY176" s="5"/>
      <c r="AZ176" s="5"/>
      <c r="BA176" s="5"/>
      <c r="BB176" s="5"/>
      <c r="BC176" s="5"/>
      <c r="BD176" s="5"/>
      <c r="BE176" s="5"/>
      <c r="BF176" s="5"/>
      <c r="BG176" s="5"/>
      <c r="BH176" s="5"/>
      <c r="BI176" s="5"/>
      <c r="BJ176" s="5"/>
      <c r="BK176" s="5"/>
      <c r="BL176" s="5"/>
      <c r="BM176" s="5"/>
    </row>
    <row r="177" spans="1:65" x14ac:dyDescent="0.2">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c r="AG177" s="5"/>
      <c r="AH177" s="5"/>
      <c r="AI177" s="5"/>
      <c r="AJ177" s="5"/>
      <c r="AK177" s="5"/>
      <c r="AL177" s="5"/>
      <c r="AM177" s="5"/>
      <c r="AN177" s="5"/>
      <c r="AO177" s="5"/>
      <c r="AP177" s="5"/>
      <c r="AQ177" s="5"/>
      <c r="AR177" s="5"/>
      <c r="AS177" s="5"/>
      <c r="AT177" s="5"/>
      <c r="AU177" s="5"/>
      <c r="AV177" s="5"/>
      <c r="AW177" s="5"/>
      <c r="AX177" s="5"/>
      <c r="AY177" s="5"/>
      <c r="AZ177" s="5"/>
      <c r="BA177" s="5"/>
      <c r="BB177" s="5"/>
      <c r="BC177" s="5"/>
      <c r="BD177" s="5"/>
      <c r="BE177" s="5"/>
      <c r="BF177" s="5"/>
      <c r="BG177" s="5"/>
      <c r="BH177" s="5"/>
      <c r="BI177" s="5"/>
      <c r="BJ177" s="5"/>
      <c r="BK177" s="5"/>
      <c r="BL177" s="5"/>
      <c r="BM177" s="5"/>
    </row>
    <row r="178" spans="1:65" x14ac:dyDescent="0.2">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c r="AG178" s="5"/>
      <c r="AH178" s="5"/>
      <c r="AI178" s="5"/>
      <c r="AJ178" s="5"/>
      <c r="AK178" s="5"/>
      <c r="AL178" s="5"/>
      <c r="AM178" s="5"/>
      <c r="AN178" s="5"/>
      <c r="AO178" s="5"/>
      <c r="AP178" s="5"/>
      <c r="AQ178" s="5"/>
      <c r="AR178" s="5"/>
      <c r="AS178" s="5"/>
      <c r="AT178" s="5"/>
      <c r="AU178" s="5"/>
      <c r="AV178" s="5"/>
      <c r="AW178" s="5"/>
      <c r="AX178" s="5"/>
      <c r="AY178" s="5"/>
      <c r="AZ178" s="5"/>
      <c r="BA178" s="5"/>
      <c r="BB178" s="5"/>
      <c r="BC178" s="5"/>
      <c r="BD178" s="5"/>
      <c r="BE178" s="5"/>
      <c r="BF178" s="5"/>
      <c r="BG178" s="5"/>
      <c r="BH178" s="5"/>
      <c r="BI178" s="5"/>
      <c r="BJ178" s="5"/>
      <c r="BK178" s="5"/>
      <c r="BL178" s="5"/>
      <c r="BM178" s="5"/>
    </row>
    <row r="179" spans="1:65" x14ac:dyDescent="0.2">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c r="AG179" s="5"/>
      <c r="AH179" s="5"/>
      <c r="AI179" s="5"/>
      <c r="AJ179" s="5"/>
      <c r="AK179" s="5"/>
      <c r="AL179" s="5"/>
      <c r="AM179" s="5"/>
      <c r="AN179" s="5"/>
      <c r="AO179" s="5"/>
      <c r="AP179" s="5"/>
      <c r="AQ179" s="5"/>
      <c r="AR179" s="5"/>
      <c r="AS179" s="5"/>
      <c r="AT179" s="5"/>
      <c r="AU179" s="5"/>
      <c r="AV179" s="5"/>
      <c r="AW179" s="5"/>
      <c r="AX179" s="5"/>
      <c r="AY179" s="5"/>
      <c r="AZ179" s="5"/>
      <c r="BA179" s="5"/>
      <c r="BB179" s="5"/>
      <c r="BC179" s="5"/>
      <c r="BD179" s="5"/>
      <c r="BE179" s="5"/>
      <c r="BF179" s="5"/>
      <c r="BG179" s="5"/>
      <c r="BH179" s="5"/>
      <c r="BI179" s="5"/>
      <c r="BJ179" s="5"/>
      <c r="BK179" s="5"/>
      <c r="BL179" s="5"/>
      <c r="BM179" s="5"/>
    </row>
    <row r="180" spans="1:65" x14ac:dyDescent="0.2">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c r="AG180" s="5"/>
      <c r="AH180" s="5"/>
      <c r="AI180" s="5"/>
      <c r="AJ180" s="5"/>
      <c r="AK180" s="5"/>
      <c r="AL180" s="5"/>
      <c r="AM180" s="5"/>
      <c r="AN180" s="5"/>
      <c r="AO180" s="5"/>
      <c r="AP180" s="5"/>
      <c r="AQ180" s="5"/>
      <c r="AR180" s="5"/>
      <c r="AS180" s="5"/>
      <c r="AT180" s="5"/>
      <c r="AU180" s="5"/>
      <c r="AV180" s="5"/>
      <c r="AW180" s="5"/>
      <c r="AX180" s="5"/>
      <c r="AY180" s="5"/>
      <c r="AZ180" s="5"/>
      <c r="BA180" s="5"/>
      <c r="BB180" s="5"/>
      <c r="BC180" s="5"/>
      <c r="BD180" s="5"/>
      <c r="BE180" s="5"/>
      <c r="BF180" s="5"/>
      <c r="BG180" s="5"/>
      <c r="BH180" s="5"/>
      <c r="BI180" s="5"/>
      <c r="BJ180" s="5"/>
      <c r="BK180" s="5"/>
      <c r="BL180" s="5"/>
      <c r="BM180" s="5"/>
    </row>
    <row r="181" spans="1:65" x14ac:dyDescent="0.2">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c r="AG181" s="5"/>
      <c r="AH181" s="5"/>
      <c r="AI181" s="5"/>
      <c r="AJ181" s="5"/>
      <c r="AK181" s="5"/>
      <c r="AL181" s="5"/>
      <c r="AM181" s="5"/>
      <c r="AN181" s="5"/>
      <c r="AO181" s="5"/>
      <c r="AP181" s="5"/>
      <c r="AQ181" s="5"/>
      <c r="AR181" s="5"/>
      <c r="AS181" s="5"/>
      <c r="AT181" s="5"/>
      <c r="AU181" s="5"/>
      <c r="AV181" s="5"/>
      <c r="AW181" s="5"/>
      <c r="AX181" s="5"/>
      <c r="AY181" s="5"/>
      <c r="AZ181" s="5"/>
      <c r="BA181" s="5"/>
      <c r="BB181" s="5"/>
      <c r="BC181" s="5"/>
      <c r="BD181" s="5"/>
      <c r="BE181" s="5"/>
      <c r="BF181" s="5"/>
      <c r="BG181" s="5"/>
      <c r="BH181" s="5"/>
      <c r="BI181" s="5"/>
      <c r="BJ181" s="5"/>
      <c r="BK181" s="5"/>
      <c r="BL181" s="5"/>
      <c r="BM181" s="5"/>
    </row>
    <row r="182" spans="1:65" x14ac:dyDescent="0.2">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c r="AG182" s="5"/>
      <c r="AH182" s="5"/>
      <c r="AI182" s="5"/>
      <c r="AJ182" s="5"/>
      <c r="AK182" s="5"/>
      <c r="AL182" s="5"/>
      <c r="AM182" s="5"/>
      <c r="AN182" s="5"/>
      <c r="AO182" s="5"/>
      <c r="AP182" s="5"/>
      <c r="AQ182" s="5"/>
      <c r="AR182" s="5"/>
      <c r="AS182" s="5"/>
      <c r="AT182" s="5"/>
      <c r="AU182" s="5"/>
      <c r="AV182" s="5"/>
      <c r="AW182" s="5"/>
      <c r="AX182" s="5"/>
      <c r="AY182" s="5"/>
      <c r="AZ182" s="5"/>
      <c r="BA182" s="5"/>
      <c r="BB182" s="5"/>
      <c r="BC182" s="5"/>
      <c r="BD182" s="5"/>
      <c r="BE182" s="5"/>
      <c r="BF182" s="5"/>
      <c r="BG182" s="5"/>
      <c r="BH182" s="5"/>
      <c r="BI182" s="5"/>
      <c r="BJ182" s="5"/>
      <c r="BK182" s="5"/>
      <c r="BL182" s="5"/>
      <c r="BM182" s="5"/>
    </row>
    <row r="183" spans="1:65" x14ac:dyDescent="0.2">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c r="AG183" s="5"/>
      <c r="AH183" s="5"/>
      <c r="AI183" s="5"/>
      <c r="AJ183" s="5"/>
      <c r="AK183" s="5"/>
      <c r="AL183" s="5"/>
      <c r="AM183" s="5"/>
      <c r="AN183" s="5"/>
      <c r="AO183" s="5"/>
      <c r="AP183" s="5"/>
      <c r="AQ183" s="5"/>
      <c r="AR183" s="5"/>
      <c r="AS183" s="5"/>
      <c r="AT183" s="5"/>
      <c r="AU183" s="5"/>
      <c r="AV183" s="5"/>
      <c r="AW183" s="5"/>
      <c r="AX183" s="5"/>
      <c r="AY183" s="5"/>
      <c r="AZ183" s="5"/>
      <c r="BA183" s="5"/>
      <c r="BB183" s="5"/>
      <c r="BC183" s="5"/>
      <c r="BD183" s="5"/>
      <c r="BE183" s="5"/>
      <c r="BF183" s="5"/>
      <c r="BG183" s="5"/>
      <c r="BH183" s="5"/>
      <c r="BI183" s="5"/>
      <c r="BJ183" s="5"/>
      <c r="BK183" s="5"/>
      <c r="BL183" s="5"/>
      <c r="BM183" s="5"/>
    </row>
    <row r="184" spans="1:65" x14ac:dyDescent="0.2">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c r="AG184" s="5"/>
      <c r="AH184" s="5"/>
      <c r="AI184" s="5"/>
      <c r="AJ184" s="5"/>
      <c r="AK184" s="5"/>
      <c r="AL184" s="5"/>
      <c r="AM184" s="5"/>
      <c r="AN184" s="5"/>
      <c r="AO184" s="5"/>
      <c r="AP184" s="5"/>
      <c r="AQ184" s="5"/>
      <c r="AR184" s="5"/>
      <c r="AS184" s="5"/>
      <c r="AT184" s="5"/>
      <c r="AU184" s="5"/>
      <c r="AV184" s="5"/>
      <c r="AW184" s="5"/>
      <c r="AX184" s="5"/>
      <c r="AY184" s="5"/>
      <c r="AZ184" s="5"/>
      <c r="BA184" s="5"/>
      <c r="BB184" s="5"/>
      <c r="BC184" s="5"/>
      <c r="BD184" s="5"/>
      <c r="BE184" s="5"/>
      <c r="BF184" s="5"/>
      <c r="BG184" s="5"/>
      <c r="BH184" s="5"/>
      <c r="BI184" s="5"/>
      <c r="BJ184" s="5"/>
      <c r="BK184" s="5"/>
      <c r="BL184" s="5"/>
      <c r="BM184" s="5"/>
    </row>
    <row r="185" spans="1:65" x14ac:dyDescent="0.2">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c r="AG185" s="5"/>
      <c r="AH185" s="5"/>
      <c r="AI185" s="5"/>
      <c r="AJ185" s="5"/>
      <c r="AK185" s="5"/>
      <c r="AL185" s="5"/>
      <c r="AM185" s="5"/>
      <c r="AN185" s="5"/>
      <c r="AO185" s="5"/>
      <c r="AP185" s="5"/>
      <c r="AQ185" s="5"/>
      <c r="AR185" s="5"/>
      <c r="AS185" s="5"/>
      <c r="AT185" s="5"/>
      <c r="AU185" s="5"/>
      <c r="AV185" s="5"/>
      <c r="AW185" s="5"/>
      <c r="AX185" s="5"/>
      <c r="AY185" s="5"/>
      <c r="AZ185" s="5"/>
      <c r="BA185" s="5"/>
      <c r="BB185" s="5"/>
      <c r="BC185" s="5"/>
      <c r="BD185" s="5"/>
      <c r="BE185" s="5"/>
      <c r="BF185" s="5"/>
      <c r="BG185" s="5"/>
      <c r="BH185" s="5"/>
      <c r="BI185" s="5"/>
      <c r="BJ185" s="5"/>
      <c r="BK185" s="5"/>
      <c r="BL185" s="5"/>
      <c r="BM185" s="5"/>
    </row>
    <row r="186" spans="1:65" x14ac:dyDescent="0.2">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c r="AG186" s="5"/>
      <c r="AH186" s="5"/>
      <c r="AI186" s="5"/>
      <c r="AJ186" s="5"/>
      <c r="AK186" s="5"/>
      <c r="AL186" s="5"/>
      <c r="AM186" s="5"/>
      <c r="AN186" s="5"/>
      <c r="AO186" s="5"/>
      <c r="AP186" s="5"/>
      <c r="AQ186" s="5"/>
      <c r="AR186" s="5"/>
      <c r="AS186" s="5"/>
      <c r="AT186" s="5"/>
      <c r="AU186" s="5"/>
      <c r="AV186" s="5"/>
      <c r="AW186" s="5"/>
      <c r="AX186" s="5"/>
      <c r="AY186" s="5"/>
      <c r="AZ186" s="5"/>
      <c r="BA186" s="5"/>
      <c r="BB186" s="5"/>
      <c r="BC186" s="5"/>
      <c r="BD186" s="5"/>
      <c r="BE186" s="5"/>
      <c r="BF186" s="5"/>
      <c r="BG186" s="5"/>
      <c r="BH186" s="5"/>
      <c r="BI186" s="5"/>
      <c r="BJ186" s="5"/>
      <c r="BK186" s="5"/>
      <c r="BL186" s="5"/>
      <c r="BM186" s="5"/>
    </row>
    <row r="187" spans="1:65" x14ac:dyDescent="0.2">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c r="AG187" s="5"/>
      <c r="AH187" s="5"/>
      <c r="AI187" s="5"/>
      <c r="AJ187" s="5"/>
      <c r="AK187" s="5"/>
      <c r="AL187" s="5"/>
      <c r="AM187" s="5"/>
      <c r="AN187" s="5"/>
      <c r="AO187" s="5"/>
      <c r="AP187" s="5"/>
      <c r="AQ187" s="5"/>
      <c r="AR187" s="5"/>
      <c r="AS187" s="5"/>
      <c r="AT187" s="5"/>
      <c r="AU187" s="5"/>
      <c r="AV187" s="5"/>
      <c r="AW187" s="5"/>
      <c r="AX187" s="5"/>
      <c r="AY187" s="5"/>
      <c r="AZ187" s="5"/>
      <c r="BA187" s="5"/>
      <c r="BB187" s="5"/>
      <c r="BC187" s="5"/>
      <c r="BD187" s="5"/>
      <c r="BE187" s="5"/>
      <c r="BF187" s="5"/>
      <c r="BG187" s="5"/>
      <c r="BH187" s="5"/>
      <c r="BI187" s="5"/>
      <c r="BJ187" s="5"/>
      <c r="BK187" s="5"/>
      <c r="BL187" s="5"/>
      <c r="BM187" s="5"/>
    </row>
    <row r="188" spans="1:65" x14ac:dyDescent="0.2">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c r="AG188" s="5"/>
      <c r="AH188" s="5"/>
      <c r="AI188" s="5"/>
      <c r="AJ188" s="5"/>
      <c r="AK188" s="5"/>
      <c r="AL188" s="5"/>
      <c r="AM188" s="5"/>
      <c r="AN188" s="5"/>
      <c r="AO188" s="5"/>
      <c r="AP188" s="5"/>
      <c r="AQ188" s="5"/>
      <c r="AR188" s="5"/>
      <c r="AS188" s="5"/>
      <c r="AT188" s="5"/>
      <c r="AU188" s="5"/>
      <c r="AV188" s="5"/>
      <c r="AW188" s="5"/>
      <c r="AX188" s="5"/>
      <c r="AY188" s="5"/>
      <c r="AZ188" s="5"/>
      <c r="BA188" s="5"/>
      <c r="BB188" s="5"/>
      <c r="BC188" s="5"/>
      <c r="BD188" s="5"/>
      <c r="BE188" s="5"/>
      <c r="BF188" s="5"/>
      <c r="BG188" s="5"/>
      <c r="BH188" s="5"/>
      <c r="BI188" s="5"/>
      <c r="BJ188" s="5"/>
      <c r="BK188" s="5"/>
      <c r="BL188" s="5"/>
      <c r="BM188" s="5"/>
    </row>
    <row r="189" spans="1:65" x14ac:dyDescent="0.2">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c r="AG189" s="5"/>
      <c r="AH189" s="5"/>
      <c r="AI189" s="5"/>
      <c r="AJ189" s="5"/>
      <c r="AK189" s="5"/>
      <c r="AL189" s="5"/>
      <c r="AM189" s="5"/>
      <c r="AN189" s="5"/>
      <c r="AO189" s="5"/>
      <c r="AP189" s="5"/>
      <c r="AQ189" s="5"/>
      <c r="AR189" s="5"/>
      <c r="AS189" s="5"/>
      <c r="AT189" s="5"/>
      <c r="AU189" s="5"/>
      <c r="AV189" s="5"/>
      <c r="AW189" s="5"/>
      <c r="AX189" s="5"/>
      <c r="AY189" s="5"/>
      <c r="AZ189" s="5"/>
      <c r="BA189" s="5"/>
      <c r="BB189" s="5"/>
      <c r="BC189" s="5"/>
      <c r="BD189" s="5"/>
      <c r="BE189" s="5"/>
      <c r="BF189" s="5"/>
      <c r="BG189" s="5"/>
      <c r="BH189" s="5"/>
      <c r="BI189" s="5"/>
      <c r="BJ189" s="5"/>
      <c r="BK189" s="5"/>
      <c r="BL189" s="5"/>
      <c r="BM189" s="5"/>
    </row>
    <row r="190" spans="1:65" x14ac:dyDescent="0.2">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c r="AG190" s="5"/>
      <c r="AH190" s="5"/>
      <c r="AI190" s="5"/>
      <c r="AJ190" s="5"/>
      <c r="AK190" s="5"/>
      <c r="AL190" s="5"/>
      <c r="AM190" s="5"/>
      <c r="AN190" s="5"/>
      <c r="AO190" s="5"/>
      <c r="AP190" s="5"/>
      <c r="AQ190" s="5"/>
      <c r="AR190" s="5"/>
      <c r="AS190" s="5"/>
      <c r="AT190" s="5"/>
      <c r="AU190" s="5"/>
      <c r="AV190" s="5"/>
      <c r="AW190" s="5"/>
      <c r="AX190" s="5"/>
      <c r="AY190" s="5"/>
      <c r="AZ190" s="5"/>
      <c r="BA190" s="5"/>
      <c r="BB190" s="5"/>
      <c r="BC190" s="5"/>
      <c r="BD190" s="5"/>
      <c r="BE190" s="5"/>
      <c r="BF190" s="5"/>
      <c r="BG190" s="5"/>
      <c r="BH190" s="5"/>
      <c r="BI190" s="5"/>
      <c r="BJ190" s="5"/>
      <c r="BK190" s="5"/>
      <c r="BL190" s="5"/>
      <c r="BM190" s="5"/>
    </row>
    <row r="191" spans="1:65" x14ac:dyDescent="0.2">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c r="AG191" s="5"/>
      <c r="AH191" s="5"/>
      <c r="AI191" s="5"/>
      <c r="AJ191" s="5"/>
      <c r="AK191" s="5"/>
      <c r="AL191" s="5"/>
      <c r="AM191" s="5"/>
      <c r="AN191" s="5"/>
      <c r="AO191" s="5"/>
      <c r="AP191" s="5"/>
      <c r="AQ191" s="5"/>
      <c r="AR191" s="5"/>
      <c r="AS191" s="5"/>
      <c r="AT191" s="5"/>
      <c r="AU191" s="5"/>
      <c r="AV191" s="5"/>
      <c r="AW191" s="5"/>
      <c r="AX191" s="5"/>
      <c r="AY191" s="5"/>
      <c r="AZ191" s="5"/>
      <c r="BA191" s="5"/>
      <c r="BB191" s="5"/>
      <c r="BC191" s="5"/>
      <c r="BD191" s="5"/>
      <c r="BE191" s="5"/>
      <c r="BF191" s="5"/>
      <c r="BG191" s="5"/>
      <c r="BH191" s="5"/>
      <c r="BI191" s="5"/>
      <c r="BJ191" s="5"/>
      <c r="BK191" s="5"/>
      <c r="BL191" s="5"/>
      <c r="BM191" s="5"/>
    </row>
    <row r="192" spans="1:65" x14ac:dyDescent="0.2">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c r="AG192" s="5"/>
      <c r="AH192" s="5"/>
      <c r="AI192" s="5"/>
      <c r="AJ192" s="5"/>
      <c r="AK192" s="5"/>
      <c r="AL192" s="5"/>
      <c r="AM192" s="5"/>
      <c r="AN192" s="5"/>
      <c r="AO192" s="5"/>
      <c r="AP192" s="5"/>
      <c r="AQ192" s="5"/>
      <c r="AR192" s="5"/>
      <c r="AS192" s="5"/>
      <c r="AT192" s="5"/>
      <c r="AU192" s="5"/>
      <c r="AV192" s="5"/>
      <c r="AW192" s="5"/>
      <c r="AX192" s="5"/>
      <c r="AY192" s="5"/>
      <c r="AZ192" s="5"/>
      <c r="BA192" s="5"/>
      <c r="BB192" s="5"/>
      <c r="BC192" s="5"/>
      <c r="BD192" s="5"/>
      <c r="BE192" s="5"/>
      <c r="BF192" s="5"/>
      <c r="BG192" s="5"/>
      <c r="BH192" s="5"/>
      <c r="BI192" s="5"/>
      <c r="BJ192" s="5"/>
      <c r="BK192" s="5"/>
      <c r="BL192" s="5"/>
      <c r="BM192" s="5"/>
    </row>
    <row r="193" spans="1:65" x14ac:dyDescent="0.2">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c r="AG193" s="5"/>
      <c r="AH193" s="5"/>
      <c r="AI193" s="5"/>
      <c r="AJ193" s="5"/>
      <c r="AK193" s="5"/>
      <c r="AL193" s="5"/>
      <c r="AM193" s="5"/>
      <c r="AN193" s="5"/>
      <c r="AO193" s="5"/>
      <c r="AP193" s="5"/>
      <c r="AQ193" s="5"/>
      <c r="AR193" s="5"/>
      <c r="AS193" s="5"/>
      <c r="AT193" s="5"/>
      <c r="AU193" s="5"/>
      <c r="AV193" s="5"/>
      <c r="AW193" s="5"/>
      <c r="AX193" s="5"/>
      <c r="AY193" s="5"/>
      <c r="AZ193" s="5"/>
      <c r="BA193" s="5"/>
      <c r="BB193" s="5"/>
      <c r="BC193" s="5"/>
      <c r="BD193" s="5"/>
      <c r="BE193" s="5"/>
      <c r="BF193" s="5"/>
      <c r="BG193" s="5"/>
      <c r="BH193" s="5"/>
      <c r="BI193" s="5"/>
      <c r="BJ193" s="5"/>
      <c r="BK193" s="5"/>
      <c r="BL193" s="5"/>
      <c r="BM193" s="5"/>
    </row>
    <row r="194" spans="1:65" x14ac:dyDescent="0.2">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c r="AG194" s="5"/>
      <c r="AH194" s="5"/>
      <c r="AI194" s="5"/>
      <c r="AJ194" s="5"/>
      <c r="AK194" s="5"/>
      <c r="AL194" s="5"/>
      <c r="AM194" s="5"/>
      <c r="AN194" s="5"/>
      <c r="AO194" s="5"/>
      <c r="AP194" s="5"/>
      <c r="AQ194" s="5"/>
      <c r="AR194" s="5"/>
      <c r="AS194" s="5"/>
      <c r="AT194" s="5"/>
      <c r="AU194" s="5"/>
      <c r="AV194" s="5"/>
      <c r="AW194" s="5"/>
      <c r="AX194" s="5"/>
      <c r="AY194" s="5"/>
      <c r="AZ194" s="5"/>
      <c r="BA194" s="5"/>
      <c r="BB194" s="5"/>
      <c r="BC194" s="5"/>
      <c r="BD194" s="5"/>
      <c r="BE194" s="5"/>
      <c r="BF194" s="5"/>
      <c r="BG194" s="5"/>
      <c r="BH194" s="5"/>
      <c r="BI194" s="5"/>
      <c r="BJ194" s="5"/>
      <c r="BK194" s="5"/>
      <c r="BL194" s="5"/>
      <c r="BM194" s="5"/>
    </row>
  </sheetData>
  <mergeCells count="3">
    <mergeCell ref="C12:F12"/>
    <mergeCell ref="A29:J29"/>
    <mergeCell ref="M22:T23"/>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FA8385-F8AE-6146-8EE6-9EC861AD4915}">
  <dimension ref="A1:S22"/>
  <sheetViews>
    <sheetView workbookViewId="0"/>
  </sheetViews>
  <sheetFormatPr baseColWidth="10" defaultColWidth="11" defaultRowHeight="16" outlineLevelCol="1" x14ac:dyDescent="0.2"/>
  <cols>
    <col min="1" max="1" width="4.5" customWidth="1"/>
    <col min="2" max="10" width="10.83203125" customWidth="1"/>
    <col min="11" max="11" width="11.5" customWidth="1"/>
    <col min="12" max="12" width="11.1640625" bestFit="1" customWidth="1"/>
    <col min="13" max="13" width="10.83203125" style="134" hidden="1" customWidth="1" outlineLevel="1"/>
    <col min="14" max="18" width="10.83203125" hidden="1" customWidth="1" outlineLevel="1"/>
    <col min="19" max="19" width="11" collapsed="1"/>
  </cols>
  <sheetData>
    <row r="1" spans="1:17" ht="19" x14ac:dyDescent="0.25">
      <c r="A1" s="1" t="s">
        <v>251</v>
      </c>
      <c r="B1" s="174"/>
      <c r="C1" s="173"/>
      <c r="D1" s="173"/>
      <c r="E1" s="173"/>
      <c r="F1" s="172"/>
      <c r="G1" s="172"/>
      <c r="H1" s="172"/>
      <c r="I1" s="172"/>
      <c r="J1" s="171"/>
      <c r="L1" s="170" t="s">
        <v>176</v>
      </c>
    </row>
    <row r="2" spans="1:17" x14ac:dyDescent="0.2">
      <c r="A2" s="153"/>
      <c r="B2" s="152"/>
      <c r="C2" s="152"/>
      <c r="D2" s="152"/>
      <c r="E2" s="152"/>
      <c r="F2" s="152"/>
      <c r="G2" s="152"/>
      <c r="H2" s="152"/>
      <c r="I2" s="152"/>
      <c r="J2" s="151"/>
    </row>
    <row r="3" spans="1:17" x14ac:dyDescent="0.2">
      <c r="A3" s="153"/>
      <c r="B3" s="152" t="s">
        <v>250</v>
      </c>
      <c r="C3" s="152"/>
      <c r="D3" s="152"/>
      <c r="E3" s="152"/>
      <c r="F3" s="152"/>
      <c r="G3" s="152"/>
      <c r="H3" s="152"/>
      <c r="I3" s="152"/>
      <c r="J3" s="151"/>
      <c r="M3" s="162" t="s">
        <v>249</v>
      </c>
    </row>
    <row r="4" spans="1:17" x14ac:dyDescent="0.2">
      <c r="A4" s="153"/>
      <c r="B4" s="152"/>
      <c r="C4" s="152"/>
      <c r="D4" s="152"/>
      <c r="E4" s="152"/>
      <c r="F4" s="152"/>
      <c r="G4" s="152"/>
      <c r="H4" s="152"/>
      <c r="I4" s="152"/>
      <c r="J4" s="151"/>
    </row>
    <row r="5" spans="1:17" x14ac:dyDescent="0.2">
      <c r="A5" s="153"/>
      <c r="B5" s="152"/>
      <c r="C5" s="169" t="s">
        <v>9</v>
      </c>
      <c r="D5" s="168" t="s">
        <v>10</v>
      </c>
      <c r="E5" s="168" t="s">
        <v>248</v>
      </c>
      <c r="F5" s="167" t="s">
        <v>12</v>
      </c>
      <c r="G5" s="152"/>
      <c r="H5" s="152"/>
      <c r="I5" s="152"/>
      <c r="J5" s="151"/>
      <c r="M5" s="134" t="s">
        <v>247</v>
      </c>
      <c r="N5" s="166">
        <f>G10/(D6*E6*(1-F6))</f>
        <v>0.02</v>
      </c>
      <c r="O5" s="134" t="s">
        <v>246</v>
      </c>
      <c r="P5" s="137"/>
    </row>
    <row r="6" spans="1:17" x14ac:dyDescent="0.2">
      <c r="A6" s="153"/>
      <c r="B6" s="152"/>
      <c r="C6" s="165" t="s">
        <v>243</v>
      </c>
      <c r="D6" s="156">
        <v>5000</v>
      </c>
      <c r="E6" s="164">
        <v>0.6</v>
      </c>
      <c r="F6" s="163">
        <v>0.15</v>
      </c>
      <c r="G6" s="152"/>
      <c r="H6" s="152"/>
      <c r="I6" s="152"/>
      <c r="J6" s="151"/>
      <c r="N6" s="137"/>
      <c r="O6" s="137"/>
      <c r="P6" s="137"/>
    </row>
    <row r="7" spans="1:17" x14ac:dyDescent="0.2">
      <c r="A7" s="153"/>
      <c r="B7" s="152"/>
      <c r="C7" s="165" t="s">
        <v>242</v>
      </c>
      <c r="D7" s="156">
        <v>10000</v>
      </c>
      <c r="E7" s="164">
        <v>0.5</v>
      </c>
      <c r="F7" s="163">
        <v>0.1</v>
      </c>
      <c r="G7" s="152"/>
      <c r="H7" s="152"/>
      <c r="I7" s="152"/>
      <c r="J7" s="151"/>
      <c r="M7" s="162" t="s">
        <v>245</v>
      </c>
      <c r="N7" s="137"/>
      <c r="O7" s="137"/>
      <c r="P7" s="137"/>
    </row>
    <row r="8" spans="1:17" x14ac:dyDescent="0.2">
      <c r="A8" s="153"/>
      <c r="B8" s="152"/>
      <c r="C8" s="161" t="s">
        <v>241</v>
      </c>
      <c r="D8" s="160">
        <v>20000</v>
      </c>
      <c r="E8" s="159">
        <v>0.55000000000000004</v>
      </c>
      <c r="F8" s="158">
        <v>0.2</v>
      </c>
      <c r="G8" s="152"/>
      <c r="H8" s="152"/>
      <c r="I8" s="152"/>
      <c r="J8" s="151"/>
      <c r="N8" s="137"/>
      <c r="O8" s="137"/>
      <c r="P8" s="137"/>
    </row>
    <row r="9" spans="1:17" x14ac:dyDescent="0.2">
      <c r="A9" s="153"/>
      <c r="B9" s="152"/>
      <c r="C9" s="152"/>
      <c r="D9" s="152"/>
      <c r="E9" s="152"/>
      <c r="F9" s="152"/>
      <c r="G9" s="152"/>
      <c r="H9" s="152"/>
      <c r="I9" s="152"/>
      <c r="J9" s="151"/>
      <c r="M9" s="134" t="s">
        <v>244</v>
      </c>
      <c r="N9" s="137"/>
      <c r="O9" s="137"/>
      <c r="P9" s="137"/>
    </row>
    <row r="10" spans="1:17" x14ac:dyDescent="0.2">
      <c r="A10" s="153"/>
      <c r="B10" s="157" t="s">
        <v>582</v>
      </c>
      <c r="C10" s="152"/>
      <c r="D10" s="152"/>
      <c r="E10" s="152"/>
      <c r="F10" s="152"/>
      <c r="G10" s="156">
        <v>51</v>
      </c>
      <c r="H10" s="152"/>
      <c r="I10" s="152"/>
      <c r="J10" s="151"/>
      <c r="N10" s="137"/>
      <c r="O10" s="137"/>
      <c r="P10" s="137"/>
    </row>
    <row r="11" spans="1:17" x14ac:dyDescent="0.2">
      <c r="A11" s="153"/>
      <c r="B11" s="327" t="s">
        <v>581</v>
      </c>
      <c r="C11" s="327"/>
      <c r="D11" s="327"/>
      <c r="E11" s="327"/>
      <c r="F11" s="327"/>
      <c r="G11" s="327"/>
      <c r="H11" s="327"/>
      <c r="I11" s="327"/>
      <c r="J11" s="151"/>
      <c r="M11" s="145" t="s">
        <v>9</v>
      </c>
      <c r="N11" s="154" t="s">
        <v>75</v>
      </c>
      <c r="O11" s="137"/>
      <c r="P11" s="137"/>
    </row>
    <row r="12" spans="1:17" x14ac:dyDescent="0.2">
      <c r="A12" s="153"/>
      <c r="B12" s="327"/>
      <c r="C12" s="327"/>
      <c r="D12" s="327"/>
      <c r="E12" s="327"/>
      <c r="F12" s="327"/>
      <c r="G12" s="327"/>
      <c r="H12" s="327"/>
      <c r="I12" s="327"/>
      <c r="J12" s="151"/>
      <c r="M12" s="142" t="s">
        <v>243</v>
      </c>
      <c r="N12" s="150">
        <f>D6*E6*F6+D6*E6*(1-F6)*$N$5</f>
        <v>501</v>
      </c>
      <c r="O12" s="137"/>
      <c r="P12" s="137"/>
    </row>
    <row r="13" spans="1:17" x14ac:dyDescent="0.2">
      <c r="A13" s="153"/>
      <c r="B13" s="152"/>
      <c r="C13" s="155"/>
      <c r="D13" s="152"/>
      <c r="E13" s="152"/>
      <c r="F13" s="152"/>
      <c r="G13" s="152"/>
      <c r="H13" s="152"/>
      <c r="I13" s="152"/>
      <c r="J13" s="151"/>
      <c r="M13" s="142" t="s">
        <v>242</v>
      </c>
      <c r="N13" s="150">
        <f>D7*E7*F7+D7*E7*(1-F7)*$N$5</f>
        <v>590</v>
      </c>
      <c r="O13" s="137"/>
      <c r="P13" s="137"/>
    </row>
    <row r="14" spans="1:17" x14ac:dyDescent="0.2">
      <c r="A14" s="153"/>
      <c r="B14" s="152"/>
      <c r="C14" s="155"/>
      <c r="D14" s="152"/>
      <c r="E14" s="152"/>
      <c r="F14" s="152"/>
      <c r="G14" s="152"/>
      <c r="H14" s="152"/>
      <c r="I14" s="152"/>
      <c r="J14" s="151"/>
      <c r="M14" s="145" t="s">
        <v>241</v>
      </c>
      <c r="N14" s="144">
        <f>D8*E8*F8+D8*E8*(1-F8)*$N$5</f>
        <v>2376</v>
      </c>
      <c r="O14" s="137"/>
      <c r="P14" s="143"/>
      <c r="Q14" s="141"/>
    </row>
    <row r="15" spans="1:17" x14ac:dyDescent="0.2">
      <c r="A15" s="153"/>
      <c r="B15" s="152" t="s">
        <v>583</v>
      </c>
      <c r="C15" s="152"/>
      <c r="D15" s="152"/>
      <c r="E15" s="152"/>
      <c r="F15" s="152"/>
      <c r="G15" s="152"/>
      <c r="H15" s="152"/>
      <c r="I15" s="152"/>
      <c r="J15" s="151"/>
      <c r="M15" s="142" t="s">
        <v>207</v>
      </c>
      <c r="N15" s="141">
        <f>SUM(N12:N14)</f>
        <v>3467</v>
      </c>
      <c r="O15" s="137"/>
      <c r="P15" s="137"/>
      <c r="Q15" s="141"/>
    </row>
    <row r="16" spans="1:17" ht="17" thickBot="1" x14ac:dyDescent="0.25">
      <c r="A16" s="153"/>
      <c r="B16" s="152"/>
      <c r="C16" s="152"/>
      <c r="D16" s="152"/>
      <c r="E16" s="152"/>
      <c r="F16" s="152"/>
      <c r="G16" s="152"/>
      <c r="H16" s="152"/>
      <c r="I16" s="152"/>
      <c r="J16" s="151"/>
      <c r="N16" s="140"/>
      <c r="O16" s="137"/>
      <c r="P16" s="137"/>
    </row>
    <row r="17" spans="1:14" ht="17" thickBot="1" x14ac:dyDescent="0.25">
      <c r="A17" s="149" t="s">
        <v>175</v>
      </c>
      <c r="B17" s="148"/>
      <c r="C17" s="147"/>
      <c r="D17" s="147"/>
      <c r="E17" s="147"/>
      <c r="F17" s="147"/>
      <c r="G17" s="147"/>
      <c r="H17" s="147"/>
      <c r="I17" s="147"/>
      <c r="J17" s="146"/>
      <c r="M17" s="139" t="s">
        <v>584</v>
      </c>
      <c r="N17" s="138">
        <f>N15</f>
        <v>3467</v>
      </c>
    </row>
    <row r="18" spans="1:14" x14ac:dyDescent="0.2">
      <c r="N18" s="137"/>
    </row>
    <row r="21" spans="1:14" ht="19" x14ac:dyDescent="0.25">
      <c r="M21" s="136" t="s">
        <v>210</v>
      </c>
      <c r="N21" s="135"/>
    </row>
    <row r="22" spans="1:14" x14ac:dyDescent="0.2">
      <c r="M22" s="134" t="s">
        <v>209</v>
      </c>
    </row>
  </sheetData>
  <mergeCells count="1">
    <mergeCell ref="B11:I1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9AB2DE-2209-5D4F-A630-BFDB93354F62}">
  <dimension ref="A1:S29"/>
  <sheetViews>
    <sheetView zoomScaleNormal="100" workbookViewId="0"/>
  </sheetViews>
  <sheetFormatPr baseColWidth="10" defaultColWidth="11" defaultRowHeight="16" outlineLevelCol="1" x14ac:dyDescent="0.2"/>
  <cols>
    <col min="1" max="1" width="4.5" customWidth="1"/>
    <col min="2" max="10" width="10.83203125" customWidth="1"/>
    <col min="11" max="11" width="11.5" customWidth="1"/>
    <col min="12" max="12" width="11.1640625" bestFit="1" customWidth="1"/>
    <col min="13" max="13" width="16.6640625" style="134" hidden="1" customWidth="1" outlineLevel="1"/>
    <col min="14" max="14" width="12.83203125" hidden="1" customWidth="1" outlineLevel="1"/>
    <col min="15" max="15" width="13.83203125" hidden="1" customWidth="1" outlineLevel="1"/>
    <col min="16" max="18" width="10.83203125" hidden="1" customWidth="1" outlineLevel="1"/>
    <col min="19" max="19" width="11" collapsed="1"/>
  </cols>
  <sheetData>
    <row r="1" spans="1:18" ht="19" x14ac:dyDescent="0.25">
      <c r="A1" s="188" t="s">
        <v>269</v>
      </c>
      <c r="B1" s="174"/>
      <c r="C1" s="173"/>
      <c r="D1" s="173"/>
      <c r="E1" s="173"/>
      <c r="F1" s="172"/>
      <c r="G1" s="172"/>
      <c r="H1" s="172"/>
      <c r="I1" s="172"/>
      <c r="J1" s="171"/>
      <c r="L1" s="170" t="s">
        <v>176</v>
      </c>
    </row>
    <row r="2" spans="1:18" x14ac:dyDescent="0.2">
      <c r="A2" s="153"/>
      <c r="B2" s="152"/>
      <c r="C2" s="152"/>
      <c r="D2" s="152"/>
      <c r="E2" s="152"/>
      <c r="F2" s="152"/>
      <c r="G2" s="152"/>
      <c r="H2" s="152"/>
      <c r="I2" s="152"/>
      <c r="J2" s="151"/>
    </row>
    <row r="3" spans="1:18" x14ac:dyDescent="0.2">
      <c r="A3" s="153"/>
      <c r="B3" s="152" t="s">
        <v>268</v>
      </c>
      <c r="C3" s="152"/>
      <c r="D3" s="152"/>
      <c r="E3" s="152"/>
      <c r="F3" s="152"/>
      <c r="G3" s="152"/>
      <c r="H3" s="152"/>
      <c r="I3" s="152"/>
      <c r="J3" s="151"/>
      <c r="M3" s="162" t="s">
        <v>267</v>
      </c>
    </row>
    <row r="4" spans="1:18" x14ac:dyDescent="0.2">
      <c r="A4" s="153"/>
      <c r="B4" s="152"/>
      <c r="C4" s="152"/>
      <c r="D4" s="152"/>
      <c r="E4" s="152"/>
      <c r="F4" s="152"/>
      <c r="G4" s="152"/>
      <c r="H4" s="152"/>
      <c r="I4" s="152"/>
      <c r="J4" s="151"/>
    </row>
    <row r="5" spans="1:18" x14ac:dyDescent="0.2">
      <c r="A5" s="153"/>
      <c r="B5" s="152"/>
      <c r="C5" s="328"/>
      <c r="D5" s="330" t="s">
        <v>266</v>
      </c>
      <c r="E5" s="331"/>
      <c r="F5" s="152"/>
      <c r="G5" s="152"/>
      <c r="H5" s="152"/>
      <c r="I5" s="152"/>
      <c r="J5" s="151"/>
      <c r="M5" s="326" t="s">
        <v>265</v>
      </c>
      <c r="N5" s="326"/>
      <c r="O5" s="326"/>
      <c r="P5" s="326"/>
      <c r="Q5" s="326"/>
      <c r="R5" s="326"/>
    </row>
    <row r="6" spans="1:18" x14ac:dyDescent="0.2">
      <c r="A6" s="153"/>
      <c r="B6" s="152"/>
      <c r="C6" s="329"/>
      <c r="D6" s="168" t="s">
        <v>264</v>
      </c>
      <c r="E6" s="167" t="s">
        <v>263</v>
      </c>
      <c r="F6" s="152"/>
      <c r="G6" s="152"/>
      <c r="H6" s="152"/>
      <c r="I6" s="152"/>
      <c r="J6" s="151"/>
      <c r="M6" s="326"/>
      <c r="N6" s="326"/>
      <c r="O6" s="326"/>
      <c r="P6" s="326"/>
      <c r="Q6" s="326"/>
      <c r="R6" s="326"/>
    </row>
    <row r="7" spans="1:18" x14ac:dyDescent="0.2">
      <c r="A7" s="153"/>
      <c r="B7" s="152"/>
      <c r="C7" s="165" t="s">
        <v>40</v>
      </c>
      <c r="D7" s="185">
        <v>20000</v>
      </c>
      <c r="E7" s="184">
        <v>27273</v>
      </c>
      <c r="F7" s="152"/>
      <c r="G7" s="152"/>
      <c r="H7" s="152"/>
      <c r="I7" s="152"/>
      <c r="J7" s="151"/>
      <c r="N7" s="179"/>
      <c r="O7" s="134"/>
      <c r="P7" s="137"/>
    </row>
    <row r="8" spans="1:18" x14ac:dyDescent="0.2">
      <c r="A8" s="153"/>
      <c r="B8" s="152"/>
      <c r="C8" s="161" t="s">
        <v>262</v>
      </c>
      <c r="D8" s="183">
        <v>18000</v>
      </c>
      <c r="E8" s="182">
        <v>21818</v>
      </c>
      <c r="F8" s="152"/>
      <c r="G8" s="152"/>
      <c r="H8" s="152"/>
      <c r="I8" s="152"/>
      <c r="J8" s="151"/>
      <c r="M8" s="134" t="s">
        <v>261</v>
      </c>
      <c r="N8" s="179"/>
      <c r="O8" s="181">
        <f>D7*0.05*100000</f>
        <v>100000000</v>
      </c>
      <c r="P8" s="134" t="s">
        <v>259</v>
      </c>
    </row>
    <row r="9" spans="1:18" x14ac:dyDescent="0.2">
      <c r="A9" s="153"/>
      <c r="B9" s="152"/>
      <c r="C9" s="152"/>
      <c r="D9" s="152"/>
      <c r="E9" s="152"/>
      <c r="F9" s="152"/>
      <c r="G9" s="152"/>
      <c r="H9" s="152"/>
      <c r="I9" s="152"/>
      <c r="J9" s="151"/>
      <c r="M9" s="134" t="s">
        <v>260</v>
      </c>
      <c r="N9" s="179"/>
      <c r="O9" s="181">
        <f>E7*0.055*100000</f>
        <v>150001500</v>
      </c>
      <c r="P9" s="134" t="s">
        <v>259</v>
      </c>
    </row>
    <row r="10" spans="1:18" x14ac:dyDescent="0.2">
      <c r="A10" s="153"/>
      <c r="B10" s="180" t="s">
        <v>258</v>
      </c>
      <c r="C10" s="152"/>
      <c r="D10" s="152"/>
      <c r="E10" s="152"/>
      <c r="F10" s="152"/>
      <c r="G10" s="152"/>
      <c r="H10" s="152"/>
      <c r="I10" s="152"/>
      <c r="J10" s="151"/>
      <c r="N10" s="179"/>
      <c r="O10" s="134"/>
      <c r="P10" s="137"/>
    </row>
    <row r="11" spans="1:18" x14ac:dyDescent="0.2">
      <c r="A11" s="153"/>
      <c r="B11" s="180" t="s">
        <v>257</v>
      </c>
      <c r="C11" s="152"/>
      <c r="D11" s="152"/>
      <c r="E11" s="152"/>
      <c r="F11" s="152"/>
      <c r="G11" s="152"/>
      <c r="H11" s="152"/>
      <c r="I11" s="152"/>
      <c r="J11" s="151"/>
      <c r="M11" s="134" t="s">
        <v>256</v>
      </c>
      <c r="N11" s="179">
        <f>O9/O8</f>
        <v>1.5000150000000001</v>
      </c>
      <c r="O11" s="134"/>
      <c r="P11" s="137"/>
    </row>
    <row r="12" spans="1:18" x14ac:dyDescent="0.2">
      <c r="A12" s="153"/>
      <c r="B12" s="152"/>
      <c r="C12" s="152"/>
      <c r="D12" s="152"/>
      <c r="E12" s="152"/>
      <c r="F12" s="152"/>
      <c r="G12" s="152"/>
      <c r="H12" s="152"/>
      <c r="I12" s="152"/>
      <c r="J12" s="151"/>
      <c r="N12" s="179"/>
      <c r="O12" s="134"/>
      <c r="P12" s="137"/>
    </row>
    <row r="13" spans="1:18" x14ac:dyDescent="0.2">
      <c r="A13" s="153"/>
      <c r="B13" s="152" t="s">
        <v>255</v>
      </c>
      <c r="C13" s="152"/>
      <c r="D13" s="152"/>
      <c r="E13" s="152"/>
      <c r="F13" s="152"/>
      <c r="G13" s="152"/>
      <c r="H13" s="152"/>
      <c r="I13" s="152"/>
      <c r="J13" s="151"/>
      <c r="M13" s="162" t="s">
        <v>254</v>
      </c>
      <c r="N13" s="179"/>
      <c r="O13" s="134"/>
      <c r="P13" s="137"/>
    </row>
    <row r="14" spans="1:18" ht="17" thickBot="1" x14ac:dyDescent="0.25">
      <c r="A14" s="153"/>
      <c r="B14" s="152"/>
      <c r="C14" s="155"/>
      <c r="D14" s="152"/>
      <c r="E14" s="152"/>
      <c r="F14" s="152"/>
      <c r="G14" s="152"/>
      <c r="H14" s="152"/>
      <c r="I14" s="152"/>
      <c r="J14" s="151"/>
      <c r="N14" s="179"/>
      <c r="O14" s="134"/>
      <c r="P14" s="137"/>
    </row>
    <row r="15" spans="1:18" ht="17" thickBot="1" x14ac:dyDescent="0.25">
      <c r="A15" s="149" t="s">
        <v>175</v>
      </c>
      <c r="B15" s="148"/>
      <c r="C15" s="147"/>
      <c r="D15" s="147"/>
      <c r="E15" s="147"/>
      <c r="F15" s="147"/>
      <c r="G15" s="147"/>
      <c r="H15" s="147"/>
      <c r="I15" s="147"/>
      <c r="J15" s="146"/>
      <c r="M15" s="134" t="s">
        <v>253</v>
      </c>
      <c r="N15" s="179">
        <f>N11*(1-(E8/E7))/(1-(D8/D7))</f>
        <v>3.0002500000000007</v>
      </c>
      <c r="O15" s="134" t="s">
        <v>252</v>
      </c>
      <c r="P15" s="137"/>
    </row>
    <row r="16" spans="1:18" x14ac:dyDescent="0.2">
      <c r="Q16" s="141"/>
    </row>
    <row r="17" spans="3:17" x14ac:dyDescent="0.2">
      <c r="C17" s="178"/>
      <c r="N17" s="137"/>
      <c r="O17" s="137"/>
      <c r="P17" s="137"/>
      <c r="Q17" s="141"/>
    </row>
    <row r="18" spans="3:17" x14ac:dyDescent="0.2">
      <c r="N18" s="137"/>
      <c r="O18" s="137"/>
      <c r="P18" s="137"/>
    </row>
    <row r="19" spans="3:17" ht="19" x14ac:dyDescent="0.25">
      <c r="C19" s="177"/>
      <c r="M19" s="136" t="s">
        <v>210</v>
      </c>
      <c r="N19" s="141"/>
      <c r="O19" s="134"/>
      <c r="P19" s="137"/>
    </row>
    <row r="20" spans="3:17" x14ac:dyDescent="0.2">
      <c r="D20" s="176"/>
      <c r="M20" s="134" t="s">
        <v>214</v>
      </c>
      <c r="N20" s="140"/>
      <c r="O20" s="134"/>
      <c r="P20" s="137"/>
    </row>
    <row r="21" spans="3:17" x14ac:dyDescent="0.2">
      <c r="N21" s="141"/>
      <c r="O21" s="134"/>
      <c r="P21" s="137"/>
    </row>
    <row r="22" spans="3:17" x14ac:dyDescent="0.2">
      <c r="N22" s="141"/>
      <c r="O22" s="137"/>
    </row>
    <row r="23" spans="3:17" x14ac:dyDescent="0.2">
      <c r="N23" s="141"/>
      <c r="O23" s="137"/>
    </row>
    <row r="24" spans="3:17" x14ac:dyDescent="0.2">
      <c r="N24" s="137"/>
      <c r="O24" s="137"/>
    </row>
    <row r="25" spans="3:17" x14ac:dyDescent="0.2">
      <c r="N25" s="141"/>
      <c r="O25" s="137"/>
    </row>
    <row r="26" spans="3:17" x14ac:dyDescent="0.2">
      <c r="N26" s="141"/>
      <c r="O26" s="137"/>
    </row>
    <row r="27" spans="3:17" x14ac:dyDescent="0.2">
      <c r="N27" s="141"/>
    </row>
    <row r="28" spans="3:17" x14ac:dyDescent="0.2">
      <c r="N28" s="137"/>
    </row>
    <row r="29" spans="3:17" x14ac:dyDescent="0.2">
      <c r="N29" s="175"/>
    </row>
  </sheetData>
  <mergeCells count="3">
    <mergeCell ref="C5:C6"/>
    <mergeCell ref="M5:R6"/>
    <mergeCell ref="D5:E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9D17B-5C1D-B141-BFD7-68524B5E55BB}">
  <dimension ref="A1:S42"/>
  <sheetViews>
    <sheetView zoomScaleNormal="100" workbookViewId="0"/>
  </sheetViews>
  <sheetFormatPr baseColWidth="10" defaultColWidth="11" defaultRowHeight="16" outlineLevelCol="1" x14ac:dyDescent="0.2"/>
  <cols>
    <col min="1" max="1" width="4.5" customWidth="1"/>
    <col min="2" max="10" width="10.83203125" customWidth="1"/>
    <col min="11" max="11" width="11.5" customWidth="1"/>
    <col min="12" max="12" width="11.1640625" bestFit="1" customWidth="1"/>
    <col min="13" max="13" width="10.83203125" style="134" hidden="1" customWidth="1" outlineLevel="1"/>
    <col min="14" max="18" width="10.83203125" hidden="1" customWidth="1" outlineLevel="1"/>
    <col min="19" max="19" width="11" collapsed="1"/>
  </cols>
  <sheetData>
    <row r="1" spans="1:16" ht="19" x14ac:dyDescent="0.25">
      <c r="A1" s="188" t="s">
        <v>300</v>
      </c>
      <c r="B1" s="174"/>
      <c r="C1" s="173"/>
      <c r="D1" s="173"/>
      <c r="E1" s="173"/>
      <c r="F1" s="172"/>
      <c r="G1" s="172"/>
      <c r="H1" s="172"/>
      <c r="I1" s="172"/>
      <c r="J1" s="171"/>
      <c r="L1" s="170" t="s">
        <v>176</v>
      </c>
    </row>
    <row r="2" spans="1:16" x14ac:dyDescent="0.2">
      <c r="A2" s="153"/>
      <c r="B2" s="152"/>
      <c r="C2" s="152"/>
      <c r="D2" s="152"/>
      <c r="E2" s="152"/>
      <c r="F2" s="152"/>
      <c r="G2" s="152"/>
      <c r="H2" s="152"/>
      <c r="I2" s="152"/>
      <c r="J2" s="151"/>
    </row>
    <row r="3" spans="1:16" x14ac:dyDescent="0.2">
      <c r="A3" s="153"/>
      <c r="B3" s="152" t="s">
        <v>299</v>
      </c>
      <c r="C3" s="152"/>
      <c r="D3" s="152"/>
      <c r="E3" s="152"/>
      <c r="F3" s="152"/>
      <c r="G3" s="152"/>
      <c r="H3" s="152"/>
      <c r="I3" s="152"/>
      <c r="J3" s="151"/>
      <c r="M3" s="197" t="s">
        <v>298</v>
      </c>
    </row>
    <row r="4" spans="1:16" x14ac:dyDescent="0.2">
      <c r="A4" s="153"/>
      <c r="B4" s="152"/>
      <c r="C4" s="152"/>
      <c r="D4" s="152"/>
      <c r="E4" s="152"/>
      <c r="F4" s="152"/>
      <c r="G4" s="152"/>
      <c r="H4" s="152"/>
      <c r="I4" s="152"/>
      <c r="J4" s="151"/>
    </row>
    <row r="5" spans="1:16" ht="17" thickBot="1" x14ac:dyDescent="0.25">
      <c r="A5" s="153"/>
      <c r="B5" s="152"/>
      <c r="C5" s="328" t="s">
        <v>220</v>
      </c>
      <c r="D5" s="334" t="s">
        <v>297</v>
      </c>
      <c r="E5" s="332" t="s">
        <v>296</v>
      </c>
      <c r="F5" s="152"/>
      <c r="G5" s="152"/>
      <c r="H5" s="152"/>
      <c r="I5" s="152"/>
      <c r="J5" s="151"/>
      <c r="M5" s="134" t="s">
        <v>295</v>
      </c>
      <c r="N5" s="202">
        <f>D8-D7</f>
        <v>500000</v>
      </c>
      <c r="O5" s="134"/>
      <c r="P5" s="137"/>
    </row>
    <row r="6" spans="1:16" ht="17" thickBot="1" x14ac:dyDescent="0.25">
      <c r="A6" s="153"/>
      <c r="B6" s="152"/>
      <c r="C6" s="329"/>
      <c r="D6" s="335"/>
      <c r="E6" s="333"/>
      <c r="F6" s="152"/>
      <c r="G6" s="152"/>
      <c r="H6" s="152"/>
      <c r="I6" s="152"/>
      <c r="J6" s="151"/>
      <c r="M6" s="139" t="s">
        <v>294</v>
      </c>
      <c r="N6" s="199">
        <f>N5*(F11-1)</f>
        <v>700000</v>
      </c>
      <c r="O6" s="134"/>
      <c r="P6" s="137"/>
    </row>
    <row r="7" spans="1:16" x14ac:dyDescent="0.2">
      <c r="A7" s="153"/>
      <c r="B7" s="152"/>
      <c r="C7" s="201">
        <v>250000</v>
      </c>
      <c r="D7" s="185">
        <v>4500000</v>
      </c>
      <c r="E7" s="184">
        <v>22500</v>
      </c>
      <c r="F7" s="152"/>
      <c r="G7" s="152"/>
      <c r="H7" s="152"/>
      <c r="I7" s="152"/>
      <c r="J7" s="151"/>
      <c r="N7" s="179"/>
      <c r="O7" s="181"/>
      <c r="P7" s="134"/>
    </row>
    <row r="8" spans="1:16" x14ac:dyDescent="0.2">
      <c r="A8" s="153"/>
      <c r="B8" s="152"/>
      <c r="C8" s="161" t="s">
        <v>40</v>
      </c>
      <c r="D8" s="183">
        <v>5000000</v>
      </c>
      <c r="E8" s="182">
        <v>25000</v>
      </c>
      <c r="F8" s="152"/>
      <c r="G8" s="152"/>
      <c r="H8" s="152"/>
      <c r="I8" s="152"/>
      <c r="J8" s="151"/>
      <c r="M8" s="197" t="s">
        <v>293</v>
      </c>
      <c r="N8" s="179"/>
      <c r="O8" s="181"/>
      <c r="P8" s="134"/>
    </row>
    <row r="9" spans="1:16" x14ac:dyDescent="0.2">
      <c r="A9" s="153"/>
      <c r="B9" s="152"/>
      <c r="C9" s="152"/>
      <c r="D9" s="152"/>
      <c r="E9" s="152"/>
      <c r="F9" s="152"/>
      <c r="G9" s="152"/>
      <c r="H9" s="152"/>
      <c r="I9" s="152"/>
      <c r="J9" s="151"/>
      <c r="N9" s="179"/>
      <c r="O9" s="134"/>
      <c r="P9" s="137"/>
    </row>
    <row r="10" spans="1:16" x14ac:dyDescent="0.2">
      <c r="A10" s="153"/>
      <c r="B10" s="180" t="s">
        <v>292</v>
      </c>
      <c r="C10" s="152"/>
      <c r="D10" s="152"/>
      <c r="E10" s="152"/>
      <c r="F10" s="164">
        <v>1.5</v>
      </c>
      <c r="G10" s="152"/>
      <c r="H10" s="152"/>
      <c r="I10" s="152"/>
      <c r="J10" s="151"/>
      <c r="M10" s="134" t="s">
        <v>291</v>
      </c>
      <c r="N10" s="179"/>
      <c r="O10" s="134"/>
      <c r="P10" s="137"/>
    </row>
    <row r="11" spans="1:16" x14ac:dyDescent="0.2">
      <c r="A11" s="153"/>
      <c r="B11" s="180" t="s">
        <v>290</v>
      </c>
      <c r="C11" s="152"/>
      <c r="D11" s="152"/>
      <c r="E11" s="152"/>
      <c r="F11" s="164">
        <v>2.4</v>
      </c>
      <c r="G11" s="152"/>
      <c r="H11" s="152"/>
      <c r="I11" s="152"/>
      <c r="J11" s="151"/>
      <c r="N11" s="179"/>
      <c r="O11" s="134"/>
      <c r="P11" s="137"/>
    </row>
    <row r="12" spans="1:16" ht="17" thickBot="1" x14ac:dyDescent="0.25">
      <c r="A12" s="153"/>
      <c r="B12" s="180" t="s">
        <v>289</v>
      </c>
      <c r="C12" s="152"/>
      <c r="D12" s="152"/>
      <c r="E12" s="152"/>
      <c r="F12" s="198">
        <v>1500000</v>
      </c>
      <c r="G12" s="152"/>
      <c r="H12" s="152"/>
      <c r="I12" s="152"/>
      <c r="J12" s="151"/>
      <c r="M12" s="134" t="s">
        <v>288</v>
      </c>
      <c r="N12" s="200">
        <f>F14*F15*F16</f>
        <v>1125000</v>
      </c>
      <c r="O12" s="134" t="s">
        <v>287</v>
      </c>
      <c r="P12" s="137"/>
    </row>
    <row r="13" spans="1:16" ht="17" thickBot="1" x14ac:dyDescent="0.25">
      <c r="A13" s="153"/>
      <c r="B13" s="180" t="s">
        <v>286</v>
      </c>
      <c r="C13" s="152"/>
      <c r="D13" s="152"/>
      <c r="E13" s="152"/>
      <c r="F13" s="198">
        <v>550000</v>
      </c>
      <c r="G13" s="152"/>
      <c r="H13" s="152"/>
      <c r="I13" s="152"/>
      <c r="J13" s="151"/>
      <c r="M13" s="139" t="s">
        <v>285</v>
      </c>
      <c r="N13" s="199">
        <f>N12*(1-1/F11)</f>
        <v>656249.99999999988</v>
      </c>
      <c r="O13" s="134"/>
      <c r="P13" s="137"/>
    </row>
    <row r="14" spans="1:16" x14ac:dyDescent="0.2">
      <c r="A14" s="153"/>
      <c r="B14" s="180" t="s">
        <v>284</v>
      </c>
      <c r="C14" s="152"/>
      <c r="D14" s="152"/>
      <c r="E14" s="152"/>
      <c r="F14" s="198">
        <v>10000000</v>
      </c>
      <c r="G14" s="152"/>
      <c r="H14" s="152"/>
      <c r="I14" s="152"/>
      <c r="J14" s="151"/>
      <c r="N14" s="179"/>
      <c r="O14" s="134"/>
      <c r="P14" s="137"/>
    </row>
    <row r="15" spans="1:16" x14ac:dyDescent="0.2">
      <c r="A15" s="153"/>
      <c r="B15" s="180" t="s">
        <v>283</v>
      </c>
      <c r="C15" s="152"/>
      <c r="D15" s="152"/>
      <c r="E15" s="152"/>
      <c r="F15" s="164">
        <v>0.75</v>
      </c>
      <c r="G15" s="152"/>
      <c r="H15" s="152"/>
      <c r="I15" s="152"/>
      <c r="J15" s="151"/>
      <c r="M15" s="197" t="s">
        <v>282</v>
      </c>
      <c r="N15" s="179"/>
      <c r="O15" s="134"/>
      <c r="P15" s="137"/>
    </row>
    <row r="16" spans="1:16" x14ac:dyDescent="0.2">
      <c r="A16" s="153"/>
      <c r="B16" s="180" t="s">
        <v>281</v>
      </c>
      <c r="C16" s="152"/>
      <c r="D16" s="152"/>
      <c r="E16" s="152"/>
      <c r="F16" s="196">
        <v>0.15</v>
      </c>
      <c r="G16" s="152"/>
      <c r="H16" s="152"/>
      <c r="I16" s="152"/>
      <c r="J16" s="151"/>
      <c r="N16" s="179"/>
      <c r="O16" s="134"/>
      <c r="P16" s="137"/>
    </row>
    <row r="17" spans="1:17" x14ac:dyDescent="0.2">
      <c r="A17" s="153"/>
      <c r="B17" s="180" t="s">
        <v>280</v>
      </c>
      <c r="C17" s="152"/>
      <c r="D17" s="152"/>
      <c r="E17" s="152"/>
      <c r="F17" s="196">
        <v>0.12</v>
      </c>
      <c r="G17" s="152"/>
      <c r="H17" s="152"/>
      <c r="I17" s="152"/>
      <c r="J17" s="151"/>
      <c r="M17" s="134" t="s">
        <v>279</v>
      </c>
      <c r="N17" s="179">
        <f>E7/E8</f>
        <v>0.9</v>
      </c>
      <c r="O17" s="134"/>
      <c r="P17" s="137"/>
    </row>
    <row r="18" spans="1:17" x14ac:dyDescent="0.2">
      <c r="A18" s="153"/>
      <c r="B18" s="180"/>
      <c r="C18" s="152"/>
      <c r="D18" s="152"/>
      <c r="E18" s="152"/>
      <c r="F18" s="152"/>
      <c r="G18" s="152"/>
      <c r="H18" s="152"/>
      <c r="I18" s="152"/>
      <c r="J18" s="151"/>
      <c r="M18" s="134" t="s">
        <v>278</v>
      </c>
      <c r="N18" s="179">
        <f>(F10-(1-N17)*F11)/N17</f>
        <v>1.4</v>
      </c>
      <c r="O18" s="134" t="s">
        <v>277</v>
      </c>
      <c r="P18" s="137"/>
    </row>
    <row r="19" spans="1:17" x14ac:dyDescent="0.2">
      <c r="A19" s="153"/>
      <c r="B19" s="157" t="s">
        <v>0</v>
      </c>
      <c r="C19" s="152"/>
      <c r="D19" s="152"/>
      <c r="E19" s="152"/>
      <c r="F19" s="152"/>
      <c r="G19" s="152"/>
      <c r="H19" s="152"/>
      <c r="I19" s="152"/>
      <c r="J19" s="151"/>
      <c r="P19" s="137"/>
    </row>
    <row r="20" spans="1:17" ht="17" customHeight="1" thickBot="1" x14ac:dyDescent="0.25">
      <c r="A20" s="153"/>
      <c r="B20" s="337" t="s">
        <v>276</v>
      </c>
      <c r="C20" s="337"/>
      <c r="D20" s="337"/>
      <c r="E20" s="337"/>
      <c r="F20" s="337"/>
      <c r="G20" s="337"/>
      <c r="H20" s="337"/>
      <c r="I20" s="337"/>
      <c r="J20" s="151"/>
      <c r="M20" s="134" t="s">
        <v>275</v>
      </c>
      <c r="N20" s="179"/>
      <c r="O20" s="195">
        <f>(D7*N18-F12)*F17</f>
        <v>576000</v>
      </c>
      <c r="P20" s="134" t="s">
        <v>274</v>
      </c>
    </row>
    <row r="21" spans="1:17" ht="17" thickBot="1" x14ac:dyDescent="0.25">
      <c r="A21" s="153"/>
      <c r="B21" s="337"/>
      <c r="C21" s="337"/>
      <c r="D21" s="337"/>
      <c r="E21" s="337"/>
      <c r="F21" s="337"/>
      <c r="G21" s="337"/>
      <c r="H21" s="337"/>
      <c r="I21" s="337"/>
      <c r="J21" s="151"/>
      <c r="M21" s="139" t="s">
        <v>273</v>
      </c>
      <c r="N21" s="194"/>
      <c r="O21" s="193">
        <f>O20-F13</f>
        <v>26000</v>
      </c>
      <c r="P21" s="134" t="s">
        <v>272</v>
      </c>
    </row>
    <row r="22" spans="1:17" x14ac:dyDescent="0.2">
      <c r="A22" s="153"/>
      <c r="B22" s="192"/>
      <c r="C22" s="152"/>
      <c r="D22" s="152"/>
      <c r="E22" s="152"/>
      <c r="F22" s="152"/>
      <c r="G22" s="152"/>
      <c r="H22" s="152"/>
      <c r="I22" s="152"/>
      <c r="J22" s="151"/>
      <c r="N22" s="179"/>
      <c r="O22" s="134"/>
      <c r="P22" s="137"/>
    </row>
    <row r="23" spans="1:17" x14ac:dyDescent="0.2">
      <c r="A23" s="153"/>
      <c r="B23" s="157" t="s">
        <v>1</v>
      </c>
      <c r="C23" s="152"/>
      <c r="D23" s="152"/>
      <c r="E23" s="152"/>
      <c r="F23" s="152"/>
      <c r="G23" s="152"/>
      <c r="H23" s="152"/>
      <c r="I23" s="152"/>
      <c r="J23" s="151"/>
      <c r="N23" s="179"/>
      <c r="O23" s="191"/>
      <c r="P23" s="137"/>
    </row>
    <row r="24" spans="1:17" ht="16" customHeight="1" x14ac:dyDescent="0.2">
      <c r="A24" s="153"/>
      <c r="B24" s="336" t="s">
        <v>271</v>
      </c>
      <c r="C24" s="336"/>
      <c r="D24" s="336"/>
      <c r="E24" s="336"/>
      <c r="F24" s="336"/>
      <c r="G24" s="336"/>
      <c r="H24" s="336"/>
      <c r="I24" s="336"/>
      <c r="J24" s="151"/>
      <c r="N24" s="179"/>
      <c r="O24" s="134"/>
      <c r="P24" s="137"/>
    </row>
    <row r="25" spans="1:17" ht="19" x14ac:dyDescent="0.25">
      <c r="A25" s="153"/>
      <c r="B25" s="336"/>
      <c r="C25" s="336"/>
      <c r="D25" s="336"/>
      <c r="E25" s="336"/>
      <c r="F25" s="336"/>
      <c r="G25" s="336"/>
      <c r="H25" s="336"/>
      <c r="I25" s="336"/>
      <c r="J25" s="151"/>
      <c r="M25" s="136" t="s">
        <v>210</v>
      </c>
      <c r="N25" s="179"/>
      <c r="O25" s="134"/>
      <c r="P25" s="137"/>
    </row>
    <row r="26" spans="1:17" x14ac:dyDescent="0.2">
      <c r="A26" s="153"/>
      <c r="B26" s="155"/>
      <c r="C26" s="152"/>
      <c r="D26" s="152"/>
      <c r="E26" s="152"/>
      <c r="F26" s="152"/>
      <c r="G26" s="152"/>
      <c r="H26" s="152"/>
      <c r="I26" s="152"/>
      <c r="J26" s="151"/>
      <c r="M26" s="134" t="s">
        <v>212</v>
      </c>
      <c r="N26" s="179"/>
      <c r="O26" s="134"/>
      <c r="P26" s="137"/>
    </row>
    <row r="27" spans="1:17" x14ac:dyDescent="0.2">
      <c r="A27" s="153"/>
      <c r="B27" s="190" t="s">
        <v>2</v>
      </c>
      <c r="C27" s="152"/>
      <c r="D27" s="152"/>
      <c r="E27" s="152"/>
      <c r="F27" s="152"/>
      <c r="G27" s="152"/>
      <c r="H27" s="152"/>
      <c r="I27" s="152"/>
      <c r="J27" s="151"/>
      <c r="M27" s="134" t="s">
        <v>217</v>
      </c>
      <c r="P27" s="143"/>
      <c r="Q27" s="141"/>
    </row>
    <row r="28" spans="1:17" x14ac:dyDescent="0.2">
      <c r="A28" s="153"/>
      <c r="B28" s="152" t="s">
        <v>270</v>
      </c>
      <c r="C28" s="190"/>
      <c r="D28" s="152"/>
      <c r="E28" s="152"/>
      <c r="F28" s="152"/>
      <c r="G28" s="152"/>
      <c r="H28" s="152"/>
      <c r="I28" s="152"/>
      <c r="J28" s="151"/>
      <c r="P28" s="137"/>
      <c r="Q28" s="141"/>
    </row>
    <row r="29" spans="1:17" ht="17" thickBot="1" x14ac:dyDescent="0.25">
      <c r="A29" s="153"/>
      <c r="B29" s="189"/>
      <c r="C29" s="152"/>
      <c r="D29" s="152"/>
      <c r="E29" s="152"/>
      <c r="F29" s="152"/>
      <c r="G29" s="152"/>
      <c r="H29" s="152"/>
      <c r="I29" s="152"/>
      <c r="J29" s="151"/>
      <c r="Q29" s="141"/>
    </row>
    <row r="30" spans="1:17" ht="17" thickBot="1" x14ac:dyDescent="0.25">
      <c r="A30" s="149" t="s">
        <v>175</v>
      </c>
      <c r="B30" s="147"/>
      <c r="C30" s="147"/>
      <c r="D30" s="147"/>
      <c r="E30" s="147"/>
      <c r="F30" s="147"/>
      <c r="G30" s="147"/>
      <c r="H30" s="147"/>
      <c r="I30" s="147"/>
      <c r="J30" s="146"/>
      <c r="N30" s="137"/>
      <c r="O30" s="137"/>
      <c r="P30" s="137"/>
      <c r="Q30" s="141"/>
    </row>
    <row r="31" spans="1:17" x14ac:dyDescent="0.2">
      <c r="N31" s="137"/>
      <c r="O31" s="137"/>
      <c r="P31" s="137"/>
    </row>
    <row r="32" spans="1:17" x14ac:dyDescent="0.2">
      <c r="N32" s="141"/>
      <c r="O32" s="134"/>
      <c r="P32" s="137"/>
    </row>
    <row r="33" spans="14:16" x14ac:dyDescent="0.2">
      <c r="N33" s="140"/>
      <c r="O33" s="134"/>
      <c r="P33" s="137"/>
    </row>
    <row r="34" spans="14:16" x14ac:dyDescent="0.2">
      <c r="N34" s="141"/>
      <c r="O34" s="134"/>
      <c r="P34" s="137"/>
    </row>
    <row r="35" spans="14:16" x14ac:dyDescent="0.2">
      <c r="N35" s="141"/>
      <c r="O35" s="137"/>
    </row>
    <row r="36" spans="14:16" x14ac:dyDescent="0.2">
      <c r="N36" s="141"/>
      <c r="O36" s="137"/>
    </row>
    <row r="37" spans="14:16" x14ac:dyDescent="0.2">
      <c r="N37" s="137"/>
      <c r="O37" s="137"/>
    </row>
    <row r="38" spans="14:16" x14ac:dyDescent="0.2">
      <c r="N38" s="141"/>
      <c r="O38" s="137"/>
    </row>
    <row r="39" spans="14:16" x14ac:dyDescent="0.2">
      <c r="N39" s="141"/>
      <c r="O39" s="137"/>
    </row>
    <row r="40" spans="14:16" x14ac:dyDescent="0.2">
      <c r="N40" s="141"/>
    </row>
    <row r="41" spans="14:16" x14ac:dyDescent="0.2">
      <c r="N41" s="137"/>
    </row>
    <row r="42" spans="14:16" x14ac:dyDescent="0.2">
      <c r="N42" s="175"/>
    </row>
  </sheetData>
  <mergeCells count="5">
    <mergeCell ref="E5:E6"/>
    <mergeCell ref="D5:D6"/>
    <mergeCell ref="C5:C6"/>
    <mergeCell ref="B24:I25"/>
    <mergeCell ref="B20:I21"/>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FED667-65BA-BB4F-A04F-5CFD390A14B2}">
  <dimension ref="A1:S37"/>
  <sheetViews>
    <sheetView workbookViewId="0"/>
  </sheetViews>
  <sheetFormatPr baseColWidth="10" defaultColWidth="11" defaultRowHeight="16" outlineLevelCol="1" x14ac:dyDescent="0.2"/>
  <cols>
    <col min="1" max="1" width="4.5" customWidth="1"/>
    <col min="2" max="10" width="10.83203125" customWidth="1"/>
    <col min="11" max="11" width="11.5" customWidth="1"/>
    <col min="12" max="12" width="11.1640625" bestFit="1" customWidth="1"/>
    <col min="13" max="13" width="10.83203125" style="134" hidden="1" customWidth="1" outlineLevel="1"/>
    <col min="14" max="14" width="10.83203125" hidden="1" customWidth="1" outlineLevel="1"/>
    <col min="15" max="15" width="12" hidden="1" customWidth="1" outlineLevel="1"/>
    <col min="16" max="18" width="10.83203125" hidden="1" customWidth="1" outlineLevel="1"/>
    <col min="19" max="19" width="11" collapsed="1"/>
  </cols>
  <sheetData>
    <row r="1" spans="1:16" ht="19" x14ac:dyDescent="0.25">
      <c r="A1" s="188" t="s">
        <v>321</v>
      </c>
      <c r="B1" s="174"/>
      <c r="C1" s="173"/>
      <c r="D1" s="173"/>
      <c r="E1" s="173"/>
      <c r="F1" s="172"/>
      <c r="G1" s="172"/>
      <c r="H1" s="172"/>
      <c r="I1" s="172"/>
      <c r="J1" s="171"/>
      <c r="L1" s="170" t="s">
        <v>176</v>
      </c>
    </row>
    <row r="2" spans="1:16" x14ac:dyDescent="0.2">
      <c r="A2" s="153"/>
      <c r="B2" s="152"/>
      <c r="C2" s="152"/>
      <c r="D2" s="152"/>
      <c r="E2" s="152"/>
      <c r="F2" s="152"/>
      <c r="G2" s="152"/>
      <c r="H2" s="152"/>
      <c r="I2" s="152"/>
      <c r="J2" s="151"/>
    </row>
    <row r="3" spans="1:16" x14ac:dyDescent="0.2">
      <c r="A3" s="153"/>
      <c r="B3" s="152" t="s">
        <v>320</v>
      </c>
      <c r="C3" s="152"/>
      <c r="D3" s="152"/>
      <c r="E3" s="152"/>
      <c r="F3" s="152"/>
      <c r="G3" s="152"/>
      <c r="H3" s="152"/>
      <c r="I3" s="152"/>
      <c r="J3" s="151"/>
      <c r="M3" s="162" t="s">
        <v>319</v>
      </c>
    </row>
    <row r="4" spans="1:16" x14ac:dyDescent="0.2">
      <c r="A4" s="153"/>
      <c r="B4" s="152"/>
      <c r="C4" s="152"/>
      <c r="D4" s="152"/>
      <c r="E4" s="152"/>
      <c r="F4" s="152"/>
      <c r="G4" s="152"/>
      <c r="H4" s="152"/>
      <c r="I4" s="152"/>
      <c r="J4" s="151"/>
    </row>
    <row r="5" spans="1:16" ht="16" customHeight="1" x14ac:dyDescent="0.2">
      <c r="A5" s="153"/>
      <c r="B5" s="152"/>
      <c r="C5" s="341" t="s">
        <v>314</v>
      </c>
      <c r="D5" s="339" t="s">
        <v>318</v>
      </c>
      <c r="E5" s="343" t="s">
        <v>317</v>
      </c>
      <c r="F5" s="152"/>
      <c r="G5" s="152"/>
      <c r="H5" s="152"/>
      <c r="I5" s="152"/>
      <c r="J5" s="151"/>
      <c r="O5" s="345" t="s">
        <v>316</v>
      </c>
      <c r="P5" s="345" t="s">
        <v>315</v>
      </c>
    </row>
    <row r="6" spans="1:16" x14ac:dyDescent="0.2">
      <c r="A6" s="153"/>
      <c r="B6" s="152"/>
      <c r="C6" s="342"/>
      <c r="D6" s="340"/>
      <c r="E6" s="344"/>
      <c r="F6" s="152"/>
      <c r="G6" s="152"/>
      <c r="H6" s="152"/>
      <c r="I6" s="152"/>
      <c r="J6" s="151"/>
      <c r="M6" s="145" t="s">
        <v>314</v>
      </c>
      <c r="N6" s="207" t="s">
        <v>313</v>
      </c>
      <c r="O6" s="346"/>
      <c r="P6" s="346"/>
    </row>
    <row r="7" spans="1:16" x14ac:dyDescent="0.2">
      <c r="A7" s="153"/>
      <c r="B7" s="152"/>
      <c r="C7" s="165">
        <v>1</v>
      </c>
      <c r="D7" s="185">
        <v>100000</v>
      </c>
      <c r="E7" s="184">
        <v>10000</v>
      </c>
      <c r="F7" s="152"/>
      <c r="G7" s="152"/>
      <c r="H7" s="152"/>
      <c r="I7" s="152"/>
      <c r="J7" s="151"/>
      <c r="M7" s="142">
        <v>1</v>
      </c>
      <c r="N7" s="200">
        <f>D7+E7</f>
        <v>110000</v>
      </c>
      <c r="O7" s="200">
        <f>MIN(N7,$F$13)</f>
        <v>110000</v>
      </c>
      <c r="P7" s="200">
        <f>N7-O7</f>
        <v>0</v>
      </c>
    </row>
    <row r="8" spans="1:16" x14ac:dyDescent="0.2">
      <c r="A8" s="153"/>
      <c r="B8" s="152"/>
      <c r="C8" s="165">
        <v>2</v>
      </c>
      <c r="D8" s="185">
        <v>240000</v>
      </c>
      <c r="E8" s="184">
        <v>40000</v>
      </c>
      <c r="F8" s="152"/>
      <c r="G8" s="152"/>
      <c r="H8" s="152"/>
      <c r="I8" s="152"/>
      <c r="J8" s="151"/>
      <c r="M8" s="142">
        <v>2</v>
      </c>
      <c r="N8" s="200">
        <f>D8+E8</f>
        <v>280000</v>
      </c>
      <c r="O8" s="200">
        <f>MIN(N8,$F$13)</f>
        <v>250000</v>
      </c>
      <c r="P8" s="200">
        <f>N8-O8</f>
        <v>30000</v>
      </c>
    </row>
    <row r="9" spans="1:16" x14ac:dyDescent="0.2">
      <c r="A9" s="153"/>
      <c r="B9" s="152"/>
      <c r="C9" s="165">
        <v>3</v>
      </c>
      <c r="D9" s="185">
        <v>300000</v>
      </c>
      <c r="E9" s="184">
        <v>100000</v>
      </c>
      <c r="F9" s="152"/>
      <c r="G9" s="152"/>
      <c r="H9" s="152"/>
      <c r="I9" s="152"/>
      <c r="J9" s="151"/>
      <c r="M9" s="142">
        <v>3</v>
      </c>
      <c r="N9" s="200">
        <f>D9+E9</f>
        <v>400000</v>
      </c>
      <c r="O9" s="200">
        <f>MIN(N9,$F$13)</f>
        <v>250000</v>
      </c>
      <c r="P9" s="200">
        <f>N9-O9</f>
        <v>150000</v>
      </c>
    </row>
    <row r="10" spans="1:16" x14ac:dyDescent="0.2">
      <c r="A10" s="153"/>
      <c r="B10" s="152"/>
      <c r="C10" s="165">
        <v>4</v>
      </c>
      <c r="D10" s="185">
        <v>200000</v>
      </c>
      <c r="E10" s="184">
        <v>30000</v>
      </c>
      <c r="F10" s="152"/>
      <c r="G10" s="152"/>
      <c r="H10" s="152"/>
      <c r="I10" s="152"/>
      <c r="J10" s="151"/>
      <c r="M10" s="142">
        <v>4</v>
      </c>
      <c r="N10" s="200">
        <f>D10+E10</f>
        <v>230000</v>
      </c>
      <c r="O10" s="200">
        <f>MIN(N10,$F$13)</f>
        <v>230000</v>
      </c>
      <c r="P10" s="200">
        <f>N10-O10</f>
        <v>0</v>
      </c>
    </row>
    <row r="11" spans="1:16" x14ac:dyDescent="0.2">
      <c r="A11" s="153"/>
      <c r="B11" s="152"/>
      <c r="C11" s="161">
        <v>5</v>
      </c>
      <c r="D11" s="183">
        <v>150000</v>
      </c>
      <c r="E11" s="182">
        <v>60000</v>
      </c>
      <c r="F11" s="152"/>
      <c r="G11" s="152"/>
      <c r="H11" s="152"/>
      <c r="I11" s="152"/>
      <c r="J11" s="151"/>
      <c r="M11" s="145">
        <v>5</v>
      </c>
      <c r="N11" s="206">
        <f>D11+E11</f>
        <v>210000</v>
      </c>
      <c r="O11" s="206">
        <f>MIN(N11,$F$13)</f>
        <v>210000</v>
      </c>
      <c r="P11" s="206">
        <f>N11-O11</f>
        <v>0</v>
      </c>
    </row>
    <row r="12" spans="1:16" x14ac:dyDescent="0.2">
      <c r="A12" s="153"/>
      <c r="B12" s="152"/>
      <c r="C12" s="152"/>
      <c r="D12" s="152"/>
      <c r="E12" s="152"/>
      <c r="F12" s="152"/>
      <c r="G12" s="152"/>
      <c r="H12" s="152"/>
      <c r="I12" s="152"/>
      <c r="J12" s="151"/>
      <c r="M12" s="142" t="s">
        <v>207</v>
      </c>
      <c r="N12" s="200">
        <f>SUM(N7:N11)</f>
        <v>1230000</v>
      </c>
      <c r="O12" s="200">
        <f>SUM(O7:O11)</f>
        <v>1050000</v>
      </c>
      <c r="P12" s="200">
        <f>SUM(P7:P11)</f>
        <v>180000</v>
      </c>
    </row>
    <row r="13" spans="1:16" x14ac:dyDescent="0.2">
      <c r="A13" s="153"/>
      <c r="B13" s="180" t="s">
        <v>312</v>
      </c>
      <c r="C13" s="152"/>
      <c r="D13" s="152"/>
      <c r="E13" s="152"/>
      <c r="F13" s="156">
        <v>250000</v>
      </c>
      <c r="G13" s="152"/>
      <c r="H13" s="152"/>
      <c r="I13" s="152"/>
      <c r="J13" s="151"/>
      <c r="M13" s="197"/>
      <c r="N13" s="205"/>
      <c r="O13" s="134"/>
      <c r="P13" s="137"/>
    </row>
    <row r="14" spans="1:16" x14ac:dyDescent="0.2">
      <c r="A14" s="153"/>
      <c r="B14" s="180" t="s">
        <v>311</v>
      </c>
      <c r="C14" s="152"/>
      <c r="D14" s="152"/>
      <c r="E14" s="152"/>
      <c r="F14" s="156">
        <v>1000000</v>
      </c>
      <c r="G14" s="152"/>
      <c r="H14" s="152"/>
      <c r="I14" s="152"/>
      <c r="J14" s="151"/>
      <c r="M14" s="162" t="s">
        <v>310</v>
      </c>
      <c r="N14" s="205"/>
      <c r="O14" s="134"/>
      <c r="P14" s="137"/>
    </row>
    <row r="15" spans="1:16" x14ac:dyDescent="0.2">
      <c r="A15" s="153"/>
      <c r="B15" s="180" t="s">
        <v>309</v>
      </c>
      <c r="C15" s="152"/>
      <c r="D15" s="152"/>
      <c r="E15" s="152"/>
      <c r="F15" s="196">
        <v>0.1</v>
      </c>
      <c r="G15" s="152"/>
      <c r="H15" s="152"/>
      <c r="I15" s="152"/>
      <c r="J15" s="151"/>
      <c r="M15" s="197"/>
      <c r="N15" s="205"/>
      <c r="O15" s="134"/>
      <c r="P15" s="137"/>
    </row>
    <row r="16" spans="1:16" x14ac:dyDescent="0.2">
      <c r="A16" s="153"/>
      <c r="B16" s="180" t="s">
        <v>308</v>
      </c>
      <c r="C16" s="152"/>
      <c r="D16" s="152"/>
      <c r="E16" s="152"/>
      <c r="F16" s="156">
        <v>60000</v>
      </c>
      <c r="G16" s="152"/>
      <c r="H16" s="152"/>
      <c r="I16" s="152"/>
      <c r="J16" s="151"/>
      <c r="M16" s="326" t="s">
        <v>307</v>
      </c>
      <c r="N16" s="326"/>
      <c r="O16" s="326"/>
      <c r="P16" s="326"/>
    </row>
    <row r="17" spans="1:18" x14ac:dyDescent="0.2">
      <c r="A17" s="153"/>
      <c r="B17" s="180" t="s">
        <v>306</v>
      </c>
      <c r="C17" s="152"/>
      <c r="D17" s="152"/>
      <c r="E17" s="152"/>
      <c r="F17" s="152"/>
      <c r="G17" s="152"/>
      <c r="H17" s="152"/>
      <c r="I17" s="152"/>
      <c r="J17" s="151"/>
      <c r="M17" s="326"/>
      <c r="N17" s="326"/>
      <c r="O17" s="326"/>
      <c r="P17" s="326"/>
    </row>
    <row r="18" spans="1:18" x14ac:dyDescent="0.2">
      <c r="A18" s="153"/>
      <c r="B18" s="180" t="s">
        <v>305</v>
      </c>
      <c r="C18" s="152"/>
      <c r="D18" s="152"/>
      <c r="E18" s="152"/>
      <c r="F18" s="152"/>
      <c r="G18" s="152"/>
      <c r="H18" s="152"/>
      <c r="I18" s="152"/>
      <c r="J18" s="151"/>
      <c r="M18" s="197"/>
      <c r="N18" s="205"/>
      <c r="O18" s="134"/>
      <c r="P18" s="137"/>
    </row>
    <row r="19" spans="1:18" x14ac:dyDescent="0.2">
      <c r="A19" s="153"/>
      <c r="B19" s="152"/>
      <c r="C19" s="152"/>
      <c r="D19" s="152"/>
      <c r="E19" s="152"/>
      <c r="F19" s="152"/>
      <c r="G19" s="152"/>
      <c r="H19" s="152"/>
      <c r="I19" s="152"/>
      <c r="J19" s="151"/>
      <c r="M19" s="162" t="s">
        <v>304</v>
      </c>
      <c r="N19" s="205"/>
      <c r="O19" s="134"/>
      <c r="P19" s="137"/>
    </row>
    <row r="20" spans="1:18" ht="17" thickBot="1" x14ac:dyDescent="0.25">
      <c r="A20" s="153"/>
      <c r="B20" s="152" t="s">
        <v>303</v>
      </c>
      <c r="C20" s="152"/>
      <c r="D20" s="152"/>
      <c r="E20" s="152"/>
      <c r="F20" s="152"/>
      <c r="G20" s="152"/>
      <c r="H20" s="152"/>
      <c r="I20" s="152"/>
      <c r="J20" s="151"/>
      <c r="M20" s="197"/>
      <c r="N20" s="205"/>
      <c r="O20" s="134"/>
      <c r="P20" s="137"/>
    </row>
    <row r="21" spans="1:18" ht="17" thickBot="1" x14ac:dyDescent="0.25">
      <c r="A21" s="153"/>
      <c r="B21" s="152"/>
      <c r="C21" s="190"/>
      <c r="D21" s="152"/>
      <c r="E21" s="152"/>
      <c r="F21" s="152"/>
      <c r="G21" s="152"/>
      <c r="H21" s="152"/>
      <c r="I21" s="152"/>
      <c r="J21" s="151"/>
      <c r="M21" s="139" t="s">
        <v>302</v>
      </c>
      <c r="N21" s="204"/>
      <c r="O21" s="203">
        <f>1000000*F15</f>
        <v>100000</v>
      </c>
      <c r="P21" s="137"/>
    </row>
    <row r="22" spans="1:18" ht="17" thickBot="1" x14ac:dyDescent="0.25">
      <c r="A22" s="149" t="s">
        <v>175</v>
      </c>
      <c r="B22" s="148"/>
      <c r="C22" s="147"/>
      <c r="D22" s="147"/>
      <c r="E22" s="147"/>
      <c r="F22" s="147"/>
      <c r="G22" s="147"/>
      <c r="H22" s="147"/>
      <c r="I22" s="147"/>
      <c r="J22" s="146"/>
      <c r="P22" s="143"/>
      <c r="Q22" s="141"/>
    </row>
    <row r="23" spans="1:18" x14ac:dyDescent="0.2">
      <c r="P23" s="137"/>
      <c r="Q23" s="141"/>
    </row>
    <row r="24" spans="1:18" x14ac:dyDescent="0.2">
      <c r="Q24" s="141"/>
    </row>
    <row r="25" spans="1:18" ht="19" x14ac:dyDescent="0.25">
      <c r="M25" s="136" t="s">
        <v>173</v>
      </c>
      <c r="N25" s="137"/>
      <c r="O25" s="137"/>
      <c r="P25" s="137"/>
      <c r="Q25" s="141"/>
    </row>
    <row r="26" spans="1:18" x14ac:dyDescent="0.2">
      <c r="M26" s="338" t="s">
        <v>301</v>
      </c>
      <c r="N26" s="338"/>
      <c r="O26" s="338"/>
      <c r="P26" s="338"/>
      <c r="Q26" s="338"/>
      <c r="R26" s="338"/>
    </row>
    <row r="27" spans="1:18" x14ac:dyDescent="0.2">
      <c r="M27" s="338"/>
      <c r="N27" s="338"/>
      <c r="O27" s="338"/>
      <c r="P27" s="338"/>
      <c r="Q27" s="338"/>
      <c r="R27" s="338"/>
    </row>
    <row r="28" spans="1:18" x14ac:dyDescent="0.2">
      <c r="M28" s="338"/>
      <c r="N28" s="338"/>
      <c r="O28" s="338"/>
      <c r="P28" s="338"/>
      <c r="Q28" s="338"/>
      <c r="R28" s="338"/>
    </row>
    <row r="29" spans="1:18" x14ac:dyDescent="0.2">
      <c r="N29" s="141"/>
      <c r="O29" s="134"/>
      <c r="P29" s="137"/>
    </row>
    <row r="30" spans="1:18" ht="19" x14ac:dyDescent="0.25">
      <c r="M30" s="136" t="s">
        <v>210</v>
      </c>
      <c r="N30" s="141"/>
      <c r="O30" s="137"/>
    </row>
    <row r="31" spans="1:18" x14ac:dyDescent="0.2">
      <c r="M31" s="134" t="s">
        <v>217</v>
      </c>
      <c r="N31" s="141"/>
      <c r="O31" s="137"/>
    </row>
    <row r="32" spans="1:18" x14ac:dyDescent="0.2">
      <c r="N32" s="137"/>
      <c r="O32" s="137"/>
    </row>
    <row r="33" spans="14:15" x14ac:dyDescent="0.2">
      <c r="N33" s="141"/>
      <c r="O33" s="137"/>
    </row>
    <row r="34" spans="14:15" x14ac:dyDescent="0.2">
      <c r="N34" s="141"/>
      <c r="O34" s="137"/>
    </row>
    <row r="35" spans="14:15" x14ac:dyDescent="0.2">
      <c r="N35" s="141"/>
    </row>
    <row r="36" spans="14:15" x14ac:dyDescent="0.2">
      <c r="N36" s="137"/>
    </row>
    <row r="37" spans="14:15" x14ac:dyDescent="0.2">
      <c r="N37" s="175"/>
    </row>
  </sheetData>
  <mergeCells count="7">
    <mergeCell ref="M26:R28"/>
    <mergeCell ref="D5:D6"/>
    <mergeCell ref="C5:C6"/>
    <mergeCell ref="M16:P17"/>
    <mergeCell ref="E5:E6"/>
    <mergeCell ref="P5:P6"/>
    <mergeCell ref="O5:O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7D74A-D6DC-5B4C-9A23-A10A5D3B2032}">
  <dimension ref="A1:S39"/>
  <sheetViews>
    <sheetView zoomScaleNormal="100" workbookViewId="0"/>
  </sheetViews>
  <sheetFormatPr baseColWidth="10" defaultColWidth="11" defaultRowHeight="16" outlineLevelCol="1" x14ac:dyDescent="0.2"/>
  <cols>
    <col min="1" max="1" width="4.5" customWidth="1"/>
    <col min="2" max="10" width="10.83203125" customWidth="1"/>
    <col min="11" max="11" width="11.5" customWidth="1"/>
    <col min="12" max="12" width="11.1640625" bestFit="1" customWidth="1"/>
    <col min="13" max="13" width="10.83203125" style="134" hidden="1" customWidth="1" outlineLevel="1"/>
    <col min="14" max="18" width="10.83203125" hidden="1" customWidth="1" outlineLevel="1"/>
    <col min="19" max="19" width="11" collapsed="1"/>
  </cols>
  <sheetData>
    <row r="1" spans="1:16" ht="19" x14ac:dyDescent="0.25">
      <c r="A1" s="188" t="s">
        <v>334</v>
      </c>
      <c r="B1" s="174"/>
      <c r="C1" s="173"/>
      <c r="D1" s="173"/>
      <c r="E1" s="173"/>
      <c r="F1" s="172"/>
      <c r="G1" s="172"/>
      <c r="H1" s="172"/>
      <c r="I1" s="172"/>
      <c r="J1" s="171"/>
      <c r="L1" s="170" t="s">
        <v>176</v>
      </c>
    </row>
    <row r="2" spans="1:16" ht="19" x14ac:dyDescent="0.25">
      <c r="A2" s="153"/>
      <c r="B2" s="152"/>
      <c r="C2" s="152"/>
      <c r="D2" s="152"/>
      <c r="E2" s="152"/>
      <c r="F2" s="152"/>
      <c r="G2" s="152"/>
      <c r="H2" s="152"/>
      <c r="I2" s="152"/>
      <c r="J2" s="151"/>
      <c r="L2" s="170"/>
    </row>
    <row r="3" spans="1:16" ht="16" customHeight="1" x14ac:dyDescent="0.2">
      <c r="A3" s="153"/>
      <c r="B3" s="337" t="s">
        <v>333</v>
      </c>
      <c r="C3" s="337"/>
      <c r="D3" s="337"/>
      <c r="E3" s="337"/>
      <c r="F3" s="337"/>
      <c r="G3" s="337"/>
      <c r="H3" s="337"/>
      <c r="I3" s="337"/>
      <c r="J3" s="151"/>
      <c r="M3" s="162" t="s">
        <v>332</v>
      </c>
    </row>
    <row r="4" spans="1:16" x14ac:dyDescent="0.2">
      <c r="A4" s="153"/>
      <c r="B4" s="337"/>
      <c r="C4" s="337"/>
      <c r="D4" s="337"/>
      <c r="E4" s="337"/>
      <c r="F4" s="337"/>
      <c r="G4" s="337"/>
      <c r="H4" s="337"/>
      <c r="I4" s="337"/>
      <c r="J4" s="151"/>
    </row>
    <row r="5" spans="1:16" x14ac:dyDescent="0.2">
      <c r="A5" s="153"/>
      <c r="B5" s="152"/>
      <c r="C5" s="152"/>
      <c r="D5" s="152"/>
      <c r="E5" s="152"/>
      <c r="F5" s="152"/>
      <c r="G5" s="152"/>
      <c r="H5" s="152"/>
      <c r="I5" s="152"/>
      <c r="J5" s="151"/>
      <c r="M5" s="212"/>
      <c r="N5" s="347" t="s">
        <v>331</v>
      </c>
      <c r="O5" s="345" t="s">
        <v>145</v>
      </c>
    </row>
    <row r="6" spans="1:16" ht="16" customHeight="1" x14ac:dyDescent="0.2">
      <c r="A6" s="153"/>
      <c r="B6" s="152"/>
      <c r="C6" s="328" t="s">
        <v>124</v>
      </c>
      <c r="D6" s="334" t="s">
        <v>7</v>
      </c>
      <c r="E6" s="350" t="s">
        <v>330</v>
      </c>
      <c r="F6" s="343" t="s">
        <v>329</v>
      </c>
      <c r="G6" s="152"/>
      <c r="H6" s="152"/>
      <c r="I6" s="152"/>
      <c r="J6" s="151"/>
      <c r="M6" s="145" t="s">
        <v>124</v>
      </c>
      <c r="N6" s="348"/>
      <c r="O6" s="346"/>
      <c r="P6" s="137"/>
    </row>
    <row r="7" spans="1:16" x14ac:dyDescent="0.2">
      <c r="A7" s="153"/>
      <c r="B7" s="152"/>
      <c r="C7" s="354"/>
      <c r="D7" s="353"/>
      <c r="E7" s="351"/>
      <c r="F7" s="349"/>
      <c r="G7" s="152"/>
      <c r="H7" s="152"/>
      <c r="I7" s="152"/>
      <c r="J7" s="151"/>
      <c r="M7" s="142" t="s">
        <v>126</v>
      </c>
      <c r="N7" s="200">
        <f>D17</f>
        <v>550000</v>
      </c>
      <c r="O7" s="200">
        <f>IF(N7&gt;750000,750000-N7,0)</f>
        <v>0</v>
      </c>
      <c r="P7" s="200"/>
    </row>
    <row r="8" spans="1:16" x14ac:dyDescent="0.2">
      <c r="A8" s="153"/>
      <c r="B8" s="152"/>
      <c r="C8" s="329"/>
      <c r="D8" s="335"/>
      <c r="E8" s="352"/>
      <c r="F8" s="344"/>
      <c r="G8" s="152"/>
      <c r="H8" s="152"/>
      <c r="I8" s="152"/>
      <c r="J8" s="151"/>
      <c r="M8" s="142" t="s">
        <v>127</v>
      </c>
      <c r="N8" s="200">
        <f>D18</f>
        <v>700000</v>
      </c>
      <c r="O8" s="200">
        <f>IF(N8&gt;750000,750000-N8,0)</f>
        <v>0</v>
      </c>
      <c r="P8" s="200"/>
    </row>
    <row r="9" spans="1:16" x14ac:dyDescent="0.2">
      <c r="A9" s="153"/>
      <c r="B9" s="152"/>
      <c r="C9" s="165" t="s">
        <v>126</v>
      </c>
      <c r="D9" s="185">
        <v>100000</v>
      </c>
      <c r="E9" s="185">
        <v>20000</v>
      </c>
      <c r="F9" s="163">
        <v>1.1499999999999999</v>
      </c>
      <c r="G9" s="152"/>
      <c r="H9" s="152"/>
      <c r="I9" s="152"/>
      <c r="J9" s="151"/>
      <c r="M9" s="142" t="s">
        <v>128</v>
      </c>
      <c r="N9" s="200">
        <f>D19</f>
        <v>860000</v>
      </c>
      <c r="O9" s="200">
        <f>IF(N9&gt;750000,N9-750000,0)</f>
        <v>110000</v>
      </c>
      <c r="P9" s="200"/>
    </row>
    <row r="10" spans="1:16" x14ac:dyDescent="0.2">
      <c r="A10" s="153"/>
      <c r="B10" s="152"/>
      <c r="C10" s="165" t="s">
        <v>127</v>
      </c>
      <c r="D10" s="185">
        <v>250000</v>
      </c>
      <c r="E10" s="185">
        <v>100000</v>
      </c>
      <c r="F10" s="163">
        <v>1.4</v>
      </c>
      <c r="G10" s="152"/>
      <c r="H10" s="152"/>
      <c r="I10" s="152"/>
      <c r="J10" s="151"/>
      <c r="N10" s="200"/>
      <c r="O10" s="211"/>
      <c r="P10" s="200"/>
    </row>
    <row r="11" spans="1:16" x14ac:dyDescent="0.2">
      <c r="A11" s="153"/>
      <c r="B11" s="152"/>
      <c r="C11" s="161" t="s">
        <v>128</v>
      </c>
      <c r="D11" s="183">
        <v>500000</v>
      </c>
      <c r="E11" s="183">
        <v>300000</v>
      </c>
      <c r="F11" s="158">
        <v>1.6</v>
      </c>
      <c r="G11" s="152"/>
      <c r="H11" s="152"/>
      <c r="I11" s="152"/>
      <c r="J11" s="151"/>
      <c r="M11" s="162" t="s">
        <v>328</v>
      </c>
      <c r="N11" s="200"/>
      <c r="O11" s="211"/>
      <c r="P11" s="200"/>
    </row>
    <row r="12" spans="1:16" x14ac:dyDescent="0.2">
      <c r="A12" s="153"/>
      <c r="B12" s="155"/>
      <c r="C12" s="185"/>
      <c r="D12" s="185"/>
      <c r="E12" s="164"/>
      <c r="F12" s="152"/>
      <c r="G12" s="152"/>
      <c r="H12" s="152"/>
      <c r="I12" s="152"/>
      <c r="J12" s="151"/>
      <c r="N12" s="200"/>
      <c r="O12" s="211"/>
      <c r="P12" s="200"/>
    </row>
    <row r="13" spans="1:16" x14ac:dyDescent="0.2">
      <c r="A13" s="153"/>
      <c r="B13" s="190" t="s">
        <v>327</v>
      </c>
      <c r="C13" s="185"/>
      <c r="D13" s="185"/>
      <c r="E13" s="164"/>
      <c r="F13" s="152"/>
      <c r="G13" s="152"/>
      <c r="H13" s="152"/>
      <c r="I13" s="152"/>
      <c r="J13" s="151"/>
      <c r="M13" s="145" t="s">
        <v>124</v>
      </c>
      <c r="N13" s="206" t="s">
        <v>326</v>
      </c>
      <c r="O13" s="134"/>
      <c r="P13" s="137"/>
    </row>
    <row r="14" spans="1:16" x14ac:dyDescent="0.2">
      <c r="A14" s="153"/>
      <c r="B14" s="155"/>
      <c r="C14" s="185"/>
      <c r="D14" s="185"/>
      <c r="E14" s="164"/>
      <c r="F14" s="152"/>
      <c r="G14" s="152"/>
      <c r="H14" s="152"/>
      <c r="I14" s="152"/>
      <c r="J14" s="151"/>
      <c r="M14" s="142" t="s">
        <v>126</v>
      </c>
      <c r="N14" s="200">
        <f>O7+(1-1/F9)*E9</f>
        <v>2608.6956521739112</v>
      </c>
      <c r="O14" s="134" t="s">
        <v>325</v>
      </c>
      <c r="P14" s="137"/>
    </row>
    <row r="15" spans="1:16" x14ac:dyDescent="0.2">
      <c r="A15" s="153"/>
      <c r="B15" s="155"/>
      <c r="C15" s="355" t="s">
        <v>124</v>
      </c>
      <c r="D15" s="357" t="s">
        <v>324</v>
      </c>
      <c r="E15" s="164"/>
      <c r="F15" s="152"/>
      <c r="G15" s="152"/>
      <c r="H15" s="152"/>
      <c r="I15" s="152"/>
      <c r="J15" s="151"/>
      <c r="M15" s="142" t="s">
        <v>127</v>
      </c>
      <c r="N15" s="200">
        <f>O8+(1-1/F10)*E10</f>
        <v>28571.428571428569</v>
      </c>
      <c r="O15" s="134"/>
      <c r="P15" s="137"/>
    </row>
    <row r="16" spans="1:16" x14ac:dyDescent="0.2">
      <c r="A16" s="153"/>
      <c r="B16" s="155"/>
      <c r="C16" s="356"/>
      <c r="D16" s="358"/>
      <c r="E16" s="164"/>
      <c r="F16" s="152"/>
      <c r="G16" s="152"/>
      <c r="H16" s="152"/>
      <c r="I16" s="152"/>
      <c r="J16" s="151"/>
      <c r="M16" s="142" t="s">
        <v>128</v>
      </c>
      <c r="N16" s="200">
        <f>O9+(1-1/F11)*E11</f>
        <v>222500</v>
      </c>
      <c r="O16" s="134"/>
      <c r="P16" s="137"/>
    </row>
    <row r="17" spans="1:17" ht="17" thickBot="1" x14ac:dyDescent="0.25">
      <c r="A17" s="153"/>
      <c r="B17" s="155"/>
      <c r="C17" s="165" t="s">
        <v>126</v>
      </c>
      <c r="D17" s="210">
        <v>550000</v>
      </c>
      <c r="E17" s="164"/>
      <c r="F17" s="152"/>
      <c r="G17" s="152"/>
      <c r="H17" s="152"/>
      <c r="I17" s="152"/>
      <c r="J17" s="151"/>
      <c r="M17" s="197"/>
      <c r="N17" s="205"/>
      <c r="O17" s="134"/>
      <c r="P17" s="137"/>
    </row>
    <row r="18" spans="1:17" ht="17" thickBot="1" x14ac:dyDescent="0.25">
      <c r="A18" s="153"/>
      <c r="B18" s="155"/>
      <c r="C18" s="165" t="s">
        <v>127</v>
      </c>
      <c r="D18" s="210">
        <v>700000</v>
      </c>
      <c r="E18" s="164"/>
      <c r="F18" s="152"/>
      <c r="G18" s="152"/>
      <c r="H18" s="152"/>
      <c r="I18" s="152"/>
      <c r="J18" s="151"/>
      <c r="M18" s="139" t="s">
        <v>323</v>
      </c>
      <c r="N18" s="199">
        <f>SUM(N14:N16)</f>
        <v>253680.12422360247</v>
      </c>
      <c r="O18" s="134"/>
      <c r="P18" s="137"/>
    </row>
    <row r="19" spans="1:17" x14ac:dyDescent="0.2">
      <c r="A19" s="153"/>
      <c r="B19" s="155"/>
      <c r="C19" s="161" t="s">
        <v>128</v>
      </c>
      <c r="D19" s="209">
        <v>860000</v>
      </c>
      <c r="E19" s="164"/>
      <c r="F19" s="152"/>
      <c r="G19" s="152"/>
      <c r="H19" s="152"/>
      <c r="I19" s="152"/>
      <c r="J19" s="151"/>
      <c r="M19" s="197"/>
      <c r="N19" s="205"/>
      <c r="O19" s="134"/>
      <c r="P19" s="137"/>
    </row>
    <row r="20" spans="1:17" x14ac:dyDescent="0.2">
      <c r="A20" s="153"/>
      <c r="B20" s="152"/>
      <c r="C20" s="152"/>
      <c r="D20" s="152"/>
      <c r="E20" s="152"/>
      <c r="F20" s="152"/>
      <c r="G20" s="152"/>
      <c r="H20" s="152"/>
      <c r="I20" s="152"/>
      <c r="J20" s="151"/>
      <c r="N20" s="205"/>
      <c r="O20" s="134"/>
      <c r="P20" s="137"/>
    </row>
    <row r="21" spans="1:17" ht="16" customHeight="1" x14ac:dyDescent="0.2">
      <c r="A21" s="153"/>
      <c r="B21" s="337" t="s">
        <v>322</v>
      </c>
      <c r="C21" s="337"/>
      <c r="D21" s="337"/>
      <c r="E21" s="337"/>
      <c r="F21" s="337"/>
      <c r="G21" s="337"/>
      <c r="H21" s="337"/>
      <c r="I21" s="337"/>
      <c r="J21" s="151"/>
      <c r="N21" s="205"/>
      <c r="O21" s="134"/>
      <c r="P21" s="137"/>
    </row>
    <row r="22" spans="1:17" ht="19" x14ac:dyDescent="0.25">
      <c r="A22" s="153"/>
      <c r="B22" s="337"/>
      <c r="C22" s="337"/>
      <c r="D22" s="337"/>
      <c r="E22" s="337"/>
      <c r="F22" s="337"/>
      <c r="G22" s="337"/>
      <c r="H22" s="337"/>
      <c r="I22" s="337"/>
      <c r="J22" s="151"/>
      <c r="M22" s="136" t="s">
        <v>210</v>
      </c>
      <c r="N22" s="205"/>
      <c r="O22" s="208"/>
      <c r="P22" s="137"/>
    </row>
    <row r="23" spans="1:17" ht="17" thickBot="1" x14ac:dyDescent="0.25">
      <c r="A23" s="153"/>
      <c r="B23" s="190"/>
      <c r="C23" s="190"/>
      <c r="D23" s="152"/>
      <c r="E23" s="152"/>
      <c r="F23" s="152"/>
      <c r="G23" s="152"/>
      <c r="H23" s="152"/>
      <c r="I23" s="152"/>
      <c r="J23" s="151"/>
      <c r="M23" s="134" t="s">
        <v>216</v>
      </c>
      <c r="P23" s="143"/>
      <c r="Q23" s="141"/>
    </row>
    <row r="24" spans="1:17" ht="17" thickBot="1" x14ac:dyDescent="0.25">
      <c r="A24" s="149" t="s">
        <v>175</v>
      </c>
      <c r="B24" s="148"/>
      <c r="C24" s="147"/>
      <c r="D24" s="147"/>
      <c r="E24" s="147"/>
      <c r="F24" s="147"/>
      <c r="G24" s="147"/>
      <c r="H24" s="147"/>
      <c r="I24" s="147"/>
      <c r="J24" s="146"/>
      <c r="P24" s="143"/>
      <c r="Q24" s="141"/>
    </row>
    <row r="25" spans="1:17" x14ac:dyDescent="0.2">
      <c r="P25" s="137"/>
      <c r="Q25" s="141"/>
    </row>
    <row r="26" spans="1:17" x14ac:dyDescent="0.2">
      <c r="Q26" s="141"/>
    </row>
    <row r="27" spans="1:17" x14ac:dyDescent="0.2">
      <c r="N27" s="137"/>
      <c r="O27" s="137"/>
      <c r="P27" s="137"/>
      <c r="Q27" s="141"/>
    </row>
    <row r="28" spans="1:17" x14ac:dyDescent="0.2">
      <c r="N28" s="137"/>
      <c r="O28" s="137"/>
      <c r="P28" s="137"/>
    </row>
    <row r="29" spans="1:17" x14ac:dyDescent="0.2">
      <c r="N29" s="141"/>
      <c r="O29" s="134"/>
      <c r="P29" s="137"/>
    </row>
    <row r="30" spans="1:17" x14ac:dyDescent="0.2">
      <c r="N30" s="140"/>
      <c r="O30" s="134"/>
      <c r="P30" s="137"/>
    </row>
    <row r="31" spans="1:17" x14ac:dyDescent="0.2">
      <c r="N31" s="141"/>
      <c r="O31" s="134"/>
      <c r="P31" s="137"/>
    </row>
    <row r="32" spans="1:17" x14ac:dyDescent="0.2">
      <c r="N32" s="141"/>
      <c r="O32" s="137"/>
    </row>
    <row r="33" spans="14:15" x14ac:dyDescent="0.2">
      <c r="N33" s="141"/>
      <c r="O33" s="137"/>
    </row>
    <row r="34" spans="14:15" x14ac:dyDescent="0.2">
      <c r="N34" s="137"/>
      <c r="O34" s="137"/>
    </row>
    <row r="35" spans="14:15" x14ac:dyDescent="0.2">
      <c r="N35" s="141"/>
      <c r="O35" s="137"/>
    </row>
    <row r="36" spans="14:15" x14ac:dyDescent="0.2">
      <c r="N36" s="141"/>
      <c r="O36" s="137"/>
    </row>
    <row r="37" spans="14:15" x14ac:dyDescent="0.2">
      <c r="N37" s="141"/>
    </row>
    <row r="38" spans="14:15" x14ac:dyDescent="0.2">
      <c r="N38" s="137"/>
    </row>
    <row r="39" spans="14:15" x14ac:dyDescent="0.2">
      <c r="N39" s="175"/>
    </row>
  </sheetData>
  <mergeCells count="10">
    <mergeCell ref="B21:I22"/>
    <mergeCell ref="B3:I4"/>
    <mergeCell ref="O5:O6"/>
    <mergeCell ref="N5:N6"/>
    <mergeCell ref="F6:F8"/>
    <mergeCell ref="E6:E8"/>
    <mergeCell ref="D6:D8"/>
    <mergeCell ref="C6:C8"/>
    <mergeCell ref="C15:C16"/>
    <mergeCell ref="D15:D16"/>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87AB57-01C0-9A42-A423-CF0E9787BD22}">
  <dimension ref="A1:S28"/>
  <sheetViews>
    <sheetView zoomScaleNormal="100" workbookViewId="0"/>
  </sheetViews>
  <sheetFormatPr baseColWidth="10" defaultColWidth="11" defaultRowHeight="16" outlineLevelCol="1" x14ac:dyDescent="0.2"/>
  <cols>
    <col min="1" max="1" width="4.5" customWidth="1"/>
    <col min="2" max="2" width="10.83203125" customWidth="1"/>
    <col min="3" max="3" width="16.1640625" customWidth="1"/>
    <col min="4" max="10" width="10.83203125" customWidth="1"/>
    <col min="11" max="11" width="11.5" customWidth="1"/>
    <col min="13" max="13" width="17.33203125" style="134" hidden="1" customWidth="1" outlineLevel="1"/>
    <col min="14" max="18" width="10.83203125" hidden="1" customWidth="1" outlineLevel="1"/>
    <col min="19" max="19" width="11" collapsed="1"/>
  </cols>
  <sheetData>
    <row r="1" spans="1:17" ht="19" x14ac:dyDescent="0.25">
      <c r="A1" s="188" t="s">
        <v>347</v>
      </c>
      <c r="B1" s="174"/>
      <c r="C1" s="173"/>
      <c r="D1" s="173"/>
      <c r="E1" s="173"/>
      <c r="F1" s="172"/>
      <c r="G1" s="172"/>
      <c r="H1" s="172"/>
      <c r="I1" s="172"/>
      <c r="J1" s="171"/>
      <c r="L1" s="170" t="s">
        <v>176</v>
      </c>
    </row>
    <row r="2" spans="1:17" x14ac:dyDescent="0.2">
      <c r="A2" s="153"/>
      <c r="B2" s="152"/>
      <c r="C2" s="152"/>
      <c r="D2" s="152"/>
      <c r="E2" s="152"/>
      <c r="F2" s="152"/>
      <c r="G2" s="152"/>
      <c r="H2" s="152"/>
      <c r="I2" s="152"/>
      <c r="J2" s="151"/>
    </row>
    <row r="3" spans="1:17" x14ac:dyDescent="0.2">
      <c r="A3" s="153"/>
      <c r="B3" s="152" t="s">
        <v>346</v>
      </c>
      <c r="C3" s="152"/>
      <c r="D3" s="152"/>
      <c r="E3" s="152"/>
      <c r="F3" s="152"/>
      <c r="G3" s="152"/>
      <c r="H3" s="152"/>
      <c r="I3" s="152"/>
      <c r="J3" s="151"/>
      <c r="M3" s="218"/>
      <c r="N3" s="217" t="s">
        <v>345</v>
      </c>
      <c r="O3" s="217" t="s">
        <v>75</v>
      </c>
    </row>
    <row r="4" spans="1:17" x14ac:dyDescent="0.2">
      <c r="A4" s="153"/>
      <c r="B4" s="152"/>
      <c r="C4" s="152"/>
      <c r="D4" s="152"/>
      <c r="E4" s="152"/>
      <c r="F4" s="152"/>
      <c r="G4" s="152"/>
      <c r="H4" s="152"/>
      <c r="I4" s="152"/>
      <c r="J4" s="151"/>
      <c r="M4" s="212" t="s">
        <v>344</v>
      </c>
      <c r="N4" s="175">
        <f>D6</f>
        <v>4500</v>
      </c>
      <c r="O4" s="175">
        <f>E6</f>
        <v>5000</v>
      </c>
    </row>
    <row r="5" spans="1:17" x14ac:dyDescent="0.2">
      <c r="A5" s="153"/>
      <c r="B5" s="152"/>
      <c r="C5" s="169"/>
      <c r="D5" s="168" t="s">
        <v>345</v>
      </c>
      <c r="E5" s="167" t="s">
        <v>75</v>
      </c>
      <c r="F5" s="152"/>
      <c r="G5" s="152"/>
      <c r="H5" s="152"/>
      <c r="I5" s="152"/>
      <c r="J5" s="151"/>
      <c r="M5" s="212" t="s">
        <v>341</v>
      </c>
      <c r="N5" s="175">
        <f>D7</f>
        <v>350</v>
      </c>
      <c r="O5" s="175">
        <f>E7</f>
        <v>350</v>
      </c>
      <c r="P5" s="137"/>
    </row>
    <row r="6" spans="1:17" x14ac:dyDescent="0.2">
      <c r="A6" s="153"/>
      <c r="B6" s="152"/>
      <c r="C6" s="165" t="s">
        <v>344</v>
      </c>
      <c r="D6" s="216">
        <v>4500</v>
      </c>
      <c r="E6" s="210">
        <v>5000</v>
      </c>
      <c r="F6" s="152"/>
      <c r="G6" s="152"/>
      <c r="H6" s="152"/>
      <c r="I6" s="152"/>
      <c r="J6" s="151"/>
      <c r="M6" s="212" t="s">
        <v>343</v>
      </c>
      <c r="N6" s="200">
        <f>N4*N5</f>
        <v>1575000</v>
      </c>
      <c r="O6" s="200">
        <f>O4*O5</f>
        <v>1750000</v>
      </c>
      <c r="P6" s="211" t="s">
        <v>342</v>
      </c>
    </row>
    <row r="7" spans="1:17" x14ac:dyDescent="0.2">
      <c r="A7" s="153"/>
      <c r="B7" s="152"/>
      <c r="C7" s="165" t="s">
        <v>341</v>
      </c>
      <c r="D7" s="185">
        <v>350</v>
      </c>
      <c r="E7" s="184">
        <v>350</v>
      </c>
      <c r="F7" s="152"/>
      <c r="G7" s="152"/>
      <c r="H7" s="152"/>
      <c r="I7" s="152"/>
      <c r="J7" s="151"/>
      <c r="M7" s="212" t="s">
        <v>340</v>
      </c>
      <c r="N7" s="215">
        <f>D8</f>
        <v>0.35</v>
      </c>
      <c r="O7" s="215">
        <f>E8</f>
        <v>0.38</v>
      </c>
      <c r="P7" s="200"/>
    </row>
    <row r="8" spans="1:17" x14ac:dyDescent="0.2">
      <c r="A8" s="153"/>
      <c r="B8" s="152"/>
      <c r="C8" s="161" t="s">
        <v>339</v>
      </c>
      <c r="D8" s="214">
        <v>0.35</v>
      </c>
      <c r="E8" s="213">
        <v>0.38</v>
      </c>
      <c r="F8" s="152"/>
      <c r="G8" s="152"/>
      <c r="H8" s="152"/>
      <c r="I8" s="152"/>
      <c r="J8" s="151"/>
      <c r="M8" s="212" t="s">
        <v>338</v>
      </c>
      <c r="N8" s="200">
        <f>N6*N7</f>
        <v>551250</v>
      </c>
      <c r="O8" s="200">
        <f>O6*O7</f>
        <v>665000</v>
      </c>
      <c r="P8" s="211" t="s">
        <v>337</v>
      </c>
    </row>
    <row r="9" spans="1:17" ht="17" thickBot="1" x14ac:dyDescent="0.25">
      <c r="A9" s="153"/>
      <c r="B9" s="155"/>
      <c r="C9" s="185"/>
      <c r="D9" s="185"/>
      <c r="E9" s="164"/>
      <c r="F9" s="152"/>
      <c r="G9" s="152"/>
      <c r="H9" s="152"/>
      <c r="I9" s="152"/>
      <c r="J9" s="151"/>
      <c r="N9" s="200"/>
      <c r="O9" s="211"/>
      <c r="P9" s="200"/>
    </row>
    <row r="10" spans="1:17" ht="17" thickBot="1" x14ac:dyDescent="0.25">
      <c r="A10" s="153"/>
      <c r="B10" s="155"/>
      <c r="C10" s="185"/>
      <c r="D10" s="185"/>
      <c r="E10" s="164"/>
      <c r="F10" s="152"/>
      <c r="G10" s="152"/>
      <c r="H10" s="152"/>
      <c r="I10" s="152"/>
      <c r="J10" s="151"/>
      <c r="M10" s="139" t="s">
        <v>240</v>
      </c>
      <c r="N10" s="199">
        <f>O8-N8</f>
        <v>113750</v>
      </c>
      <c r="O10" s="134"/>
      <c r="P10" s="137"/>
    </row>
    <row r="11" spans="1:17" x14ac:dyDescent="0.2">
      <c r="A11" s="153"/>
      <c r="B11" s="190" t="s">
        <v>336</v>
      </c>
      <c r="C11" s="190"/>
      <c r="D11" s="152"/>
      <c r="E11" s="152"/>
      <c r="F11" s="152"/>
      <c r="G11" s="152"/>
      <c r="H11" s="152"/>
      <c r="I11" s="152"/>
      <c r="J11" s="151"/>
      <c r="N11" s="205"/>
      <c r="O11" s="134"/>
      <c r="P11" s="137"/>
    </row>
    <row r="12" spans="1:17" ht="17" thickBot="1" x14ac:dyDescent="0.25">
      <c r="A12" s="153"/>
      <c r="B12" s="190"/>
      <c r="C12" s="190"/>
      <c r="D12" s="152"/>
      <c r="E12" s="152"/>
      <c r="F12" s="152"/>
      <c r="G12" s="152"/>
      <c r="H12" s="152"/>
      <c r="I12" s="152"/>
      <c r="J12" s="151"/>
      <c r="P12" s="143"/>
      <c r="Q12" s="141"/>
    </row>
    <row r="13" spans="1:17" ht="17" thickBot="1" x14ac:dyDescent="0.25">
      <c r="A13" s="149" t="s">
        <v>175</v>
      </c>
      <c r="B13" s="148"/>
      <c r="C13" s="147"/>
      <c r="D13" s="147"/>
      <c r="E13" s="147"/>
      <c r="F13" s="147"/>
      <c r="G13" s="147"/>
      <c r="H13" s="147"/>
      <c r="I13" s="147"/>
      <c r="J13" s="146"/>
      <c r="P13" s="143"/>
      <c r="Q13" s="141"/>
    </row>
    <row r="14" spans="1:17" ht="19" x14ac:dyDescent="0.25">
      <c r="M14" s="136" t="s">
        <v>210</v>
      </c>
      <c r="P14" s="137"/>
      <c r="Q14" s="141"/>
    </row>
    <row r="15" spans="1:17" x14ac:dyDescent="0.2">
      <c r="M15" s="134" t="s">
        <v>335</v>
      </c>
      <c r="Q15" s="141"/>
    </row>
    <row r="16" spans="1:17" x14ac:dyDescent="0.2">
      <c r="N16" s="137"/>
      <c r="O16" s="137"/>
      <c r="P16" s="137"/>
      <c r="Q16" s="141"/>
    </row>
    <row r="17" spans="14:16" x14ac:dyDescent="0.2">
      <c r="N17" s="137"/>
      <c r="O17" s="137"/>
      <c r="P17" s="137"/>
    </row>
    <row r="18" spans="14:16" x14ac:dyDescent="0.2">
      <c r="N18" s="141"/>
      <c r="O18" s="134"/>
      <c r="P18" s="137"/>
    </row>
    <row r="19" spans="14:16" x14ac:dyDescent="0.2">
      <c r="N19" s="140"/>
      <c r="O19" s="134"/>
      <c r="P19" s="137"/>
    </row>
    <row r="20" spans="14:16" x14ac:dyDescent="0.2">
      <c r="N20" s="141"/>
      <c r="O20" s="134"/>
      <c r="P20" s="137"/>
    </row>
    <row r="21" spans="14:16" x14ac:dyDescent="0.2">
      <c r="N21" s="141"/>
      <c r="O21" s="137"/>
    </row>
    <row r="22" spans="14:16" x14ac:dyDescent="0.2">
      <c r="N22" s="141"/>
      <c r="O22" s="137"/>
    </row>
    <row r="23" spans="14:16" x14ac:dyDescent="0.2">
      <c r="N23" s="137"/>
      <c r="O23" s="137"/>
    </row>
    <row r="24" spans="14:16" x14ac:dyDescent="0.2">
      <c r="N24" s="141"/>
      <c r="O24" s="137"/>
    </row>
    <row r="25" spans="14:16" x14ac:dyDescent="0.2">
      <c r="N25" s="141"/>
      <c r="O25" s="137"/>
    </row>
    <row r="26" spans="14:16" x14ac:dyDescent="0.2">
      <c r="N26" s="141"/>
    </row>
    <row r="27" spans="14:16" x14ac:dyDescent="0.2">
      <c r="N27" s="137"/>
    </row>
    <row r="28" spans="14:16" x14ac:dyDescent="0.2">
      <c r="N28" s="175"/>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17FB55-45AE-0044-B543-A09A8FFF35B2}">
  <dimension ref="A1:S64"/>
  <sheetViews>
    <sheetView workbookViewId="0">
      <selection activeCell="B1" sqref="B1"/>
    </sheetView>
  </sheetViews>
  <sheetFormatPr baseColWidth="10" defaultColWidth="11" defaultRowHeight="16" outlineLevelCol="1" x14ac:dyDescent="0.2"/>
  <cols>
    <col min="1" max="1" width="4" style="134" customWidth="1"/>
    <col min="2" max="2" width="11.5" customWidth="1"/>
    <col min="7" max="7" width="11.33203125" bestFit="1" customWidth="1"/>
    <col min="9" max="9" width="11.5" customWidth="1"/>
    <col min="12" max="12" width="17" hidden="1" customWidth="1" outlineLevel="1"/>
    <col min="13" max="18" width="10.83203125" hidden="1" customWidth="1" outlineLevel="1"/>
    <col min="19" max="19" width="10.83203125" customWidth="1" collapsed="1"/>
  </cols>
  <sheetData>
    <row r="1" spans="1:14" x14ac:dyDescent="0.2">
      <c r="A1" s="256"/>
      <c r="B1" s="174" t="s">
        <v>439</v>
      </c>
      <c r="C1" s="173" t="s">
        <v>438</v>
      </c>
      <c r="D1" s="173" t="s">
        <v>437</v>
      </c>
      <c r="E1" s="173" t="s">
        <v>436</v>
      </c>
      <c r="F1" s="172"/>
      <c r="G1" s="172"/>
      <c r="H1" s="172"/>
      <c r="I1" s="172"/>
      <c r="J1" s="171"/>
      <c r="K1" s="243" t="s">
        <v>176</v>
      </c>
      <c r="L1" s="243"/>
    </row>
    <row r="2" spans="1:14" x14ac:dyDescent="0.2">
      <c r="A2" s="223"/>
      <c r="B2" s="255" t="s">
        <v>435</v>
      </c>
      <c r="C2" s="254">
        <v>2.75</v>
      </c>
      <c r="D2" s="152"/>
      <c r="E2" s="152"/>
      <c r="F2" s="152"/>
      <c r="G2" s="152"/>
      <c r="H2" s="152"/>
      <c r="I2" s="152"/>
      <c r="J2" s="151"/>
    </row>
    <row r="3" spans="1:14" x14ac:dyDescent="0.2">
      <c r="A3" s="223"/>
      <c r="B3" s="152"/>
      <c r="C3" s="152"/>
      <c r="D3" s="152"/>
      <c r="E3" s="152"/>
      <c r="F3" s="152"/>
      <c r="G3" s="152"/>
      <c r="H3" s="152"/>
      <c r="I3" s="152"/>
      <c r="J3" s="151"/>
      <c r="L3" s="243" t="s">
        <v>434</v>
      </c>
    </row>
    <row r="4" spans="1:14" x14ac:dyDescent="0.2">
      <c r="A4" s="223"/>
      <c r="B4" s="152"/>
      <c r="C4" s="152" t="s">
        <v>433</v>
      </c>
      <c r="D4" s="152"/>
      <c r="E4" s="152"/>
      <c r="F4" s="152"/>
      <c r="G4" s="152"/>
      <c r="H4" s="152"/>
      <c r="I4" s="152"/>
      <c r="J4" s="151"/>
    </row>
    <row r="5" spans="1:14" ht="19" x14ac:dyDescent="0.2">
      <c r="A5" s="223"/>
      <c r="B5" s="152"/>
      <c r="C5" s="152" t="s">
        <v>432</v>
      </c>
      <c r="D5" s="152"/>
      <c r="E5" s="152"/>
      <c r="F5" s="152"/>
      <c r="G5" s="152"/>
      <c r="H5" s="152"/>
      <c r="I5" s="152"/>
      <c r="J5" s="151"/>
      <c r="L5" s="235" t="s">
        <v>404</v>
      </c>
      <c r="M5" s="253">
        <f>G9/G10</f>
        <v>0.8928571428571429</v>
      </c>
    </row>
    <row r="6" spans="1:14" x14ac:dyDescent="0.2">
      <c r="A6" s="223"/>
      <c r="B6" s="152"/>
      <c r="C6" s="152"/>
      <c r="D6" s="152"/>
      <c r="E6" s="152"/>
      <c r="F6" s="152"/>
      <c r="G6" s="152"/>
      <c r="H6" s="152"/>
      <c r="I6" s="152"/>
      <c r="J6" s="151"/>
      <c r="L6" s="235"/>
      <c r="M6" s="235"/>
    </row>
    <row r="7" spans="1:14" ht="19" x14ac:dyDescent="0.2">
      <c r="A7" s="223"/>
      <c r="B7" s="152"/>
      <c r="C7" s="361"/>
      <c r="D7" s="368"/>
      <c r="E7" s="361" t="s">
        <v>431</v>
      </c>
      <c r="F7" s="362"/>
      <c r="G7" s="368" t="s">
        <v>431</v>
      </c>
      <c r="H7" s="368"/>
      <c r="I7" s="187" t="s">
        <v>430</v>
      </c>
      <c r="J7" s="151"/>
      <c r="L7" s="235" t="s">
        <v>403</v>
      </c>
      <c r="M7" s="253">
        <f>(I10-(M5*I9))/(1-M5)</f>
        <v>3.5833333333333348</v>
      </c>
    </row>
    <row r="8" spans="1:14" x14ac:dyDescent="0.2">
      <c r="A8" s="223"/>
      <c r="B8" s="152"/>
      <c r="C8" s="363"/>
      <c r="D8" s="369"/>
      <c r="E8" s="363" t="s">
        <v>297</v>
      </c>
      <c r="F8" s="364"/>
      <c r="G8" s="369" t="s">
        <v>296</v>
      </c>
      <c r="H8" s="369"/>
      <c r="I8" s="161" t="s">
        <v>429</v>
      </c>
      <c r="J8" s="151"/>
      <c r="L8" s="137"/>
      <c r="N8" s="249"/>
    </row>
    <row r="9" spans="1:14" ht="19" x14ac:dyDescent="0.2">
      <c r="A9" s="223"/>
      <c r="B9" s="152"/>
      <c r="C9" s="329" t="s">
        <v>428</v>
      </c>
      <c r="D9" s="329"/>
      <c r="E9" s="365">
        <v>4000000</v>
      </c>
      <c r="F9" s="365"/>
      <c r="G9" s="370">
        <v>125000</v>
      </c>
      <c r="H9" s="371"/>
      <c r="I9" s="161">
        <v>1.25</v>
      </c>
      <c r="J9" s="151"/>
      <c r="L9" s="137" t="s">
        <v>427</v>
      </c>
      <c r="M9" s="237">
        <f>(E10-E9)</f>
        <v>500000</v>
      </c>
    </row>
    <row r="10" spans="1:14" ht="17" thickBot="1" x14ac:dyDescent="0.25">
      <c r="A10" s="223"/>
      <c r="B10" s="152"/>
      <c r="C10" s="360" t="s">
        <v>40</v>
      </c>
      <c r="D10" s="360"/>
      <c r="E10" s="366">
        <v>4500000</v>
      </c>
      <c r="F10" s="366"/>
      <c r="G10" s="366">
        <v>140000</v>
      </c>
      <c r="H10" s="366"/>
      <c r="I10" s="169">
        <v>1.5</v>
      </c>
      <c r="J10" s="151"/>
      <c r="L10" s="137"/>
      <c r="M10" s="237"/>
    </row>
    <row r="11" spans="1:14" ht="20" thickBot="1" x14ac:dyDescent="0.25">
      <c r="A11" s="223"/>
      <c r="B11" s="152"/>
      <c r="C11" s="152"/>
      <c r="D11" s="152"/>
      <c r="E11" s="152"/>
      <c r="F11" s="152"/>
      <c r="G11" s="152"/>
      <c r="H11" s="152"/>
      <c r="I11" s="152"/>
      <c r="J11" s="151"/>
      <c r="L11" s="244" t="s">
        <v>410</v>
      </c>
      <c r="M11" s="239">
        <f>M9*(M7-1)</f>
        <v>1291666.6666666674</v>
      </c>
    </row>
    <row r="12" spans="1:14" x14ac:dyDescent="0.2">
      <c r="A12" s="223"/>
      <c r="B12" s="152"/>
      <c r="C12" s="367" t="s">
        <v>426</v>
      </c>
      <c r="D12" s="367"/>
      <c r="E12" s="367"/>
      <c r="F12" s="152"/>
      <c r="G12" s="246">
        <v>12500000</v>
      </c>
      <c r="H12" s="152"/>
      <c r="I12" s="152"/>
      <c r="J12" s="151"/>
      <c r="M12" s="175"/>
    </row>
    <row r="13" spans="1:14" x14ac:dyDescent="0.2">
      <c r="A13" s="223"/>
      <c r="B13" s="155"/>
      <c r="C13" s="367" t="s">
        <v>425</v>
      </c>
      <c r="D13" s="367"/>
      <c r="E13" s="367"/>
      <c r="F13" s="152"/>
      <c r="G13" s="245">
        <v>0.7</v>
      </c>
      <c r="H13" s="152"/>
      <c r="I13" s="152"/>
      <c r="J13" s="151"/>
      <c r="L13" s="243" t="s">
        <v>424</v>
      </c>
      <c r="M13" s="175"/>
    </row>
    <row r="14" spans="1:14" x14ac:dyDescent="0.2">
      <c r="A14" s="223"/>
      <c r="B14" s="155"/>
      <c r="C14" s="367" t="s">
        <v>423</v>
      </c>
      <c r="D14" s="367"/>
      <c r="E14" s="367"/>
      <c r="F14" s="152"/>
      <c r="G14" s="245">
        <v>0.15</v>
      </c>
      <c r="H14" s="152"/>
      <c r="I14" s="152"/>
      <c r="J14" s="151"/>
      <c r="M14" s="175"/>
    </row>
    <row r="15" spans="1:14" x14ac:dyDescent="0.2">
      <c r="A15" s="223"/>
      <c r="B15" s="155"/>
      <c r="C15" s="152"/>
      <c r="D15" s="152"/>
      <c r="E15" s="152"/>
      <c r="F15" s="152"/>
      <c r="G15" s="152"/>
      <c r="H15" s="152"/>
      <c r="I15" s="152"/>
      <c r="J15" s="151"/>
      <c r="L15" s="137" t="s">
        <v>422</v>
      </c>
      <c r="M15" s="237">
        <f>G12*G13*G14</f>
        <v>1312500</v>
      </c>
    </row>
    <row r="16" spans="1:14" ht="17" thickBot="1" x14ac:dyDescent="0.25">
      <c r="A16" s="223" t="s">
        <v>0</v>
      </c>
      <c r="B16" s="155" t="s">
        <v>418</v>
      </c>
      <c r="C16" s="152" t="s">
        <v>421</v>
      </c>
      <c r="D16" s="152"/>
      <c r="E16" s="152"/>
      <c r="F16" s="152"/>
      <c r="G16" s="152"/>
      <c r="H16" s="152"/>
      <c r="I16" s="152"/>
      <c r="J16" s="151"/>
      <c r="L16" s="137"/>
      <c r="M16" s="175"/>
    </row>
    <row r="17" spans="1:18" ht="19" thickBot="1" x14ac:dyDescent="0.3">
      <c r="A17" s="223"/>
      <c r="B17" s="155"/>
      <c r="C17" s="152" t="s">
        <v>158</v>
      </c>
      <c r="D17" s="152"/>
      <c r="E17" s="152"/>
      <c r="F17" s="152"/>
      <c r="G17" s="152"/>
      <c r="H17" s="152"/>
      <c r="I17" s="152"/>
      <c r="J17" s="151"/>
      <c r="L17" s="244" t="s">
        <v>420</v>
      </c>
      <c r="M17" s="239">
        <f>(1-1/M7)*M15</f>
        <v>946220.9302325584</v>
      </c>
      <c r="N17" t="s">
        <v>419</v>
      </c>
    </row>
    <row r="18" spans="1:18" x14ac:dyDescent="0.2">
      <c r="A18" s="223"/>
      <c r="B18" s="155"/>
      <c r="C18" s="152"/>
      <c r="D18" s="152"/>
      <c r="E18" s="152"/>
      <c r="F18" s="152"/>
      <c r="G18" s="152"/>
      <c r="H18" s="152"/>
      <c r="I18" s="152"/>
      <c r="J18" s="151"/>
    </row>
    <row r="19" spans="1:18" x14ac:dyDescent="0.2">
      <c r="A19" s="223" t="s">
        <v>1</v>
      </c>
      <c r="B19" s="155" t="s">
        <v>418</v>
      </c>
      <c r="C19" s="152" t="s">
        <v>417</v>
      </c>
      <c r="D19" s="152"/>
      <c r="E19" s="152"/>
      <c r="F19" s="152"/>
      <c r="G19" s="152"/>
      <c r="H19" s="152"/>
      <c r="I19" s="152"/>
      <c r="J19" s="151"/>
      <c r="L19" s="243" t="s">
        <v>416</v>
      </c>
    </row>
    <row r="20" spans="1:18" x14ac:dyDescent="0.2">
      <c r="A20" s="223"/>
      <c r="B20" s="155"/>
      <c r="C20" s="152" t="s">
        <v>80</v>
      </c>
      <c r="D20" s="152"/>
      <c r="E20" s="152"/>
      <c r="F20" s="152"/>
      <c r="G20" s="152"/>
      <c r="H20" s="152"/>
      <c r="I20" s="152"/>
      <c r="J20" s="151"/>
      <c r="L20" s="359" t="s">
        <v>415</v>
      </c>
      <c r="M20" s="359"/>
      <c r="N20" s="359"/>
      <c r="O20" s="359"/>
      <c r="P20" s="359"/>
      <c r="Q20" s="359"/>
      <c r="R20" s="359"/>
    </row>
    <row r="21" spans="1:18" x14ac:dyDescent="0.2">
      <c r="A21" s="223"/>
      <c r="B21" s="155"/>
      <c r="C21" s="152"/>
      <c r="D21" s="152"/>
      <c r="E21" s="152"/>
      <c r="F21" s="152"/>
      <c r="G21" s="152"/>
      <c r="H21" s="152"/>
      <c r="I21" s="152"/>
      <c r="J21" s="151"/>
      <c r="L21" s="359"/>
      <c r="M21" s="359"/>
      <c r="N21" s="359"/>
      <c r="O21" s="359"/>
      <c r="P21" s="359"/>
      <c r="Q21" s="359"/>
      <c r="R21" s="359"/>
    </row>
    <row r="22" spans="1:18" x14ac:dyDescent="0.2">
      <c r="A22" s="223" t="s">
        <v>2</v>
      </c>
      <c r="B22" s="152" t="s">
        <v>414</v>
      </c>
      <c r="C22" s="152" t="s">
        <v>413</v>
      </c>
      <c r="D22" s="152"/>
      <c r="E22" s="152"/>
      <c r="F22" s="152"/>
      <c r="G22" s="152"/>
      <c r="H22" s="152"/>
      <c r="I22" s="152"/>
      <c r="J22" s="151"/>
    </row>
    <row r="23" spans="1:18" x14ac:dyDescent="0.2">
      <c r="A23" s="223"/>
      <c r="B23" s="152"/>
      <c r="C23" s="180" t="s">
        <v>412</v>
      </c>
      <c r="D23" s="152"/>
      <c r="E23" s="152"/>
      <c r="F23" s="152"/>
      <c r="G23" s="152"/>
      <c r="H23" s="152"/>
      <c r="I23" s="152"/>
      <c r="J23" s="151"/>
    </row>
    <row r="24" spans="1:18" ht="20" thickBot="1" x14ac:dyDescent="0.25">
      <c r="A24" s="223"/>
      <c r="B24" s="152"/>
      <c r="C24" s="180"/>
      <c r="D24" s="152"/>
      <c r="E24" s="152"/>
      <c r="F24" s="152"/>
      <c r="G24" s="152"/>
      <c r="H24" s="152"/>
      <c r="I24" s="152"/>
      <c r="J24" s="151"/>
      <c r="L24" s="242" t="s">
        <v>173</v>
      </c>
    </row>
    <row r="25" spans="1:18" ht="17" thickBot="1" x14ac:dyDescent="0.25">
      <c r="A25" s="241" t="s">
        <v>175</v>
      </c>
      <c r="B25" s="147"/>
      <c r="C25" s="240"/>
      <c r="D25" s="147"/>
      <c r="E25" s="147"/>
      <c r="F25" s="147"/>
      <c r="G25" s="147"/>
      <c r="H25" s="147"/>
      <c r="I25" s="147"/>
      <c r="J25" s="146"/>
      <c r="L25" s="359" t="s">
        <v>411</v>
      </c>
      <c r="M25" s="359"/>
      <c r="N25" s="359"/>
      <c r="O25" s="359"/>
      <c r="P25" s="359"/>
      <c r="Q25" s="359"/>
      <c r="R25" s="359"/>
    </row>
    <row r="26" spans="1:18" x14ac:dyDescent="0.2">
      <c r="L26" s="359"/>
      <c r="M26" s="359"/>
      <c r="N26" s="359"/>
      <c r="O26" s="359"/>
      <c r="P26" s="359"/>
      <c r="Q26" s="359"/>
      <c r="R26" s="359"/>
    </row>
    <row r="27" spans="1:18" x14ac:dyDescent="0.2">
      <c r="L27" s="359"/>
      <c r="M27" s="359"/>
      <c r="N27" s="359"/>
      <c r="O27" s="359"/>
      <c r="P27" s="359"/>
      <c r="Q27" s="359"/>
      <c r="R27" s="359"/>
    </row>
    <row r="28" spans="1:18" x14ac:dyDescent="0.2">
      <c r="L28" s="359"/>
      <c r="M28" s="359"/>
      <c r="N28" s="359"/>
      <c r="O28" s="359"/>
      <c r="P28" s="359"/>
      <c r="Q28" s="359"/>
      <c r="R28" s="359"/>
    </row>
    <row r="29" spans="1:18" x14ac:dyDescent="0.2">
      <c r="L29" s="359"/>
      <c r="M29" s="359"/>
      <c r="N29" s="359"/>
      <c r="O29" s="359"/>
      <c r="P29" s="359"/>
      <c r="Q29" s="359"/>
      <c r="R29" s="359"/>
    </row>
    <row r="30" spans="1:18" x14ac:dyDescent="0.2">
      <c r="L30" s="359"/>
      <c r="M30" s="359"/>
      <c r="N30" s="359"/>
      <c r="O30" s="359"/>
      <c r="P30" s="359"/>
      <c r="Q30" s="359"/>
      <c r="R30" s="359"/>
    </row>
    <row r="31" spans="1:18" x14ac:dyDescent="0.2">
      <c r="L31" s="359"/>
      <c r="M31" s="359"/>
      <c r="N31" s="359"/>
      <c r="O31" s="359"/>
      <c r="P31" s="359"/>
      <c r="Q31" s="359"/>
      <c r="R31" s="359"/>
    </row>
    <row r="32" spans="1:18" x14ac:dyDescent="0.2">
      <c r="L32" s="359"/>
      <c r="M32" s="359"/>
      <c r="N32" s="359"/>
      <c r="O32" s="359"/>
      <c r="P32" s="359"/>
      <c r="Q32" s="359"/>
      <c r="R32" s="359"/>
    </row>
    <row r="33" spans="12:18" x14ac:dyDescent="0.2">
      <c r="L33" s="359"/>
      <c r="M33" s="359"/>
      <c r="N33" s="359"/>
      <c r="O33" s="359"/>
      <c r="P33" s="359"/>
      <c r="Q33" s="359"/>
      <c r="R33" s="359"/>
    </row>
    <row r="35" spans="12:18" x14ac:dyDescent="0.2">
      <c r="L35" s="235" t="s">
        <v>253</v>
      </c>
      <c r="M35" s="238">
        <f>((E10*I10)-(E9*I9))/M9</f>
        <v>3.5</v>
      </c>
    </row>
    <row r="36" spans="12:18" ht="17" thickBot="1" x14ac:dyDescent="0.25">
      <c r="L36" s="235"/>
    </row>
    <row r="37" spans="12:18" ht="20" thickBot="1" x14ac:dyDescent="0.25">
      <c r="L37" s="234" t="s">
        <v>410</v>
      </c>
      <c r="M37" s="239">
        <f>M9*(M35-1)</f>
        <v>1250000</v>
      </c>
    </row>
    <row r="39" spans="12:18" x14ac:dyDescent="0.2">
      <c r="L39" s="359" t="s">
        <v>409</v>
      </c>
      <c r="M39" s="359"/>
      <c r="N39" s="359"/>
      <c r="O39" s="359"/>
      <c r="P39" s="359"/>
      <c r="Q39" s="359"/>
      <c r="R39" s="359"/>
    </row>
    <row r="40" spans="12:18" x14ac:dyDescent="0.2">
      <c r="L40" s="359"/>
      <c r="M40" s="359"/>
      <c r="N40" s="359"/>
      <c r="O40" s="359"/>
      <c r="P40" s="359"/>
      <c r="Q40" s="359"/>
      <c r="R40" s="359"/>
    </row>
    <row r="41" spans="12:18" x14ac:dyDescent="0.2">
      <c r="L41" s="359"/>
      <c r="M41" s="359"/>
      <c r="N41" s="359"/>
      <c r="O41" s="359"/>
      <c r="P41" s="359"/>
      <c r="Q41" s="359"/>
      <c r="R41" s="359"/>
    </row>
    <row r="42" spans="12:18" x14ac:dyDescent="0.2">
      <c r="L42" s="359"/>
      <c r="M42" s="359"/>
      <c r="N42" s="359"/>
      <c r="O42" s="359"/>
      <c r="P42" s="359"/>
      <c r="Q42" s="359"/>
      <c r="R42" s="359"/>
    </row>
    <row r="44" spans="12:18" ht="19" x14ac:dyDescent="0.2">
      <c r="L44" s="235" t="s">
        <v>408</v>
      </c>
      <c r="M44" s="238">
        <f>E10/G10</f>
        <v>32.142857142857146</v>
      </c>
    </row>
    <row r="45" spans="12:18" x14ac:dyDescent="0.2">
      <c r="L45" s="235"/>
    </row>
    <row r="46" spans="12:18" ht="19" x14ac:dyDescent="0.2">
      <c r="L46" s="235" t="s">
        <v>407</v>
      </c>
      <c r="M46" s="235">
        <f>E9/G9</f>
        <v>32</v>
      </c>
    </row>
    <row r="48" spans="12:18" x14ac:dyDescent="0.2">
      <c r="L48" s="359" t="s">
        <v>406</v>
      </c>
      <c r="M48" s="359"/>
      <c r="N48" s="359"/>
      <c r="O48" s="359"/>
      <c r="P48" s="359"/>
      <c r="Q48" s="359"/>
      <c r="R48" s="359"/>
    </row>
    <row r="49" spans="12:18" x14ac:dyDescent="0.2">
      <c r="L49" s="359"/>
      <c r="M49" s="359"/>
      <c r="N49" s="359"/>
      <c r="O49" s="359"/>
      <c r="P49" s="359"/>
      <c r="Q49" s="359"/>
      <c r="R49" s="359"/>
    </row>
    <row r="51" spans="12:18" ht="19" x14ac:dyDescent="0.2">
      <c r="L51" s="235" t="s">
        <v>405</v>
      </c>
      <c r="M51" s="237">
        <f>E10/M46</f>
        <v>140625</v>
      </c>
    </row>
    <row r="53" spans="12:18" ht="19" x14ac:dyDescent="0.2">
      <c r="L53" s="235" t="s">
        <v>404</v>
      </c>
      <c r="M53" s="236">
        <f>G9/M51</f>
        <v>0.88888888888888884</v>
      </c>
    </row>
    <row r="54" spans="12:18" ht="17" thickBot="1" x14ac:dyDescent="0.25">
      <c r="M54" s="235"/>
    </row>
    <row r="55" spans="12:18" ht="20" thickBot="1" x14ac:dyDescent="0.25">
      <c r="L55" s="234" t="s">
        <v>403</v>
      </c>
      <c r="M55" s="233">
        <f>(I10-(M53*I9))/(1-M53)</f>
        <v>3.4999999999999982</v>
      </c>
    </row>
    <row r="57" spans="12:18" x14ac:dyDescent="0.2">
      <c r="L57" s="359" t="s">
        <v>402</v>
      </c>
      <c r="M57" s="359"/>
      <c r="N57" s="359"/>
      <c r="O57" s="359"/>
      <c r="P57" s="359"/>
      <c r="Q57" s="359"/>
      <c r="R57" s="359"/>
    </row>
    <row r="58" spans="12:18" x14ac:dyDescent="0.2">
      <c r="L58" s="359"/>
      <c r="M58" s="359"/>
      <c r="N58" s="359"/>
      <c r="O58" s="359"/>
      <c r="P58" s="359"/>
      <c r="Q58" s="359"/>
      <c r="R58" s="359"/>
    </row>
    <row r="59" spans="12:18" x14ac:dyDescent="0.2">
      <c r="L59" s="359"/>
      <c r="M59" s="359"/>
      <c r="N59" s="359"/>
      <c r="O59" s="359"/>
      <c r="P59" s="359"/>
      <c r="Q59" s="359"/>
      <c r="R59" s="359"/>
    </row>
    <row r="61" spans="12:18" ht="19" x14ac:dyDescent="0.25">
      <c r="L61" s="170" t="s">
        <v>210</v>
      </c>
    </row>
    <row r="62" spans="12:18" x14ac:dyDescent="0.2">
      <c r="L62" s="232" t="s">
        <v>401</v>
      </c>
      <c r="M62" s="232"/>
      <c r="N62" s="232"/>
      <c r="O62" s="232"/>
      <c r="P62" s="232"/>
      <c r="Q62" s="232"/>
      <c r="R62" s="232"/>
    </row>
    <row r="63" spans="12:18" ht="16" customHeight="1" x14ac:dyDescent="0.2">
      <c r="L63" s="232" t="s">
        <v>400</v>
      </c>
      <c r="M63" s="232"/>
      <c r="N63" s="232"/>
      <c r="O63" s="232"/>
      <c r="P63" s="232"/>
      <c r="Q63" s="232"/>
      <c r="R63" s="232"/>
    </row>
    <row r="64" spans="12:18" ht="16" customHeight="1" x14ac:dyDescent="0.2"/>
  </sheetData>
  <mergeCells count="20">
    <mergeCell ref="E7:F7"/>
    <mergeCell ref="E8:F8"/>
    <mergeCell ref="E9:F9"/>
    <mergeCell ref="E10:F10"/>
    <mergeCell ref="L20:R21"/>
    <mergeCell ref="C12:E12"/>
    <mergeCell ref="C13:E13"/>
    <mergeCell ref="C14:E14"/>
    <mergeCell ref="G7:H7"/>
    <mergeCell ref="G8:H8"/>
    <mergeCell ref="G9:H9"/>
    <mergeCell ref="G10:H10"/>
    <mergeCell ref="C7:D7"/>
    <mergeCell ref="C8:D8"/>
    <mergeCell ref="C9:D9"/>
    <mergeCell ref="L25:R33"/>
    <mergeCell ref="L39:R42"/>
    <mergeCell ref="L48:R49"/>
    <mergeCell ref="L57:R59"/>
    <mergeCell ref="C10:D10"/>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43C216-9014-994D-A7A7-2256EC7EF88D}">
  <dimension ref="A1:Y19"/>
  <sheetViews>
    <sheetView workbookViewId="0">
      <selection activeCell="B1" sqref="B1"/>
    </sheetView>
  </sheetViews>
  <sheetFormatPr baseColWidth="10" defaultColWidth="11" defaultRowHeight="16" outlineLevelCol="1" x14ac:dyDescent="0.2"/>
  <cols>
    <col min="1" max="1" width="4" style="134" customWidth="1"/>
    <col min="2" max="2" width="11.5" customWidth="1"/>
    <col min="12" max="12" width="10.83203125" hidden="1" customWidth="1" outlineLevel="1"/>
    <col min="13" max="13" width="13.33203125" hidden="1" customWidth="1" outlineLevel="1"/>
    <col min="14" max="17" width="10.83203125" hidden="1" customWidth="1" outlineLevel="1"/>
    <col min="18" max="18" width="11" collapsed="1"/>
  </cols>
  <sheetData>
    <row r="1" spans="1:25" x14ac:dyDescent="0.2">
      <c r="A1" s="256"/>
      <c r="B1" s="174" t="s">
        <v>439</v>
      </c>
      <c r="C1" s="173" t="s">
        <v>453</v>
      </c>
      <c r="D1" s="173" t="s">
        <v>437</v>
      </c>
      <c r="E1" s="173" t="s">
        <v>436</v>
      </c>
      <c r="F1" s="172"/>
      <c r="G1" s="172"/>
      <c r="H1" s="172"/>
      <c r="I1" s="172"/>
      <c r="J1" s="171"/>
      <c r="K1" s="243" t="s">
        <v>176</v>
      </c>
      <c r="L1" s="243"/>
    </row>
    <row r="2" spans="1:25" ht="16" customHeight="1" x14ac:dyDescent="0.2">
      <c r="A2" s="223"/>
      <c r="B2" s="255" t="s">
        <v>435</v>
      </c>
      <c r="C2" s="254">
        <v>1.5</v>
      </c>
      <c r="D2" s="152"/>
      <c r="E2" s="152"/>
      <c r="F2" s="152"/>
      <c r="G2" s="152"/>
      <c r="H2" s="152"/>
      <c r="I2" s="152"/>
      <c r="J2" s="151"/>
      <c r="R2" s="266"/>
    </row>
    <row r="3" spans="1:25" ht="19" x14ac:dyDescent="0.2">
      <c r="A3" s="223"/>
      <c r="B3" s="152"/>
      <c r="C3" s="152"/>
      <c r="D3" s="152"/>
      <c r="E3" s="152"/>
      <c r="F3" s="152"/>
      <c r="G3" s="152"/>
      <c r="H3" s="152"/>
      <c r="I3" s="152"/>
      <c r="J3" s="151"/>
      <c r="L3" s="235" t="s">
        <v>445</v>
      </c>
      <c r="M3" s="253">
        <f>F9*G9*H9</f>
        <v>1.1108867999999998</v>
      </c>
    </row>
    <row r="4" spans="1:25" ht="17" thickBot="1" x14ac:dyDescent="0.25">
      <c r="A4" s="223"/>
      <c r="B4" s="152"/>
      <c r="C4" s="152" t="s">
        <v>452</v>
      </c>
      <c r="D4" s="152"/>
      <c r="E4" s="152"/>
      <c r="F4" s="152"/>
      <c r="G4" s="152"/>
      <c r="H4" s="152"/>
      <c r="I4" s="152"/>
      <c r="J4" s="151"/>
    </row>
    <row r="5" spans="1:25" ht="19" thickBot="1" x14ac:dyDescent="0.25">
      <c r="A5" s="223"/>
      <c r="B5" s="152"/>
      <c r="C5" s="152" t="s">
        <v>451</v>
      </c>
      <c r="D5" s="152"/>
      <c r="E5" s="152"/>
      <c r="F5" s="152"/>
      <c r="G5" s="152"/>
      <c r="H5" s="152"/>
      <c r="I5" s="152"/>
      <c r="J5" s="151"/>
      <c r="L5" s="234" t="s">
        <v>442</v>
      </c>
      <c r="M5" s="257">
        <f>(M3*E14)/H14</f>
        <v>1.1632641381578945</v>
      </c>
    </row>
    <row r="6" spans="1:25" x14ac:dyDescent="0.2">
      <c r="A6" s="223"/>
      <c r="B6" s="152"/>
      <c r="C6" s="152"/>
      <c r="D6" s="152"/>
      <c r="E6" s="152"/>
      <c r="F6" s="152"/>
      <c r="G6" s="152"/>
      <c r="H6" s="152"/>
      <c r="I6" s="152"/>
      <c r="J6" s="151"/>
      <c r="M6" s="249"/>
    </row>
    <row r="7" spans="1:25" ht="19" x14ac:dyDescent="0.2">
      <c r="A7" s="223"/>
      <c r="B7" s="152"/>
      <c r="C7" s="360" t="s">
        <v>450</v>
      </c>
      <c r="D7" s="360"/>
      <c r="E7" s="360"/>
      <c r="F7" s="360"/>
      <c r="G7" s="360"/>
      <c r="H7" s="360"/>
      <c r="I7" s="152"/>
      <c r="J7" s="151"/>
      <c r="L7" s="242" t="s">
        <v>173</v>
      </c>
    </row>
    <row r="8" spans="1:25" x14ac:dyDescent="0.2">
      <c r="A8" s="223"/>
      <c r="B8" s="152"/>
      <c r="C8" s="169"/>
      <c r="D8" s="265" t="s">
        <v>45</v>
      </c>
      <c r="E8" s="265" t="s">
        <v>37</v>
      </c>
      <c r="F8" s="265" t="s">
        <v>38</v>
      </c>
      <c r="G8" s="265" t="s">
        <v>449</v>
      </c>
      <c r="H8" s="264" t="s">
        <v>448</v>
      </c>
      <c r="I8" s="152"/>
      <c r="J8" s="151"/>
    </row>
    <row r="9" spans="1:25" x14ac:dyDescent="0.2">
      <c r="A9" s="223"/>
      <c r="B9" s="152"/>
      <c r="C9" s="187" t="s">
        <v>262</v>
      </c>
      <c r="D9" s="245">
        <v>1.72</v>
      </c>
      <c r="E9" s="245">
        <v>1.151</v>
      </c>
      <c r="F9" s="245">
        <v>1.0720000000000001</v>
      </c>
      <c r="G9" s="245">
        <v>1.0249999999999999</v>
      </c>
      <c r="H9" s="263">
        <v>1.0109999999999999</v>
      </c>
      <c r="I9" s="152"/>
      <c r="J9" s="151"/>
      <c r="L9" s="232" t="s">
        <v>447</v>
      </c>
      <c r="M9" s="232"/>
      <c r="N9" s="232"/>
    </row>
    <row r="10" spans="1:25" ht="16" customHeight="1" x14ac:dyDescent="0.2">
      <c r="A10" s="223"/>
      <c r="B10" s="152"/>
      <c r="C10" s="161" t="s">
        <v>446</v>
      </c>
      <c r="D10" s="262">
        <v>2.577</v>
      </c>
      <c r="E10" s="262">
        <v>1.4119999999999999</v>
      </c>
      <c r="F10" s="262">
        <v>1.35</v>
      </c>
      <c r="G10" s="262">
        <v>1.2809999999999999</v>
      </c>
      <c r="H10" s="261">
        <v>1.3160000000000001</v>
      </c>
      <c r="I10" s="152"/>
      <c r="J10" s="151"/>
      <c r="U10" s="232"/>
      <c r="V10" s="232"/>
      <c r="W10" s="232"/>
      <c r="X10" s="232"/>
      <c r="Y10" s="232"/>
    </row>
    <row r="11" spans="1:25" ht="19" x14ac:dyDescent="0.2">
      <c r="A11" s="223"/>
      <c r="B11" s="152"/>
      <c r="C11" s="152"/>
      <c r="D11" s="152"/>
      <c r="E11" s="152"/>
      <c r="F11" s="152"/>
      <c r="G11" s="152"/>
      <c r="H11" s="152"/>
      <c r="I11" s="152"/>
      <c r="J11" s="151"/>
      <c r="L11" s="235" t="s">
        <v>445</v>
      </c>
      <c r="M11" s="253">
        <f>F9*G9*H9</f>
        <v>1.1108867999999998</v>
      </c>
    </row>
    <row r="12" spans="1:25" ht="19" x14ac:dyDescent="0.2">
      <c r="A12" s="223"/>
      <c r="B12" s="152"/>
      <c r="C12" s="360" t="s">
        <v>444</v>
      </c>
      <c r="D12" s="360"/>
      <c r="E12" s="360"/>
      <c r="F12" s="360"/>
      <c r="G12" s="360"/>
      <c r="H12" s="360"/>
      <c r="I12" s="152"/>
      <c r="J12" s="151"/>
    </row>
    <row r="13" spans="1:25" ht="19" x14ac:dyDescent="0.2">
      <c r="A13" s="223"/>
      <c r="B13" s="155"/>
      <c r="C13" s="186">
        <v>12</v>
      </c>
      <c r="D13" s="168">
        <v>24</v>
      </c>
      <c r="E13" s="168">
        <v>36</v>
      </c>
      <c r="F13" s="168">
        <v>48</v>
      </c>
      <c r="G13" s="168">
        <v>60</v>
      </c>
      <c r="H13" s="167">
        <v>72</v>
      </c>
      <c r="I13" s="152"/>
      <c r="J13" s="151"/>
      <c r="L13" s="235" t="s">
        <v>443</v>
      </c>
      <c r="M13" s="253">
        <f>F10*G10*H10</f>
        <v>2.2758246</v>
      </c>
    </row>
    <row r="14" spans="1:25" ht="17" thickBot="1" x14ac:dyDescent="0.25">
      <c r="A14" s="223"/>
      <c r="B14" s="155"/>
      <c r="C14" s="260">
        <v>0.97499999999999998</v>
      </c>
      <c r="D14" s="259">
        <v>0.96299999999999997</v>
      </c>
      <c r="E14" s="259">
        <v>0.95499999999999996</v>
      </c>
      <c r="F14" s="259">
        <v>0.94399999999999995</v>
      </c>
      <c r="G14" s="168">
        <v>0.93100000000000005</v>
      </c>
      <c r="H14" s="258">
        <v>0.91200000000000003</v>
      </c>
      <c r="I14" s="152"/>
      <c r="J14" s="151"/>
    </row>
    <row r="15" spans="1:25" ht="19" thickBot="1" x14ac:dyDescent="0.25">
      <c r="A15" s="223"/>
      <c r="B15" s="155"/>
      <c r="C15" s="152"/>
      <c r="D15" s="152"/>
      <c r="E15" s="152"/>
      <c r="F15" s="152"/>
      <c r="G15" s="152"/>
      <c r="H15" s="152"/>
      <c r="I15" s="152"/>
      <c r="J15" s="151"/>
      <c r="L15" s="234" t="s">
        <v>442</v>
      </c>
      <c r="M15" s="257">
        <f>E14*M11+(1-E14)*M13</f>
        <v>1.163309001</v>
      </c>
    </row>
    <row r="16" spans="1:25" x14ac:dyDescent="0.2">
      <c r="A16" s="223"/>
      <c r="B16" s="155"/>
      <c r="C16" s="152" t="s">
        <v>441</v>
      </c>
      <c r="D16" s="152"/>
      <c r="E16" s="152"/>
      <c r="F16" s="152"/>
      <c r="G16" s="152"/>
      <c r="H16" s="152"/>
      <c r="I16" s="152"/>
      <c r="J16" s="151"/>
    </row>
    <row r="17" spans="1:25" ht="20" thickBot="1" x14ac:dyDescent="0.3">
      <c r="A17" s="223"/>
      <c r="B17" s="155"/>
      <c r="C17" s="152"/>
      <c r="D17" s="152"/>
      <c r="E17" s="152"/>
      <c r="F17" s="152"/>
      <c r="G17" s="152"/>
      <c r="H17" s="152"/>
      <c r="I17" s="152"/>
      <c r="J17" s="151"/>
      <c r="L17" s="170" t="s">
        <v>210</v>
      </c>
    </row>
    <row r="18" spans="1:25" ht="17" thickBot="1" x14ac:dyDescent="0.25">
      <c r="A18" s="241" t="s">
        <v>175</v>
      </c>
      <c r="B18" s="147"/>
      <c r="C18" s="240"/>
      <c r="D18" s="147"/>
      <c r="E18" s="147"/>
      <c r="F18" s="147"/>
      <c r="G18" s="147"/>
      <c r="H18" s="147"/>
      <c r="I18" s="147"/>
      <c r="J18" s="146"/>
      <c r="L18" s="232" t="s">
        <v>440</v>
      </c>
      <c r="M18" s="232"/>
      <c r="N18" s="232"/>
    </row>
    <row r="19" spans="1:25" ht="16" customHeight="1" x14ac:dyDescent="0.2">
      <c r="U19" s="232"/>
      <c r="V19" s="232"/>
      <c r="W19" s="232"/>
      <c r="X19" s="232"/>
      <c r="Y19" s="232"/>
    </row>
  </sheetData>
  <mergeCells count="2">
    <mergeCell ref="C7:H7"/>
    <mergeCell ref="C12:H1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6DE88-6682-3F4D-B70F-73039A579492}">
  <dimension ref="A1:Y21"/>
  <sheetViews>
    <sheetView workbookViewId="0">
      <selection activeCell="B1" sqref="B1"/>
    </sheetView>
  </sheetViews>
  <sheetFormatPr baseColWidth="10" defaultColWidth="11" defaultRowHeight="16" outlineLevelCol="1" x14ac:dyDescent="0.2"/>
  <cols>
    <col min="1" max="1" width="4" style="134" customWidth="1"/>
    <col min="2" max="2" width="11.5" customWidth="1"/>
    <col min="12" max="12" width="13.33203125" hidden="1" customWidth="1" outlineLevel="1"/>
    <col min="13" max="17" width="10.83203125" hidden="1" customWidth="1" outlineLevel="1"/>
    <col min="18" max="18" width="13.6640625" bestFit="1" customWidth="1" collapsed="1"/>
  </cols>
  <sheetData>
    <row r="1" spans="1:25" x14ac:dyDescent="0.2">
      <c r="A1" s="256"/>
      <c r="B1" s="174" t="s">
        <v>439</v>
      </c>
      <c r="C1" s="173" t="s">
        <v>465</v>
      </c>
      <c r="D1" s="173" t="s">
        <v>437</v>
      </c>
      <c r="E1" s="173" t="s">
        <v>436</v>
      </c>
      <c r="F1" s="172"/>
      <c r="G1" s="172"/>
      <c r="H1" s="172"/>
      <c r="I1" s="172"/>
      <c r="J1" s="171"/>
      <c r="K1" s="243" t="s">
        <v>176</v>
      </c>
      <c r="L1" s="243"/>
    </row>
    <row r="2" spans="1:25" x14ac:dyDescent="0.2">
      <c r="A2" s="223"/>
      <c r="B2" s="255" t="s">
        <v>435</v>
      </c>
      <c r="C2" s="254">
        <v>1</v>
      </c>
      <c r="D2" s="152"/>
      <c r="E2" s="152"/>
      <c r="F2" s="152"/>
      <c r="G2" s="152"/>
      <c r="H2" s="152"/>
      <c r="I2" s="152"/>
      <c r="J2" s="151"/>
    </row>
    <row r="3" spans="1:25" x14ac:dyDescent="0.2">
      <c r="A3" s="223"/>
      <c r="B3" s="152"/>
      <c r="C3" s="152"/>
      <c r="D3" s="152"/>
      <c r="E3" s="152"/>
      <c r="F3" s="152"/>
      <c r="G3" s="152"/>
      <c r="H3" s="152"/>
      <c r="I3" s="152"/>
      <c r="J3" s="151"/>
      <c r="L3" s="243" t="s">
        <v>434</v>
      </c>
      <c r="M3" s="178"/>
    </row>
    <row r="4" spans="1:25" ht="17" thickBot="1" x14ac:dyDescent="0.25">
      <c r="A4" s="223"/>
      <c r="B4" s="152"/>
      <c r="C4" s="152" t="s">
        <v>464</v>
      </c>
      <c r="D4" s="152"/>
      <c r="E4" s="152"/>
      <c r="F4" s="152"/>
      <c r="G4" s="152"/>
      <c r="H4" s="152"/>
      <c r="I4" s="152"/>
      <c r="J4" s="151"/>
      <c r="M4" s="178"/>
    </row>
    <row r="5" spans="1:25" ht="20" thickBot="1" x14ac:dyDescent="0.25">
      <c r="A5" s="223"/>
      <c r="B5" s="152"/>
      <c r="C5" s="152" t="s">
        <v>463</v>
      </c>
      <c r="D5" s="152"/>
      <c r="E5" s="152"/>
      <c r="F5" s="152"/>
      <c r="G5" s="152"/>
      <c r="H5" s="152"/>
      <c r="I5" s="152"/>
      <c r="J5" s="151"/>
      <c r="L5" s="234" t="s">
        <v>462</v>
      </c>
      <c r="M5" s="257">
        <f>(G10*E14)/F14</f>
        <v>1.1464512711864407</v>
      </c>
      <c r="N5" t="s">
        <v>461</v>
      </c>
    </row>
    <row r="6" spans="1:25" x14ac:dyDescent="0.2">
      <c r="A6" s="223"/>
      <c r="B6" s="152"/>
      <c r="C6" s="152"/>
      <c r="D6" s="152"/>
      <c r="E6" s="152"/>
      <c r="F6" s="152"/>
      <c r="G6" s="152"/>
      <c r="H6" s="152"/>
      <c r="I6" s="152"/>
      <c r="J6" s="151"/>
      <c r="L6" s="235"/>
      <c r="M6" s="235"/>
    </row>
    <row r="7" spans="1:25" x14ac:dyDescent="0.2">
      <c r="A7" s="223"/>
      <c r="B7" s="152"/>
      <c r="C7" s="360" t="s">
        <v>450</v>
      </c>
      <c r="D7" s="360"/>
      <c r="E7" s="360"/>
      <c r="F7" s="360"/>
      <c r="G7" s="360"/>
      <c r="H7" s="360"/>
      <c r="I7" s="152"/>
      <c r="J7" s="151"/>
      <c r="L7" s="243" t="s">
        <v>424</v>
      </c>
      <c r="M7" s="235"/>
    </row>
    <row r="8" spans="1:25" ht="17" thickBot="1" x14ac:dyDescent="0.25">
      <c r="A8" s="223"/>
      <c r="B8" s="152"/>
      <c r="C8" s="360"/>
      <c r="D8" s="360"/>
      <c r="E8" s="265" t="s">
        <v>45</v>
      </c>
      <c r="F8" s="265" t="s">
        <v>37</v>
      </c>
      <c r="G8" s="265" t="s">
        <v>38</v>
      </c>
      <c r="H8" s="264" t="s">
        <v>449</v>
      </c>
      <c r="I8" s="152"/>
      <c r="J8" s="151"/>
      <c r="L8" s="235"/>
      <c r="M8" s="235"/>
    </row>
    <row r="9" spans="1:25" ht="20" thickBot="1" x14ac:dyDescent="0.25">
      <c r="A9" s="223"/>
      <c r="B9" s="152"/>
      <c r="C9" s="328" t="s">
        <v>40</v>
      </c>
      <c r="D9" s="328"/>
      <c r="E9" s="245">
        <v>1.9119999999999999</v>
      </c>
      <c r="F9" s="245">
        <v>1.3160000000000001</v>
      </c>
      <c r="G9" s="245" t="s">
        <v>243</v>
      </c>
      <c r="H9" s="263">
        <v>1.077</v>
      </c>
      <c r="I9" s="152"/>
      <c r="J9" s="151"/>
      <c r="L9" s="234" t="s">
        <v>460</v>
      </c>
      <c r="M9" s="257">
        <f>M5*((1-F14)/(1-E14))</f>
        <v>1.6895071364852809</v>
      </c>
      <c r="N9" t="s">
        <v>459</v>
      </c>
      <c r="S9" s="235"/>
    </row>
    <row r="10" spans="1:25" x14ac:dyDescent="0.2">
      <c r="A10" s="223"/>
      <c r="B10" s="152"/>
      <c r="C10" s="329" t="s">
        <v>458</v>
      </c>
      <c r="D10" s="329"/>
      <c r="E10" s="262">
        <v>1.9</v>
      </c>
      <c r="F10" s="262">
        <v>1.3</v>
      </c>
      <c r="G10" s="262">
        <v>1.125</v>
      </c>
      <c r="H10" s="261">
        <v>1.05</v>
      </c>
      <c r="I10" s="152"/>
      <c r="J10" s="151"/>
      <c r="L10" s="235"/>
      <c r="M10" s="267"/>
      <c r="S10" s="235"/>
    </row>
    <row r="11" spans="1:25" ht="16" customHeight="1" x14ac:dyDescent="0.2">
      <c r="A11" s="223"/>
      <c r="B11" s="152"/>
      <c r="C11" s="152"/>
      <c r="D11" s="152"/>
      <c r="E11" s="152"/>
      <c r="F11" s="152"/>
      <c r="G11" s="152"/>
      <c r="H11" s="152"/>
      <c r="I11" s="152"/>
      <c r="J11" s="151"/>
      <c r="S11" s="232"/>
      <c r="T11" s="232"/>
      <c r="U11" s="232"/>
      <c r="V11" s="232"/>
      <c r="W11" s="232"/>
      <c r="X11" s="232"/>
      <c r="Y11" s="232"/>
    </row>
    <row r="12" spans="1:25" ht="19" x14ac:dyDescent="0.2">
      <c r="A12" s="223"/>
      <c r="B12" s="152"/>
      <c r="C12" s="360" t="s">
        <v>457</v>
      </c>
      <c r="D12" s="360"/>
      <c r="E12" s="360"/>
      <c r="F12" s="360"/>
      <c r="G12" s="360"/>
      <c r="H12" s="152"/>
      <c r="I12" s="152"/>
      <c r="J12" s="151"/>
      <c r="L12" s="242" t="s">
        <v>210</v>
      </c>
    </row>
    <row r="13" spans="1:25" x14ac:dyDescent="0.2">
      <c r="A13" s="223"/>
      <c r="B13" s="155"/>
      <c r="C13" s="186">
        <v>12</v>
      </c>
      <c r="D13" s="168">
        <v>24</v>
      </c>
      <c r="E13" s="168">
        <v>36</v>
      </c>
      <c r="F13" s="168">
        <v>48</v>
      </c>
      <c r="G13" s="167">
        <v>60</v>
      </c>
      <c r="H13" s="152"/>
      <c r="I13" s="152"/>
      <c r="J13" s="151"/>
      <c r="L13" s="232" t="s">
        <v>440</v>
      </c>
      <c r="R13" s="235"/>
      <c r="S13" s="235"/>
    </row>
    <row r="14" spans="1:25" x14ac:dyDescent="0.2">
      <c r="A14" s="223"/>
      <c r="B14" s="155"/>
      <c r="C14" s="269">
        <v>0.98</v>
      </c>
      <c r="D14" s="262">
        <v>0.97399999999999998</v>
      </c>
      <c r="E14" s="262">
        <v>0.96199999999999997</v>
      </c>
      <c r="F14" s="262">
        <v>0.94399999999999995</v>
      </c>
      <c r="G14" s="261">
        <v>0.92</v>
      </c>
      <c r="H14" s="152"/>
      <c r="I14" s="152"/>
      <c r="J14" s="151"/>
      <c r="R14" s="235"/>
      <c r="S14" s="235"/>
    </row>
    <row r="15" spans="1:25" x14ac:dyDescent="0.2">
      <c r="A15" s="223"/>
      <c r="B15" s="155"/>
      <c r="C15" s="152"/>
      <c r="D15" s="152"/>
      <c r="E15" s="152"/>
      <c r="F15" s="152"/>
      <c r="G15" s="152"/>
      <c r="H15" s="152"/>
      <c r="I15" s="152"/>
      <c r="J15" s="151"/>
      <c r="R15" s="235"/>
      <c r="S15" s="235"/>
    </row>
    <row r="16" spans="1:25" x14ac:dyDescent="0.2">
      <c r="A16" s="223" t="s">
        <v>0</v>
      </c>
      <c r="B16" s="190" t="s">
        <v>455</v>
      </c>
      <c r="C16" s="152" t="s">
        <v>456</v>
      </c>
      <c r="D16" s="152"/>
      <c r="E16" s="152"/>
      <c r="F16" s="152"/>
      <c r="G16" s="152"/>
      <c r="H16" s="152"/>
      <c r="I16" s="152"/>
      <c r="J16" s="151"/>
      <c r="R16" s="235"/>
      <c r="S16" s="235"/>
    </row>
    <row r="17" spans="1:13" x14ac:dyDescent="0.2">
      <c r="A17" s="223"/>
      <c r="B17" s="190"/>
      <c r="C17" s="152"/>
      <c r="D17" s="152"/>
      <c r="E17" s="152"/>
      <c r="F17" s="152"/>
      <c r="G17" s="152"/>
      <c r="H17" s="152"/>
      <c r="I17" s="152"/>
      <c r="J17" s="151"/>
      <c r="L17" s="243"/>
    </row>
    <row r="18" spans="1:13" x14ac:dyDescent="0.2">
      <c r="A18" s="223" t="s">
        <v>1</v>
      </c>
      <c r="B18" s="190" t="s">
        <v>455</v>
      </c>
      <c r="C18" s="152" t="s">
        <v>454</v>
      </c>
      <c r="D18" s="152"/>
      <c r="E18" s="152"/>
      <c r="F18" s="152"/>
      <c r="G18" s="152"/>
      <c r="H18" s="152"/>
      <c r="I18" s="152"/>
      <c r="J18" s="151"/>
    </row>
    <row r="19" spans="1:13" ht="17" thickBot="1" x14ac:dyDescent="0.25">
      <c r="A19" s="223"/>
      <c r="B19" s="155"/>
      <c r="C19" s="152"/>
      <c r="D19" s="152"/>
      <c r="E19" s="152"/>
      <c r="F19" s="152"/>
      <c r="G19" s="152"/>
      <c r="H19" s="152"/>
      <c r="I19" s="152"/>
      <c r="J19" s="151"/>
      <c r="M19" s="268"/>
    </row>
    <row r="20" spans="1:13" ht="17" thickBot="1" x14ac:dyDescent="0.25">
      <c r="A20" s="241" t="s">
        <v>175</v>
      </c>
      <c r="B20" s="147"/>
      <c r="C20" s="240"/>
      <c r="D20" s="147"/>
      <c r="E20" s="147"/>
      <c r="F20" s="147"/>
      <c r="G20" s="147"/>
      <c r="H20" s="147"/>
      <c r="I20" s="147"/>
      <c r="J20" s="146"/>
    </row>
    <row r="21" spans="1:13" x14ac:dyDescent="0.2">
      <c r="L21" s="243"/>
      <c r="M21" s="267"/>
    </row>
  </sheetData>
  <mergeCells count="5">
    <mergeCell ref="C12:G12"/>
    <mergeCell ref="C7:H7"/>
    <mergeCell ref="C8:D8"/>
    <mergeCell ref="C9:D9"/>
    <mergeCell ref="C10:D10"/>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98E139-59EC-224F-BEA4-BDF7D099E4CC}">
  <dimension ref="A1:Z46"/>
  <sheetViews>
    <sheetView zoomScaleNormal="100" workbookViewId="0"/>
  </sheetViews>
  <sheetFormatPr baseColWidth="10" defaultColWidth="11" defaultRowHeight="16" outlineLevelCol="1" x14ac:dyDescent="0.2"/>
  <cols>
    <col min="1" max="1" width="3.83203125" style="134" customWidth="1"/>
    <col min="2" max="2" width="11.5" customWidth="1"/>
    <col min="3" max="6" width="11.83203125" customWidth="1"/>
    <col min="7" max="7" width="11.83203125" bestFit="1" customWidth="1"/>
    <col min="12" max="18" width="10.83203125" hidden="1" customWidth="1" outlineLevel="1"/>
    <col min="19" max="19" width="11" collapsed="1"/>
  </cols>
  <sheetData>
    <row r="1" spans="1:15" x14ac:dyDescent="0.2">
      <c r="A1" s="256"/>
      <c r="B1" s="174" t="s">
        <v>439</v>
      </c>
      <c r="C1" s="173" t="s">
        <v>498</v>
      </c>
      <c r="D1" s="173" t="s">
        <v>437</v>
      </c>
      <c r="E1" s="173" t="s">
        <v>436</v>
      </c>
      <c r="F1" s="172"/>
      <c r="G1" s="172"/>
      <c r="H1" s="172"/>
      <c r="I1" s="172"/>
      <c r="J1" s="171"/>
      <c r="K1" s="243" t="s">
        <v>176</v>
      </c>
      <c r="L1" s="243"/>
    </row>
    <row r="2" spans="1:15" x14ac:dyDescent="0.2">
      <c r="A2" s="223"/>
      <c r="B2" s="255" t="s">
        <v>435</v>
      </c>
      <c r="C2" s="254">
        <v>2.75</v>
      </c>
      <c r="D2" s="152"/>
      <c r="E2" s="152"/>
      <c r="F2" s="152"/>
      <c r="G2" s="152"/>
      <c r="H2" s="152"/>
      <c r="I2" s="152"/>
      <c r="J2" s="151"/>
    </row>
    <row r="3" spans="1:15" ht="17" x14ac:dyDescent="0.2">
      <c r="A3" s="223"/>
      <c r="B3" s="152"/>
      <c r="C3" s="152"/>
      <c r="D3" s="152"/>
      <c r="E3" s="152"/>
      <c r="F3" s="152"/>
      <c r="G3" s="152"/>
      <c r="H3" s="152"/>
      <c r="I3" s="152"/>
      <c r="J3" s="151"/>
      <c r="L3" s="278" t="s">
        <v>434</v>
      </c>
    </row>
    <row r="4" spans="1:15" x14ac:dyDescent="0.2">
      <c r="A4" s="223"/>
      <c r="B4" s="152"/>
      <c r="C4" s="152" t="s">
        <v>497</v>
      </c>
      <c r="D4" s="152"/>
      <c r="E4" s="152"/>
      <c r="F4" s="152"/>
      <c r="G4" s="152"/>
      <c r="H4" s="152"/>
      <c r="I4" s="152"/>
      <c r="J4" s="151"/>
    </row>
    <row r="5" spans="1:15" ht="18" x14ac:dyDescent="0.25">
      <c r="A5" s="223"/>
      <c r="B5" s="152"/>
      <c r="C5" s="152"/>
      <c r="D5" s="152"/>
      <c r="E5" s="152"/>
      <c r="F5" s="152"/>
      <c r="G5" s="152"/>
      <c r="H5" s="152"/>
      <c r="I5" s="152"/>
      <c r="J5" s="151"/>
      <c r="L5" t="s">
        <v>496</v>
      </c>
      <c r="M5" s="175">
        <f>G20*G21*(1-G22)</f>
        <v>14189796</v>
      </c>
    </row>
    <row r="6" spans="1:15" ht="19" thickBot="1" x14ac:dyDescent="0.3">
      <c r="A6" s="223"/>
      <c r="B6" s="152"/>
      <c r="C6" s="360" t="s">
        <v>495</v>
      </c>
      <c r="D6" s="360"/>
      <c r="E6" s="360"/>
      <c r="F6" s="360"/>
      <c r="G6" s="360"/>
      <c r="H6" s="152"/>
      <c r="I6" s="152"/>
      <c r="J6" s="151"/>
      <c r="L6" t="s">
        <v>494</v>
      </c>
      <c r="M6" s="175">
        <f>G20*G21*(1-G23)</f>
        <v>25434540</v>
      </c>
    </row>
    <row r="7" spans="1:15" ht="19" thickBot="1" x14ac:dyDescent="0.3">
      <c r="A7" s="223"/>
      <c r="B7" s="152"/>
      <c r="C7" s="169" t="s">
        <v>32</v>
      </c>
      <c r="D7" s="168" t="s">
        <v>33</v>
      </c>
      <c r="E7" s="168" t="s">
        <v>34</v>
      </c>
      <c r="F7" s="168" t="s">
        <v>35</v>
      </c>
      <c r="G7" s="167" t="s">
        <v>36</v>
      </c>
      <c r="H7" s="152"/>
      <c r="I7" s="152"/>
      <c r="J7" s="151"/>
      <c r="L7" s="275" t="s">
        <v>493</v>
      </c>
      <c r="M7" s="138">
        <f>M6-M5</f>
        <v>11244744</v>
      </c>
    </row>
    <row r="8" spans="1:15" x14ac:dyDescent="0.2">
      <c r="A8" s="223"/>
      <c r="B8" s="152"/>
      <c r="C8" s="165">
        <v>2011</v>
      </c>
      <c r="D8" s="185">
        <v>6000</v>
      </c>
      <c r="E8" s="185">
        <v>8472</v>
      </c>
      <c r="F8" s="185">
        <v>11642</v>
      </c>
      <c r="G8" s="184">
        <v>12860</v>
      </c>
      <c r="H8" s="152"/>
      <c r="I8" s="152"/>
      <c r="J8" s="151"/>
    </row>
    <row r="9" spans="1:15" ht="17" x14ac:dyDescent="0.2">
      <c r="A9" s="223"/>
      <c r="B9" s="152"/>
      <c r="C9" s="165">
        <v>2012</v>
      </c>
      <c r="D9" s="185">
        <v>5620</v>
      </c>
      <c r="E9" s="185">
        <v>8748</v>
      </c>
      <c r="F9" s="185">
        <v>12156</v>
      </c>
      <c r="G9" s="184"/>
      <c r="H9" s="152"/>
      <c r="I9" s="152"/>
      <c r="J9" s="151"/>
      <c r="L9" s="278" t="s">
        <v>424</v>
      </c>
    </row>
    <row r="10" spans="1:15" x14ac:dyDescent="0.2">
      <c r="A10" s="223"/>
      <c r="B10" s="152"/>
      <c r="C10" s="165">
        <v>2013</v>
      </c>
      <c r="D10" s="185">
        <v>6482</v>
      </c>
      <c r="E10" s="185">
        <v>9598</v>
      </c>
      <c r="F10" s="185"/>
      <c r="G10" s="184"/>
      <c r="H10" s="152"/>
      <c r="I10" s="152"/>
      <c r="J10" s="151"/>
      <c r="L10" s="283"/>
      <c r="M10" s="282" t="s">
        <v>45</v>
      </c>
      <c r="N10" s="281" t="s">
        <v>37</v>
      </c>
      <c r="O10" s="281" t="s">
        <v>38</v>
      </c>
    </row>
    <row r="11" spans="1:15" x14ac:dyDescent="0.2">
      <c r="A11" s="223"/>
      <c r="B11" s="152"/>
      <c r="C11" s="161">
        <v>2014</v>
      </c>
      <c r="D11" s="183">
        <v>6216</v>
      </c>
      <c r="E11" s="250"/>
      <c r="F11" s="250"/>
      <c r="G11" s="251"/>
      <c r="H11" s="152"/>
      <c r="I11" s="152"/>
      <c r="J11" s="151"/>
      <c r="L11" s="280" t="s">
        <v>492</v>
      </c>
      <c r="M11" s="277">
        <f>SUM(E8:E10)/SUM(D8:D10)</f>
        <v>1.4814937575958458</v>
      </c>
      <c r="N11" s="277">
        <f>SUM(F8:F9)/SUM(E8:E9)</f>
        <v>1.3819976771196283</v>
      </c>
      <c r="O11" s="277">
        <f>G8/F8</f>
        <v>1.1046211991066828</v>
      </c>
    </row>
    <row r="12" spans="1:15" x14ac:dyDescent="0.2">
      <c r="A12" s="223"/>
      <c r="B12" s="155"/>
      <c r="C12" s="152"/>
      <c r="D12" s="152"/>
      <c r="E12" s="152"/>
      <c r="F12" s="152"/>
      <c r="G12" s="152"/>
      <c r="H12" s="152"/>
      <c r="I12" s="152"/>
      <c r="J12" s="151"/>
      <c r="L12" s="280" t="s">
        <v>489</v>
      </c>
      <c r="M12" s="277">
        <f>M11*N12</f>
        <v>2.2616245646115698</v>
      </c>
      <c r="N12" s="277">
        <f>N11*O12</f>
        <v>1.526583931262534</v>
      </c>
      <c r="O12" s="277">
        <f>O11</f>
        <v>1.1046211991066828</v>
      </c>
    </row>
    <row r="13" spans="1:15" x14ac:dyDescent="0.2">
      <c r="A13" s="223"/>
      <c r="B13" s="155"/>
      <c r="C13" s="360" t="s">
        <v>491</v>
      </c>
      <c r="D13" s="360"/>
      <c r="E13" s="360"/>
      <c r="F13" s="360"/>
      <c r="G13" s="360"/>
      <c r="H13" s="152"/>
      <c r="I13" s="152"/>
      <c r="J13" s="151"/>
    </row>
    <row r="14" spans="1:15" x14ac:dyDescent="0.2">
      <c r="A14" s="223"/>
      <c r="B14" s="155"/>
      <c r="C14" s="169" t="s">
        <v>32</v>
      </c>
      <c r="D14" s="168" t="s">
        <v>33</v>
      </c>
      <c r="E14" s="168" t="s">
        <v>34</v>
      </c>
      <c r="F14" s="168" t="s">
        <v>35</v>
      </c>
      <c r="G14" s="167" t="s">
        <v>36</v>
      </c>
      <c r="H14" s="152"/>
      <c r="I14" s="152"/>
      <c r="J14" s="151"/>
      <c r="L14" s="283"/>
      <c r="M14" s="282" t="s">
        <v>45</v>
      </c>
      <c r="N14" s="281" t="s">
        <v>37</v>
      </c>
      <c r="O14" s="281" t="s">
        <v>38</v>
      </c>
    </row>
    <row r="15" spans="1:15" x14ac:dyDescent="0.2">
      <c r="A15" s="223"/>
      <c r="B15" s="155"/>
      <c r="C15" s="165">
        <v>2011</v>
      </c>
      <c r="D15" s="185">
        <v>6798</v>
      </c>
      <c r="E15" s="185">
        <v>12041</v>
      </c>
      <c r="F15" s="185">
        <v>19888</v>
      </c>
      <c r="G15" s="184">
        <v>24106</v>
      </c>
      <c r="H15" s="152"/>
      <c r="I15" s="152"/>
      <c r="J15" s="151"/>
      <c r="L15" s="280" t="s">
        <v>490</v>
      </c>
      <c r="M15" s="277">
        <f>SUM(E15:E17)/SUM(D15:D17)</f>
        <v>1.8282519305987364</v>
      </c>
      <c r="N15" s="277">
        <f>SUM(F15:F16)/SUM(E15:E16)</f>
        <v>1.673191037109202</v>
      </c>
      <c r="O15" s="277">
        <f>G15/F15</f>
        <v>1.212087691069992</v>
      </c>
    </row>
    <row r="16" spans="1:15" x14ac:dyDescent="0.2">
      <c r="A16" s="223"/>
      <c r="B16" s="155"/>
      <c r="C16" s="165">
        <v>2012</v>
      </c>
      <c r="D16" s="185">
        <v>5823</v>
      </c>
      <c r="E16" s="185">
        <v>10541</v>
      </c>
      <c r="F16" s="185">
        <v>17896</v>
      </c>
      <c r="G16" s="184"/>
      <c r="H16" s="152"/>
      <c r="I16" s="152"/>
      <c r="J16" s="151"/>
      <c r="L16" s="280" t="s">
        <v>489</v>
      </c>
      <c r="M16" s="277">
        <f>M15*N16</f>
        <v>3.7077941178287559</v>
      </c>
      <c r="N16" s="277">
        <f>N15*O16</f>
        <v>2.0280542608886982</v>
      </c>
      <c r="O16" s="277">
        <f>O15</f>
        <v>1.212087691069992</v>
      </c>
    </row>
    <row r="17" spans="1:26" x14ac:dyDescent="0.2">
      <c r="A17" s="223"/>
      <c r="B17" s="155"/>
      <c r="C17" s="165">
        <v>2013</v>
      </c>
      <c r="D17" s="185">
        <v>7321</v>
      </c>
      <c r="E17" s="185">
        <v>13877</v>
      </c>
      <c r="F17" s="185"/>
      <c r="G17" s="184"/>
      <c r="H17" s="152"/>
      <c r="I17" s="152"/>
      <c r="J17" s="151"/>
    </row>
    <row r="18" spans="1:26" x14ac:dyDescent="0.2">
      <c r="A18" s="223"/>
      <c r="B18" s="155"/>
      <c r="C18" s="161">
        <v>2014</v>
      </c>
      <c r="D18" s="183">
        <v>6984</v>
      </c>
      <c r="E18" s="250"/>
      <c r="F18" s="250"/>
      <c r="G18" s="251"/>
      <c r="H18" s="152"/>
      <c r="I18" s="152"/>
      <c r="J18" s="151"/>
    </row>
    <row r="19" spans="1:26" ht="16" customHeight="1" x14ac:dyDescent="0.25">
      <c r="A19" s="223"/>
      <c r="B19" s="155"/>
      <c r="C19" s="152"/>
      <c r="D19" s="152"/>
      <c r="E19" s="152"/>
      <c r="F19" s="152"/>
      <c r="G19" s="152"/>
      <c r="H19" s="152"/>
      <c r="I19" s="152"/>
      <c r="J19" s="151"/>
      <c r="L19" t="s">
        <v>576</v>
      </c>
      <c r="M19" s="141">
        <f>D11*M12</f>
        <v>14058.258293625518</v>
      </c>
    </row>
    <row r="20" spans="1:26" ht="16" customHeight="1" thickBot="1" x14ac:dyDescent="0.3">
      <c r="A20" s="223"/>
      <c r="B20" s="155"/>
      <c r="C20" s="367" t="s">
        <v>488</v>
      </c>
      <c r="D20" s="367"/>
      <c r="E20" s="367"/>
      <c r="F20" s="367"/>
      <c r="G20" s="279">
        <v>44622000</v>
      </c>
      <c r="H20" s="152"/>
      <c r="I20" s="152"/>
      <c r="J20" s="151"/>
      <c r="L20" t="s">
        <v>577</v>
      </c>
      <c r="M20" s="141">
        <f>D18*M16</f>
        <v>25895.234118916032</v>
      </c>
    </row>
    <row r="21" spans="1:26" ht="16" customHeight="1" thickBot="1" x14ac:dyDescent="0.3">
      <c r="A21" s="223"/>
      <c r="B21" s="155"/>
      <c r="C21" s="367" t="s">
        <v>487</v>
      </c>
      <c r="D21" s="367"/>
      <c r="E21" s="367"/>
      <c r="F21" s="367"/>
      <c r="G21" s="196">
        <v>0.6</v>
      </c>
      <c r="H21" s="152"/>
      <c r="I21" s="152"/>
      <c r="J21" s="151"/>
      <c r="L21" s="275" t="s">
        <v>578</v>
      </c>
      <c r="M21" s="274">
        <f>M20-M19</f>
        <v>11836.975825290514</v>
      </c>
      <c r="N21" s="135" t="s">
        <v>54</v>
      </c>
    </row>
    <row r="22" spans="1:26" ht="16" customHeight="1" x14ac:dyDescent="0.2">
      <c r="A22" s="223"/>
      <c r="B22" s="155"/>
      <c r="C22" s="367" t="s">
        <v>486</v>
      </c>
      <c r="D22" s="367"/>
      <c r="E22" s="367"/>
      <c r="F22" s="367"/>
      <c r="G22" s="164">
        <v>0.47</v>
      </c>
      <c r="H22" s="152"/>
      <c r="I22" s="152"/>
      <c r="J22" s="151"/>
      <c r="M22" s="137"/>
    </row>
    <row r="23" spans="1:26" ht="16" customHeight="1" x14ac:dyDescent="0.2">
      <c r="A23" s="223"/>
      <c r="B23" s="155"/>
      <c r="C23" s="367" t="s">
        <v>485</v>
      </c>
      <c r="D23" s="367"/>
      <c r="E23" s="367"/>
      <c r="F23" s="367"/>
      <c r="G23" s="164">
        <v>0.05</v>
      </c>
      <c r="H23" s="152"/>
      <c r="I23" s="152"/>
      <c r="J23" s="151"/>
      <c r="L23" s="278" t="s">
        <v>416</v>
      </c>
      <c r="M23" s="137"/>
    </row>
    <row r="24" spans="1:26" ht="16" customHeight="1" x14ac:dyDescent="0.25">
      <c r="A24" s="223"/>
      <c r="B24" s="155"/>
      <c r="C24" s="367" t="s">
        <v>484</v>
      </c>
      <c r="D24" s="367"/>
      <c r="E24" s="367"/>
      <c r="F24" s="367"/>
      <c r="G24" s="164">
        <v>1.21</v>
      </c>
      <c r="H24" s="152"/>
      <c r="I24" s="152"/>
      <c r="J24" s="151"/>
      <c r="L24" t="s">
        <v>483</v>
      </c>
      <c r="M24" s="141">
        <f>D18-D11</f>
        <v>768</v>
      </c>
    </row>
    <row r="25" spans="1:26" ht="16" customHeight="1" x14ac:dyDescent="0.25">
      <c r="A25" s="223"/>
      <c r="B25" s="155"/>
      <c r="C25" s="367" t="s">
        <v>482</v>
      </c>
      <c r="D25" s="367"/>
      <c r="E25" s="367"/>
      <c r="F25" s="367"/>
      <c r="G25" s="164">
        <v>2.27</v>
      </c>
      <c r="H25" s="152"/>
      <c r="I25" s="152"/>
      <c r="J25" s="151"/>
      <c r="L25" t="s">
        <v>481</v>
      </c>
      <c r="M25" s="277">
        <f>G24/G25</f>
        <v>0.53303964757709255</v>
      </c>
    </row>
    <row r="26" spans="1:26" ht="16" customHeight="1" x14ac:dyDescent="0.25">
      <c r="A26" s="223"/>
      <c r="B26" s="155"/>
      <c r="C26" s="152"/>
      <c r="D26" s="152"/>
      <c r="E26" s="152"/>
      <c r="F26" s="152"/>
      <c r="G26" s="152"/>
      <c r="H26" s="152"/>
      <c r="I26" s="152"/>
      <c r="J26" s="151"/>
      <c r="L26" t="s">
        <v>579</v>
      </c>
      <c r="M26" s="277">
        <f>M25*EXP(0.177*3)</f>
        <v>0.90650433027252209</v>
      </c>
    </row>
    <row r="27" spans="1:26" ht="16" customHeight="1" x14ac:dyDescent="0.2">
      <c r="A27" s="223"/>
      <c r="B27" s="155"/>
      <c r="C27" s="152" t="s">
        <v>480</v>
      </c>
      <c r="D27" s="152"/>
      <c r="E27" s="152"/>
      <c r="F27" s="152"/>
      <c r="G27" s="152"/>
      <c r="H27" s="152"/>
      <c r="I27" s="152"/>
      <c r="J27" s="151"/>
      <c r="M27" s="137"/>
    </row>
    <row r="28" spans="1:26" ht="16" customHeight="1" thickBot="1" x14ac:dyDescent="0.3">
      <c r="A28" s="223"/>
      <c r="B28" s="155"/>
      <c r="C28" s="152" t="s">
        <v>580</v>
      </c>
      <c r="D28" s="152"/>
      <c r="E28" s="152"/>
      <c r="F28" s="152"/>
      <c r="G28" s="152"/>
      <c r="H28" s="152"/>
      <c r="I28" s="152"/>
      <c r="J28" s="151"/>
      <c r="L28" t="s">
        <v>479</v>
      </c>
      <c r="M28" s="276">
        <f>M16*(1-M25)/(1-M26)</f>
        <v>18.51842821191163</v>
      </c>
    </row>
    <row r="29" spans="1:26" ht="16" customHeight="1" thickBot="1" x14ac:dyDescent="0.25">
      <c r="A29" s="223"/>
      <c r="B29" s="152"/>
      <c r="C29" s="152" t="s">
        <v>478</v>
      </c>
      <c r="D29" s="152"/>
      <c r="E29" s="152"/>
      <c r="F29" s="152"/>
      <c r="G29" s="152"/>
      <c r="H29" s="152" t="s">
        <v>477</v>
      </c>
      <c r="I29" s="152"/>
      <c r="J29" s="151"/>
      <c r="L29" s="275" t="s">
        <v>476</v>
      </c>
      <c r="M29" s="274">
        <f>M24*M28</f>
        <v>14222.152866748133</v>
      </c>
      <c r="N29" s="135" t="s">
        <v>54</v>
      </c>
    </row>
    <row r="30" spans="1:26" ht="16" customHeight="1" x14ac:dyDescent="0.2">
      <c r="A30" s="223"/>
      <c r="B30" s="152"/>
      <c r="C30" s="152" t="s">
        <v>475</v>
      </c>
      <c r="D30" s="152"/>
      <c r="E30" s="152"/>
      <c r="F30" s="152"/>
      <c r="G30" s="152"/>
      <c r="H30" s="152"/>
      <c r="I30" s="152"/>
      <c r="J30" s="151"/>
    </row>
    <row r="31" spans="1:26" ht="16" customHeight="1" x14ac:dyDescent="0.2">
      <c r="A31" s="223"/>
      <c r="B31" s="152"/>
      <c r="C31" s="152"/>
      <c r="D31" s="152"/>
      <c r="E31" s="152"/>
      <c r="F31" s="152"/>
      <c r="G31" s="152"/>
      <c r="H31" s="152"/>
      <c r="I31" s="152"/>
      <c r="J31" s="151"/>
    </row>
    <row r="32" spans="1:26" ht="16" customHeight="1" x14ac:dyDescent="0.2">
      <c r="A32" s="223" t="s">
        <v>0</v>
      </c>
      <c r="B32" s="152" t="s">
        <v>455</v>
      </c>
      <c r="C32" s="152" t="s">
        <v>474</v>
      </c>
      <c r="D32" s="152"/>
      <c r="E32" s="152"/>
      <c r="F32" s="152"/>
      <c r="G32" s="152"/>
      <c r="H32" s="152"/>
      <c r="I32" s="152"/>
      <c r="J32" s="151"/>
      <c r="L32" s="242" t="s">
        <v>173</v>
      </c>
      <c r="Z32" s="373"/>
    </row>
    <row r="33" spans="1:26" ht="16" customHeight="1" x14ac:dyDescent="0.2">
      <c r="A33" s="223"/>
      <c r="B33" s="152"/>
      <c r="C33" s="152" t="s">
        <v>471</v>
      </c>
      <c r="D33" s="152"/>
      <c r="E33" s="152"/>
      <c r="F33" s="152"/>
      <c r="G33" s="190"/>
      <c r="H33" s="152"/>
      <c r="I33" s="152"/>
      <c r="J33" s="151"/>
      <c r="L33" s="372" t="s">
        <v>473</v>
      </c>
      <c r="M33" s="372"/>
      <c r="N33" s="372"/>
      <c r="O33" s="372"/>
      <c r="P33" s="372"/>
      <c r="Q33" s="372"/>
      <c r="R33" s="372"/>
      <c r="Z33" s="373"/>
    </row>
    <row r="34" spans="1:26" ht="16" customHeight="1" x14ac:dyDescent="0.2">
      <c r="A34" s="223"/>
      <c r="B34" s="152"/>
      <c r="C34" s="152"/>
      <c r="D34" s="152"/>
      <c r="E34" s="152"/>
      <c r="F34" s="152"/>
      <c r="G34" s="152"/>
      <c r="H34" s="152"/>
      <c r="I34" s="152"/>
      <c r="J34" s="151"/>
      <c r="L34" s="372"/>
      <c r="M34" s="372"/>
      <c r="N34" s="372"/>
      <c r="O34" s="372"/>
      <c r="P34" s="372"/>
      <c r="Q34" s="372"/>
      <c r="R34" s="372"/>
      <c r="Z34" s="373"/>
    </row>
    <row r="35" spans="1:26" ht="16" customHeight="1" x14ac:dyDescent="0.2">
      <c r="A35" s="223" t="s">
        <v>1</v>
      </c>
      <c r="B35" s="152" t="s">
        <v>418</v>
      </c>
      <c r="C35" s="152" t="s">
        <v>472</v>
      </c>
      <c r="D35" s="152"/>
      <c r="E35" s="152"/>
      <c r="F35" s="152"/>
      <c r="G35" s="152"/>
      <c r="H35" s="152"/>
      <c r="I35" s="152"/>
      <c r="J35" s="151"/>
      <c r="L35" s="372"/>
      <c r="M35" s="372"/>
      <c r="N35" s="372"/>
      <c r="O35" s="372"/>
      <c r="P35" s="372"/>
      <c r="Q35" s="372"/>
      <c r="R35" s="372"/>
      <c r="Z35" s="273"/>
    </row>
    <row r="36" spans="1:26" ht="16" customHeight="1" x14ac:dyDescent="0.2">
      <c r="A36" s="223"/>
      <c r="B36" s="152"/>
      <c r="C36" s="152" t="s">
        <v>471</v>
      </c>
      <c r="D36" s="152"/>
      <c r="E36" s="152"/>
      <c r="F36" s="152"/>
      <c r="G36" s="190"/>
      <c r="H36" s="152"/>
      <c r="I36" s="152"/>
      <c r="J36" s="151"/>
      <c r="L36" s="372"/>
      <c r="M36" s="372"/>
      <c r="N36" s="372"/>
      <c r="O36" s="372"/>
      <c r="P36" s="372"/>
      <c r="Q36" s="372"/>
      <c r="R36" s="372"/>
    </row>
    <row r="37" spans="1:26" ht="16" customHeight="1" x14ac:dyDescent="0.2">
      <c r="A37" s="223"/>
      <c r="B37" s="152"/>
      <c r="C37" s="152"/>
      <c r="D37" s="152"/>
      <c r="E37" s="152"/>
      <c r="F37" s="152"/>
      <c r="G37" s="152"/>
      <c r="H37" s="152"/>
      <c r="I37" s="152"/>
      <c r="J37" s="151"/>
      <c r="L37" s="372"/>
      <c r="M37" s="372"/>
      <c r="N37" s="372"/>
      <c r="O37" s="372"/>
      <c r="P37" s="372"/>
      <c r="Q37" s="372"/>
      <c r="R37" s="372"/>
    </row>
    <row r="38" spans="1:26" ht="16" customHeight="1" x14ac:dyDescent="0.2">
      <c r="A38" s="223" t="s">
        <v>2</v>
      </c>
      <c r="B38" s="152" t="s">
        <v>470</v>
      </c>
      <c r="C38" s="337" t="s">
        <v>469</v>
      </c>
      <c r="D38" s="337"/>
      <c r="E38" s="337"/>
      <c r="F38" s="337"/>
      <c r="G38" s="337"/>
      <c r="H38" s="337"/>
      <c r="I38" s="337"/>
      <c r="J38" s="151"/>
      <c r="L38" s="372"/>
      <c r="M38" s="372"/>
      <c r="N38" s="372"/>
      <c r="O38" s="372"/>
      <c r="P38" s="372"/>
      <c r="Q38" s="372"/>
      <c r="R38" s="372"/>
    </row>
    <row r="39" spans="1:26" ht="16" customHeight="1" x14ac:dyDescent="0.2">
      <c r="A39" s="223"/>
      <c r="B39" s="152"/>
      <c r="C39" s="337"/>
      <c r="D39" s="337"/>
      <c r="E39" s="337"/>
      <c r="F39" s="337"/>
      <c r="G39" s="337"/>
      <c r="H39" s="337"/>
      <c r="I39" s="337"/>
      <c r="J39" s="151"/>
      <c r="L39" s="372"/>
      <c r="M39" s="372"/>
      <c r="N39" s="372"/>
      <c r="O39" s="372"/>
      <c r="P39" s="372"/>
      <c r="Q39" s="372"/>
      <c r="R39" s="372"/>
    </row>
    <row r="40" spans="1:26" ht="16" customHeight="1" x14ac:dyDescent="0.2">
      <c r="A40" s="223"/>
      <c r="B40" s="152"/>
      <c r="C40" s="337"/>
      <c r="D40" s="337"/>
      <c r="E40" s="337"/>
      <c r="F40" s="337"/>
      <c r="G40" s="337"/>
      <c r="H40" s="337"/>
      <c r="I40" s="337"/>
      <c r="J40" s="151"/>
      <c r="L40" s="372"/>
      <c r="M40" s="372"/>
      <c r="N40" s="372"/>
      <c r="O40" s="372"/>
      <c r="P40" s="372"/>
      <c r="Q40" s="372"/>
      <c r="R40" s="372"/>
    </row>
    <row r="41" spans="1:26" ht="16" customHeight="1" thickBot="1" x14ac:dyDescent="0.25">
      <c r="A41" s="223"/>
      <c r="B41" s="152"/>
      <c r="C41" s="152"/>
      <c r="D41" s="152"/>
      <c r="E41" s="152"/>
      <c r="F41" s="152"/>
      <c r="G41" s="152"/>
      <c r="H41" s="152"/>
      <c r="I41" s="152"/>
      <c r="J41" s="151"/>
      <c r="L41" s="372"/>
      <c r="M41" s="372"/>
      <c r="N41" s="372"/>
      <c r="O41" s="372"/>
      <c r="P41" s="372"/>
      <c r="Q41" s="372"/>
      <c r="R41" s="372"/>
    </row>
    <row r="42" spans="1:26" ht="16" customHeight="1" thickBot="1" x14ac:dyDescent="0.25">
      <c r="A42" s="241" t="s">
        <v>175</v>
      </c>
      <c r="B42" s="147"/>
      <c r="C42" s="240"/>
      <c r="D42" s="147"/>
      <c r="E42" s="147"/>
      <c r="F42" s="147"/>
      <c r="G42" s="147"/>
      <c r="H42" s="147"/>
      <c r="I42" s="147"/>
      <c r="J42" s="146"/>
      <c r="M42" s="270"/>
      <c r="N42" s="270"/>
      <c r="O42" s="270"/>
      <c r="P42" s="272"/>
    </row>
    <row r="43" spans="1:26" ht="19" x14ac:dyDescent="0.2">
      <c r="L43" s="242" t="s">
        <v>210</v>
      </c>
      <c r="M43" s="271"/>
    </row>
    <row r="44" spans="1:26" x14ac:dyDescent="0.2">
      <c r="L44" s="270" t="s">
        <v>468</v>
      </c>
    </row>
    <row r="45" spans="1:26" x14ac:dyDescent="0.2">
      <c r="L45" s="270" t="s">
        <v>467</v>
      </c>
      <c r="M45" s="267"/>
    </row>
    <row r="46" spans="1:26" x14ac:dyDescent="0.2">
      <c r="L46" s="270" t="s">
        <v>466</v>
      </c>
    </row>
  </sheetData>
  <mergeCells count="11">
    <mergeCell ref="C23:F23"/>
    <mergeCell ref="C6:G6"/>
    <mergeCell ref="C13:G13"/>
    <mergeCell ref="C20:F20"/>
    <mergeCell ref="C21:F21"/>
    <mergeCell ref="C22:F22"/>
    <mergeCell ref="C38:I40"/>
    <mergeCell ref="L33:R41"/>
    <mergeCell ref="Z32:Z34"/>
    <mergeCell ref="C24:F24"/>
    <mergeCell ref="C25:F25"/>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596A3A-B569-7942-877F-D975A1F7B0CE}">
  <dimension ref="A1:S37"/>
  <sheetViews>
    <sheetView zoomScaleNormal="100" workbookViewId="0"/>
  </sheetViews>
  <sheetFormatPr baseColWidth="10" defaultColWidth="11" defaultRowHeight="16" outlineLevelCol="1" x14ac:dyDescent="0.2"/>
  <cols>
    <col min="1" max="1" width="4" style="134" customWidth="1"/>
    <col min="2" max="2" width="11.5" customWidth="1"/>
    <col min="5" max="5" width="10.83203125" customWidth="1"/>
    <col min="12" max="12" width="12.6640625" hidden="1" customWidth="1" outlineLevel="1"/>
    <col min="13" max="13" width="11.83203125" hidden="1" customWidth="1" outlineLevel="1"/>
    <col min="14" max="18" width="10.83203125" hidden="1" customWidth="1" outlineLevel="1"/>
    <col min="19" max="19" width="11" collapsed="1"/>
  </cols>
  <sheetData>
    <row r="1" spans="1:14" x14ac:dyDescent="0.2">
      <c r="A1" s="256"/>
      <c r="B1" s="174" t="s">
        <v>439</v>
      </c>
      <c r="C1" s="173" t="s">
        <v>528</v>
      </c>
      <c r="D1" s="173" t="s">
        <v>437</v>
      </c>
      <c r="E1" s="173" t="s">
        <v>527</v>
      </c>
      <c r="F1" s="172"/>
      <c r="G1" s="172"/>
      <c r="H1" s="172"/>
      <c r="I1" s="172"/>
      <c r="J1" s="171"/>
      <c r="K1" s="243" t="s">
        <v>176</v>
      </c>
      <c r="L1" s="243"/>
    </row>
    <row r="2" spans="1:14" x14ac:dyDescent="0.2">
      <c r="A2" s="223"/>
      <c r="B2" s="255" t="s">
        <v>435</v>
      </c>
      <c r="C2" s="254">
        <v>2.25</v>
      </c>
      <c r="D2" s="152"/>
      <c r="E2" s="152"/>
      <c r="F2" s="152"/>
      <c r="G2" s="152"/>
      <c r="H2" s="152"/>
      <c r="I2" s="152"/>
      <c r="J2" s="151"/>
    </row>
    <row r="3" spans="1:14" x14ac:dyDescent="0.2">
      <c r="A3" s="223"/>
      <c r="B3" s="152"/>
      <c r="C3" s="152"/>
      <c r="D3" s="152"/>
      <c r="E3" s="152"/>
      <c r="F3" s="152"/>
      <c r="G3" s="152"/>
      <c r="H3" s="152"/>
      <c r="I3" s="152"/>
      <c r="J3" s="151"/>
      <c r="L3" s="243" t="s">
        <v>434</v>
      </c>
      <c r="M3" s="178"/>
    </row>
    <row r="4" spans="1:14" x14ac:dyDescent="0.2">
      <c r="A4" s="223"/>
      <c r="B4" s="152"/>
      <c r="C4" s="152" t="s">
        <v>526</v>
      </c>
      <c r="D4" s="152"/>
      <c r="E4" s="152"/>
      <c r="F4" s="152"/>
      <c r="G4" s="152"/>
      <c r="H4" s="152"/>
      <c r="I4" s="152"/>
      <c r="J4" s="151"/>
      <c r="M4" s="178"/>
    </row>
    <row r="5" spans="1:14" x14ac:dyDescent="0.2">
      <c r="A5" s="223"/>
      <c r="B5" s="152"/>
      <c r="C5" s="152" t="s">
        <v>525</v>
      </c>
      <c r="D5" s="152"/>
      <c r="E5" s="152"/>
      <c r="F5" s="152"/>
      <c r="G5" s="152"/>
      <c r="H5" s="152"/>
      <c r="I5" s="152"/>
      <c r="J5" s="151"/>
      <c r="L5" t="s">
        <v>524</v>
      </c>
      <c r="M5" s="178"/>
    </row>
    <row r="6" spans="1:14" ht="17" thickBot="1" x14ac:dyDescent="0.25">
      <c r="A6" s="223"/>
      <c r="B6" s="152"/>
      <c r="C6" s="152"/>
      <c r="D6" s="152"/>
      <c r="E6" s="152"/>
      <c r="F6" s="152"/>
      <c r="G6" s="152"/>
      <c r="H6" s="152"/>
      <c r="I6" s="152"/>
      <c r="J6" s="151"/>
    </row>
    <row r="7" spans="1:14" ht="17" thickBot="1" x14ac:dyDescent="0.25">
      <c r="A7" s="223"/>
      <c r="B7" s="152"/>
      <c r="C7" s="152" t="s">
        <v>523</v>
      </c>
      <c r="D7" s="152"/>
      <c r="E7" s="152"/>
      <c r="F7" s="152"/>
      <c r="G7" s="152"/>
      <c r="H7" s="152"/>
      <c r="I7" s="152"/>
      <c r="J7" s="151"/>
      <c r="L7" s="139" t="s">
        <v>511</v>
      </c>
      <c r="M7" s="292">
        <f>E21*SUMPRODUCT(E13:E16,F13:F16,G13:G16)</f>
        <v>3012500.0000000005</v>
      </c>
      <c r="N7" s="134" t="s">
        <v>522</v>
      </c>
    </row>
    <row r="8" spans="1:14" x14ac:dyDescent="0.2">
      <c r="A8" s="223"/>
      <c r="B8" s="152"/>
      <c r="C8" s="152"/>
      <c r="D8" s="152"/>
      <c r="E8" s="152"/>
      <c r="F8" s="152"/>
      <c r="G8" s="152"/>
      <c r="H8" s="152"/>
      <c r="I8" s="152"/>
      <c r="J8" s="151"/>
      <c r="M8" s="291"/>
    </row>
    <row r="9" spans="1:14" ht="16" customHeight="1" x14ac:dyDescent="0.2">
      <c r="A9" s="223"/>
      <c r="B9" s="152"/>
      <c r="C9" s="152"/>
      <c r="D9" s="355" t="s">
        <v>521</v>
      </c>
      <c r="E9" s="375" t="s">
        <v>520</v>
      </c>
      <c r="F9" s="375" t="s">
        <v>519</v>
      </c>
      <c r="G9" s="332" t="s">
        <v>518</v>
      </c>
      <c r="H9" s="152"/>
      <c r="I9" s="152"/>
      <c r="J9" s="151"/>
      <c r="L9" s="243" t="s">
        <v>424</v>
      </c>
      <c r="M9" s="290"/>
    </row>
    <row r="10" spans="1:14" x14ac:dyDescent="0.2">
      <c r="A10" s="223"/>
      <c r="B10" s="152"/>
      <c r="C10" s="152"/>
      <c r="D10" s="354"/>
      <c r="E10" s="376"/>
      <c r="F10" s="376"/>
      <c r="G10" s="377"/>
      <c r="H10" s="152"/>
      <c r="I10" s="152"/>
      <c r="J10" s="151"/>
    </row>
    <row r="11" spans="1:14" x14ac:dyDescent="0.2">
      <c r="A11" s="223"/>
      <c r="B11" s="152"/>
      <c r="C11" s="152"/>
      <c r="D11" s="354"/>
      <c r="E11" s="376"/>
      <c r="F11" s="376"/>
      <c r="G11" s="377"/>
      <c r="H11" s="152"/>
      <c r="I11" s="152"/>
      <c r="J11" s="151"/>
      <c r="L11" t="s">
        <v>517</v>
      </c>
      <c r="M11" s="249">
        <f>G24/G25</f>
        <v>1.5625</v>
      </c>
      <c r="N11" t="s">
        <v>516</v>
      </c>
    </row>
    <row r="12" spans="1:14" x14ac:dyDescent="0.2">
      <c r="A12" s="223"/>
      <c r="B12" s="152"/>
      <c r="C12" s="152"/>
      <c r="D12" s="329"/>
      <c r="E12" s="369"/>
      <c r="F12" s="369"/>
      <c r="G12" s="364"/>
      <c r="H12" s="152"/>
      <c r="I12" s="152"/>
      <c r="J12" s="151"/>
    </row>
    <row r="13" spans="1:14" ht="19" x14ac:dyDescent="0.2">
      <c r="A13" s="223"/>
      <c r="B13" s="152"/>
      <c r="C13" s="152"/>
      <c r="D13" s="165">
        <v>1</v>
      </c>
      <c r="E13" s="196">
        <v>0.5</v>
      </c>
      <c r="F13" s="196">
        <v>0.45</v>
      </c>
      <c r="G13" s="163">
        <v>0.05</v>
      </c>
      <c r="H13" s="152"/>
      <c r="I13" s="152"/>
      <c r="J13" s="151"/>
      <c r="L13" t="s">
        <v>515</v>
      </c>
      <c r="M13" s="249">
        <f>G26/G24</f>
        <v>0.4</v>
      </c>
    </row>
    <row r="14" spans="1:14" ht="19" x14ac:dyDescent="0.2">
      <c r="A14" s="223"/>
      <c r="B14" s="155"/>
      <c r="C14" s="152"/>
      <c r="D14" s="165">
        <v>2</v>
      </c>
      <c r="E14" s="196">
        <v>0.3</v>
      </c>
      <c r="F14" s="196">
        <v>0.5</v>
      </c>
      <c r="G14" s="163">
        <v>0.1</v>
      </c>
      <c r="H14" s="152"/>
      <c r="I14" s="152"/>
      <c r="J14" s="151"/>
      <c r="L14" t="s">
        <v>514</v>
      </c>
      <c r="M14" s="249">
        <f>G27/G25</f>
        <v>0.46875</v>
      </c>
    </row>
    <row r="15" spans="1:14" x14ac:dyDescent="0.2">
      <c r="A15" s="223"/>
      <c r="B15" s="155"/>
      <c r="C15" s="152"/>
      <c r="D15" s="165">
        <v>3</v>
      </c>
      <c r="E15" s="196">
        <v>0.1</v>
      </c>
      <c r="F15" s="196">
        <v>0.5</v>
      </c>
      <c r="G15" s="163">
        <v>0.2</v>
      </c>
      <c r="H15" s="152"/>
      <c r="I15" s="152"/>
      <c r="J15" s="151"/>
    </row>
    <row r="16" spans="1:14" x14ac:dyDescent="0.2">
      <c r="A16" s="223"/>
      <c r="B16" s="155"/>
      <c r="C16" s="152"/>
      <c r="D16" s="161">
        <v>4</v>
      </c>
      <c r="E16" s="288">
        <v>0.1</v>
      </c>
      <c r="F16" s="288">
        <v>0.6</v>
      </c>
      <c r="G16" s="158">
        <v>0.4</v>
      </c>
      <c r="H16" s="152"/>
      <c r="I16" s="152"/>
      <c r="J16" s="151"/>
      <c r="L16" t="s">
        <v>253</v>
      </c>
      <c r="M16" s="249">
        <f>M11*((1-M13)/(1-M14))</f>
        <v>1.7647058823529411</v>
      </c>
      <c r="N16" t="s">
        <v>513</v>
      </c>
    </row>
    <row r="17" spans="1:18" ht="17" thickBot="1" x14ac:dyDescent="0.25">
      <c r="A17" s="223"/>
      <c r="B17" s="155"/>
      <c r="C17" s="152"/>
      <c r="D17" s="152"/>
      <c r="E17" s="152"/>
      <c r="F17" s="152"/>
      <c r="G17" s="152"/>
      <c r="H17" s="152"/>
      <c r="I17" s="152"/>
      <c r="J17" s="151"/>
    </row>
    <row r="18" spans="1:18" ht="17" thickBot="1" x14ac:dyDescent="0.25">
      <c r="A18" s="223"/>
      <c r="B18" s="155"/>
      <c r="C18" s="152" t="s">
        <v>512</v>
      </c>
      <c r="D18" s="152"/>
      <c r="E18" s="152"/>
      <c r="F18" s="152"/>
      <c r="G18" s="152"/>
      <c r="H18" s="152"/>
      <c r="I18" s="152"/>
      <c r="J18" s="151"/>
      <c r="L18" s="275" t="s">
        <v>511</v>
      </c>
      <c r="M18" s="287">
        <f>H22*M16</f>
        <v>4411764.7058823528</v>
      </c>
    </row>
    <row r="19" spans="1:18" x14ac:dyDescent="0.2">
      <c r="A19" s="223"/>
      <c r="B19" s="155"/>
      <c r="C19" s="152"/>
      <c r="D19" s="152"/>
      <c r="E19" s="152"/>
      <c r="F19" s="152"/>
      <c r="G19" s="152"/>
      <c r="H19" s="152"/>
      <c r="I19" s="152"/>
      <c r="J19" s="151"/>
      <c r="L19" s="243"/>
    </row>
    <row r="20" spans="1:18" x14ac:dyDescent="0.2">
      <c r="A20" s="223"/>
      <c r="B20" s="155"/>
      <c r="C20" s="152" t="s">
        <v>510</v>
      </c>
      <c r="D20" s="152"/>
      <c r="E20" s="152"/>
      <c r="F20" s="286"/>
      <c r="G20" s="152"/>
      <c r="H20" s="152"/>
      <c r="I20" s="152"/>
      <c r="J20" s="151"/>
      <c r="L20" s="243" t="s">
        <v>416</v>
      </c>
    </row>
    <row r="21" spans="1:18" x14ac:dyDescent="0.2">
      <c r="A21" s="223"/>
      <c r="B21" s="155"/>
      <c r="C21" s="152" t="s">
        <v>509</v>
      </c>
      <c r="D21" s="152"/>
      <c r="E21" s="285">
        <v>50000000</v>
      </c>
      <c r="F21" s="152"/>
      <c r="G21" s="152"/>
      <c r="H21" s="152"/>
      <c r="I21" s="152"/>
      <c r="J21" s="151"/>
      <c r="L21" s="338" t="s">
        <v>508</v>
      </c>
      <c r="M21" s="338"/>
      <c r="N21" s="338"/>
      <c r="O21" s="338"/>
      <c r="P21" s="338"/>
      <c r="Q21" s="338"/>
      <c r="R21" s="338"/>
    </row>
    <row r="22" spans="1:18" x14ac:dyDescent="0.2">
      <c r="A22" s="223"/>
      <c r="B22" s="155"/>
      <c r="C22" s="152" t="s">
        <v>507</v>
      </c>
      <c r="D22" s="152"/>
      <c r="E22" s="152"/>
      <c r="F22" s="152"/>
      <c r="G22" s="152"/>
      <c r="H22" s="285">
        <v>2500000</v>
      </c>
      <c r="I22" s="152"/>
      <c r="J22" s="151"/>
      <c r="L22" s="338"/>
      <c r="M22" s="338"/>
      <c r="N22" s="338"/>
      <c r="O22" s="338"/>
      <c r="P22" s="338"/>
      <c r="Q22" s="338"/>
      <c r="R22" s="338"/>
    </row>
    <row r="23" spans="1:18" x14ac:dyDescent="0.2">
      <c r="A23" s="223"/>
      <c r="B23" s="155"/>
      <c r="C23" s="152"/>
      <c r="D23" s="152"/>
      <c r="E23" s="152"/>
      <c r="F23" s="152"/>
      <c r="G23" s="152"/>
      <c r="H23" s="152"/>
      <c r="I23" s="152"/>
      <c r="J23" s="151"/>
      <c r="L23" s="338"/>
      <c r="M23" s="338"/>
      <c r="N23" s="338"/>
      <c r="O23" s="338"/>
      <c r="P23" s="338"/>
      <c r="Q23" s="338"/>
      <c r="R23" s="338"/>
    </row>
    <row r="24" spans="1:18" x14ac:dyDescent="0.2">
      <c r="A24" s="223"/>
      <c r="B24" s="155"/>
      <c r="C24" s="152"/>
      <c r="D24" s="284" t="s">
        <v>506</v>
      </c>
      <c r="E24" s="284"/>
      <c r="F24" s="284"/>
      <c r="G24" s="247">
        <v>5000</v>
      </c>
      <c r="H24" s="152"/>
      <c r="I24" s="152"/>
      <c r="J24" s="151"/>
      <c r="L24" s="338"/>
      <c r="M24" s="338"/>
      <c r="N24" s="338"/>
      <c r="O24" s="338"/>
      <c r="P24" s="338"/>
      <c r="Q24" s="338"/>
      <c r="R24" s="338"/>
    </row>
    <row r="25" spans="1:18" x14ac:dyDescent="0.2">
      <c r="A25" s="223"/>
      <c r="B25" s="155"/>
      <c r="C25" s="152"/>
      <c r="D25" s="284" t="s">
        <v>505</v>
      </c>
      <c r="E25" s="284"/>
      <c r="F25" s="284"/>
      <c r="G25" s="247">
        <v>3200</v>
      </c>
      <c r="H25" s="152"/>
      <c r="I25" s="152"/>
      <c r="J25" s="151"/>
      <c r="M25" s="268"/>
    </row>
    <row r="26" spans="1:18" x14ac:dyDescent="0.2">
      <c r="A26" s="223"/>
      <c r="B26" s="155"/>
      <c r="C26" s="152"/>
      <c r="D26" s="284" t="s">
        <v>504</v>
      </c>
      <c r="E26" s="284"/>
      <c r="F26" s="284"/>
      <c r="G26" s="247">
        <v>2000</v>
      </c>
      <c r="H26" s="152"/>
      <c r="I26" s="152"/>
      <c r="J26" s="151"/>
    </row>
    <row r="27" spans="1:18" ht="19" x14ac:dyDescent="0.25">
      <c r="A27" s="223"/>
      <c r="B27" s="155"/>
      <c r="C27" s="152"/>
      <c r="D27" s="374" t="s">
        <v>503</v>
      </c>
      <c r="E27" s="374"/>
      <c r="F27" s="374"/>
      <c r="G27" s="247">
        <v>1500</v>
      </c>
      <c r="H27" s="152"/>
      <c r="I27" s="152"/>
      <c r="J27" s="151"/>
      <c r="L27" s="170" t="s">
        <v>210</v>
      </c>
    </row>
    <row r="28" spans="1:18" x14ac:dyDescent="0.2">
      <c r="A28" s="223"/>
      <c r="B28" s="155"/>
      <c r="C28" s="152"/>
      <c r="D28" s="152"/>
      <c r="E28" s="152"/>
      <c r="F28" s="152"/>
      <c r="G28" s="152"/>
      <c r="H28" s="152"/>
      <c r="I28" s="152"/>
      <c r="J28" s="151"/>
      <c r="L28" t="s">
        <v>468</v>
      </c>
    </row>
    <row r="29" spans="1:18" x14ac:dyDescent="0.2">
      <c r="A29" s="223" t="s">
        <v>0</v>
      </c>
      <c r="B29" s="190" t="s">
        <v>455</v>
      </c>
      <c r="C29" s="152" t="s">
        <v>502</v>
      </c>
      <c r="D29" s="152"/>
      <c r="E29" s="152"/>
      <c r="F29" s="152"/>
      <c r="G29" s="152"/>
      <c r="H29" s="152"/>
      <c r="I29" s="152"/>
      <c r="J29" s="151"/>
      <c r="L29" t="s">
        <v>401</v>
      </c>
    </row>
    <row r="30" spans="1:18" x14ac:dyDescent="0.2">
      <c r="A30" s="223"/>
      <c r="B30" s="152"/>
      <c r="C30" s="152" t="s">
        <v>501</v>
      </c>
      <c r="D30" s="152"/>
      <c r="E30" s="152"/>
      <c r="F30" s="152"/>
      <c r="G30" s="152"/>
      <c r="H30" s="152"/>
      <c r="I30" s="152"/>
      <c r="J30" s="151"/>
    </row>
    <row r="31" spans="1:18" x14ac:dyDescent="0.2">
      <c r="A31" s="223"/>
      <c r="B31" s="152"/>
      <c r="C31" s="152"/>
      <c r="D31" s="152"/>
      <c r="E31" s="152"/>
      <c r="F31" s="152"/>
      <c r="G31" s="152"/>
      <c r="H31" s="152"/>
      <c r="I31" s="152"/>
      <c r="J31" s="151"/>
      <c r="M31" s="271"/>
    </row>
    <row r="32" spans="1:18" x14ac:dyDescent="0.2">
      <c r="A32" s="223" t="s">
        <v>1</v>
      </c>
      <c r="B32" s="152" t="s">
        <v>418</v>
      </c>
      <c r="C32" s="152" t="s">
        <v>575</v>
      </c>
      <c r="D32" s="152"/>
      <c r="E32" s="152"/>
      <c r="F32" s="152"/>
      <c r="G32" s="152"/>
      <c r="H32" s="152"/>
      <c r="I32" s="152"/>
      <c r="J32" s="151"/>
    </row>
    <row r="33" spans="1:13" x14ac:dyDescent="0.2">
      <c r="A33" s="223"/>
      <c r="B33" s="152"/>
      <c r="C33" s="152"/>
      <c r="D33" s="152"/>
      <c r="E33" s="152"/>
      <c r="F33" s="152"/>
      <c r="G33" s="152"/>
      <c r="H33" s="152"/>
      <c r="I33" s="152"/>
      <c r="J33" s="151"/>
    </row>
    <row r="34" spans="1:13" x14ac:dyDescent="0.2">
      <c r="A34" s="223" t="s">
        <v>2</v>
      </c>
      <c r="B34" s="190" t="s">
        <v>455</v>
      </c>
      <c r="C34" s="180" t="s">
        <v>500</v>
      </c>
      <c r="D34" s="152"/>
      <c r="E34" s="152"/>
      <c r="F34" s="152"/>
      <c r="G34" s="152"/>
      <c r="H34" s="152"/>
      <c r="I34" s="152"/>
      <c r="J34" s="151"/>
    </row>
    <row r="35" spans="1:13" x14ac:dyDescent="0.2">
      <c r="A35" s="223"/>
      <c r="B35" s="152"/>
      <c r="C35" s="180" t="s">
        <v>499</v>
      </c>
      <c r="D35" s="152"/>
      <c r="E35" s="152"/>
      <c r="F35" s="152"/>
      <c r="G35" s="152"/>
      <c r="H35" s="152"/>
      <c r="I35" s="152"/>
      <c r="J35" s="151"/>
      <c r="L35" s="243"/>
      <c r="M35" s="267"/>
    </row>
    <row r="36" spans="1:13" ht="17" thickBot="1" x14ac:dyDescent="0.25">
      <c r="A36" s="223"/>
      <c r="B36" s="152"/>
      <c r="C36" s="152"/>
      <c r="D36" s="152"/>
      <c r="E36" s="152"/>
      <c r="F36" s="152"/>
      <c r="G36" s="152"/>
      <c r="H36" s="152"/>
      <c r="I36" s="152"/>
      <c r="J36" s="151"/>
    </row>
    <row r="37" spans="1:13" ht="17" thickBot="1" x14ac:dyDescent="0.25">
      <c r="A37" s="241" t="s">
        <v>175</v>
      </c>
      <c r="B37" s="147"/>
      <c r="C37" s="240"/>
      <c r="D37" s="147"/>
      <c r="E37" s="147"/>
      <c r="F37" s="147"/>
      <c r="G37" s="147"/>
      <c r="H37" s="147"/>
      <c r="I37" s="147"/>
      <c r="J37" s="146"/>
    </row>
  </sheetData>
  <mergeCells count="6">
    <mergeCell ref="L21:R24"/>
    <mergeCell ref="D27:F27"/>
    <mergeCell ref="D9:D12"/>
    <mergeCell ref="E9:E12"/>
    <mergeCell ref="F9:F12"/>
    <mergeCell ref="G9:G12"/>
  </mergeCells>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BD566-3577-A946-9826-08D3E2B17D3A}">
  <dimension ref="A1:S25"/>
  <sheetViews>
    <sheetView zoomScaleNormal="100" workbookViewId="0"/>
  </sheetViews>
  <sheetFormatPr baseColWidth="10" defaultColWidth="11" defaultRowHeight="16" outlineLevelCol="1" x14ac:dyDescent="0.2"/>
  <cols>
    <col min="1" max="1" width="4" style="134" customWidth="1"/>
    <col min="2" max="2" width="11.5" customWidth="1"/>
    <col min="12" max="12" width="11.33203125" hidden="1" customWidth="1" outlineLevel="1"/>
    <col min="13" max="13" width="10.83203125" hidden="1" customWidth="1" outlineLevel="1"/>
    <col min="14" max="14" width="11.6640625" hidden="1" customWidth="1" outlineLevel="1"/>
    <col min="15" max="18" width="10.83203125" hidden="1" customWidth="1" outlineLevel="1"/>
    <col min="19" max="19" width="11" collapsed="1"/>
  </cols>
  <sheetData>
    <row r="1" spans="1:18" x14ac:dyDescent="0.2">
      <c r="A1" s="256"/>
      <c r="B1" s="174" t="s">
        <v>439</v>
      </c>
      <c r="C1" s="173" t="s">
        <v>544</v>
      </c>
      <c r="D1" s="173" t="s">
        <v>437</v>
      </c>
      <c r="E1" s="173" t="s">
        <v>527</v>
      </c>
      <c r="F1" s="172"/>
      <c r="G1" s="172"/>
      <c r="H1" s="172"/>
      <c r="I1" s="172"/>
      <c r="J1" s="171"/>
      <c r="K1" s="243" t="s">
        <v>176</v>
      </c>
      <c r="L1" s="243"/>
    </row>
    <row r="2" spans="1:18" x14ac:dyDescent="0.2">
      <c r="A2" s="223"/>
      <c r="B2" s="255" t="s">
        <v>435</v>
      </c>
      <c r="C2" s="254">
        <v>2.25</v>
      </c>
      <c r="D2" s="152"/>
      <c r="E2" s="152"/>
      <c r="F2" s="152"/>
      <c r="G2" s="152"/>
      <c r="H2" s="152"/>
      <c r="I2" s="152"/>
      <c r="J2" s="151"/>
    </row>
    <row r="3" spans="1:18" x14ac:dyDescent="0.2">
      <c r="A3" s="223"/>
      <c r="B3" s="152"/>
      <c r="C3" s="152"/>
      <c r="D3" s="152"/>
      <c r="E3" s="152"/>
      <c r="F3" s="152"/>
      <c r="G3" s="152"/>
      <c r="H3" s="152"/>
      <c r="I3" s="152"/>
      <c r="J3" s="151"/>
      <c r="L3" t="s">
        <v>543</v>
      </c>
      <c r="N3" s="249">
        <f>PRODUCT(D9:G9)</f>
        <v>1.5498273826419997</v>
      </c>
    </row>
    <row r="4" spans="1:18" x14ac:dyDescent="0.2">
      <c r="A4" s="223"/>
      <c r="B4" s="152"/>
      <c r="C4" s="152" t="s">
        <v>542</v>
      </c>
      <c r="D4" s="152"/>
      <c r="E4" s="152"/>
      <c r="F4" s="152"/>
      <c r="G4" s="152"/>
      <c r="H4" s="152"/>
      <c r="I4" s="152"/>
      <c r="J4" s="151"/>
    </row>
    <row r="5" spans="1:18" x14ac:dyDescent="0.2">
      <c r="A5" s="223"/>
      <c r="B5" s="152"/>
      <c r="C5" s="152"/>
      <c r="D5" s="152"/>
      <c r="E5" s="152"/>
      <c r="F5" s="152"/>
      <c r="G5" s="152"/>
      <c r="H5" s="152"/>
      <c r="I5" s="152"/>
      <c r="J5" s="151"/>
      <c r="L5" t="s">
        <v>541</v>
      </c>
      <c r="N5" s="249">
        <f>N3*(I14-I13)/(E14-E13)</f>
        <v>3.4871116109445048</v>
      </c>
      <c r="O5" t="s">
        <v>540</v>
      </c>
    </row>
    <row r="6" spans="1:18" ht="17" thickBot="1" x14ac:dyDescent="0.25">
      <c r="A6" s="223"/>
      <c r="B6" s="152"/>
      <c r="C6" s="360" t="s">
        <v>539</v>
      </c>
      <c r="D6" s="360"/>
      <c r="E6" s="360"/>
      <c r="F6" s="360"/>
      <c r="G6" s="360"/>
      <c r="H6" s="152"/>
      <c r="I6" s="152"/>
      <c r="J6" s="151"/>
    </row>
    <row r="7" spans="1:18" ht="17" thickBot="1" x14ac:dyDescent="0.25">
      <c r="A7" s="223"/>
      <c r="B7" s="152"/>
      <c r="C7" s="360" t="s">
        <v>538</v>
      </c>
      <c r="D7" s="360"/>
      <c r="E7" s="360"/>
      <c r="F7" s="360"/>
      <c r="G7" s="360"/>
      <c r="H7" s="152"/>
      <c r="I7" s="152"/>
      <c r="J7" s="151"/>
      <c r="L7" s="379" t="s">
        <v>537</v>
      </c>
      <c r="M7" s="380"/>
      <c r="N7" s="287">
        <f>(F20-F19)*(N5-1)</f>
        <v>559600.11246251361</v>
      </c>
    </row>
    <row r="8" spans="1:18" x14ac:dyDescent="0.2">
      <c r="A8" s="223"/>
      <c r="B8" s="152"/>
      <c r="C8" s="295" t="s">
        <v>45</v>
      </c>
      <c r="D8" s="265" t="s">
        <v>37</v>
      </c>
      <c r="E8" s="265" t="s">
        <v>38</v>
      </c>
      <c r="F8" s="265" t="s">
        <v>449</v>
      </c>
      <c r="G8" s="264" t="s">
        <v>536</v>
      </c>
      <c r="H8" s="152"/>
      <c r="I8" s="152"/>
      <c r="J8" s="151"/>
      <c r="M8" s="290"/>
    </row>
    <row r="9" spans="1:18" x14ac:dyDescent="0.2">
      <c r="A9" s="223"/>
      <c r="B9" s="152"/>
      <c r="C9" s="252">
        <v>1.4630000000000001</v>
      </c>
      <c r="D9" s="250">
        <v>1.3089999999999999</v>
      </c>
      <c r="E9" s="250">
        <v>1.1140000000000001</v>
      </c>
      <c r="F9" s="250">
        <v>1.0429999999999999</v>
      </c>
      <c r="G9" s="251">
        <v>1.0189999999999999</v>
      </c>
      <c r="H9" s="152"/>
      <c r="I9" s="152"/>
      <c r="J9" s="151"/>
    </row>
    <row r="10" spans="1:18" ht="19" x14ac:dyDescent="0.25">
      <c r="A10" s="223"/>
      <c r="B10" s="152"/>
      <c r="C10" s="152"/>
      <c r="D10" s="152"/>
      <c r="E10" s="152"/>
      <c r="F10" s="152"/>
      <c r="G10" s="152"/>
      <c r="H10" s="152"/>
      <c r="I10" s="152"/>
      <c r="J10" s="151"/>
      <c r="L10" s="170" t="s">
        <v>173</v>
      </c>
    </row>
    <row r="11" spans="1:18" x14ac:dyDescent="0.2">
      <c r="A11" s="223"/>
      <c r="B11" s="152"/>
      <c r="C11" s="330" t="s">
        <v>535</v>
      </c>
      <c r="D11" s="378"/>
      <c r="E11" s="378"/>
      <c r="F11" s="378"/>
      <c r="G11" s="378"/>
      <c r="H11" s="378"/>
      <c r="I11" s="331"/>
      <c r="J11" s="151"/>
      <c r="L11" s="326" t="s">
        <v>534</v>
      </c>
      <c r="M11" s="326"/>
      <c r="N11" s="326"/>
      <c r="O11" s="326"/>
      <c r="P11" s="326"/>
      <c r="Q11" s="326"/>
      <c r="R11" s="326"/>
    </row>
    <row r="12" spans="1:18" x14ac:dyDescent="0.2">
      <c r="A12" s="223"/>
      <c r="B12" s="152"/>
      <c r="C12" s="169" t="s">
        <v>220</v>
      </c>
      <c r="D12" s="168">
        <v>12</v>
      </c>
      <c r="E12" s="168">
        <v>24</v>
      </c>
      <c r="F12" s="168">
        <v>36</v>
      </c>
      <c r="G12" s="168">
        <v>48</v>
      </c>
      <c r="H12" s="168">
        <v>60</v>
      </c>
      <c r="I12" s="167" t="s">
        <v>533</v>
      </c>
      <c r="J12" s="151"/>
      <c r="L12" s="326"/>
      <c r="M12" s="326"/>
      <c r="N12" s="326"/>
      <c r="O12" s="326"/>
      <c r="P12" s="326"/>
      <c r="Q12" s="326"/>
      <c r="R12" s="326"/>
    </row>
    <row r="13" spans="1:18" x14ac:dyDescent="0.2">
      <c r="A13" s="223"/>
      <c r="B13" s="155"/>
      <c r="C13" s="201">
        <v>100000</v>
      </c>
      <c r="D13" s="155">
        <v>0.95</v>
      </c>
      <c r="E13" s="155">
        <v>0.93</v>
      </c>
      <c r="F13" s="155">
        <v>0.9</v>
      </c>
      <c r="G13" s="155">
        <v>0.88</v>
      </c>
      <c r="H13" s="155">
        <v>0.86</v>
      </c>
      <c r="I13" s="289">
        <v>0.85</v>
      </c>
      <c r="J13" s="151"/>
      <c r="L13" s="326"/>
      <c r="M13" s="326"/>
      <c r="N13" s="326"/>
      <c r="O13" s="326"/>
      <c r="P13" s="326"/>
      <c r="Q13" s="326"/>
      <c r="R13" s="326"/>
    </row>
    <row r="14" spans="1:18" x14ac:dyDescent="0.2">
      <c r="A14" s="223"/>
      <c r="B14" s="155"/>
      <c r="C14" s="294">
        <v>250000</v>
      </c>
      <c r="D14" s="250">
        <v>0.99</v>
      </c>
      <c r="E14" s="250">
        <v>0.97</v>
      </c>
      <c r="F14" s="250">
        <v>0.96</v>
      </c>
      <c r="G14" s="250">
        <v>0.95</v>
      </c>
      <c r="H14" s="250">
        <v>0.94</v>
      </c>
      <c r="I14" s="251">
        <v>0.94</v>
      </c>
      <c r="J14" s="151"/>
      <c r="L14" s="326"/>
      <c r="M14" s="326"/>
      <c r="N14" s="326"/>
      <c r="O14" s="326"/>
      <c r="P14" s="326"/>
      <c r="Q14" s="326"/>
      <c r="R14" s="326"/>
    </row>
    <row r="15" spans="1:18" x14ac:dyDescent="0.2">
      <c r="A15" s="223"/>
      <c r="B15" s="155"/>
      <c r="C15" s="152"/>
      <c r="D15" s="152"/>
      <c r="E15" s="152"/>
      <c r="F15" s="152"/>
      <c r="G15" s="152"/>
      <c r="H15" s="152"/>
      <c r="I15" s="152"/>
      <c r="J15" s="151"/>
    </row>
    <row r="16" spans="1:18" ht="19" x14ac:dyDescent="0.25">
      <c r="A16" s="223"/>
      <c r="B16" s="155"/>
      <c r="C16" s="152" t="s">
        <v>532</v>
      </c>
      <c r="D16" s="152"/>
      <c r="E16" s="152"/>
      <c r="F16" s="152"/>
      <c r="G16" s="152"/>
      <c r="H16" s="152"/>
      <c r="I16" s="152"/>
      <c r="J16" s="151"/>
      <c r="L16" s="170" t="s">
        <v>210</v>
      </c>
      <c r="M16" s="268"/>
    </row>
    <row r="17" spans="1:13" x14ac:dyDescent="0.2">
      <c r="A17" s="223"/>
      <c r="B17" s="155"/>
      <c r="C17" s="152"/>
      <c r="D17" s="152"/>
      <c r="E17" s="152"/>
      <c r="F17" s="152"/>
      <c r="G17" s="152"/>
      <c r="H17" s="152"/>
      <c r="I17" s="152"/>
      <c r="J17" s="151"/>
      <c r="L17" t="s">
        <v>212</v>
      </c>
      <c r="M17" s="268"/>
    </row>
    <row r="18" spans="1:13" x14ac:dyDescent="0.2">
      <c r="A18" s="223"/>
      <c r="B18" s="155"/>
      <c r="C18" s="152"/>
      <c r="D18" s="152"/>
      <c r="E18" s="169" t="s">
        <v>220</v>
      </c>
      <c r="F18" s="169" t="s">
        <v>531</v>
      </c>
      <c r="G18" s="152"/>
      <c r="H18" s="152"/>
      <c r="I18" s="152"/>
      <c r="J18" s="151"/>
      <c r="M18" s="268"/>
    </row>
    <row r="19" spans="1:13" x14ac:dyDescent="0.2">
      <c r="A19" s="223"/>
      <c r="B19" s="155"/>
      <c r="C19" s="152"/>
      <c r="D19" s="152"/>
      <c r="E19" s="293">
        <v>100000</v>
      </c>
      <c r="F19" s="293">
        <v>3450000</v>
      </c>
      <c r="G19" s="152"/>
      <c r="H19" s="152"/>
      <c r="I19" s="152"/>
      <c r="J19" s="151"/>
      <c r="M19" s="268"/>
    </row>
    <row r="20" spans="1:13" x14ac:dyDescent="0.2">
      <c r="A20" s="223"/>
      <c r="B20" s="155"/>
      <c r="C20" s="152"/>
      <c r="D20" s="152"/>
      <c r="E20" s="248">
        <v>250000</v>
      </c>
      <c r="F20" s="248">
        <v>3675000</v>
      </c>
      <c r="G20" s="152"/>
      <c r="H20" s="152"/>
      <c r="I20" s="152"/>
      <c r="J20" s="151"/>
    </row>
    <row r="21" spans="1:13" x14ac:dyDescent="0.2">
      <c r="A21" s="223"/>
      <c r="B21" s="155"/>
      <c r="C21" s="152"/>
      <c r="D21" s="152"/>
      <c r="E21" s="152"/>
      <c r="F21" s="152"/>
      <c r="G21" s="152"/>
      <c r="H21" s="152"/>
      <c r="I21" s="152"/>
      <c r="J21" s="151"/>
    </row>
    <row r="22" spans="1:13" x14ac:dyDescent="0.2">
      <c r="A22" s="223"/>
      <c r="B22" s="155"/>
      <c r="C22" s="152" t="s">
        <v>530</v>
      </c>
      <c r="D22" s="152"/>
      <c r="E22" s="152"/>
      <c r="F22" s="152"/>
      <c r="G22" s="152"/>
      <c r="H22" s="152"/>
      <c r="I22" s="152"/>
      <c r="J22" s="151"/>
      <c r="L22" s="243"/>
      <c r="M22" s="267"/>
    </row>
    <row r="23" spans="1:13" x14ac:dyDescent="0.2">
      <c r="A23" s="223"/>
      <c r="B23" s="155"/>
      <c r="C23" s="152" t="s">
        <v>529</v>
      </c>
      <c r="D23" s="152"/>
      <c r="E23" s="152"/>
      <c r="F23" s="152"/>
      <c r="G23" s="152"/>
      <c r="H23" s="152"/>
      <c r="I23" s="152"/>
      <c r="J23" s="151"/>
    </row>
    <row r="24" spans="1:13" ht="17" thickBot="1" x14ac:dyDescent="0.25">
      <c r="A24" s="223"/>
      <c r="B24" s="152"/>
      <c r="C24" s="152"/>
      <c r="D24" s="152"/>
      <c r="E24" s="152"/>
      <c r="F24" s="152"/>
      <c r="G24" s="152"/>
      <c r="H24" s="152"/>
      <c r="I24" s="152"/>
      <c r="J24" s="151"/>
    </row>
    <row r="25" spans="1:13" ht="17" thickBot="1" x14ac:dyDescent="0.25">
      <c r="A25" s="241" t="s">
        <v>175</v>
      </c>
      <c r="B25" s="147"/>
      <c r="C25" s="240"/>
      <c r="D25" s="147"/>
      <c r="E25" s="147"/>
      <c r="F25" s="147"/>
      <c r="G25" s="147"/>
      <c r="H25" s="147"/>
      <c r="I25" s="147"/>
      <c r="J25" s="146"/>
    </row>
  </sheetData>
  <mergeCells count="5">
    <mergeCell ref="C6:G6"/>
    <mergeCell ref="C7:G7"/>
    <mergeCell ref="C11:I11"/>
    <mergeCell ref="L11:R14"/>
    <mergeCell ref="L7:M7"/>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06BFAE-A9C3-CC4C-9B96-A89CC8621246}">
  <dimension ref="A1:S52"/>
  <sheetViews>
    <sheetView workbookViewId="0"/>
  </sheetViews>
  <sheetFormatPr baseColWidth="10" defaultColWidth="11" defaultRowHeight="16" outlineLevelCol="1" x14ac:dyDescent="0.2"/>
  <cols>
    <col min="1" max="1" width="4" style="134" customWidth="1"/>
    <col min="2" max="2" width="10.83203125" customWidth="1"/>
    <col min="3" max="4" width="11.5" customWidth="1"/>
    <col min="5" max="5" width="11" customWidth="1"/>
    <col min="6" max="10" width="10.83203125" customWidth="1"/>
    <col min="12" max="12" width="14" hidden="1" customWidth="1" outlineLevel="1"/>
    <col min="13" max="13" width="11.6640625" hidden="1" customWidth="1" outlineLevel="1"/>
    <col min="14" max="18" width="10.83203125" hidden="1" customWidth="1" outlineLevel="1"/>
    <col min="19" max="19" width="11" collapsed="1"/>
  </cols>
  <sheetData>
    <row r="1" spans="1:14" x14ac:dyDescent="0.2">
      <c r="A1" s="256"/>
      <c r="B1" s="174" t="s">
        <v>439</v>
      </c>
      <c r="C1" s="173" t="s">
        <v>573</v>
      </c>
      <c r="D1" s="173" t="s">
        <v>437</v>
      </c>
      <c r="E1" s="173" t="s">
        <v>572</v>
      </c>
      <c r="F1" s="172"/>
      <c r="G1" s="172"/>
      <c r="H1" s="172"/>
      <c r="I1" s="172"/>
      <c r="J1" s="171"/>
      <c r="K1" s="243" t="s">
        <v>176</v>
      </c>
      <c r="L1" s="243"/>
    </row>
    <row r="2" spans="1:14" x14ac:dyDescent="0.2">
      <c r="A2" s="223"/>
      <c r="B2" s="255" t="s">
        <v>435</v>
      </c>
      <c r="C2" s="254">
        <v>2.75</v>
      </c>
      <c r="D2" s="152"/>
      <c r="E2" s="152"/>
      <c r="F2" s="152"/>
      <c r="G2" s="152"/>
      <c r="H2" s="152"/>
      <c r="I2" s="152"/>
      <c r="J2" s="151"/>
    </row>
    <row r="3" spans="1:14" x14ac:dyDescent="0.2">
      <c r="A3" s="223"/>
      <c r="B3" s="152"/>
      <c r="C3" s="152"/>
      <c r="D3" s="152"/>
      <c r="E3" s="152"/>
      <c r="F3" s="152"/>
      <c r="G3" s="152"/>
      <c r="H3" s="152"/>
      <c r="I3" s="152"/>
      <c r="J3" s="151"/>
      <c r="L3" s="243" t="s">
        <v>434</v>
      </c>
      <c r="M3" s="178"/>
    </row>
    <row r="4" spans="1:14" x14ac:dyDescent="0.2">
      <c r="A4" s="223"/>
      <c r="B4" s="152"/>
      <c r="C4" s="152" t="s">
        <v>571</v>
      </c>
      <c r="D4" s="152"/>
      <c r="E4" s="152"/>
      <c r="F4" s="152"/>
      <c r="G4" s="152"/>
      <c r="H4" s="152"/>
      <c r="I4" s="152"/>
      <c r="J4" s="151"/>
      <c r="L4" t="s">
        <v>570</v>
      </c>
      <c r="M4" s="178"/>
    </row>
    <row r="5" spans="1:14" ht="17" thickBot="1" x14ac:dyDescent="0.25">
      <c r="A5" s="223"/>
      <c r="B5" s="152"/>
      <c r="C5" s="152" t="s">
        <v>569</v>
      </c>
      <c r="D5" s="152"/>
      <c r="E5" s="152"/>
      <c r="F5" s="152"/>
      <c r="G5" s="152"/>
      <c r="H5" s="152"/>
      <c r="I5" s="152"/>
      <c r="J5" s="151"/>
      <c r="M5" s="178"/>
    </row>
    <row r="6" spans="1:14" ht="17" thickBot="1" x14ac:dyDescent="0.25">
      <c r="A6" s="223"/>
      <c r="B6" s="152"/>
      <c r="C6" s="152"/>
      <c r="D6" s="152"/>
      <c r="E6" s="152"/>
      <c r="F6" s="152"/>
      <c r="G6" s="152"/>
      <c r="H6" s="152"/>
      <c r="I6" s="152"/>
      <c r="J6" s="151"/>
      <c r="L6" t="s">
        <v>568</v>
      </c>
      <c r="M6" s="249"/>
      <c r="N6" s="301">
        <f>F14*(F15-1)</f>
        <v>550000</v>
      </c>
    </row>
    <row r="7" spans="1:14" ht="16.5" customHeight="1" x14ac:dyDescent="0.2">
      <c r="A7" s="223"/>
      <c r="B7" s="152"/>
      <c r="C7" s="152"/>
      <c r="D7" s="330" t="s">
        <v>97</v>
      </c>
      <c r="E7" s="378"/>
      <c r="F7" s="331"/>
      <c r="G7" s="152"/>
      <c r="H7" s="152"/>
      <c r="I7" s="152"/>
      <c r="J7" s="151"/>
      <c r="M7" s="249"/>
    </row>
    <row r="8" spans="1:14" x14ac:dyDescent="0.2">
      <c r="A8" s="223"/>
      <c r="B8" s="152"/>
      <c r="C8" s="152"/>
      <c r="D8" s="169" t="s">
        <v>220</v>
      </c>
      <c r="E8" s="168" t="s">
        <v>564</v>
      </c>
      <c r="F8" s="167" t="s">
        <v>75</v>
      </c>
      <c r="G8" s="152"/>
      <c r="H8" s="152"/>
      <c r="I8" s="152"/>
      <c r="J8" s="151"/>
      <c r="L8" t="s">
        <v>567</v>
      </c>
      <c r="M8" s="249"/>
    </row>
    <row r="9" spans="1:14" x14ac:dyDescent="0.2">
      <c r="A9" s="223"/>
      <c r="B9" s="152"/>
      <c r="C9" s="152"/>
      <c r="D9" s="165" t="s">
        <v>40</v>
      </c>
      <c r="E9" s="156">
        <v>5000</v>
      </c>
      <c r="F9" s="305">
        <v>9000</v>
      </c>
      <c r="G9" s="152"/>
      <c r="H9" s="152"/>
      <c r="I9" s="152"/>
      <c r="J9" s="151"/>
      <c r="M9" s="249"/>
    </row>
    <row r="10" spans="1:14" x14ac:dyDescent="0.2">
      <c r="A10" s="223"/>
      <c r="B10" s="152"/>
      <c r="C10" s="152"/>
      <c r="D10" s="294">
        <v>500000</v>
      </c>
      <c r="E10" s="160">
        <v>4500</v>
      </c>
      <c r="F10" s="304">
        <v>6600</v>
      </c>
      <c r="G10" s="152"/>
      <c r="H10" s="152"/>
      <c r="I10" s="152"/>
      <c r="J10" s="151"/>
      <c r="L10" t="s">
        <v>566</v>
      </c>
      <c r="N10" s="303">
        <f>(F9-F10)/F9</f>
        <v>0.26666666666666666</v>
      </c>
    </row>
    <row r="11" spans="1:14" x14ac:dyDescent="0.2">
      <c r="A11" s="223"/>
      <c r="B11" s="152"/>
      <c r="C11" s="152"/>
      <c r="D11" s="152"/>
      <c r="E11" s="152"/>
      <c r="F11" s="152"/>
      <c r="G11" s="152"/>
      <c r="H11" s="152"/>
      <c r="I11" s="152"/>
      <c r="J11" s="151"/>
      <c r="L11" t="s">
        <v>565</v>
      </c>
      <c r="N11" s="302">
        <f>F9*E18</f>
        <v>9000000</v>
      </c>
    </row>
    <row r="12" spans="1:14" ht="15.5" customHeight="1" x14ac:dyDescent="0.2">
      <c r="A12" s="223"/>
      <c r="B12" s="152"/>
      <c r="C12" s="330"/>
      <c r="D12" s="378"/>
      <c r="E12" s="331"/>
      <c r="F12" s="168" t="s">
        <v>564</v>
      </c>
      <c r="G12" s="167" t="s">
        <v>75</v>
      </c>
      <c r="H12" s="152"/>
      <c r="I12" s="152"/>
      <c r="J12" s="151"/>
      <c r="L12" t="s">
        <v>563</v>
      </c>
      <c r="N12" s="302">
        <f>N11*N10</f>
        <v>2400000</v>
      </c>
    </row>
    <row r="13" spans="1:14" ht="17" thickBot="1" x14ac:dyDescent="0.25">
      <c r="A13" s="223"/>
      <c r="B13" s="155"/>
      <c r="C13" s="384" t="s">
        <v>562</v>
      </c>
      <c r="D13" s="376"/>
      <c r="E13" s="377"/>
      <c r="F13" s="156">
        <v>1000000</v>
      </c>
      <c r="G13" s="289" t="s">
        <v>558</v>
      </c>
      <c r="H13" s="152"/>
      <c r="I13" s="152"/>
      <c r="J13" s="151"/>
    </row>
    <row r="14" spans="1:14" ht="17" thickBot="1" x14ac:dyDescent="0.25">
      <c r="A14" s="223"/>
      <c r="B14" s="155"/>
      <c r="C14" s="384" t="s">
        <v>561</v>
      </c>
      <c r="D14" s="376"/>
      <c r="E14" s="377"/>
      <c r="F14" s="156">
        <v>275000</v>
      </c>
      <c r="G14" s="289" t="s">
        <v>558</v>
      </c>
      <c r="H14" s="152"/>
      <c r="I14" s="152"/>
      <c r="J14" s="151"/>
      <c r="L14" t="s">
        <v>560</v>
      </c>
      <c r="N14" s="301">
        <f>N12-F14</f>
        <v>2125000</v>
      </c>
    </row>
    <row r="15" spans="1:14" x14ac:dyDescent="0.2">
      <c r="A15" s="223"/>
      <c r="B15" s="155"/>
      <c r="C15" s="384" t="s">
        <v>559</v>
      </c>
      <c r="D15" s="376"/>
      <c r="E15" s="377"/>
      <c r="F15" s="164">
        <v>3</v>
      </c>
      <c r="G15" s="289" t="s">
        <v>558</v>
      </c>
      <c r="H15" s="152"/>
      <c r="I15" s="152"/>
      <c r="J15" s="151"/>
    </row>
    <row r="16" spans="1:14" x14ac:dyDescent="0.2">
      <c r="A16" s="223"/>
      <c r="B16" s="155"/>
      <c r="C16" s="363" t="s">
        <v>557</v>
      </c>
      <c r="D16" s="369"/>
      <c r="E16" s="364"/>
      <c r="F16" s="159">
        <v>0.2</v>
      </c>
      <c r="G16" s="158">
        <v>0.3</v>
      </c>
      <c r="H16" s="152"/>
      <c r="I16" s="152"/>
      <c r="J16" s="151"/>
      <c r="L16" s="300" t="s">
        <v>556</v>
      </c>
    </row>
    <row r="17" spans="1:18" x14ac:dyDescent="0.2">
      <c r="A17" s="223"/>
      <c r="B17" s="155"/>
      <c r="C17" s="152"/>
      <c r="D17" s="152"/>
      <c r="E17" s="152"/>
      <c r="F17" s="152"/>
      <c r="G17" s="152"/>
      <c r="H17" s="152"/>
      <c r="I17" s="152"/>
      <c r="J17" s="151"/>
      <c r="L17" s="326" t="s">
        <v>555</v>
      </c>
      <c r="M17" s="326"/>
      <c r="N17" s="326"/>
      <c r="O17" s="326"/>
      <c r="P17" s="326"/>
      <c r="Q17" s="326"/>
      <c r="R17" s="326"/>
    </row>
    <row r="18" spans="1:18" x14ac:dyDescent="0.2">
      <c r="A18" s="223"/>
      <c r="B18" s="155"/>
      <c r="C18" s="152" t="s">
        <v>554</v>
      </c>
      <c r="D18" s="152"/>
      <c r="E18" s="185">
        <v>1000</v>
      </c>
      <c r="F18" s="152" t="s">
        <v>553</v>
      </c>
      <c r="G18" s="152"/>
      <c r="H18" s="152"/>
      <c r="I18" s="152"/>
      <c r="J18" s="151"/>
      <c r="L18" s="326"/>
      <c r="M18" s="326"/>
      <c r="N18" s="326"/>
      <c r="O18" s="326"/>
      <c r="P18" s="326"/>
      <c r="Q18" s="326"/>
      <c r="R18" s="326"/>
    </row>
    <row r="19" spans="1:18" x14ac:dyDescent="0.2">
      <c r="A19" s="223"/>
      <c r="B19" s="155"/>
      <c r="C19" s="152"/>
      <c r="D19" s="152"/>
      <c r="E19" s="152"/>
      <c r="F19" s="152"/>
      <c r="G19" s="152"/>
      <c r="H19" s="152"/>
      <c r="I19" s="152"/>
      <c r="J19" s="151"/>
      <c r="L19" s="326"/>
      <c r="M19" s="326"/>
      <c r="N19" s="326"/>
      <c r="O19" s="326"/>
      <c r="P19" s="326"/>
      <c r="Q19" s="326"/>
      <c r="R19" s="326"/>
    </row>
    <row r="20" spans="1:18" x14ac:dyDescent="0.2">
      <c r="A20" s="223" t="s">
        <v>0</v>
      </c>
      <c r="B20" s="190" t="s">
        <v>552</v>
      </c>
      <c r="C20" s="152" t="s">
        <v>551</v>
      </c>
      <c r="D20" s="152"/>
      <c r="E20" s="152"/>
      <c r="F20" s="152"/>
      <c r="G20" s="152"/>
      <c r="H20" s="152"/>
      <c r="I20" s="152"/>
      <c r="J20" s="151"/>
    </row>
    <row r="21" spans="1:18" x14ac:dyDescent="0.2">
      <c r="A21" s="223"/>
      <c r="B21" s="155"/>
      <c r="C21" s="152"/>
      <c r="D21" s="152"/>
      <c r="E21" s="152"/>
      <c r="F21" s="152"/>
      <c r="G21" s="152"/>
      <c r="H21" s="152"/>
      <c r="I21" s="152"/>
      <c r="J21" s="151"/>
    </row>
    <row r="22" spans="1:18" x14ac:dyDescent="0.2">
      <c r="A22" s="223" t="s">
        <v>1</v>
      </c>
      <c r="B22" s="152" t="s">
        <v>455</v>
      </c>
      <c r="C22" s="152" t="s">
        <v>550</v>
      </c>
      <c r="D22" s="152"/>
      <c r="E22" s="152"/>
      <c r="F22" s="152"/>
      <c r="G22" s="152"/>
      <c r="H22" s="152"/>
      <c r="I22" s="152"/>
      <c r="J22" s="151"/>
      <c r="L22" s="243" t="s">
        <v>424</v>
      </c>
      <c r="M22" s="268"/>
    </row>
    <row r="23" spans="1:18" ht="15.5" customHeight="1" x14ac:dyDescent="0.2">
      <c r="A23" s="223"/>
      <c r="B23" s="152"/>
      <c r="C23" s="180"/>
      <c r="D23" s="152"/>
      <c r="E23" s="152"/>
      <c r="F23" s="152"/>
      <c r="G23" s="152"/>
      <c r="H23" s="152"/>
      <c r="I23" s="152"/>
      <c r="J23" s="151"/>
      <c r="L23" s="326" t="s">
        <v>549</v>
      </c>
      <c r="M23" s="326"/>
      <c r="N23" s="326"/>
      <c r="O23" s="326"/>
      <c r="P23" s="326"/>
      <c r="Q23" s="326"/>
      <c r="R23" s="326"/>
    </row>
    <row r="24" spans="1:18" x14ac:dyDescent="0.2">
      <c r="A24" s="223"/>
      <c r="B24" s="152"/>
      <c r="C24" s="381" t="s">
        <v>548</v>
      </c>
      <c r="D24" s="382"/>
      <c r="E24" s="382"/>
      <c r="F24" s="382"/>
      <c r="G24" s="383"/>
      <c r="H24" s="152"/>
      <c r="I24" s="152"/>
      <c r="J24" s="151"/>
      <c r="L24" s="326"/>
      <c r="M24" s="326"/>
      <c r="N24" s="326"/>
      <c r="O24" s="326"/>
      <c r="P24" s="326"/>
      <c r="Q24" s="326"/>
      <c r="R24" s="326"/>
    </row>
    <row r="25" spans="1:18" x14ac:dyDescent="0.2">
      <c r="A25" s="223"/>
      <c r="B25" s="152"/>
      <c r="C25" s="385" t="s">
        <v>547</v>
      </c>
      <c r="D25" s="386"/>
      <c r="E25" s="386"/>
      <c r="F25" s="386"/>
      <c r="G25" s="387"/>
      <c r="H25" s="152"/>
      <c r="I25" s="152"/>
      <c r="J25" s="151"/>
      <c r="L25" s="326"/>
      <c r="M25" s="326"/>
      <c r="N25" s="326"/>
      <c r="O25" s="326"/>
      <c r="P25" s="326"/>
      <c r="Q25" s="326"/>
      <c r="R25" s="326"/>
    </row>
    <row r="26" spans="1:18" x14ac:dyDescent="0.2">
      <c r="A26" s="223"/>
      <c r="B26" s="152"/>
      <c r="C26" s="299" t="s">
        <v>45</v>
      </c>
      <c r="D26" s="298" t="s">
        <v>37</v>
      </c>
      <c r="E26" s="298" t="s">
        <v>38</v>
      </c>
      <c r="F26" s="298" t="s">
        <v>449</v>
      </c>
      <c r="G26" s="297" t="s">
        <v>448</v>
      </c>
      <c r="H26" s="152"/>
      <c r="I26" s="152"/>
      <c r="J26" s="151"/>
      <c r="L26" s="326"/>
      <c r="M26" s="326"/>
      <c r="N26" s="326"/>
      <c r="O26" s="326"/>
      <c r="P26" s="326"/>
      <c r="Q26" s="326"/>
      <c r="R26" s="326"/>
    </row>
    <row r="27" spans="1:18" x14ac:dyDescent="0.2">
      <c r="A27" s="223"/>
      <c r="B27" s="152"/>
      <c r="C27" s="296">
        <v>1.5</v>
      </c>
      <c r="D27" s="159">
        <v>1.25</v>
      </c>
      <c r="E27" s="159">
        <v>1.1499999999999999</v>
      </c>
      <c r="F27" s="159">
        <v>1.05</v>
      </c>
      <c r="G27" s="158">
        <v>1</v>
      </c>
      <c r="H27" s="152"/>
      <c r="I27" s="152"/>
      <c r="J27" s="151"/>
    </row>
    <row r="28" spans="1:18" x14ac:dyDescent="0.2">
      <c r="A28" s="223"/>
      <c r="B28" s="152"/>
      <c r="C28" s="192"/>
      <c r="D28" s="155"/>
      <c r="E28" s="155"/>
      <c r="F28" s="155"/>
      <c r="G28" s="155"/>
      <c r="H28" s="152"/>
      <c r="I28" s="152"/>
      <c r="J28" s="151"/>
    </row>
    <row r="29" spans="1:18" ht="19" x14ac:dyDescent="0.25">
      <c r="A29" s="223"/>
      <c r="B29" s="152"/>
      <c r="C29" s="157" t="s">
        <v>546</v>
      </c>
      <c r="D29" s="155"/>
      <c r="E29" s="155"/>
      <c r="F29" s="155"/>
      <c r="G29" s="155"/>
      <c r="H29" s="152"/>
      <c r="I29" s="152"/>
      <c r="J29" s="151"/>
      <c r="L29" s="170" t="s">
        <v>173</v>
      </c>
    </row>
    <row r="30" spans="1:18" ht="17" customHeight="1" thickBot="1" x14ac:dyDescent="0.25">
      <c r="A30" s="223"/>
      <c r="B30" s="152"/>
      <c r="C30" s="152"/>
      <c r="D30" s="152"/>
      <c r="E30" s="152"/>
      <c r="F30" s="152"/>
      <c r="G30" s="152"/>
      <c r="H30" s="152"/>
      <c r="I30" s="152"/>
      <c r="J30" s="151"/>
      <c r="L30" s="338" t="s">
        <v>545</v>
      </c>
      <c r="M30" s="338"/>
      <c r="N30" s="338"/>
      <c r="O30" s="338"/>
      <c r="P30" s="338"/>
      <c r="Q30" s="338"/>
      <c r="R30" s="338"/>
    </row>
    <row r="31" spans="1:18" ht="17" thickBot="1" x14ac:dyDescent="0.25">
      <c r="A31" s="241" t="s">
        <v>175</v>
      </c>
      <c r="B31" s="147"/>
      <c r="C31" s="240"/>
      <c r="D31" s="147"/>
      <c r="E31" s="147"/>
      <c r="F31" s="147"/>
      <c r="G31" s="147"/>
      <c r="H31" s="147"/>
      <c r="I31" s="147"/>
      <c r="J31" s="146"/>
      <c r="L31" s="338"/>
      <c r="M31" s="338"/>
      <c r="N31" s="338"/>
      <c r="O31" s="338"/>
      <c r="P31" s="338"/>
      <c r="Q31" s="338"/>
      <c r="R31" s="338"/>
    </row>
    <row r="32" spans="1:18" x14ac:dyDescent="0.2">
      <c r="L32" s="338"/>
      <c r="M32" s="338"/>
      <c r="N32" s="338"/>
      <c r="O32" s="338"/>
      <c r="P32" s="338"/>
      <c r="Q32" s="338"/>
      <c r="R32" s="338"/>
    </row>
    <row r="33" spans="12:18" x14ac:dyDescent="0.2">
      <c r="L33" s="338"/>
      <c r="M33" s="338"/>
      <c r="N33" s="338"/>
      <c r="O33" s="338"/>
      <c r="P33" s="338"/>
      <c r="Q33" s="338"/>
      <c r="R33" s="338"/>
    </row>
    <row r="34" spans="12:18" x14ac:dyDescent="0.2">
      <c r="L34" s="338"/>
      <c r="M34" s="338"/>
      <c r="N34" s="338"/>
      <c r="O34" s="338"/>
      <c r="P34" s="338"/>
      <c r="Q34" s="338"/>
      <c r="R34" s="338"/>
    </row>
    <row r="35" spans="12:18" x14ac:dyDescent="0.2">
      <c r="L35" s="338"/>
      <c r="M35" s="338"/>
      <c r="N35" s="338"/>
      <c r="O35" s="338"/>
      <c r="P35" s="338"/>
      <c r="Q35" s="338"/>
      <c r="R35" s="338"/>
    </row>
    <row r="36" spans="12:18" x14ac:dyDescent="0.2">
      <c r="L36" s="338"/>
      <c r="M36" s="338"/>
      <c r="N36" s="338"/>
      <c r="O36" s="338"/>
      <c r="P36" s="338"/>
      <c r="Q36" s="338"/>
      <c r="R36" s="338"/>
    </row>
    <row r="37" spans="12:18" x14ac:dyDescent="0.2">
      <c r="L37" s="338"/>
      <c r="M37" s="338"/>
      <c r="N37" s="338"/>
      <c r="O37" s="338"/>
      <c r="P37" s="338"/>
      <c r="Q37" s="338"/>
      <c r="R37" s="338"/>
    </row>
    <row r="38" spans="12:18" x14ac:dyDescent="0.2">
      <c r="L38" s="338"/>
      <c r="M38" s="338"/>
      <c r="N38" s="338"/>
      <c r="O38" s="338"/>
      <c r="P38" s="338"/>
      <c r="Q38" s="338"/>
      <c r="R38" s="338"/>
    </row>
    <row r="39" spans="12:18" x14ac:dyDescent="0.2">
      <c r="L39" s="338"/>
      <c r="M39" s="338"/>
      <c r="N39" s="338"/>
      <c r="O39" s="338"/>
      <c r="P39" s="338"/>
      <c r="Q39" s="338"/>
      <c r="R39" s="338"/>
    </row>
    <row r="40" spans="12:18" x14ac:dyDescent="0.2">
      <c r="L40" s="338"/>
      <c r="M40" s="338"/>
      <c r="N40" s="338"/>
      <c r="O40" s="338"/>
      <c r="P40" s="338"/>
      <c r="Q40" s="338"/>
      <c r="R40" s="338"/>
    </row>
    <row r="41" spans="12:18" x14ac:dyDescent="0.2">
      <c r="L41" s="338"/>
      <c r="M41" s="338"/>
      <c r="N41" s="338"/>
      <c r="O41" s="338"/>
      <c r="P41" s="338"/>
      <c r="Q41" s="338"/>
      <c r="R41" s="338"/>
    </row>
    <row r="42" spans="12:18" x14ac:dyDescent="0.2">
      <c r="L42" s="338"/>
      <c r="M42" s="338"/>
      <c r="N42" s="338"/>
      <c r="O42" s="338"/>
      <c r="P42" s="338"/>
      <c r="Q42" s="338"/>
      <c r="R42" s="338"/>
    </row>
    <row r="44" spans="12:18" ht="19" x14ac:dyDescent="0.25">
      <c r="L44" s="170" t="s">
        <v>210</v>
      </c>
    </row>
    <row r="45" spans="12:18" x14ac:dyDescent="0.2">
      <c r="L45" t="s">
        <v>209</v>
      </c>
    </row>
    <row r="46" spans="12:18" x14ac:dyDescent="0.2">
      <c r="M46" s="268"/>
    </row>
    <row r="52" spans="13:13" x14ac:dyDescent="0.2">
      <c r="M52" s="271"/>
    </row>
  </sheetData>
  <mergeCells count="11">
    <mergeCell ref="C12:E12"/>
    <mergeCell ref="C24:G24"/>
    <mergeCell ref="L30:R42"/>
    <mergeCell ref="D7:F7"/>
    <mergeCell ref="C13:E13"/>
    <mergeCell ref="C14:E14"/>
    <mergeCell ref="C15:E15"/>
    <mergeCell ref="L17:R19"/>
    <mergeCell ref="C25:G25"/>
    <mergeCell ref="L23:R26"/>
    <mergeCell ref="C16:E16"/>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11B82-1391-3043-8700-83438C55D209}">
  <dimension ref="A1:T105"/>
  <sheetViews>
    <sheetView workbookViewId="0"/>
  </sheetViews>
  <sheetFormatPr baseColWidth="10" defaultColWidth="10.83203125" defaultRowHeight="16" outlineLevelCol="1" x14ac:dyDescent="0.2"/>
  <cols>
    <col min="1" max="1" width="4.5" style="134" customWidth="1"/>
    <col min="2" max="2" width="10.83203125" style="134"/>
    <col min="3" max="3" width="13.83203125" style="134" bestFit="1" customWidth="1"/>
    <col min="4" max="4" width="13.6640625" style="134" bestFit="1" customWidth="1"/>
    <col min="5" max="7" width="10.83203125" style="134"/>
    <col min="8" max="8" width="11.5" style="134" customWidth="1"/>
    <col min="9" max="11" width="10.83203125" style="134"/>
    <col min="12" max="12" width="12" style="134" bestFit="1" customWidth="1"/>
    <col min="13" max="19" width="10.83203125" style="134" hidden="1" customWidth="1" outlineLevel="1"/>
    <col min="20" max="20" width="10.83203125" style="134" collapsed="1"/>
    <col min="21" max="16384" width="10.83203125" style="134"/>
  </cols>
  <sheetData>
    <row r="1" spans="1:19" ht="19" x14ac:dyDescent="0.25">
      <c r="A1" s="188" t="s">
        <v>399</v>
      </c>
      <c r="B1" s="174"/>
      <c r="C1" s="173"/>
      <c r="D1" s="173"/>
      <c r="E1" s="173"/>
      <c r="F1" s="231"/>
      <c r="G1" s="231"/>
      <c r="H1" s="231"/>
      <c r="I1" s="231"/>
      <c r="J1" s="230"/>
      <c r="L1" s="170" t="s">
        <v>398</v>
      </c>
    </row>
    <row r="2" spans="1:19" x14ac:dyDescent="0.2">
      <c r="A2" s="223"/>
      <c r="B2" s="190"/>
      <c r="C2" s="190"/>
      <c r="D2" s="190"/>
      <c r="E2" s="190"/>
      <c r="F2" s="190"/>
      <c r="G2" s="190"/>
      <c r="H2" s="190"/>
      <c r="I2" s="190"/>
      <c r="J2" s="222"/>
    </row>
    <row r="3" spans="1:19" x14ac:dyDescent="0.2">
      <c r="A3" s="223"/>
      <c r="B3" s="224" t="s">
        <v>397</v>
      </c>
      <c r="C3" s="190"/>
      <c r="D3" s="190"/>
      <c r="E3" s="190"/>
      <c r="F3" s="190"/>
      <c r="G3" s="190"/>
      <c r="H3" s="190"/>
      <c r="I3" s="190"/>
      <c r="J3" s="222"/>
      <c r="M3" s="229" t="s">
        <v>397</v>
      </c>
    </row>
    <row r="4" spans="1:19" x14ac:dyDescent="0.2">
      <c r="A4" s="223"/>
      <c r="B4" s="190"/>
      <c r="C4" s="190"/>
      <c r="D4" s="190"/>
      <c r="E4" s="190"/>
      <c r="F4" s="190"/>
      <c r="G4" s="190"/>
      <c r="H4" s="190"/>
      <c r="I4" s="190"/>
      <c r="J4" s="222"/>
      <c r="M4" s="225"/>
    </row>
    <row r="5" spans="1:19" x14ac:dyDescent="0.2">
      <c r="A5" s="223"/>
      <c r="B5" s="228" t="s">
        <v>396</v>
      </c>
      <c r="C5" s="190"/>
      <c r="D5" s="190"/>
      <c r="E5" s="190"/>
      <c r="F5" s="190"/>
      <c r="G5" s="190"/>
      <c r="H5" s="190"/>
      <c r="I5" s="190"/>
      <c r="J5" s="222"/>
      <c r="M5" s="225" t="s">
        <v>395</v>
      </c>
    </row>
    <row r="6" spans="1:19" x14ac:dyDescent="0.2">
      <c r="A6" s="223"/>
      <c r="B6" s="190"/>
      <c r="C6" s="190"/>
      <c r="D6" s="190"/>
      <c r="E6" s="190"/>
      <c r="F6" s="190"/>
      <c r="G6" s="190"/>
      <c r="H6" s="190"/>
      <c r="I6" s="190"/>
      <c r="J6" s="222"/>
      <c r="M6" s="225" t="s">
        <v>394</v>
      </c>
    </row>
    <row r="7" spans="1:19" x14ac:dyDescent="0.2">
      <c r="A7" s="223"/>
      <c r="B7" s="224" t="s">
        <v>389</v>
      </c>
      <c r="C7" s="190"/>
      <c r="D7" s="190"/>
      <c r="E7" s="190"/>
      <c r="F7" s="190"/>
      <c r="G7" s="190"/>
      <c r="H7" s="190"/>
      <c r="I7" s="190"/>
      <c r="J7" s="222"/>
      <c r="M7" s="225" t="s">
        <v>393</v>
      </c>
    </row>
    <row r="8" spans="1:19" x14ac:dyDescent="0.2">
      <c r="A8" s="223"/>
      <c r="B8" s="190"/>
      <c r="C8" s="190"/>
      <c r="D8" s="190"/>
      <c r="E8" s="190"/>
      <c r="F8" s="190"/>
      <c r="G8" s="190"/>
      <c r="H8" s="190"/>
      <c r="I8" s="190"/>
      <c r="J8" s="222"/>
      <c r="M8" s="225" t="s">
        <v>392</v>
      </c>
    </row>
    <row r="9" spans="1:19" x14ac:dyDescent="0.2">
      <c r="A9" s="223"/>
      <c r="B9" s="190" t="s">
        <v>0</v>
      </c>
      <c r="C9" s="190"/>
      <c r="D9" s="190"/>
      <c r="E9" s="190"/>
      <c r="F9" s="190"/>
      <c r="G9" s="190"/>
      <c r="H9" s="190"/>
      <c r="I9" s="190"/>
      <c r="J9" s="222"/>
      <c r="M9" s="134" t="s">
        <v>391</v>
      </c>
    </row>
    <row r="10" spans="1:19" x14ac:dyDescent="0.2">
      <c r="A10" s="223"/>
      <c r="B10" s="336" t="s">
        <v>390</v>
      </c>
      <c r="C10" s="336"/>
      <c r="D10" s="336"/>
      <c r="E10" s="336"/>
      <c r="F10" s="336"/>
      <c r="G10" s="336"/>
      <c r="H10" s="336"/>
      <c r="I10" s="336"/>
      <c r="J10" s="222"/>
    </row>
    <row r="11" spans="1:19" x14ac:dyDescent="0.2">
      <c r="A11" s="223"/>
      <c r="B11" s="336"/>
      <c r="C11" s="336"/>
      <c r="D11" s="336"/>
      <c r="E11" s="336"/>
      <c r="F11" s="336"/>
      <c r="G11" s="336"/>
      <c r="H11" s="336"/>
      <c r="I11" s="336"/>
      <c r="J11" s="222"/>
      <c r="M11" s="197" t="s">
        <v>389</v>
      </c>
    </row>
    <row r="12" spans="1:19" x14ac:dyDescent="0.2">
      <c r="A12" s="223"/>
      <c r="B12" s="155"/>
      <c r="C12" s="190"/>
      <c r="D12" s="190"/>
      <c r="E12" s="190"/>
      <c r="F12" s="190"/>
      <c r="G12" s="190"/>
      <c r="H12" s="190"/>
      <c r="I12" s="190"/>
      <c r="J12" s="222"/>
      <c r="M12" s="225"/>
    </row>
    <row r="13" spans="1:19" x14ac:dyDescent="0.2">
      <c r="A13" s="223"/>
      <c r="B13" s="190" t="s">
        <v>1</v>
      </c>
      <c r="C13" s="190"/>
      <c r="D13" s="190"/>
      <c r="E13" s="190"/>
      <c r="F13" s="190"/>
      <c r="G13" s="190"/>
      <c r="H13" s="190"/>
      <c r="I13" s="190"/>
      <c r="J13" s="222"/>
      <c r="M13" s="226" t="s">
        <v>298</v>
      </c>
    </row>
    <row r="14" spans="1:19" x14ac:dyDescent="0.2">
      <c r="A14" s="223"/>
      <c r="B14" s="190" t="s">
        <v>388</v>
      </c>
      <c r="C14" s="190"/>
      <c r="D14" s="190"/>
      <c r="E14" s="190"/>
      <c r="F14" s="190"/>
      <c r="G14" s="190"/>
      <c r="H14" s="190"/>
      <c r="I14" s="190"/>
      <c r="J14" s="222"/>
      <c r="M14" s="225"/>
    </row>
    <row r="15" spans="1:19" x14ac:dyDescent="0.2">
      <c r="A15" s="223"/>
      <c r="B15" s="190"/>
      <c r="C15" s="190"/>
      <c r="D15" s="190"/>
      <c r="E15" s="190"/>
      <c r="F15" s="190"/>
      <c r="G15" s="190"/>
      <c r="H15" s="190"/>
      <c r="I15" s="190"/>
      <c r="J15" s="222"/>
      <c r="M15" s="388" t="s">
        <v>387</v>
      </c>
      <c r="N15" s="388"/>
      <c r="O15" s="388"/>
      <c r="P15" s="388"/>
      <c r="Q15" s="388"/>
      <c r="R15" s="388"/>
      <c r="S15" s="388"/>
    </row>
    <row r="16" spans="1:19" x14ac:dyDescent="0.2">
      <c r="A16" s="223"/>
      <c r="B16" s="224" t="s">
        <v>382</v>
      </c>
      <c r="C16" s="190"/>
      <c r="D16" s="190"/>
      <c r="E16" s="190"/>
      <c r="F16" s="190"/>
      <c r="G16" s="190"/>
      <c r="H16" s="190"/>
      <c r="I16" s="190"/>
      <c r="J16" s="222"/>
      <c r="M16" s="388"/>
      <c r="N16" s="388"/>
      <c r="O16" s="388"/>
      <c r="P16" s="388"/>
      <c r="Q16" s="388"/>
      <c r="R16" s="388"/>
      <c r="S16" s="388"/>
    </row>
    <row r="17" spans="1:19" x14ac:dyDescent="0.2">
      <c r="A17" s="223"/>
      <c r="B17" s="190"/>
      <c r="C17" s="190"/>
      <c r="D17" s="190"/>
      <c r="E17" s="190"/>
      <c r="F17" s="190"/>
      <c r="G17" s="190"/>
      <c r="H17" s="190"/>
      <c r="I17" s="190"/>
      <c r="J17" s="222"/>
    </row>
    <row r="18" spans="1:19" x14ac:dyDescent="0.2">
      <c r="A18" s="223"/>
      <c r="B18" s="190" t="s">
        <v>386</v>
      </c>
      <c r="C18" s="190"/>
      <c r="D18" s="190"/>
      <c r="E18" s="190"/>
      <c r="F18" s="190"/>
      <c r="G18" s="190"/>
      <c r="H18" s="190"/>
      <c r="I18" s="190"/>
      <c r="J18" s="222"/>
      <c r="M18" s="162" t="s">
        <v>293</v>
      </c>
    </row>
    <row r="19" spans="1:19" x14ac:dyDescent="0.2">
      <c r="A19" s="223"/>
      <c r="B19" s="190"/>
      <c r="C19" s="190"/>
      <c r="D19" s="190"/>
      <c r="E19" s="190"/>
      <c r="F19" s="190"/>
      <c r="G19" s="190"/>
      <c r="H19" s="190"/>
      <c r="I19" s="190"/>
      <c r="J19" s="222"/>
    </row>
    <row r="20" spans="1:19" x14ac:dyDescent="0.2">
      <c r="A20" s="223"/>
      <c r="B20" s="190" t="s">
        <v>0</v>
      </c>
      <c r="C20" s="190"/>
      <c r="D20" s="190"/>
      <c r="E20" s="190"/>
      <c r="F20" s="190"/>
      <c r="G20" s="190"/>
      <c r="H20" s="190"/>
      <c r="I20" s="190"/>
      <c r="J20" s="222"/>
      <c r="M20" s="134" t="s">
        <v>385</v>
      </c>
    </row>
    <row r="21" spans="1:19" x14ac:dyDescent="0.2">
      <c r="A21" s="223"/>
      <c r="B21" s="190" t="s">
        <v>384</v>
      </c>
      <c r="C21" s="190"/>
      <c r="D21" s="190"/>
      <c r="E21" s="190"/>
      <c r="F21" s="190"/>
      <c r="G21" s="190"/>
      <c r="H21" s="190"/>
      <c r="I21" s="190"/>
      <c r="J21" s="222"/>
      <c r="M21" s="134" t="s">
        <v>383</v>
      </c>
    </row>
    <row r="22" spans="1:19" x14ac:dyDescent="0.2">
      <c r="A22" s="223"/>
      <c r="B22" s="190"/>
      <c r="C22" s="190"/>
      <c r="D22" s="190"/>
      <c r="E22" s="190"/>
      <c r="F22" s="190"/>
      <c r="G22" s="190"/>
      <c r="H22" s="190"/>
      <c r="I22" s="190"/>
      <c r="J22" s="222"/>
    </row>
    <row r="23" spans="1:19" x14ac:dyDescent="0.2">
      <c r="A23" s="223"/>
      <c r="B23" s="190" t="s">
        <v>1</v>
      </c>
      <c r="C23" s="190"/>
      <c r="D23" s="190"/>
      <c r="E23" s="190"/>
      <c r="F23" s="190"/>
      <c r="G23" s="190"/>
      <c r="H23" s="190"/>
      <c r="I23" s="190"/>
      <c r="J23" s="222"/>
      <c r="M23" s="197" t="s">
        <v>382</v>
      </c>
    </row>
    <row r="24" spans="1:19" x14ac:dyDescent="0.2">
      <c r="A24" s="223"/>
      <c r="B24" s="190" t="s">
        <v>381</v>
      </c>
      <c r="C24" s="190"/>
      <c r="D24" s="190"/>
      <c r="E24" s="190"/>
      <c r="F24" s="190"/>
      <c r="G24" s="190"/>
      <c r="H24" s="190"/>
      <c r="I24" s="190"/>
      <c r="J24" s="222"/>
    </row>
    <row r="25" spans="1:19" x14ac:dyDescent="0.2">
      <c r="A25" s="223"/>
      <c r="B25" s="190"/>
      <c r="C25" s="190"/>
      <c r="D25" s="190"/>
      <c r="E25" s="190"/>
      <c r="F25" s="190"/>
      <c r="G25" s="190"/>
      <c r="H25" s="190"/>
      <c r="I25" s="190"/>
      <c r="J25" s="222"/>
      <c r="M25" s="162" t="s">
        <v>298</v>
      </c>
    </row>
    <row r="26" spans="1:19" x14ac:dyDescent="0.2">
      <c r="A26" s="223"/>
      <c r="B26" s="190" t="s">
        <v>2</v>
      </c>
      <c r="C26" s="190"/>
      <c r="D26" s="190"/>
      <c r="E26" s="190"/>
      <c r="F26" s="190"/>
      <c r="G26" s="190"/>
      <c r="H26" s="190"/>
      <c r="I26" s="190"/>
      <c r="J26" s="222"/>
    </row>
    <row r="27" spans="1:19" ht="15.75" customHeight="1" x14ac:dyDescent="0.2">
      <c r="A27" s="223"/>
      <c r="B27" s="190" t="s">
        <v>380</v>
      </c>
      <c r="C27" s="190"/>
      <c r="D27" s="190"/>
      <c r="E27" s="190"/>
      <c r="F27" s="190"/>
      <c r="G27" s="190"/>
      <c r="H27" s="190"/>
      <c r="I27" s="190"/>
      <c r="J27" s="222"/>
      <c r="M27" s="326" t="s">
        <v>379</v>
      </c>
      <c r="N27" s="326"/>
      <c r="O27" s="326"/>
      <c r="P27" s="326"/>
      <c r="Q27" s="326"/>
      <c r="R27" s="326"/>
      <c r="S27" s="326"/>
    </row>
    <row r="28" spans="1:19" x14ac:dyDescent="0.2">
      <c r="A28" s="223"/>
      <c r="B28" s="190"/>
      <c r="C28" s="190"/>
      <c r="D28" s="190"/>
      <c r="E28" s="190"/>
      <c r="F28" s="190"/>
      <c r="G28" s="190"/>
      <c r="H28" s="190"/>
      <c r="I28" s="190"/>
      <c r="J28" s="222"/>
      <c r="M28" s="326"/>
      <c r="N28" s="326"/>
      <c r="O28" s="326"/>
      <c r="P28" s="326"/>
      <c r="Q28" s="326"/>
      <c r="R28" s="326"/>
      <c r="S28" s="326"/>
    </row>
    <row r="29" spans="1:19" x14ac:dyDescent="0.2">
      <c r="A29" s="223"/>
      <c r="B29" s="224" t="s">
        <v>370</v>
      </c>
      <c r="C29" s="190"/>
      <c r="D29" s="190"/>
      <c r="E29" s="190"/>
      <c r="F29" s="190"/>
      <c r="G29" s="190"/>
      <c r="H29" s="190"/>
      <c r="I29" s="190"/>
      <c r="J29" s="222"/>
      <c r="M29" s="326"/>
      <c r="N29" s="326"/>
      <c r="O29" s="326"/>
      <c r="P29" s="326"/>
      <c r="Q29" s="326"/>
      <c r="R29" s="326"/>
      <c r="S29" s="326"/>
    </row>
    <row r="30" spans="1:19" x14ac:dyDescent="0.2">
      <c r="A30" s="223"/>
      <c r="B30" s="190"/>
      <c r="C30" s="190"/>
      <c r="D30" s="190"/>
      <c r="E30" s="190"/>
      <c r="F30" s="190"/>
      <c r="G30" s="190"/>
      <c r="H30" s="190"/>
      <c r="I30" s="190"/>
      <c r="J30" s="222"/>
      <c r="M30" s="227"/>
      <c r="N30" s="227"/>
      <c r="O30" s="227"/>
      <c r="P30" s="227"/>
      <c r="Q30" s="227"/>
      <c r="R30" s="227"/>
      <c r="S30" s="227"/>
    </row>
    <row r="31" spans="1:19" x14ac:dyDescent="0.2">
      <c r="A31" s="223"/>
      <c r="B31" s="336" t="s">
        <v>378</v>
      </c>
      <c r="C31" s="336"/>
      <c r="D31" s="336"/>
      <c r="E31" s="336"/>
      <c r="F31" s="336"/>
      <c r="G31" s="336"/>
      <c r="H31" s="336"/>
      <c r="I31" s="336"/>
      <c r="J31" s="222"/>
      <c r="M31" s="226" t="s">
        <v>293</v>
      </c>
    </row>
    <row r="32" spans="1:19" x14ac:dyDescent="0.2">
      <c r="A32" s="223"/>
      <c r="B32" s="336"/>
      <c r="C32" s="336"/>
      <c r="D32" s="336"/>
      <c r="E32" s="336"/>
      <c r="F32" s="336"/>
      <c r="G32" s="336"/>
      <c r="H32" s="336"/>
      <c r="I32" s="336"/>
      <c r="J32" s="222"/>
      <c r="M32" s="225"/>
    </row>
    <row r="33" spans="1:19" x14ac:dyDescent="0.2">
      <c r="A33" s="223"/>
      <c r="B33" s="190"/>
      <c r="C33" s="190"/>
      <c r="D33" s="190"/>
      <c r="E33" s="190"/>
      <c r="F33" s="190"/>
      <c r="G33" s="190"/>
      <c r="H33" s="190"/>
      <c r="I33" s="190"/>
      <c r="J33" s="222"/>
      <c r="M33" s="225" t="s">
        <v>377</v>
      </c>
    </row>
    <row r="34" spans="1:19" x14ac:dyDescent="0.2">
      <c r="A34" s="223"/>
      <c r="B34" s="224" t="s">
        <v>366</v>
      </c>
      <c r="C34" s="190"/>
      <c r="D34" s="190"/>
      <c r="E34" s="190"/>
      <c r="F34" s="190"/>
      <c r="G34" s="190"/>
      <c r="H34" s="190"/>
      <c r="I34" s="190"/>
      <c r="J34" s="222"/>
      <c r="M34" s="134" t="s">
        <v>376</v>
      </c>
    </row>
    <row r="35" spans="1:19" x14ac:dyDescent="0.2">
      <c r="A35" s="223"/>
      <c r="B35" s="190"/>
      <c r="C35" s="190"/>
      <c r="D35" s="190"/>
      <c r="E35" s="190"/>
      <c r="F35" s="190"/>
      <c r="G35" s="190"/>
      <c r="H35" s="190"/>
      <c r="I35" s="190"/>
      <c r="J35" s="222"/>
      <c r="M35" s="326" t="s">
        <v>375</v>
      </c>
      <c r="N35" s="326"/>
      <c r="O35" s="326"/>
      <c r="P35" s="326"/>
      <c r="Q35" s="326"/>
      <c r="R35" s="326"/>
      <c r="S35" s="326"/>
    </row>
    <row r="36" spans="1:19" x14ac:dyDescent="0.2">
      <c r="A36" s="223"/>
      <c r="B36" s="190" t="s">
        <v>374</v>
      </c>
      <c r="C36" s="190"/>
      <c r="D36" s="190"/>
      <c r="E36" s="190"/>
      <c r="F36" s="190"/>
      <c r="G36" s="190"/>
      <c r="H36" s="190"/>
      <c r="I36" s="190"/>
      <c r="J36" s="222"/>
      <c r="M36" s="326"/>
      <c r="N36" s="326"/>
      <c r="O36" s="326"/>
      <c r="P36" s="326"/>
      <c r="Q36" s="326"/>
      <c r="R36" s="326"/>
      <c r="S36" s="326"/>
    </row>
    <row r="37" spans="1:19" x14ac:dyDescent="0.2">
      <c r="A37" s="223"/>
      <c r="B37" s="190"/>
      <c r="C37" s="190"/>
      <c r="D37" s="190"/>
      <c r="E37" s="190"/>
      <c r="F37" s="190"/>
      <c r="G37" s="190"/>
      <c r="H37" s="190"/>
      <c r="I37" s="190"/>
      <c r="J37" s="222"/>
    </row>
    <row r="38" spans="1:19" x14ac:dyDescent="0.2">
      <c r="A38" s="223"/>
      <c r="B38" s="224" t="s">
        <v>362</v>
      </c>
      <c r="C38" s="190"/>
      <c r="D38" s="190"/>
      <c r="E38" s="190"/>
      <c r="F38" s="190"/>
      <c r="G38" s="190"/>
      <c r="H38" s="190"/>
      <c r="I38" s="190"/>
      <c r="J38" s="222"/>
      <c r="M38" s="162" t="s">
        <v>282</v>
      </c>
    </row>
    <row r="39" spans="1:19" x14ac:dyDescent="0.2">
      <c r="A39" s="223"/>
      <c r="B39" s="155"/>
      <c r="C39" s="190"/>
      <c r="D39" s="190"/>
      <c r="E39" s="190"/>
      <c r="F39" s="190"/>
      <c r="G39" s="190"/>
      <c r="H39" s="190"/>
      <c r="I39" s="190"/>
      <c r="J39" s="222"/>
    </row>
    <row r="40" spans="1:19" x14ac:dyDescent="0.2">
      <c r="A40" s="223"/>
      <c r="B40" s="190" t="s">
        <v>0</v>
      </c>
      <c r="C40" s="190"/>
      <c r="D40" s="190"/>
      <c r="E40" s="190"/>
      <c r="F40" s="190"/>
      <c r="G40" s="190"/>
      <c r="H40" s="190"/>
      <c r="I40" s="190"/>
      <c r="J40" s="222"/>
      <c r="M40" s="134" t="s">
        <v>373</v>
      </c>
    </row>
    <row r="41" spans="1:19" x14ac:dyDescent="0.2">
      <c r="A41" s="223"/>
      <c r="B41" s="190" t="s">
        <v>372</v>
      </c>
      <c r="C41" s="190"/>
      <c r="D41" s="190"/>
      <c r="E41" s="190"/>
      <c r="F41" s="190"/>
      <c r="G41" s="190"/>
      <c r="H41" s="190"/>
      <c r="I41" s="190"/>
      <c r="J41" s="222"/>
      <c r="M41" s="134" t="s">
        <v>371</v>
      </c>
    </row>
    <row r="42" spans="1:19" x14ac:dyDescent="0.2">
      <c r="A42" s="223"/>
      <c r="B42" s="155"/>
      <c r="C42" s="190"/>
      <c r="D42" s="190"/>
      <c r="E42" s="190"/>
      <c r="F42" s="190"/>
      <c r="G42" s="190"/>
      <c r="H42" s="190"/>
      <c r="I42" s="190"/>
      <c r="J42" s="222"/>
    </row>
    <row r="43" spans="1:19" x14ac:dyDescent="0.2">
      <c r="A43" s="223"/>
      <c r="B43" s="190" t="s">
        <v>1</v>
      </c>
      <c r="C43" s="190"/>
      <c r="D43" s="190"/>
      <c r="E43" s="190"/>
      <c r="F43" s="190"/>
      <c r="G43" s="190"/>
      <c r="H43" s="190"/>
      <c r="I43" s="190"/>
      <c r="J43" s="222"/>
      <c r="M43" s="197" t="s">
        <v>370</v>
      </c>
    </row>
    <row r="44" spans="1:19" x14ac:dyDescent="0.2">
      <c r="A44" s="223"/>
      <c r="B44" s="190" t="s">
        <v>369</v>
      </c>
      <c r="C44" s="190"/>
      <c r="D44" s="190"/>
      <c r="E44" s="190"/>
      <c r="F44" s="190"/>
      <c r="G44" s="190"/>
      <c r="H44" s="190"/>
      <c r="I44" s="190"/>
      <c r="J44" s="222"/>
    </row>
    <row r="45" spans="1:19" x14ac:dyDescent="0.2">
      <c r="A45" s="223"/>
      <c r="B45" s="155"/>
      <c r="C45" s="190"/>
      <c r="D45" s="190"/>
      <c r="E45" s="190"/>
      <c r="F45" s="190"/>
      <c r="G45" s="190"/>
      <c r="H45" s="190"/>
      <c r="I45" s="190"/>
      <c r="J45" s="222"/>
      <c r="M45" s="326" t="s">
        <v>368</v>
      </c>
      <c r="N45" s="326"/>
      <c r="O45" s="326"/>
      <c r="P45" s="326"/>
      <c r="Q45" s="326"/>
      <c r="R45" s="326"/>
      <c r="S45" s="326"/>
    </row>
    <row r="46" spans="1:19" x14ac:dyDescent="0.2">
      <c r="A46" s="223"/>
      <c r="B46" s="190" t="s">
        <v>2</v>
      </c>
      <c r="C46" s="190"/>
      <c r="D46" s="190"/>
      <c r="E46" s="190"/>
      <c r="F46" s="190"/>
      <c r="G46" s="190"/>
      <c r="H46" s="190"/>
      <c r="I46" s="190"/>
      <c r="J46" s="222"/>
      <c r="M46" s="326"/>
      <c r="N46" s="326"/>
      <c r="O46" s="326"/>
      <c r="P46" s="326"/>
      <c r="Q46" s="326"/>
      <c r="R46" s="326"/>
      <c r="S46" s="326"/>
    </row>
    <row r="47" spans="1:19" x14ac:dyDescent="0.2">
      <c r="A47" s="223"/>
      <c r="B47" s="190" t="s">
        <v>367</v>
      </c>
      <c r="C47" s="190"/>
      <c r="D47" s="190"/>
      <c r="E47" s="190"/>
      <c r="F47" s="190"/>
      <c r="G47" s="190"/>
      <c r="H47" s="190"/>
      <c r="I47" s="190"/>
      <c r="J47" s="222"/>
      <c r="M47" s="326"/>
      <c r="N47" s="326"/>
      <c r="O47" s="326"/>
      <c r="P47" s="326"/>
      <c r="Q47" s="326"/>
      <c r="R47" s="326"/>
      <c r="S47" s="326"/>
    </row>
    <row r="48" spans="1:19" x14ac:dyDescent="0.2">
      <c r="A48" s="223"/>
      <c r="B48" s="155"/>
      <c r="C48" s="190"/>
      <c r="D48" s="190"/>
      <c r="E48" s="190"/>
      <c r="F48" s="190"/>
      <c r="G48" s="190"/>
      <c r="H48" s="190"/>
      <c r="I48" s="190"/>
      <c r="J48" s="222"/>
    </row>
    <row r="49" spans="1:19" x14ac:dyDescent="0.2">
      <c r="A49" s="223"/>
      <c r="B49" s="190" t="s">
        <v>101</v>
      </c>
      <c r="C49" s="190"/>
      <c r="D49" s="190"/>
      <c r="E49" s="190"/>
      <c r="F49" s="190"/>
      <c r="G49" s="190"/>
      <c r="H49" s="190"/>
      <c r="I49" s="190"/>
      <c r="J49" s="222"/>
      <c r="M49" s="197" t="s">
        <v>366</v>
      </c>
    </row>
    <row r="50" spans="1:19" x14ac:dyDescent="0.2">
      <c r="A50" s="223"/>
      <c r="B50" s="190" t="s">
        <v>365</v>
      </c>
      <c r="C50" s="190"/>
      <c r="D50" s="190"/>
      <c r="E50" s="190"/>
      <c r="F50" s="190"/>
      <c r="G50" s="190"/>
      <c r="H50" s="190"/>
      <c r="I50" s="190"/>
      <c r="J50" s="222"/>
    </row>
    <row r="51" spans="1:19" ht="17" thickBot="1" x14ac:dyDescent="0.25">
      <c r="A51" s="221"/>
      <c r="B51" s="220"/>
      <c r="C51" s="220"/>
      <c r="D51" s="220"/>
      <c r="E51" s="220"/>
      <c r="F51" s="220"/>
      <c r="G51" s="220"/>
      <c r="H51" s="220"/>
      <c r="I51" s="220"/>
      <c r="J51" s="219"/>
      <c r="M51" s="326" t="s">
        <v>364</v>
      </c>
      <c r="N51" s="326"/>
      <c r="O51" s="326"/>
      <c r="P51" s="326"/>
      <c r="Q51" s="326"/>
      <c r="R51" s="326"/>
      <c r="S51" s="326"/>
    </row>
    <row r="52" spans="1:19" x14ac:dyDescent="0.2">
      <c r="M52" s="326"/>
      <c r="N52" s="326"/>
      <c r="O52" s="326"/>
      <c r="P52" s="326"/>
      <c r="Q52" s="326"/>
      <c r="R52" s="326"/>
      <c r="S52" s="326"/>
    </row>
    <row r="53" spans="1:19" x14ac:dyDescent="0.2">
      <c r="M53" s="326" t="s">
        <v>363</v>
      </c>
      <c r="N53" s="326"/>
      <c r="O53" s="326"/>
      <c r="P53" s="326"/>
      <c r="Q53" s="326"/>
      <c r="R53" s="326"/>
      <c r="S53" s="326"/>
    </row>
    <row r="54" spans="1:19" x14ac:dyDescent="0.2">
      <c r="M54" s="326"/>
      <c r="N54" s="326"/>
      <c r="O54" s="326"/>
      <c r="P54" s="326"/>
      <c r="Q54" s="326"/>
      <c r="R54" s="326"/>
      <c r="S54" s="326"/>
    </row>
    <row r="56" spans="1:19" x14ac:dyDescent="0.2">
      <c r="M56" s="197" t="s">
        <v>362</v>
      </c>
    </row>
    <row r="58" spans="1:19" x14ac:dyDescent="0.2">
      <c r="M58" s="162" t="s">
        <v>298</v>
      </c>
    </row>
    <row r="60" spans="1:19" x14ac:dyDescent="0.2">
      <c r="M60" s="134" t="s">
        <v>26</v>
      </c>
    </row>
    <row r="62" spans="1:19" x14ac:dyDescent="0.2">
      <c r="N62" s="134" t="s">
        <v>361</v>
      </c>
    </row>
    <row r="63" spans="1:19" x14ac:dyDescent="0.2">
      <c r="N63" s="134" t="s">
        <v>360</v>
      </c>
    </row>
    <row r="65" spans="13:19" x14ac:dyDescent="0.2">
      <c r="M65" s="134" t="s">
        <v>27</v>
      </c>
    </row>
    <row r="67" spans="13:19" x14ac:dyDescent="0.2">
      <c r="N67" s="134" t="s">
        <v>359</v>
      </c>
    </row>
    <row r="68" spans="13:19" x14ac:dyDescent="0.2">
      <c r="N68" s="326" t="s">
        <v>358</v>
      </c>
      <c r="O68" s="326"/>
      <c r="P68" s="326"/>
      <c r="Q68" s="326"/>
      <c r="R68" s="326"/>
      <c r="S68" s="326"/>
    </row>
    <row r="69" spans="13:19" x14ac:dyDescent="0.2">
      <c r="N69" s="326"/>
      <c r="O69" s="326"/>
      <c r="P69" s="326"/>
      <c r="Q69" s="326"/>
      <c r="R69" s="326"/>
      <c r="S69" s="326"/>
    </row>
    <row r="71" spans="13:19" x14ac:dyDescent="0.2">
      <c r="M71" s="162" t="s">
        <v>293</v>
      </c>
    </row>
    <row r="73" spans="13:19" x14ac:dyDescent="0.2">
      <c r="M73" s="134" t="s">
        <v>26</v>
      </c>
    </row>
    <row r="75" spans="13:19" x14ac:dyDescent="0.2">
      <c r="N75" s="326" t="s">
        <v>357</v>
      </c>
      <c r="O75" s="326"/>
      <c r="P75" s="326"/>
      <c r="Q75" s="326"/>
      <c r="R75" s="326"/>
      <c r="S75" s="326"/>
    </row>
    <row r="76" spans="13:19" x14ac:dyDescent="0.2">
      <c r="N76" s="326"/>
      <c r="O76" s="326"/>
      <c r="P76" s="326"/>
      <c r="Q76" s="326"/>
      <c r="R76" s="326"/>
      <c r="S76" s="326"/>
    </row>
    <row r="77" spans="13:19" x14ac:dyDescent="0.2">
      <c r="N77" s="326" t="s">
        <v>356</v>
      </c>
      <c r="O77" s="326"/>
      <c r="P77" s="326"/>
      <c r="Q77" s="326"/>
      <c r="R77" s="326"/>
      <c r="S77" s="326"/>
    </row>
    <row r="78" spans="13:19" x14ac:dyDescent="0.2">
      <c r="N78" s="326"/>
      <c r="O78" s="326"/>
      <c r="P78" s="326"/>
      <c r="Q78" s="326"/>
      <c r="R78" s="326"/>
      <c r="S78" s="326"/>
    </row>
    <row r="80" spans="13:19" x14ac:dyDescent="0.2">
      <c r="M80" s="134" t="s">
        <v>355</v>
      </c>
    </row>
    <row r="82" spans="13:19" x14ac:dyDescent="0.2">
      <c r="M82" s="162" t="s">
        <v>282</v>
      </c>
    </row>
    <row r="84" spans="13:19" x14ac:dyDescent="0.2">
      <c r="M84" s="134" t="s">
        <v>354</v>
      </c>
    </row>
    <row r="86" spans="13:19" x14ac:dyDescent="0.2">
      <c r="M86" s="134" t="s">
        <v>27</v>
      </c>
    </row>
    <row r="88" spans="13:19" x14ac:dyDescent="0.2">
      <c r="N88" s="134" t="s">
        <v>353</v>
      </c>
    </row>
    <row r="89" spans="13:19" x14ac:dyDescent="0.2">
      <c r="N89" s="134" t="s">
        <v>352</v>
      </c>
    </row>
    <row r="91" spans="13:19" x14ac:dyDescent="0.2">
      <c r="M91" s="162" t="s">
        <v>351</v>
      </c>
    </row>
    <row r="93" spans="13:19" x14ac:dyDescent="0.2">
      <c r="M93" s="134" t="s">
        <v>26</v>
      </c>
    </row>
    <row r="95" spans="13:19" x14ac:dyDescent="0.2">
      <c r="N95" s="326" t="s">
        <v>350</v>
      </c>
      <c r="O95" s="326"/>
      <c r="P95" s="326"/>
      <c r="Q95" s="326"/>
      <c r="R95" s="326"/>
      <c r="S95" s="326"/>
    </row>
    <row r="96" spans="13:19" x14ac:dyDescent="0.2">
      <c r="N96" s="326"/>
      <c r="O96" s="326"/>
      <c r="P96" s="326"/>
      <c r="Q96" s="326"/>
      <c r="R96" s="326"/>
      <c r="S96" s="326"/>
    </row>
    <row r="97" spans="13:14" x14ac:dyDescent="0.2">
      <c r="N97" s="134" t="s">
        <v>349</v>
      </c>
    </row>
    <row r="99" spans="13:14" x14ac:dyDescent="0.2">
      <c r="M99" s="134" t="s">
        <v>348</v>
      </c>
    </row>
    <row r="101" spans="13:14" ht="19" x14ac:dyDescent="0.25">
      <c r="M101" s="136"/>
    </row>
    <row r="105" spans="13:14" ht="19" x14ac:dyDescent="0.25">
      <c r="M105" s="136"/>
    </row>
  </sheetData>
  <mergeCells count="12">
    <mergeCell ref="N95:S96"/>
    <mergeCell ref="M45:S47"/>
    <mergeCell ref="M51:S52"/>
    <mergeCell ref="M53:S54"/>
    <mergeCell ref="N68:S69"/>
    <mergeCell ref="N75:S76"/>
    <mergeCell ref="N77:S78"/>
    <mergeCell ref="B10:I11"/>
    <mergeCell ref="B31:I32"/>
    <mergeCell ref="M15:S16"/>
    <mergeCell ref="M27:S29"/>
    <mergeCell ref="M35:S3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23</vt:i4>
      </vt:variant>
      <vt:variant>
        <vt:lpstr>Named Ranges</vt:lpstr>
      </vt:variant>
      <vt:variant>
        <vt:i4>1</vt:i4>
      </vt:variant>
    </vt:vector>
  </HeadingPairs>
  <TitlesOfParts>
    <vt:vector size="24" baseType="lpstr">
      <vt:lpstr>Overview</vt:lpstr>
      <vt:lpstr>Q #1</vt:lpstr>
      <vt:lpstr>Q #2</vt:lpstr>
      <vt:lpstr>Q #3</vt:lpstr>
      <vt:lpstr>Q #4</vt:lpstr>
      <vt:lpstr>Q #5</vt:lpstr>
      <vt:lpstr>Q #6</vt:lpstr>
      <vt:lpstr>Q #7</vt:lpstr>
      <vt:lpstr>Q #8</vt:lpstr>
      <vt:lpstr>Q #9</vt:lpstr>
      <vt:lpstr>Q #10</vt:lpstr>
      <vt:lpstr>Q #11</vt:lpstr>
      <vt:lpstr>Q #12</vt:lpstr>
      <vt:lpstr>Q #13</vt:lpstr>
      <vt:lpstr>Q #14</vt:lpstr>
      <vt:lpstr>2011 #6</vt:lpstr>
      <vt:lpstr>2012 #6</vt:lpstr>
      <vt:lpstr>2014 #6</vt:lpstr>
      <vt:lpstr>2015 #6</vt:lpstr>
      <vt:lpstr>2016 #9</vt:lpstr>
      <vt:lpstr>2017 #9</vt:lpstr>
      <vt:lpstr>2018 #2</vt:lpstr>
      <vt:lpstr>Essay Problems</vt:lpstr>
      <vt:lpstr>'2015 #6'!OLE_LINK2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Stephen Roll</dc:creator>
  <cp:lastModifiedBy>Michael McPhail</cp:lastModifiedBy>
  <dcterms:created xsi:type="dcterms:W3CDTF">2020-08-07T14:18:21Z</dcterms:created>
  <dcterms:modified xsi:type="dcterms:W3CDTF">2026-09-24T09:29:08Z</dcterms:modified>
</cp:coreProperties>
</file>