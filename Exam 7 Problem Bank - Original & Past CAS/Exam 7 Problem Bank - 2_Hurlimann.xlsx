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59DF51DE-236A-4B46-8527-8E774B23FEB3}" xr6:coauthVersionLast="47" xr6:coauthVersionMax="47" xr10:uidLastSave="{00000000-0000-0000-0000-000000000000}"/>
  <bookViews>
    <workbookView xWindow="6860" yWindow="660" windowWidth="20680" windowHeight="18980" xr2:uid="{B2F629C4-F532-0048-94B5-6129BC4B4200}"/>
  </bookViews>
  <sheets>
    <sheet name="Overview" sheetId="5" r:id="rId1"/>
    <sheet name="Q #1" sheetId="1" r:id="rId2"/>
    <sheet name="Q #2" sheetId="2" r:id="rId3"/>
    <sheet name="Q #3" sheetId="3" r:id="rId4"/>
    <sheet name="Q #4" sheetId="4" r:id="rId5"/>
    <sheet name="Q #5" sheetId="6" r:id="rId6"/>
    <sheet name="Q #6" sheetId="7" r:id="rId7"/>
    <sheet name="Q #7" sheetId="8" r:id="rId8"/>
    <sheet name="Q #8" sheetId="9" r:id="rId9"/>
    <sheet name="Q #9" sheetId="10" r:id="rId10"/>
    <sheet name="Q #10" sheetId="11" r:id="rId11"/>
    <sheet name="2013 #2" sheetId="13" r:id="rId12"/>
    <sheet name="2015 #1" sheetId="14" r:id="rId13"/>
    <sheet name="2016 #1" sheetId="15" r:id="rId14"/>
    <sheet name="2017 #1" sheetId="16" r:id="rId15"/>
    <sheet name="2018 #3" sheetId="17" r:id="rId16"/>
    <sheet name="2019 #2" sheetId="18" r:id="rId17"/>
    <sheet name="2019 #3" sheetId="19" r:id="rId18"/>
    <sheet name="Essay Problems"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 i="3" l="1"/>
  <c r="M8" i="19"/>
  <c r="N8" i="19"/>
  <c r="O8" i="19"/>
  <c r="P8" i="19"/>
  <c r="N14" i="19" s="1"/>
  <c r="L12" i="19"/>
  <c r="M12" i="19"/>
  <c r="R12" i="19" s="1"/>
  <c r="N12" i="19"/>
  <c r="S12" i="19" s="1"/>
  <c r="O12" i="19"/>
  <c r="Q12" i="19" s="1"/>
  <c r="P12" i="19"/>
  <c r="L13" i="19"/>
  <c r="M13" i="19"/>
  <c r="N13" i="19"/>
  <c r="O13" i="19" s="1"/>
  <c r="Q13" i="19" s="1"/>
  <c r="P13" i="19"/>
  <c r="L14" i="19"/>
  <c r="M14" i="19"/>
  <c r="P14" i="19"/>
  <c r="P15" i="19"/>
  <c r="M7" i="18"/>
  <c r="N7" i="18"/>
  <c r="O7" i="18"/>
  <c r="P7" i="18"/>
  <c r="M12" i="18"/>
  <c r="M19" i="18" s="1"/>
  <c r="M13" i="18"/>
  <c r="M17" i="18"/>
  <c r="M21" i="18" s="1"/>
  <c r="M18" i="18"/>
  <c r="L6" i="17"/>
  <c r="M6" i="17"/>
  <c r="N6" i="17"/>
  <c r="O6" i="17"/>
  <c r="P6" i="17"/>
  <c r="Q6" i="17"/>
  <c r="O12" i="17" s="1"/>
  <c r="L7" i="17"/>
  <c r="M7" i="17"/>
  <c r="M12" i="17" s="1"/>
  <c r="Q12" i="17" s="1"/>
  <c r="M17" i="17" s="1"/>
  <c r="N7" i="17"/>
  <c r="N12" i="17" s="1"/>
  <c r="O7" i="17"/>
  <c r="Q7" i="17"/>
  <c r="L8" i="17"/>
  <c r="M8" i="17"/>
  <c r="N8" i="17"/>
  <c r="Q8" i="17"/>
  <c r="L9" i="17"/>
  <c r="M9" i="17"/>
  <c r="Q9" i="17"/>
  <c r="P12" i="17"/>
  <c r="L6" i="16"/>
  <c r="M6" i="16"/>
  <c r="N6" i="16"/>
  <c r="O6" i="16"/>
  <c r="P6" i="16"/>
  <c r="M15" i="16" s="1"/>
  <c r="L7" i="16"/>
  <c r="L16" i="16" s="1"/>
  <c r="M7" i="16"/>
  <c r="M11" i="16" s="1"/>
  <c r="N7" i="16"/>
  <c r="N11" i="16" s="1"/>
  <c r="P7" i="16"/>
  <c r="L8" i="16"/>
  <c r="L27" i="16" s="1"/>
  <c r="M8" i="16"/>
  <c r="P8" i="16"/>
  <c r="O11" i="16"/>
  <c r="L15" i="16"/>
  <c r="P15" i="16"/>
  <c r="P18" i="16" s="1"/>
  <c r="M16" i="16"/>
  <c r="P16" i="16"/>
  <c r="L17" i="16"/>
  <c r="M17" i="16"/>
  <c r="P17" i="16"/>
  <c r="L25" i="16"/>
  <c r="M13" i="15"/>
  <c r="N13" i="15"/>
  <c r="O13" i="15"/>
  <c r="P13" i="15"/>
  <c r="M17" i="15"/>
  <c r="R17" i="15" s="1"/>
  <c r="N17" i="15"/>
  <c r="S17" i="15" s="1"/>
  <c r="O17" i="15"/>
  <c r="Q17" i="15" s="1"/>
  <c r="P17" i="15"/>
  <c r="P20" i="15" s="1"/>
  <c r="M18" i="15"/>
  <c r="R18" i="15" s="1"/>
  <c r="N18" i="15"/>
  <c r="S18" i="15" s="1"/>
  <c r="O18" i="15"/>
  <c r="Q18" i="15" s="1"/>
  <c r="P18" i="15"/>
  <c r="M19" i="15"/>
  <c r="N19" i="15"/>
  <c r="S19" i="15" s="1"/>
  <c r="P19" i="15"/>
  <c r="L8" i="14"/>
  <c r="M8" i="14"/>
  <c r="N8" i="14"/>
  <c r="O8" i="14"/>
  <c r="P8" i="14"/>
  <c r="L9" i="14"/>
  <c r="M9" i="14"/>
  <c r="M13" i="14" s="1"/>
  <c r="N9" i="14"/>
  <c r="N13" i="14" s="1"/>
  <c r="P9" i="14"/>
  <c r="L10" i="14"/>
  <c r="M10" i="14"/>
  <c r="P10" i="14"/>
  <c r="O13" i="14"/>
  <c r="L8" i="13"/>
  <c r="M8" i="13"/>
  <c r="M13" i="13" s="1"/>
  <c r="N8" i="13"/>
  <c r="N13" i="13" s="1"/>
  <c r="O8" i="13"/>
  <c r="O13" i="13" s="1"/>
  <c r="P8" i="13"/>
  <c r="L9" i="13"/>
  <c r="L18" i="13" s="1"/>
  <c r="M9" i="13"/>
  <c r="N9" i="13"/>
  <c r="P9" i="13"/>
  <c r="L10" i="13"/>
  <c r="M10" i="13"/>
  <c r="P10" i="13"/>
  <c r="E12" i="13"/>
  <c r="F12" i="13"/>
  <c r="G12" i="13"/>
  <c r="H12" i="13"/>
  <c r="L17" i="13"/>
  <c r="M17" i="13"/>
  <c r="M18" i="13"/>
  <c r="P18" i="13"/>
  <c r="L19" i="13"/>
  <c r="M19" i="13"/>
  <c r="P19" i="13"/>
  <c r="T12" i="19" l="1"/>
  <c r="O14" i="19"/>
  <c r="Q14" i="19" s="1"/>
  <c r="Q15" i="19" s="1"/>
  <c r="S14" i="19"/>
  <c r="R13" i="19"/>
  <c r="S13" i="19"/>
  <c r="T13" i="19" s="1"/>
  <c r="M25" i="18"/>
  <c r="M27" i="18" s="1"/>
  <c r="N43" i="17"/>
  <c r="N44" i="17"/>
  <c r="M18" i="17"/>
  <c r="P11" i="16"/>
  <c r="L26" i="16"/>
  <c r="T17" i="15"/>
  <c r="T18" i="15"/>
  <c r="O19" i="15"/>
  <c r="M35" i="15"/>
  <c r="P13" i="14"/>
  <c r="M17" i="14" s="1"/>
  <c r="P13" i="13"/>
  <c r="P17" i="13"/>
  <c r="P20" i="13" s="1"/>
  <c r="R14" i="19" l="1"/>
  <c r="R15" i="19" s="1"/>
  <c r="M20" i="17"/>
  <c r="M21" i="17"/>
  <c r="N17" i="16"/>
  <c r="N15" i="16"/>
  <c r="N16" i="16"/>
  <c r="Q19" i="15"/>
  <c r="R19" i="15"/>
  <c r="R20" i="15" s="1"/>
  <c r="M18" i="14"/>
  <c r="M23" i="14"/>
  <c r="M28" i="14"/>
  <c r="N19" i="13"/>
  <c r="O19" i="13" s="1"/>
  <c r="Q19" i="13" s="1"/>
  <c r="N18" i="13"/>
  <c r="O18" i="13" s="1"/>
  <c r="Q18" i="13" s="1"/>
  <c r="N17" i="13"/>
  <c r="O17" i="13" s="1"/>
  <c r="Q17" i="13" s="1"/>
  <c r="Q20" i="13" s="1"/>
  <c r="M23" i="13" s="1"/>
  <c r="R17" i="13"/>
  <c r="R18" i="13"/>
  <c r="R19" i="13"/>
  <c r="T14" i="19" l="1"/>
  <c r="T15" i="19" s="1"/>
  <c r="N18" i="19" s="1"/>
  <c r="S16" i="16"/>
  <c r="T16" i="16"/>
  <c r="O16" i="16"/>
  <c r="T15" i="16"/>
  <c r="O15" i="16"/>
  <c r="S15" i="16"/>
  <c r="O17" i="16"/>
  <c r="S17" i="16"/>
  <c r="T17" i="16"/>
  <c r="Q20" i="15"/>
  <c r="T19" i="15"/>
  <c r="M36" i="15"/>
  <c r="M20" i="14"/>
  <c r="M29" i="14" s="1"/>
  <c r="M21" i="14"/>
  <c r="R20" i="13"/>
  <c r="M27" i="13" s="1"/>
  <c r="Q17" i="16" l="1"/>
  <c r="M27" i="16" s="1"/>
  <c r="R17" i="16"/>
  <c r="N27" i="16" s="1"/>
  <c r="Q15" i="16"/>
  <c r="R15" i="16"/>
  <c r="V15" i="16"/>
  <c r="Q16" i="16"/>
  <c r="M26" i="16" s="1"/>
  <c r="R16" i="16"/>
  <c r="N26" i="16" s="1"/>
  <c r="V17" i="16"/>
  <c r="P27" i="16" s="1"/>
  <c r="M29" i="15"/>
  <c r="M30" i="15" s="1"/>
  <c r="M31" i="15" s="1"/>
  <c r="T20" i="15"/>
  <c r="M23" i="15" s="1"/>
  <c r="M24" i="14"/>
  <c r="P25" i="16" l="1"/>
  <c r="V18" i="16"/>
  <c r="N25" i="16"/>
  <c r="R18" i="16"/>
  <c r="Q18" i="16"/>
  <c r="M25" i="16"/>
  <c r="U16" i="16"/>
  <c r="O26" i="16" s="1"/>
  <c r="U15" i="16"/>
  <c r="V16" i="16"/>
  <c r="P26" i="16" s="1"/>
  <c r="U17" i="16"/>
  <c r="O27" i="16" s="1"/>
  <c r="O25" i="16" l="1"/>
  <c r="U18" i="16"/>
  <c r="N7" i="11" l="1"/>
  <c r="N8" i="11"/>
  <c r="N13" i="11"/>
  <c r="N14" i="11"/>
  <c r="N30" i="11" s="1"/>
  <c r="N18" i="11"/>
  <c r="N20" i="11"/>
  <c r="N21" i="11" s="1"/>
  <c r="N25" i="11"/>
  <c r="N26" i="11" s="1"/>
  <c r="N3" i="10"/>
  <c r="N4" i="10"/>
  <c r="N6" i="10"/>
  <c r="N3" i="9"/>
  <c r="N4" i="9" s="1"/>
  <c r="N6" i="9" s="1"/>
  <c r="N2" i="8"/>
  <c r="N4" i="8"/>
  <c r="N5" i="8"/>
  <c r="N7" i="8" s="1"/>
  <c r="N8" i="8" s="1"/>
  <c r="N10" i="8" s="1"/>
  <c r="N11" i="8" s="1"/>
  <c r="N8" i="7"/>
  <c r="N9" i="7"/>
  <c r="N10" i="7"/>
  <c r="N11" i="7"/>
  <c r="N15" i="7"/>
  <c r="N22" i="7" s="1"/>
  <c r="N24" i="7" s="1"/>
  <c r="N19" i="7"/>
  <c r="O49" i="7" s="1"/>
  <c r="N20" i="7"/>
  <c r="N28" i="7" s="1"/>
  <c r="N29" i="7" s="1"/>
  <c r="N33" i="7"/>
  <c r="N38" i="7"/>
  <c r="Q49" i="7" s="1"/>
  <c r="N43" i="7"/>
  <c r="N49" i="7"/>
  <c r="N5" i="6"/>
  <c r="N9" i="6"/>
  <c r="N13" i="6"/>
  <c r="N31" i="11" l="1"/>
  <c r="N34" i="7"/>
  <c r="N39" i="7"/>
  <c r="N44" i="7"/>
  <c r="P49" i="7"/>
  <c r="P12" i="2" l="1"/>
  <c r="N6" i="2"/>
  <c r="L21" i="1" l="1"/>
  <c r="L20" i="1"/>
  <c r="L19" i="1"/>
  <c r="M12" i="2"/>
  <c r="L12" i="2"/>
  <c r="P11" i="2"/>
  <c r="M11" i="2"/>
  <c r="L11" i="2"/>
  <c r="O6" i="2"/>
  <c r="M6" i="2"/>
  <c r="P9" i="1"/>
  <c r="P10" i="1"/>
  <c r="P8" i="1"/>
  <c r="M9" i="1"/>
  <c r="M10" i="1"/>
  <c r="M8" i="1"/>
  <c r="L9" i="1"/>
  <c r="L10" i="1"/>
  <c r="L8" i="1"/>
  <c r="O5" i="1"/>
  <c r="N5" i="1"/>
  <c r="M5" i="1"/>
  <c r="Q6" i="2" l="1"/>
  <c r="P13" i="2"/>
  <c r="N11" i="2"/>
  <c r="S11" i="2" s="1"/>
  <c r="N12" i="2"/>
  <c r="Q5" i="1"/>
  <c r="O11" i="2" l="1"/>
  <c r="Q11" i="2" s="1"/>
  <c r="S12" i="2"/>
  <c r="O12" i="2"/>
  <c r="N10" i="1"/>
  <c r="N9" i="1"/>
  <c r="N8" i="1"/>
  <c r="N7" i="3"/>
  <c r="N8" i="3" l="1"/>
  <c r="N14" i="3"/>
  <c r="N20" i="3"/>
  <c r="N22" i="3" s="1"/>
  <c r="M19" i="1"/>
  <c r="M20" i="1"/>
  <c r="M21" i="1"/>
  <c r="R11" i="2"/>
  <c r="Q12" i="2"/>
  <c r="R12" i="2"/>
  <c r="S9" i="1"/>
  <c r="O9" i="1"/>
  <c r="S10" i="1"/>
  <c r="O10" i="1"/>
  <c r="S8" i="1"/>
  <c r="O8" i="1"/>
  <c r="P12" i="4"/>
  <c r="P11" i="4"/>
  <c r="P10" i="4"/>
  <c r="P9" i="4"/>
  <c r="M10" i="4"/>
  <c r="M11" i="4"/>
  <c r="M12" i="4"/>
  <c r="M9" i="4"/>
  <c r="L10" i="4"/>
  <c r="L11" i="4"/>
  <c r="L12" i="4"/>
  <c r="L9" i="4"/>
  <c r="P5" i="4"/>
  <c r="O5" i="4" s="1"/>
  <c r="N10" i="3" l="1"/>
  <c r="N9" i="3"/>
  <c r="N23" i="3" s="1"/>
  <c r="R13" i="2"/>
  <c r="Q13" i="2"/>
  <c r="T11" i="2"/>
  <c r="T12" i="2"/>
  <c r="Q8" i="1"/>
  <c r="R8" i="1"/>
  <c r="Q10" i="1"/>
  <c r="R10" i="1"/>
  <c r="Q9" i="1"/>
  <c r="R9" i="1"/>
  <c r="P6" i="4"/>
  <c r="N9" i="4" s="1"/>
  <c r="O6" i="4"/>
  <c r="N10" i="4" s="1"/>
  <c r="S10" i="4" s="1"/>
  <c r="N5" i="4"/>
  <c r="S9" i="4"/>
  <c r="N16" i="3" l="1"/>
  <c r="N25" i="3" s="1"/>
  <c r="T13" i="2"/>
  <c r="T8" i="1"/>
  <c r="N21" i="1"/>
  <c r="N20" i="1"/>
  <c r="N19" i="1"/>
  <c r="T10" i="1"/>
  <c r="T9" i="1"/>
  <c r="O10" i="4"/>
  <c r="R10" i="4" s="1"/>
  <c r="O9" i="4"/>
  <c r="R9" i="4" s="1"/>
  <c r="M5" i="4"/>
  <c r="M6" i="4" s="1"/>
  <c r="N12" i="4" s="1"/>
  <c r="N6" i="4"/>
  <c r="N11" i="4" s="1"/>
  <c r="Q9" i="4" l="1"/>
  <c r="T9" i="4" s="1"/>
  <c r="S11" i="4"/>
  <c r="O11" i="4"/>
  <c r="R11" i="4" s="1"/>
  <c r="S12" i="4"/>
  <c r="O12" i="4"/>
  <c r="R12" i="4" s="1"/>
  <c r="Q10" i="4"/>
  <c r="T10" i="4" s="1"/>
  <c r="Q12" i="4" l="1"/>
  <c r="Q11" i="4"/>
  <c r="T12" i="4" l="1"/>
  <c r="T11" i="4"/>
</calcChain>
</file>

<file path=xl/sharedStrings.xml><?xml version="1.0" encoding="utf-8"?>
<sst xmlns="http://schemas.openxmlformats.org/spreadsheetml/2006/main" count="726" uniqueCount="421">
  <si>
    <t>a.</t>
  </si>
  <si>
    <t>b.</t>
  </si>
  <si>
    <t>Part a</t>
  </si>
  <si>
    <t>Part b</t>
  </si>
  <si>
    <t>Given the following information:</t>
  </si>
  <si>
    <t>Accident Year</t>
  </si>
  <si>
    <t>0-12 Months</t>
  </si>
  <si>
    <t>12-24 Months</t>
  </si>
  <si>
    <t>24-36 Months</t>
  </si>
  <si>
    <t>Earned Premium ($000)</t>
  </si>
  <si>
    <t>Incremental Paid Claims ($000)</t>
  </si>
  <si>
    <t>Calculate the Benktander loss ratio claims reserve estimate for accident year 2014.</t>
  </si>
  <si>
    <t>minimum variance, calculate the unpaid claims reserve for accident year 2014.</t>
  </si>
  <si>
    <t>of the collective and individual loss ratio claims reserve, using the Neuhaus credibility weights.</t>
  </si>
  <si>
    <t>Calculate the unpaid claims estimate for accident years 2014 through 2015 as a credibility-weighting</t>
  </si>
  <si>
    <t>Briefly discuss an advantage of the collective loss ratio method over the Bornhuetter-Ferguson method.</t>
  </si>
  <si>
    <t>12 Months</t>
  </si>
  <si>
    <t>24 Months</t>
  </si>
  <si>
    <t>36 Months</t>
  </si>
  <si>
    <t>48 Months</t>
  </si>
  <si>
    <t>Given the following information</t>
  </si>
  <si>
    <t xml:space="preserve">Earned premium for 2016: </t>
  </si>
  <si>
    <t>mk</t>
  </si>
  <si>
    <t>m_k</t>
  </si>
  <si>
    <t>the burning cost ultimate loss estimate, Var[Ui_BC].</t>
  </si>
  <si>
    <t>Calculate the loss ratio claims reserve estimate for accident year 2016 under optimal credibility.</t>
  </si>
  <si>
    <t>Evaluate the sensitivity to the assumption above by calculating the percent difference in the loss reserve</t>
  </si>
  <si>
    <t>estimate in part a if Var[Ui] is assumed to be 25% greater than Var[Ui_BC].</t>
  </si>
  <si>
    <t>Premium ($000)</t>
  </si>
  <si>
    <t>24-36</t>
  </si>
  <si>
    <t>36-48</t>
  </si>
  <si>
    <t>48-Ult</t>
  </si>
  <si>
    <t>Selected LDF</t>
  </si>
  <si>
    <t>12-24</t>
  </si>
  <si>
    <r>
      <t>The actuary selects the following</t>
    </r>
    <r>
      <rPr>
        <i/>
        <sz val="12"/>
        <color theme="1"/>
        <rFont val="Calibri"/>
        <family val="2"/>
      </rPr>
      <t xml:space="preserve"> a priori </t>
    </r>
    <r>
      <rPr>
        <sz val="12"/>
        <color theme="1"/>
        <rFont val="Calibri"/>
        <family val="2"/>
      </rPr>
      <t>expected loss ratios:</t>
    </r>
  </si>
  <si>
    <t>Expected Loss Ratio</t>
  </si>
  <si>
    <t>Calculate the optimal Bornhuetter-Ferguson method loss reserve estimate for accident years 2015 and 2016.</t>
  </si>
  <si>
    <t>ELR</t>
  </si>
  <si>
    <t>CDF</t>
  </si>
  <si>
    <t>Prem</t>
  </si>
  <si>
    <t>p</t>
  </si>
  <si>
    <t>qi</t>
  </si>
  <si>
    <t>CumLoss</t>
  </si>
  <si>
    <t>Rind</t>
  </si>
  <si>
    <t>Rcoll</t>
  </si>
  <si>
    <t>AY</t>
  </si>
  <si>
    <t>Rind(CL)</t>
  </si>
  <si>
    <t>Rcoll(BF)</t>
  </si>
  <si>
    <t>p_i(CL)</t>
  </si>
  <si>
    <t>q_i</t>
  </si>
  <si>
    <t>Z_opt</t>
  </si>
  <si>
    <t>R_opt(BF)</t>
  </si>
  <si>
    <t>The optimal BF method loss reserve estimate for accident years 2015 and 2016 are $795k and $3,325k respectively.</t>
  </si>
  <si>
    <t>Calculate the CDFs and the chain ladder payout factors</t>
  </si>
  <si>
    <t>12-Ult</t>
  </si>
  <si>
    <t>24-Ult</t>
  </si>
  <si>
    <t>36-Ult</t>
  </si>
  <si>
    <t>Discussion</t>
  </si>
  <si>
    <t>This problem is a twist to the credible loss ratio claims reserve problem in Hürlimann. I don’t think it’s too likely on the exam, but you should be familiar with it.
The optimal BF method is discussed on pages 92-94 of Hürlimann. There are two key differences between this and the regular loss ratio claims reserve method from Hürlimann:
•	The payout pattern is based on the LDFs as opposed to the Hürlimann loss-ratio payout factors.
•	Instead of using the Hürlimann loss ratio based ELR to calculate Rcoll, a selected ELR is used.</t>
  </si>
  <si>
    <t xml:space="preserve">ELR = </t>
  </si>
  <si>
    <t>p_2016 =</t>
  </si>
  <si>
    <t xml:space="preserve">q_2016 = </t>
  </si>
  <si>
    <t>R_ind =</t>
  </si>
  <si>
    <t>R_coll =</t>
  </si>
  <si>
    <t>Calculate the credibility weights and the AY 2016 reserve estimate:</t>
  </si>
  <si>
    <t>Z_opt (2016) =</t>
  </si>
  <si>
    <t>R_opt (2016) =</t>
  </si>
  <si>
    <t>($000)</t>
  </si>
  <si>
    <t xml:space="preserve">f_i = </t>
  </si>
  <si>
    <t xml:space="preserve">t_opt (2016) = </t>
  </si>
  <si>
    <t xml:space="preserve">% Change = </t>
  </si>
  <si>
    <t>Z_wn</t>
  </si>
  <si>
    <t>R_wn</t>
  </si>
  <si>
    <t>Total</t>
  </si>
  <si>
    <t>Calculate expected incremental loss ratios and ELR:</t>
  </si>
  <si>
    <t>Set up table to calculate R_ind, R_coll and credibility-weighted reserve:</t>
  </si>
  <si>
    <t>SHOW ALL WORK.</t>
  </si>
  <si>
    <t>Solution -&gt;</t>
  </si>
  <si>
    <t>The collective loss ratio method calculates the ELR directly from the data, so there is no subjectivity. Different actuaries get the same results with the same inputs.</t>
  </si>
  <si>
    <t>• There is no development beyond 48 months</t>
  </si>
  <si>
    <t>• Assume the variance of the ultimate loss for each accident year, Var[Ui], is equal to the variance of</t>
  </si>
  <si>
    <t>The variance assumption has a fairly noticeable impact on the reserve estimate for 2016, particularly because R_ind and R_coll are significantly different.</t>
  </si>
  <si>
    <t>RF Hürlimann - 1</t>
  </si>
  <si>
    <t>RF Hürlimann - 2</t>
  </si>
  <si>
    <t>RF Hürlimann - 3</t>
  </si>
  <si>
    <t>RF Hürlimann - 4</t>
  </si>
  <si>
    <t>R_ind</t>
  </si>
  <si>
    <t>R_coll</t>
  </si>
  <si>
    <t>R_GB
Benktander</t>
  </si>
  <si>
    <t>Z_GB
Benktander</t>
  </si>
  <si>
    <t>R_opt</t>
  </si>
  <si>
    <t>The reserve estimate for 2014 is $179,900 with the Benktander method.</t>
  </si>
  <si>
    <t>The reserve estimate for 2014 is $182,200 with optimal credibility.</t>
  </si>
  <si>
    <t>Recipe</t>
  </si>
  <si>
    <t>Hurlimann - Credible Loss Ratio Claims Reserve</t>
  </si>
  <si>
    <t>Hurlimann - Optimal Credibility Weights</t>
  </si>
  <si>
    <t>Calculate individual and collective reserves for AY 2016:</t>
  </si>
  <si>
    <r>
      <t>Assuming that Var[U</t>
    </r>
    <r>
      <rPr>
        <vertAlign val="subscript"/>
        <sz val="12"/>
        <color theme="1"/>
        <rFont val="Calibri"/>
        <family val="2"/>
      </rPr>
      <t>i</t>
    </r>
    <r>
      <rPr>
        <sz val="12"/>
        <color theme="1"/>
        <rFont val="Calibri"/>
        <family val="2"/>
      </rPr>
      <t>] = Var[U</t>
    </r>
    <r>
      <rPr>
        <vertAlign val="subscript"/>
        <sz val="12"/>
        <color theme="1"/>
        <rFont val="Calibri"/>
        <family val="2"/>
      </rPr>
      <t>i</t>
    </r>
    <r>
      <rPr>
        <sz val="12"/>
        <color theme="1"/>
        <rFont val="Calibri"/>
        <family val="2"/>
      </rPr>
      <t>_BC] and using Hürlimann’s method for optimal credibility and</t>
    </r>
  </si>
  <si>
    <r>
      <t>The regular optimal credibility method in Hürlimann assumes that Var[U</t>
    </r>
    <r>
      <rPr>
        <vertAlign val="subscript"/>
        <sz val="12"/>
        <color theme="1"/>
        <rFont val="Calibri"/>
        <family val="2"/>
      </rPr>
      <t>i</t>
    </r>
    <r>
      <rPr>
        <sz val="12"/>
        <color theme="1"/>
        <rFont val="Calibri"/>
        <family val="2"/>
      </rPr>
      <t>] = Var[U</t>
    </r>
    <r>
      <rPr>
        <vertAlign val="subscript"/>
        <sz val="12"/>
        <color theme="1"/>
        <rFont val="Calibri"/>
        <family val="2"/>
      </rPr>
      <t>i</t>
    </r>
    <r>
      <rPr>
        <sz val="12"/>
        <color theme="1"/>
        <rFont val="Calibri"/>
        <family val="2"/>
      </rPr>
      <t xml:space="preserve">_BC]. For this part, we're told this is not the case, so we need </t>
    </r>
    <r>
      <rPr>
        <sz val="12"/>
        <color theme="1"/>
        <rFont val="Calibri"/>
        <family val="2"/>
      </rPr>
      <t>to use the general version of the optimal credibility formula.</t>
    </r>
  </si>
  <si>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</si>
  <si>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</si>
  <si>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</si>
  <si>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</si>
  <si>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</si>
  <si>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</si>
  <si>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</si>
  <si>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</si>
  <si>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</si>
  <si>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The point of this question is to familiarize you more with the different ways you can calculate the individual loss ratio reserve.</t>
  </si>
  <si>
    <t>&lt;-(C/1-q))*q</t>
  </si>
  <si>
    <t>R_2^ind =</t>
  </si>
  <si>
    <t>Method 3:</t>
  </si>
  <si>
    <t>Calculate          in three different ways.</t>
  </si>
  <si>
    <t>&lt;-q*U</t>
  </si>
  <si>
    <r>
      <t xml:space="preserve">• </t>
    </r>
    <r>
      <rPr>
        <i/>
        <sz val="12"/>
        <color theme="1"/>
        <rFont val="Calibri"/>
        <family val="2"/>
        <scheme val="minor"/>
      </rPr>
      <t>n</t>
    </r>
    <r>
      <rPr>
        <sz val="12"/>
        <color theme="1"/>
        <rFont val="Calibri"/>
        <family val="2"/>
        <scheme val="minor"/>
      </rPr>
      <t xml:space="preserve"> =</t>
    </r>
  </si>
  <si>
    <t>Method 2:</t>
  </si>
  <si>
    <t>•</t>
  </si>
  <si>
    <t>&lt;-U - C = Ultimate ind estimate - Claims</t>
  </si>
  <si>
    <t>Method 1:</t>
  </si>
  <si>
    <t>Given the following:</t>
  </si>
  <si>
    <t>RF Hurlimann - 5</t>
  </si>
  <si>
    <t>For part f, the relative MSE is each method's MSE divided by the optimal MSE. The MSE formulas are shown in the study guide and in the Cookbook recipe (see the discussion section).
The key idea to remember is that the optimal credible reserve will have the lowest MSE (between the reserve estimate and the true amount based on actual ultimate losses) compared to the other methods.</t>
  </si>
  <si>
    <t>The Neuhaus reserve best matches the optimal credible reserve since its relative MSE is closest to 1.000</t>
  </si>
  <si>
    <t>The relative MSE is [Z^2/p + 1/q + (1-Z)^2/t]/[Z^*^2/p + 1/q + (1-Z*)^2/t], where t = sqrt(p)</t>
  </si>
  <si>
    <t>Benk.</t>
  </si>
  <si>
    <t>Neuh.</t>
  </si>
  <si>
    <t>Ind.</t>
  </si>
  <si>
    <t>Coll.</t>
  </si>
  <si>
    <t>Part f:</t>
  </si>
  <si>
    <t>&lt;-Z*U^ind + (1-Z)*U^Coll</t>
  </si>
  <si>
    <t>U_2011^Opt =</t>
  </si>
  <si>
    <t>&lt;-p/(p+sqrt(p))</t>
  </si>
  <si>
    <t>Z_2011^*</t>
  </si>
  <si>
    <t>Part e:</t>
  </si>
  <si>
    <t>U_2011^GB =</t>
  </si>
  <si>
    <t>&lt;-p</t>
  </si>
  <si>
    <t>Z_2011^GB</t>
  </si>
  <si>
    <t>Part d:</t>
  </si>
  <si>
    <t>U_2011^WN =</t>
  </si>
  <si>
    <t>&lt;-m_1 + m_2</t>
  </si>
  <si>
    <t>Z_2011^WN =</t>
  </si>
  <si>
    <t>Part c:</t>
  </si>
  <si>
    <t>&lt;-Cumulative losses + Reserve</t>
  </si>
  <si>
    <t>U_2011^ind =</t>
  </si>
  <si>
    <t>Use relative MSEs to explain which method in parts a. - d. above best matches the optimal reserve calculated in part e. above.</t>
  </si>
  <si>
    <t>&lt;-q/p*Cumulative Losses</t>
  </si>
  <si>
    <t>R_2011^Ind =</t>
  </si>
  <si>
    <t>f.</t>
  </si>
  <si>
    <t>Part b:</t>
  </si>
  <si>
    <t>Estimate the AY 2011 ultimate losses using the optimal credibility weights that minimize the variance of the credible claims reserve. Assume that</t>
  </si>
  <si>
    <t>U_2011^Coll =</t>
  </si>
  <si>
    <t>e.</t>
  </si>
  <si>
    <t>&lt;-q*U^BC</t>
  </si>
  <si>
    <t>R_2011^Coll =</t>
  </si>
  <si>
    <t>Estimate the AY 2011 ultimate losses using the Benktander method.</t>
  </si>
  <si>
    <t>d.</t>
  </si>
  <si>
    <t>q_2011 =</t>
  </si>
  <si>
    <t>&lt;-(m_1 + m_2)/sum(m_k)</t>
  </si>
  <si>
    <t>p_2011 =</t>
  </si>
  <si>
    <t>Estimate the AY 2011 ultimate losses using the Neuhaus method.</t>
  </si>
  <si>
    <t>c.</t>
  </si>
  <si>
    <t>Calculate R_2011^Coll:</t>
  </si>
  <si>
    <t>Estimate the AY 2011 ultimate losses using the individual loss ratio method.</t>
  </si>
  <si>
    <t>&lt;-sum(m_k)*EP</t>
  </si>
  <si>
    <t>E(U_2011^BC) =</t>
  </si>
  <si>
    <t>Calculate E(U_2011^BC):</t>
  </si>
  <si>
    <t>Estimate the AY 2011 ultimate losses using the collective loss ratio method.</t>
  </si>
  <si>
    <t>k</t>
  </si>
  <si>
    <t>48 mo.</t>
  </si>
  <si>
    <t>36 mo.</t>
  </si>
  <si>
    <t>24 mo.</t>
  </si>
  <si>
    <t>12 mo.</t>
  </si>
  <si>
    <t>Premium ($)</t>
  </si>
  <si>
    <t>Calculate the m_k's:</t>
  </si>
  <si>
    <t>Incremental Incurred Losses ($)</t>
  </si>
  <si>
    <t>Earned</t>
  </si>
  <si>
    <t>Part a:</t>
  </si>
  <si>
    <t>Given the following for an insurer as of December 31, 2012:</t>
  </si>
  <si>
    <t>RF Hurlimann - 6</t>
  </si>
  <si>
    <t>Mack Benktander - Benktander Method</t>
  </si>
  <si>
    <r>
      <t>This problem covers both Mack - Benktander and Hürlimann. Below is a note about the iteration numbering from the "Mack Benktander - Benktander Method" Cookbook recipe:
Both Hürlimann and Mack – Benktander show calculations in which the first iteration reserve is labeled R</t>
    </r>
    <r>
      <rPr>
        <vertAlign val="superscript"/>
        <sz val="12"/>
        <color theme="1"/>
        <rFont val="Calibri"/>
        <family val="2"/>
      </rPr>
      <t>0</t>
    </r>
    <r>
      <rPr>
        <sz val="12"/>
        <color theme="1"/>
        <rFont val="Calibri"/>
        <family val="2"/>
      </rPr>
      <t>, the BF reserve, and the second iteration is labeled R</t>
    </r>
    <r>
      <rPr>
        <vertAlign val="superscript"/>
        <sz val="12"/>
        <color theme="1"/>
        <rFont val="Calibri"/>
        <family val="2"/>
      </rPr>
      <t>1</t>
    </r>
    <r>
      <rPr>
        <sz val="12"/>
        <color theme="1"/>
        <rFont val="Calibri"/>
        <family val="2"/>
      </rPr>
      <t>, the Benktander reserve. Because of this, the iteration count is a bit confusing. 
As the number of iterations increases, the weight on the chain ladder method increases until it converges to the chain ladder method (as m→∞).</t>
    </r>
  </si>
  <si>
    <t>U_4^3 =</t>
  </si>
  <si>
    <t>R_4^2 =</t>
  </si>
  <si>
    <t>Calculate</t>
  </si>
  <si>
    <t>GB Ultimate</t>
  </si>
  <si>
    <t>U_4^2 =</t>
  </si>
  <si>
    <t>GB Reserve</t>
  </si>
  <si>
    <t>R_4^1 =</t>
  </si>
  <si>
    <t>BF Ultimate</t>
  </si>
  <si>
    <t>U_4^1 =</t>
  </si>
  <si>
    <t>BF Reserve</t>
  </si>
  <si>
    <t>R_4^0 =</t>
  </si>
  <si>
    <t>Given the following for a 4 x 4 triangle:</t>
  </si>
  <si>
    <t>U_4^0 =</t>
  </si>
  <si>
    <t>RF Hurlimann - 7</t>
  </si>
  <si>
    <t xml:space="preserve">Using credibility weights that minimize the variance of the optimal credibility claims reserve, estimate </t>
  </si>
  <si>
    <t>&lt;-Z*R^ind + (1-Z)*R^coll</t>
  </si>
  <si>
    <t>R_2^c =</t>
  </si>
  <si>
    <t>Z_2^* =</t>
  </si>
  <si>
    <t>t_2^* =</t>
  </si>
  <si>
    <t>RF Hurlimann - 8</t>
  </si>
  <si>
    <t>The minimum variance claims reserve is the reserve using the optimal z. Based on this, we can back into the collective loss ratio claims reserve for period 2.</t>
  </si>
  <si>
    <t>Calculate the collective loss ratio claims reserve for origin period 2.</t>
  </si>
  <si>
    <t>• Minimum variance claims reserve =</t>
  </si>
  <si>
    <t>• Individual loss ratio claims reserve =</t>
  </si>
  <si>
    <t>&lt;-R_2^c = R_2^ind*Z + (1-Z)*R_2^coll</t>
  </si>
  <si>
    <t>R_2^Coll =</t>
  </si>
  <si>
    <t>&lt;-Since f_2 = 1, t = sqrt(p)</t>
  </si>
  <si>
    <t>p_2 =</t>
  </si>
  <si>
    <t>RF Hurlimann - 9</t>
  </si>
  <si>
    <t>This problem is based on the final section in the Hurlimann paper around "reinterpreting the methods from Mack 2000." For these problems, we use age-to-age factors, instead of calculating the m_k to calculate the p_i values. Take a look at that section of the paper. This is a low priority topic from the paper that's not too likely to show up on an exam.</t>
  </si>
  <si>
    <t>R_3^c =</t>
  </si>
  <si>
    <t>R_3^coll =</t>
  </si>
  <si>
    <t>Z_3^* =</t>
  </si>
  <si>
    <t>Calculate R_3^c:</t>
  </si>
  <si>
    <t>&lt;-EP*Loss Ratio*q</t>
  </si>
  <si>
    <t>&lt;-Latest Diagonal/(EP*p_i)</t>
  </si>
  <si>
    <t>Loss Ratio =</t>
  </si>
  <si>
    <t>&lt;-q/p*C</t>
  </si>
  <si>
    <t>R_3^ind =</t>
  </si>
  <si>
    <t>Calculate R_3^ind and R_3^coll:</t>
  </si>
  <si>
    <t>Estimate the AY 2012 reserves using the optimal Bornhuetter/Ferguson method given an initial loss ratio of 0.55</t>
  </si>
  <si>
    <t>p_3^CL =</t>
  </si>
  <si>
    <t>p_2^CL =</t>
  </si>
  <si>
    <t>p_1^CL =</t>
  </si>
  <si>
    <t>Estimate the AY 2012 reserves using the optimal Cape Cod method.</t>
  </si>
  <si>
    <t>Calculate the p_i^CLs:</t>
  </si>
  <si>
    <t>f_2^CL =</t>
  </si>
  <si>
    <t>f_1^CL =</t>
  </si>
  <si>
    <t>Calculate the age-to-age factors:</t>
  </si>
  <si>
    <t>Cumulative Reported Losses ($)</t>
  </si>
  <si>
    <t>RF Hurlimann - 10</t>
  </si>
  <si>
    <r>
      <t xml:space="preserve">Note on Q3:
</t>
    </r>
    <r>
      <rPr>
        <sz val="12"/>
        <color theme="1"/>
        <rFont val="Calibri"/>
        <family val="2"/>
        <scheme val="minor"/>
      </rPr>
      <t>As mentioned in the outline, this does not appear to be correct. As f increases from f = 1, less weight is placed on the individual loss reserves. That being said, I think there's a possibility this could be asked on the exam. If so, stick with what the author says.</t>
    </r>
  </si>
  <si>
    <t>This assumption yields the smallest credibility weights for the individual loss reserves, which places more emphasis on the collective loss reserves</t>
  </si>
  <si>
    <t>Question #3</t>
  </si>
  <si>
    <t>With the collective loss ratio reserve, different actuaries always come to the same results provided they use the same premiums</t>
  </si>
  <si>
    <t>Question #2</t>
  </si>
  <si>
    <t>Explain why                is an appealing choice when calculating the optimal credibility weights.</t>
  </si>
  <si>
    <t>Similar to the Benktander method, Hurlimann's method represents a credibility weighting between two extreme positions: relies on cumulative paid claims (i.e. individual loss reserves) vs. ignores cumulative paid claims (i.e. collective loss reserves)</t>
  </si>
  <si>
    <t>Provide one advantage of the collective loss ratio reserve over the standard Bornhuetter/Ferguson reserve.</t>
  </si>
  <si>
    <t>Briefly describe one similarity between Hurlimann's method and the Benktander method.</t>
  </si>
  <si>
    <t>• Hurlimann's method relies on loss ratios (rather than link ratios) to determine reserves</t>
  </si>
  <si>
    <t>• Hurlimann's method requires a measure of exposure for each accident year (i.e. premiums)</t>
  </si>
  <si>
    <t>Briefly describe two differences between Hurlimann's method and the Benktander method.</t>
  </si>
  <si>
    <t>Question #1</t>
  </si>
  <si>
    <t>Solutions -&gt;</t>
  </si>
  <si>
    <t>RF Hurlimann - Essay Problems</t>
  </si>
  <si>
    <t xml:space="preserve">Hürlimann – Credible Loss Ratio Claims Reserve </t>
  </si>
  <si>
    <t>This is an easy question, but make sure to calculate the total reserve for AYs 2010-2012. That last step is easy to forget on the exam. Make sure to quick look back at the question prompt and give the answer they ask for.</t>
  </si>
  <si>
    <r>
      <t>R</t>
    </r>
    <r>
      <rPr>
        <vertAlign val="superscript"/>
        <sz val="12"/>
        <color theme="1"/>
        <rFont val="Calibri"/>
        <family val="2"/>
        <scheme val="minor"/>
      </rPr>
      <t>coll</t>
    </r>
    <r>
      <rPr>
        <sz val="12"/>
        <color theme="1"/>
        <rFont val="Calibri"/>
        <family val="2"/>
        <scheme val="minor"/>
      </rPr>
      <t xml:space="preserve"> =</t>
    </r>
  </si>
  <si>
    <t>Part b.</t>
  </si>
  <si>
    <r>
      <t>R</t>
    </r>
    <r>
      <rPr>
        <vertAlign val="superscript"/>
        <sz val="12"/>
        <color theme="1"/>
        <rFont val="Calibri"/>
        <family val="2"/>
        <scheme val="minor"/>
      </rPr>
      <t>ind</t>
    </r>
    <r>
      <rPr>
        <sz val="12"/>
        <color theme="1"/>
        <rFont val="Calibri"/>
        <family val="2"/>
        <scheme val="minor"/>
      </rPr>
      <t xml:space="preserve"> =</t>
    </r>
  </si>
  <si>
    <t>through 2012.</t>
  </si>
  <si>
    <r>
      <t>Calculate the collective loss ratio claims reserve R</t>
    </r>
    <r>
      <rPr>
        <vertAlign val="superscript"/>
        <sz val="12"/>
        <color theme="1"/>
        <rFont val="Calibri"/>
        <family val="2"/>
        <scheme val="minor"/>
      </rPr>
      <t>coll</t>
    </r>
    <r>
      <rPr>
        <sz val="12"/>
        <color theme="1"/>
        <rFont val="Calibri"/>
        <family val="2"/>
        <scheme val="minor"/>
      </rPr>
      <t xml:space="preserve"> for the total of accident years 2010</t>
    </r>
  </si>
  <si>
    <t>0.75 point</t>
  </si>
  <si>
    <r>
      <t>R</t>
    </r>
    <r>
      <rPr>
        <vertAlign val="superscript"/>
        <sz val="12"/>
        <color theme="1"/>
        <rFont val="Calibri (Body)"/>
      </rPr>
      <t>coll</t>
    </r>
  </si>
  <si>
    <r>
      <t>R</t>
    </r>
    <r>
      <rPr>
        <vertAlign val="superscript"/>
        <sz val="12"/>
        <color theme="1"/>
        <rFont val="Calibri (Body)"/>
      </rPr>
      <t>ind</t>
    </r>
  </si>
  <si>
    <t>Loss</t>
  </si>
  <si>
    <r>
      <t>q</t>
    </r>
    <r>
      <rPr>
        <vertAlign val="subscript"/>
        <sz val="12"/>
        <color theme="1"/>
        <rFont val="Calibri (Body)"/>
      </rPr>
      <t>i</t>
    </r>
  </si>
  <si>
    <r>
      <t>p</t>
    </r>
    <r>
      <rPr>
        <vertAlign val="subscript"/>
        <sz val="12"/>
        <color theme="1"/>
        <rFont val="Calibri (Body)"/>
      </rPr>
      <t>i</t>
    </r>
  </si>
  <si>
    <r>
      <t>Calculate the individual loss ratio claims reserve R</t>
    </r>
    <r>
      <rPr>
        <vertAlign val="superscript"/>
        <sz val="12"/>
        <color theme="1"/>
        <rFont val="Calibri"/>
        <family val="2"/>
        <scheme val="minor"/>
      </rPr>
      <t>ind</t>
    </r>
    <r>
      <rPr>
        <sz val="12"/>
        <color theme="1"/>
        <rFont val="Calibri"/>
        <family val="2"/>
        <scheme val="minor"/>
      </rPr>
      <t xml:space="preserve"> for the total of accident years 2010</t>
    </r>
  </si>
  <si>
    <t>2 points</t>
  </si>
  <si>
    <t>Cumulative</t>
  </si>
  <si>
    <t>Assume that there is no further development beyond 36 months.</t>
  </si>
  <si>
    <r>
      <t>m</t>
    </r>
    <r>
      <rPr>
        <vertAlign val="subscript"/>
        <sz val="12"/>
        <color theme="1"/>
        <rFont val="Calibri (Body)"/>
      </rPr>
      <t>k</t>
    </r>
  </si>
  <si>
    <t xml:space="preserve"> ($000)</t>
  </si>
  <si>
    <t>0-12</t>
  </si>
  <si>
    <t xml:space="preserve"> Year</t>
  </si>
  <si>
    <t>Premium</t>
  </si>
  <si>
    <t>Accident</t>
  </si>
  <si>
    <t>Incremental Paid Loss ($000)</t>
  </si>
  <si>
    <t>Create the triangle of incremental losses and calculate the m_k's and ELR:</t>
  </si>
  <si>
    <t>Part a.</t>
  </si>
  <si>
    <t>Points:</t>
  </si>
  <si>
    <t>Q #2</t>
  </si>
  <si>
    <t>Exam 7</t>
  </si>
  <si>
    <t>Spring 2013</t>
  </si>
  <si>
    <t>Source:</t>
  </si>
  <si>
    <t>Hürlimann – Credible Loss Ratio Claims Reserve</t>
  </si>
  <si>
    <r>
      <t>This problem is a straightforward application of the credible loss ratio claims reserve from Hürlimann.
According to the Examiners’ Report, the most common errors were to calculate R</t>
    </r>
    <r>
      <rPr>
        <vertAlign val="superscript"/>
        <sz val="12"/>
        <color theme="1"/>
        <rFont val="Calibri (Body)"/>
      </rPr>
      <t>ind</t>
    </r>
    <r>
      <rPr>
        <sz val="12"/>
        <color theme="1"/>
        <rFont val="Calibri"/>
        <family val="2"/>
        <scheme val="minor"/>
      </rPr>
      <t xml:space="preserve"> and R</t>
    </r>
    <r>
      <rPr>
        <vertAlign val="superscript"/>
        <sz val="12"/>
        <color theme="1"/>
        <rFont val="Calibri (Body)"/>
      </rPr>
      <t>coll</t>
    </r>
    <r>
      <rPr>
        <sz val="12"/>
        <color theme="1"/>
        <rFont val="Calibri"/>
        <family val="2"/>
        <scheme val="minor"/>
      </rPr>
      <t xml:space="preserve"> using the chain ladder method directly or use the wrong credibility weights. Make sure to remember the distinction between the Credible Loss Ratio method and the regular chain ladder method.</t>
    </r>
  </si>
  <si>
    <r>
      <t>R</t>
    </r>
    <r>
      <rPr>
        <vertAlign val="superscript"/>
        <sz val="12"/>
        <color theme="1"/>
        <rFont val="Calibri (Body)"/>
      </rPr>
      <t>opt</t>
    </r>
    <r>
      <rPr>
        <sz val="12"/>
        <color theme="1"/>
        <rFont val="Calibri"/>
        <family val="2"/>
        <scheme val="minor"/>
      </rPr>
      <t xml:space="preserve"> = </t>
    </r>
  </si>
  <si>
    <r>
      <t>Z</t>
    </r>
    <r>
      <rPr>
        <vertAlign val="superscript"/>
        <sz val="12"/>
        <color theme="1"/>
        <rFont val="Calibri (Body)"/>
      </rPr>
      <t>opt</t>
    </r>
    <r>
      <rPr>
        <sz val="12"/>
        <color theme="1"/>
        <rFont val="Calibri"/>
        <family val="2"/>
        <scheme val="minor"/>
      </rPr>
      <t xml:space="preserve"> = </t>
    </r>
  </si>
  <si>
    <r>
      <t>R</t>
    </r>
    <r>
      <rPr>
        <vertAlign val="superscript"/>
        <sz val="12"/>
        <color theme="1"/>
        <rFont val="Calibri (Body)"/>
      </rPr>
      <t>WN</t>
    </r>
    <r>
      <rPr>
        <sz val="12"/>
        <color theme="1"/>
        <rFont val="Calibri"/>
        <family val="2"/>
        <scheme val="minor"/>
      </rPr>
      <t xml:space="preserve"> = </t>
    </r>
  </si>
  <si>
    <r>
      <t>Z</t>
    </r>
    <r>
      <rPr>
        <vertAlign val="superscript"/>
        <sz val="12"/>
        <color theme="1"/>
        <rFont val="Calibri (Body)"/>
      </rPr>
      <t>WN</t>
    </r>
    <r>
      <rPr>
        <sz val="12"/>
        <color theme="1"/>
        <rFont val="Calibri"/>
        <family val="2"/>
        <scheme val="minor"/>
      </rPr>
      <t xml:space="preserve"> = </t>
    </r>
  </si>
  <si>
    <r>
      <t>R</t>
    </r>
    <r>
      <rPr>
        <vertAlign val="superscript"/>
        <sz val="12"/>
        <color theme="1"/>
        <rFont val="Calibri (Body)"/>
      </rPr>
      <t>coll</t>
    </r>
    <r>
      <rPr>
        <sz val="12"/>
        <color theme="1"/>
        <rFont val="Calibri"/>
        <family val="2"/>
        <scheme val="minor"/>
      </rPr>
      <t xml:space="preserve"> = </t>
    </r>
  </si>
  <si>
    <r>
      <t>R</t>
    </r>
    <r>
      <rPr>
        <vertAlign val="superscript"/>
        <sz val="12"/>
        <color theme="1"/>
        <rFont val="Calibri (Body)"/>
      </rPr>
      <t>ind</t>
    </r>
    <r>
      <rPr>
        <sz val="12"/>
        <color theme="1"/>
        <rFont val="Calibri"/>
        <family val="2"/>
        <scheme val="minor"/>
      </rPr>
      <t xml:space="preserve"> = </t>
    </r>
  </si>
  <si>
    <r>
      <t>q</t>
    </r>
    <r>
      <rPr>
        <vertAlign val="subscript"/>
        <sz val="12"/>
        <color theme="1"/>
        <rFont val="Calibri (Body)"/>
      </rPr>
      <t>12</t>
    </r>
    <r>
      <rPr>
        <sz val="12"/>
        <color theme="1"/>
        <rFont val="Calibri"/>
        <family val="2"/>
        <scheme val="minor"/>
      </rPr>
      <t xml:space="preserve"> = </t>
    </r>
  </si>
  <si>
    <r>
      <t>p</t>
    </r>
    <r>
      <rPr>
        <vertAlign val="subscript"/>
        <sz val="12"/>
        <color theme="1"/>
        <rFont val="Calibri (Body)"/>
      </rPr>
      <t>12</t>
    </r>
    <r>
      <rPr>
        <sz val="12"/>
        <color theme="1"/>
        <rFont val="Calibri"/>
        <family val="2"/>
        <scheme val="minor"/>
      </rPr>
      <t xml:space="preserve"> = </t>
    </r>
  </si>
  <si>
    <t>credibility and minimum variance, estimate the unpaid claim liability for accident year</t>
  </si>
  <si>
    <r>
      <t>and using H</t>
    </r>
    <r>
      <rPr>
        <sz val="10"/>
        <color theme="1"/>
        <rFont val="Calibri"/>
        <family val="2"/>
      </rPr>
      <t>Ü</t>
    </r>
    <r>
      <rPr>
        <sz val="12"/>
        <color theme="1"/>
        <rFont val="Calibri"/>
        <family val="2"/>
        <scheme val="minor"/>
      </rPr>
      <t>rlimann's method for optimal</t>
    </r>
  </si>
  <si>
    <t xml:space="preserve">Assuming that </t>
  </si>
  <si>
    <t>0.5 point</t>
  </si>
  <si>
    <t>For Accident Year 2014:</t>
  </si>
  <si>
    <r>
      <t>year 2014 as a linear combination of R</t>
    </r>
    <r>
      <rPr>
        <vertAlign val="superscript"/>
        <sz val="12"/>
        <color theme="1"/>
        <rFont val="Calibri"/>
        <family val="2"/>
        <scheme val="minor"/>
      </rPr>
      <t>ind</t>
    </r>
    <r>
      <rPr>
        <sz val="12"/>
        <color theme="1"/>
        <rFont val="Calibri"/>
        <family val="2"/>
        <scheme val="minor"/>
      </rPr>
      <t xml:space="preserve"> and R</t>
    </r>
    <r>
      <rPr>
        <vertAlign val="superscript"/>
        <sz val="12"/>
        <color theme="1"/>
        <rFont val="Calibri"/>
        <family val="2"/>
        <scheme val="minor"/>
      </rPr>
      <t>coll</t>
    </r>
    <r>
      <rPr>
        <sz val="12"/>
        <color theme="1"/>
        <rFont val="Calibri"/>
        <family val="2"/>
        <scheme val="minor"/>
      </rPr>
      <t>.</t>
    </r>
  </si>
  <si>
    <t>Use the Neuhaus credibility weight to estimate the unpaid claim liability for accident</t>
  </si>
  <si>
    <t>1.75 points</t>
  </si>
  <si>
    <t>Months</t>
  </si>
  <si>
    <t>Year</t>
  </si>
  <si>
    <t xml:space="preserve">24-36 </t>
  </si>
  <si>
    <t xml:space="preserve">0-12 </t>
  </si>
  <si>
    <t>Q #1</t>
  </si>
  <si>
    <t>Spring 2015</t>
  </si>
  <si>
    <t>Hürlimann – Credible Loss Ratio Claims Reserve</t>
  </si>
  <si>
    <r>
      <rPr>
        <b/>
        <sz val="12"/>
        <color theme="1"/>
        <rFont val="Calibri"/>
        <family val="2"/>
        <scheme val="minor"/>
      </rPr>
      <t>Part a</t>
    </r>
    <r>
      <rPr>
        <sz val="12"/>
        <color theme="1"/>
        <rFont val="Calibri"/>
        <family val="2"/>
        <scheme val="minor"/>
      </rPr>
      <t xml:space="preserve"> - This is tricky because the premiums aren’t given. Since an a priori is needed for this method to calculate the loss ratio payout factors, you need to make an assumption for the premium by accident year.
</t>
    </r>
    <r>
      <rPr>
        <b/>
        <sz val="12"/>
        <color theme="1"/>
        <rFont val="Calibri"/>
        <family val="2"/>
        <scheme val="minor"/>
      </rPr>
      <t>Part b</t>
    </r>
    <r>
      <rPr>
        <sz val="12"/>
        <color theme="1"/>
        <rFont val="Calibri"/>
        <family val="2"/>
        <scheme val="minor"/>
      </rPr>
      <t xml:space="preserve"> - Hürlimann isn’t entirely clear about what the “fifth-iteration” Benktander is. Both Hürlimann and Mack (2000) show calculations where the first iteration is labeled R</t>
    </r>
    <r>
      <rPr>
        <vertAlign val="superscript"/>
        <sz val="12"/>
        <color theme="1"/>
        <rFont val="Calibri (Body)"/>
      </rPr>
      <t>0</t>
    </r>
    <r>
      <rPr>
        <sz val="12"/>
        <color theme="1"/>
        <rFont val="Calibri"/>
        <family val="2"/>
        <scheme val="minor"/>
      </rPr>
      <t>, which is the BF reserve and the second iteration is labeled R</t>
    </r>
    <r>
      <rPr>
        <vertAlign val="superscript"/>
        <sz val="12"/>
        <color theme="1"/>
        <rFont val="Calibri (Body)"/>
      </rPr>
      <t>1</t>
    </r>
    <r>
      <rPr>
        <sz val="12"/>
        <color theme="1"/>
        <rFont val="Calibri"/>
        <family val="2"/>
        <scheme val="minor"/>
      </rPr>
      <t>, which is the Benktander reserve. 
The exam graders expected the solution above, but many candidates lost credit by giving what they’d call the sixth iteration, which is R</t>
    </r>
    <r>
      <rPr>
        <vertAlign val="superscript"/>
        <sz val="12"/>
        <color theme="1"/>
        <rFont val="Calibri (Body)"/>
      </rPr>
      <t>(5)</t>
    </r>
    <r>
      <rPr>
        <sz val="12"/>
        <color theme="1"/>
        <rFont val="Calibri"/>
        <family val="2"/>
        <scheme val="minor"/>
      </rPr>
      <t xml:space="preserve"> in the Hürlimann/Mack(2000) notation. </t>
    </r>
  </si>
  <si>
    <r>
      <t>R</t>
    </r>
    <r>
      <rPr>
        <vertAlign val="superscript"/>
        <sz val="12"/>
        <color theme="1"/>
        <rFont val="Calibri (Body)"/>
      </rPr>
      <t>opt</t>
    </r>
    <r>
      <rPr>
        <vertAlign val="subscript"/>
        <sz val="12"/>
        <color theme="1"/>
        <rFont val="Calibri (Body)"/>
      </rPr>
      <t>3</t>
    </r>
    <r>
      <rPr>
        <sz val="12"/>
        <color theme="1"/>
        <rFont val="Calibri"/>
        <family val="2"/>
        <scheme val="minor"/>
      </rPr>
      <t xml:space="preserve"> =</t>
    </r>
  </si>
  <si>
    <t>&lt;-Z = t/(t+sqrt(t))</t>
  </si>
  <si>
    <r>
      <t>Z*</t>
    </r>
    <r>
      <rPr>
        <vertAlign val="subscript"/>
        <sz val="12"/>
        <color theme="1"/>
        <rFont val="Calibri (Body)"/>
      </rPr>
      <t>3</t>
    </r>
    <r>
      <rPr>
        <sz val="12"/>
        <color theme="1"/>
        <rFont val="Calibri (Body)"/>
      </rPr>
      <t xml:space="preserve"> =</t>
    </r>
  </si>
  <si>
    <t>&lt;-q*(Fourth Iter Reserve + Cumulative Loss; i.e. Fourth Iteration Ultimate)</t>
  </si>
  <si>
    <t>Fifth iteration</t>
  </si>
  <si>
    <t>&lt;-q*(Third Iter Reserve + Cumulative Loss; i.e. Third Iteration Ultimate)</t>
  </si>
  <si>
    <t>Fourth iteration</t>
  </si>
  <si>
    <t>&lt;-q*(R^GB + Cumulative Loss; i.e. Benktander ultimate)</t>
  </si>
  <si>
    <t>Third iteration</t>
  </si>
  <si>
    <t>The Benktander reserve is the second iteration of Hurlimann's metohd</t>
  </si>
  <si>
    <t>&lt;-no reserve for AY 2013</t>
  </si>
  <si>
    <t>Total Reserve</t>
  </si>
  <si>
    <t>minimum variance to calculate the reserve indication for accident year 2015.</t>
  </si>
  <si>
    <t xml:space="preserve">           and using Hürlimann's method for optimal credibility and</t>
  </si>
  <si>
    <t xml:space="preserve">Assuming </t>
  </si>
  <si>
    <t>Calculate the fifth-iteration Benktander method reserve indication for accident year 2015.</t>
  </si>
  <si>
    <t>payout factors and the Benktander method.</t>
  </si>
  <si>
    <r>
      <t>R</t>
    </r>
    <r>
      <rPr>
        <vertAlign val="superscript"/>
        <sz val="12"/>
        <color theme="1"/>
        <rFont val="Calibri (Body)"/>
      </rPr>
      <t>gb</t>
    </r>
  </si>
  <si>
    <r>
      <t>Z</t>
    </r>
    <r>
      <rPr>
        <vertAlign val="superscript"/>
        <sz val="12"/>
        <color theme="1"/>
        <rFont val="Calibri (Body)"/>
      </rPr>
      <t>gb</t>
    </r>
  </si>
  <si>
    <t>Calculate the total reserve indication as of December 31, 2015 using loss-ratio based</t>
  </si>
  <si>
    <t>Benktander Method</t>
  </si>
  <si>
    <t>•  There is no development beyond 36 months.</t>
  </si>
  <si>
    <t>•  Exposures and premium are constant across all accident years.</t>
  </si>
  <si>
    <t xml:space="preserve"> Months</t>
  </si>
  <si>
    <t xml:space="preserve">Accident </t>
  </si>
  <si>
    <t>Assumed</t>
  </si>
  <si>
    <t>Cumulative Loss Payments</t>
  </si>
  <si>
    <t>Create the triangle of incremental losses and set an assumed premium:</t>
  </si>
  <si>
    <t>Spring 2016</t>
  </si>
  <si>
    <t>Hürlimann - Credible Loss Ratio Claims Reserves</t>
  </si>
  <si>
    <t>Optimal Cred</t>
  </si>
  <si>
    <t>Benktander</t>
  </si>
  <si>
    <t>Collective</t>
  </si>
  <si>
    <t>Individual</t>
  </si>
  <si>
    <t>Ultimate Losses</t>
  </si>
  <si>
    <t>Add the cumulative loss to the reserves to get ultimate losses:</t>
  </si>
  <si>
    <t>iv.  Optimal credible loss ratio</t>
  </si>
  <si>
    <t>iii.  Benktander loss ratio</t>
  </si>
  <si>
    <t>ii.   Individual loss ratio</t>
  </si>
  <si>
    <t>i.    Collective loss ratio</t>
  </si>
  <si>
    <t>Calculate the ultimate losses for each accident year using each of the following methods:</t>
  </si>
  <si>
    <r>
      <t>R</t>
    </r>
    <r>
      <rPr>
        <vertAlign val="superscript"/>
        <sz val="12"/>
        <color theme="1"/>
        <rFont val="Calibri (Body)"/>
      </rPr>
      <t>opt</t>
    </r>
  </si>
  <si>
    <r>
      <t>Z</t>
    </r>
    <r>
      <rPr>
        <vertAlign val="superscript"/>
        <sz val="12"/>
        <color theme="1"/>
        <rFont val="Calibri (Body)"/>
      </rPr>
      <t>opt</t>
    </r>
  </si>
  <si>
    <t>•  Assume no further development after 36 months.</t>
  </si>
  <si>
    <t xml:space="preserve">Earned </t>
  </si>
  <si>
    <t>Cumulative Reported Loss</t>
  </si>
  <si>
    <t>Given the following information as of December 31, 2016:</t>
  </si>
  <si>
    <t>Spring 2017</t>
  </si>
  <si>
    <t>Hürlimann - pg. 87-88</t>
  </si>
  <si>
    <t>Source</t>
  </si>
  <si>
    <t>MSE</t>
  </si>
  <si>
    <t>Z</t>
  </si>
  <si>
    <t>Instead of using the specific MSE formulas for the individual and collective loss ratio methods, we can use the generalized MSE formula for a credibility-weighted reserve and plug in the credibility (Z) for each method:</t>
  </si>
  <si>
    <t>Alternative Solution</t>
  </si>
  <si>
    <t>This is more of a fringe topic. These MSE formulas are only in the paper as part of showing that the optimal z will produce the lowest MSE. The optimal z and calculating the reserves are what the paper's really about, so I would focus more on that in preparing for an upcoming exam. However, the MSE formulas here are worth knowing if you have time.</t>
  </si>
  <si>
    <t>Since the MSE for the collective method is smaller, it is the preferred method</t>
  </si>
  <si>
    <r>
      <t>MSE(R</t>
    </r>
    <r>
      <rPr>
        <vertAlign val="superscript"/>
        <sz val="12"/>
        <color theme="1"/>
        <rFont val="Calibri (Body)"/>
      </rPr>
      <t>coll</t>
    </r>
    <r>
      <rPr>
        <sz val="12"/>
        <color theme="1"/>
        <rFont val="Calibri (Body)"/>
      </rPr>
      <t>)</t>
    </r>
    <r>
      <rPr>
        <sz val="12"/>
        <color theme="1"/>
        <rFont val="Calibri"/>
        <family val="2"/>
        <scheme val="minor"/>
      </rPr>
      <t xml:space="preserve"> =</t>
    </r>
  </si>
  <si>
    <r>
      <t>MSE(R</t>
    </r>
    <r>
      <rPr>
        <vertAlign val="superscript"/>
        <sz val="12"/>
        <color theme="1"/>
        <rFont val="Calibri (Body)"/>
      </rPr>
      <t>ind</t>
    </r>
    <r>
      <rPr>
        <sz val="12"/>
        <color theme="1"/>
        <rFont val="Calibri (Body)"/>
      </rPr>
      <t>)</t>
    </r>
    <r>
      <rPr>
        <sz val="12"/>
        <color theme="1"/>
        <rFont val="Calibri"/>
        <family val="2"/>
        <scheme val="minor"/>
      </rPr>
      <t xml:space="preserve"> =</t>
    </r>
  </si>
  <si>
    <r>
      <t>loss ratio method, and determine which is preferable for estimating R</t>
    </r>
    <r>
      <rPr>
        <vertAlign val="subscript"/>
        <sz val="12"/>
        <color theme="1"/>
        <rFont val="Calibri"/>
        <family val="2"/>
        <scheme val="minor"/>
      </rPr>
      <t>2015</t>
    </r>
    <r>
      <rPr>
        <sz val="12"/>
        <color theme="1"/>
        <rFont val="Calibri"/>
        <family val="2"/>
        <scheme val="minor"/>
      </rPr>
      <t>.</t>
    </r>
  </si>
  <si>
    <r>
      <t>q</t>
    </r>
    <r>
      <rPr>
        <vertAlign val="subscript"/>
        <sz val="12"/>
        <color theme="1"/>
        <rFont val="Calibri (Body)"/>
      </rPr>
      <t>2015</t>
    </r>
    <r>
      <rPr>
        <sz val="12"/>
        <color theme="1"/>
        <rFont val="Calibri"/>
        <family val="2"/>
        <scheme val="minor"/>
      </rPr>
      <t xml:space="preserve"> =</t>
    </r>
  </si>
  <si>
    <t>Calculate the mean squared error for both the individual loss ratio method and the collective</t>
  </si>
  <si>
    <r>
      <t>p</t>
    </r>
    <r>
      <rPr>
        <vertAlign val="subscript"/>
        <sz val="12"/>
        <color theme="1"/>
        <rFont val="Calibri (Body)"/>
      </rPr>
      <t>2015</t>
    </r>
    <r>
      <rPr>
        <sz val="12"/>
        <color theme="1"/>
        <rFont val="Calibri"/>
        <family val="2"/>
        <scheme val="minor"/>
      </rPr>
      <t xml:space="preserve"> =</t>
    </r>
  </si>
  <si>
    <t xml:space="preserve"> </t>
  </si>
  <si>
    <t xml:space="preserve">•  </t>
  </si>
  <si>
    <t>For AY 2015:</t>
  </si>
  <si>
    <t xml:space="preserve">• </t>
  </si>
  <si>
    <t>•  Assume there is no further development after 48 months.</t>
  </si>
  <si>
    <t>Cumulative Paid Loss ($000) 
as of (months):</t>
  </si>
  <si>
    <t>Earned 
Premium ($000)</t>
  </si>
  <si>
    <t>Accident 
Year</t>
  </si>
  <si>
    <t>Given the following information as of December 31, 2017:</t>
  </si>
  <si>
    <t>Create the triangle of incremental losses and the incremental m_k loss ratios:</t>
  </si>
  <si>
    <t>Q #3</t>
  </si>
  <si>
    <t>Spring 2018</t>
  </si>
  <si>
    <t>In this case, m_2 would increase, while m_1 and m_3 would remain the same. Thus, p_3 = m_1/(m_1 + m_2 + m_3) would decrease since the denominator increases while the numerator stays the same. Since Z_3^GB = p_3, the credibility decreases</t>
  </si>
  <si>
    <t>Part d.</t>
  </si>
  <si>
    <r>
      <t>R</t>
    </r>
    <r>
      <rPr>
        <vertAlign val="subscript"/>
        <sz val="12"/>
        <color theme="1"/>
        <rFont val="Calibri (Body)"/>
      </rPr>
      <t>c</t>
    </r>
    <r>
      <rPr>
        <sz val="12"/>
        <color theme="1"/>
        <rFont val="Calibri"/>
        <family val="2"/>
        <scheme val="minor"/>
      </rPr>
      <t xml:space="preserve"> is preferable because it minimizes the MSE of the reserve.</t>
    </r>
  </si>
  <si>
    <t>Part c.</t>
  </si>
  <si>
    <r>
      <t xml:space="preserve"> = Z * R</t>
    </r>
    <r>
      <rPr>
        <vertAlign val="superscript"/>
        <sz val="12"/>
        <color theme="1"/>
        <rFont val="Calibri (Body)"/>
      </rPr>
      <t>ind</t>
    </r>
    <r>
      <rPr>
        <sz val="12"/>
        <color theme="1"/>
        <rFont val="Calibri (Body)"/>
      </rPr>
      <t xml:space="preserve"> + (1 - Z) * R</t>
    </r>
    <r>
      <rPr>
        <vertAlign val="superscript"/>
        <sz val="12"/>
        <color theme="1"/>
        <rFont val="Calibri (Body)"/>
      </rPr>
      <t>coll</t>
    </r>
    <r>
      <rPr>
        <sz val="12"/>
        <color theme="1"/>
        <rFont val="Calibri (Body)"/>
      </rPr>
      <t xml:space="preserve"> </t>
    </r>
  </si>
  <si>
    <r>
      <t>R</t>
    </r>
    <r>
      <rPr>
        <vertAlign val="subscript"/>
        <sz val="12"/>
        <color theme="1"/>
        <rFont val="Calibri (Body)"/>
      </rPr>
      <t>c</t>
    </r>
    <r>
      <rPr>
        <sz val="12"/>
        <color theme="1"/>
        <rFont val="Calibri"/>
        <family val="2"/>
        <scheme val="minor"/>
      </rPr>
      <t xml:space="preserve"> =</t>
    </r>
  </si>
  <si>
    <t>⇽ Z = p/(p+sqrt(p)) since Var(U_i) = Var(U_i^BC)</t>
  </si>
  <si>
    <r>
      <t>Z</t>
    </r>
    <r>
      <rPr>
        <vertAlign val="superscript"/>
        <sz val="12"/>
        <color theme="1"/>
        <rFont val="Calibri (Body)"/>
      </rPr>
      <t>opt</t>
    </r>
    <r>
      <rPr>
        <sz val="12"/>
        <color theme="1"/>
        <rFont val="Calibri (Body)"/>
      </rPr>
      <t xml:space="preserve"> = </t>
    </r>
  </si>
  <si>
    <t>value in the table above.</t>
  </si>
  <si>
    <t>incremental paid loss from 12 to 24 months for accident year 2017 was greater than the</t>
  </si>
  <si>
    <t>Describe the effect on the Benktander credibility for accident year 2018 if the</t>
  </si>
  <si>
    <r>
      <t>R</t>
    </r>
    <r>
      <rPr>
        <vertAlign val="superscript"/>
        <sz val="12"/>
        <color theme="1"/>
        <rFont val="Calibri (Body)"/>
      </rPr>
      <t>GB</t>
    </r>
    <r>
      <rPr>
        <sz val="12"/>
        <color theme="1"/>
        <rFont val="Calibri"/>
        <family val="2"/>
        <scheme val="minor"/>
      </rPr>
      <t xml:space="preserve"> =</t>
    </r>
  </si>
  <si>
    <t>briefly describe a supporting reason.</t>
  </si>
  <si>
    <r>
      <t>Identify which of R</t>
    </r>
    <r>
      <rPr>
        <vertAlign val="subscript"/>
        <sz val="12"/>
        <color theme="1"/>
        <rFont val="Calibri (Body)"/>
      </rPr>
      <t>c</t>
    </r>
    <r>
      <rPr>
        <sz val="12"/>
        <color theme="1"/>
        <rFont val="Calibri"/>
        <family val="2"/>
        <scheme val="minor"/>
      </rPr>
      <t xml:space="preserve"> or R</t>
    </r>
    <r>
      <rPr>
        <vertAlign val="superscript"/>
        <sz val="12"/>
        <color theme="1"/>
        <rFont val="Calibri (Body)"/>
      </rPr>
      <t>GB</t>
    </r>
    <r>
      <rPr>
        <sz val="12"/>
        <color theme="1"/>
        <rFont val="Calibri"/>
        <family val="2"/>
        <scheme val="minor"/>
      </rPr>
      <t xml:space="preserve"> is the preferable reserve from a statistical point of view and</t>
    </r>
  </si>
  <si>
    <r>
      <t>Z</t>
    </r>
    <r>
      <rPr>
        <vertAlign val="superscript"/>
        <sz val="12"/>
        <color theme="1"/>
        <rFont val="Calibri (Body)"/>
      </rPr>
      <t>GB</t>
    </r>
    <r>
      <rPr>
        <sz val="12"/>
        <color theme="1"/>
        <rFont val="Calibri (Body)"/>
      </rPr>
      <t xml:space="preserve"> = </t>
    </r>
  </si>
  <si>
    <t xml:space="preserve"> = q * Prem * ELR</t>
  </si>
  <si>
    <r>
      <t>R</t>
    </r>
    <r>
      <rPr>
        <vertAlign val="superscript"/>
        <sz val="12"/>
        <color theme="1"/>
        <rFont val="Calibri (Body)"/>
      </rPr>
      <t>coll</t>
    </r>
    <r>
      <rPr>
        <sz val="12"/>
        <color theme="1"/>
        <rFont val="Calibri (Body)"/>
      </rPr>
      <t xml:space="preserve"> = </t>
    </r>
  </si>
  <si>
    <r>
      <t>Calculate the accident year 2018 optimal credible reserve estimate (R</t>
    </r>
    <r>
      <rPr>
        <vertAlign val="subscript"/>
        <sz val="12"/>
        <color theme="1"/>
        <rFont val="Calibri (Body)"/>
      </rPr>
      <t>c</t>
    </r>
    <r>
      <rPr>
        <sz val="12"/>
        <color theme="1"/>
        <rFont val="Calibri"/>
        <family val="2"/>
        <scheme val="minor"/>
      </rPr>
      <t>)</t>
    </r>
  </si>
  <si>
    <t xml:space="preserve"> = q * Loss / p</t>
  </si>
  <si>
    <r>
      <t>R</t>
    </r>
    <r>
      <rPr>
        <vertAlign val="superscript"/>
        <sz val="12"/>
        <color theme="1"/>
        <rFont val="Calibri (Body)"/>
      </rPr>
      <t>ind</t>
    </r>
    <r>
      <rPr>
        <sz val="12"/>
        <color theme="1"/>
        <rFont val="Calibri (Body)"/>
      </rPr>
      <t xml:space="preserve"> = </t>
    </r>
  </si>
  <si>
    <r>
      <t>Calculate the accident year 2018 Benktander reserve estimate (R</t>
    </r>
    <r>
      <rPr>
        <vertAlign val="superscript"/>
        <sz val="12"/>
        <color theme="1"/>
        <rFont val="Calibri"/>
        <family val="2"/>
        <scheme val="minor"/>
      </rPr>
      <t>GB</t>
    </r>
    <r>
      <rPr>
        <sz val="12"/>
        <color theme="1"/>
        <rFont val="Calibri"/>
        <family val="2"/>
        <scheme val="minor"/>
      </rPr>
      <t xml:space="preserve"> ).</t>
    </r>
  </si>
  <si>
    <t>1.5 points</t>
  </si>
  <si>
    <t>Calculate R^ind and R^coll for AY 2018:</t>
  </si>
  <si>
    <r>
      <t>q</t>
    </r>
    <r>
      <rPr>
        <vertAlign val="subscript"/>
        <sz val="12"/>
        <color theme="1"/>
        <rFont val="Calibri (Body)"/>
      </rPr>
      <t>2018</t>
    </r>
    <r>
      <rPr>
        <sz val="12"/>
        <color theme="1"/>
        <rFont val="Calibri"/>
        <family val="2"/>
        <scheme val="minor"/>
      </rPr>
      <t xml:space="preserve"> =</t>
    </r>
  </si>
  <si>
    <t>• Assume there is no further development after 36 months.</t>
  </si>
  <si>
    <r>
      <t>p</t>
    </r>
    <r>
      <rPr>
        <vertAlign val="subscript"/>
        <sz val="12"/>
        <color theme="1"/>
        <rFont val="Calibri (Body)"/>
      </rPr>
      <t>2018</t>
    </r>
    <r>
      <rPr>
        <sz val="12"/>
        <color theme="1"/>
        <rFont val="Calibri"/>
        <family val="2"/>
        <scheme val="minor"/>
      </rPr>
      <t xml:space="preserve"> =</t>
    </r>
  </si>
  <si>
    <r>
      <t>Calculate p</t>
    </r>
    <r>
      <rPr>
        <vertAlign val="subscript"/>
        <sz val="12"/>
        <color theme="1"/>
        <rFont val="Calibri (Body)"/>
      </rPr>
      <t>i</t>
    </r>
    <r>
      <rPr>
        <sz val="12"/>
        <color theme="1"/>
        <rFont val="Calibri"/>
        <family val="2"/>
        <scheme val="minor"/>
      </rPr>
      <t xml:space="preserve"> and q</t>
    </r>
    <r>
      <rPr>
        <vertAlign val="subscript"/>
        <sz val="12"/>
        <color theme="1"/>
        <rFont val="Calibri (Body)"/>
      </rPr>
      <t>i</t>
    </r>
    <r>
      <rPr>
        <sz val="12"/>
        <color theme="1"/>
        <rFont val="Calibri (Body)"/>
      </rPr>
      <t xml:space="preserve"> for 2018 (at 12 months):</t>
    </r>
  </si>
  <si>
    <t>Incremental Paid Loss ($000) 
as of (months):</t>
  </si>
  <si>
    <t>Calculate the m_k's and ELR based on the incremental paid loss triangle:</t>
  </si>
  <si>
    <t>Given the following information as of December 31, 2018:</t>
  </si>
  <si>
    <t>Spring 2019</t>
  </si>
  <si>
    <t>The premium volume is shrinking over time. This may indicate a change in mix of business. Since the Neuhaus method assumes a constant ELR for all accident years, a change in mix business may violate the constant ELR assumption.</t>
  </si>
  <si>
    <t>&lt;-no reserve for 2016</t>
  </si>
  <si>
    <t>Total Neuhaus Reserve =</t>
  </si>
  <si>
    <t>Describe why the Neuhaus method may not be appropriate for the data in the table above.</t>
  </si>
  <si>
    <t>Calculate the total Neuhaus loss ratio claims reserve estimate.</t>
  </si>
  <si>
    <t>•  Assume there is no loss development beyond 36 months.</t>
  </si>
  <si>
    <r>
      <t>R</t>
    </r>
    <r>
      <rPr>
        <vertAlign val="superscript"/>
        <sz val="12"/>
        <color theme="1"/>
        <rFont val="Calibri (Body)"/>
      </rPr>
      <t>wn</t>
    </r>
  </si>
  <si>
    <r>
      <t>Z</t>
    </r>
    <r>
      <rPr>
        <vertAlign val="superscript"/>
        <sz val="12"/>
        <color theme="1"/>
        <rFont val="Calibri (Body)"/>
      </rPr>
      <t>wn</t>
    </r>
  </si>
  <si>
    <t>Neuhaus Method</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</si>
  <si>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</si>
  <si>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r>
      <t xml:space="preserve">If f = 1, we can use the simplified formula for z(opt) where t(opt) = SQRT(p). Since this isn't the case here, we need to use the generalized version of the formula.
The special case when we assume Var(U_i) = Var(U^BC), meaning f = 1, we get a global minimum of the MSE of the reserve estimate. For all f&gt;1, the MSE will be larger.
</t>
    </r>
    <r>
      <rPr>
        <i/>
        <sz val="12"/>
        <color theme="1"/>
        <rFont val="Calibri"/>
        <family val="2"/>
        <scheme val="minor"/>
      </rPr>
      <t>However</t>
    </r>
    <r>
      <rPr>
        <sz val="12"/>
        <color theme="1"/>
        <rFont val="Calibri"/>
        <family val="2"/>
        <scheme val="minor"/>
      </rPr>
      <t>, if the data suggest that Var(U_i) = Var(U^BC) isn't appropriate, and instead we impose the condition Var(U_i) = 1.3 * Var(U^BC), then we need to use the more generalized formulas to calculate the credibility weights. In this question, we are given f = 1.3.</t>
    </r>
  </si>
  <si>
    <t>Incremental Loss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</si>
</sst>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3" formatCode="_(* #,##0.00_);_(* \(#,##0.00\);_(* &quot;-&quot;??_);_(@_)"/>
    <numFmt numFmtId="164" formatCode="0.000"/>
    <numFmt numFmtId="165" formatCode="#,##0.0000"/>
    <numFmt numFmtId="166" formatCode="0.0000"/>
    <numFmt numFmtId="167" formatCode="0.0%"/>
    <numFmt numFmtId="168" formatCode="_-* #,##0_-;\-* #,##0_-;_-* &quot;-&quot;??_-;_-@_-"/>
    <numFmt numFmtId="169" formatCode="_-* #,##0.0_-;\-* #,##0.0_-;_-* &quot;-&quot;??_-;_-@_-"/>
    <numFmt numFmtId="170" formatCode="_(* #,##0_);_(* \(#,##0\);_(* &quot;-&quot;??_);_(@_)"/>
    <numFmt numFmtId="171" formatCode="#,##0.000"/>
    <numFmt numFmtId="172" formatCode="_(* #,##0.000_);_(* \(#,##0.000\);_(* &quot;-&quot;??_);_(@_)"/>
    <numFmt numFmtId="173" formatCode="&quot;$&quot;#,##0.0_);[Red]\(&quot;$&quot;#,##0.0\)"/>
  </numFmts>
  <fonts count="38"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i/>
      <sz val="12"/>
      <color theme="1"/>
      <name val="Calibri"/>
      <family val="2"/>
    </font>
    <font>
      <b/>
      <sz val="12"/>
      <color theme="1"/>
      <name val="Calibri"/>
      <family val="2"/>
    </font>
    <font>
      <sz val="11"/>
      <name val="Calibri"/>
      <family val="2"/>
    </font>
    <font>
      <sz val="11"/>
      <color rgb="FF000000"/>
      <name val="Calibri"/>
      <family val="2"/>
    </font>
    <font>
      <vertAlign val="subscript"/>
      <sz val="12"/>
      <color theme="1"/>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i/>
      <sz val="12"/>
      <color theme="1"/>
      <name val="Calibri"/>
      <family val="2"/>
      <scheme val="minor"/>
    </font>
    <font>
      <b/>
      <sz val="14"/>
      <color theme="1"/>
      <name val="Calibri"/>
      <family val="2"/>
      <scheme val="minor"/>
    </font>
    <font>
      <b/>
      <u/>
      <sz val="12"/>
      <color theme="1"/>
      <name val="Calibri (Body)"/>
    </font>
    <font>
      <u/>
      <sz val="12"/>
      <color theme="1"/>
      <name val="Calibri"/>
      <family val="2"/>
      <scheme val="minor"/>
    </font>
    <font>
      <b/>
      <sz val="12"/>
      <color theme="1"/>
      <name val="Calibri"/>
      <family val="2"/>
      <scheme val="minor"/>
    </font>
    <font>
      <vertAlign val="superscript"/>
      <sz val="12"/>
      <color theme="1"/>
      <name val="Calibri"/>
      <family val="2"/>
    </font>
    <font>
      <sz val="12"/>
      <color rgb="FF000000"/>
      <name val="Calibri"/>
      <family val="2"/>
      <scheme val="minor"/>
    </font>
    <font>
      <vertAlign val="superscript"/>
      <sz val="12"/>
      <color theme="1"/>
      <name val="Calibri"/>
      <family val="2"/>
      <scheme val="minor"/>
    </font>
    <font>
      <vertAlign val="superscript"/>
      <sz val="12"/>
      <color theme="1"/>
      <name val="Calibri (Body)"/>
    </font>
    <font>
      <vertAlign val="subscript"/>
      <sz val="12"/>
      <color theme="1"/>
      <name val="Calibri (Body)"/>
    </font>
    <font>
      <sz val="10"/>
      <color theme="1"/>
      <name val="Calibri"/>
      <family val="2"/>
    </font>
    <font>
      <sz val="12"/>
      <color theme="1"/>
      <name val="Calibri (Body)"/>
    </font>
    <font>
      <sz val="12"/>
      <color rgb="FFFF0000"/>
      <name val="Calibri"/>
      <family val="2"/>
      <scheme val="minor"/>
    </font>
    <font>
      <u/>
      <sz val="14"/>
      <color theme="1"/>
      <name val="Calibri"/>
      <family val="2"/>
      <scheme val="minor"/>
    </font>
    <font>
      <vertAlign val="subscript"/>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30">
    <border>
      <left/>
      <right/>
      <top/>
      <bottom/>
      <diagonal/>
    </border>
    <border>
      <left style="medium">
        <color indexed="64"/>
      </left>
      <right/>
      <top/>
      <bottom/>
      <diagonal/>
    </border>
    <border>
      <left/>
      <right style="medium">
        <color indexed="64"/>
      </right>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top/>
      <bottom/>
      <diagonal/>
    </border>
    <border>
      <left style="thin">
        <color auto="1"/>
      </left>
      <right style="thin">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7" fillId="0" borderId="0" applyFont="0" applyFill="0" applyBorder="0" applyAlignment="0" applyProtection="0"/>
    <xf numFmtId="9" fontId="7" fillId="0" borderId="0" applyFont="0" applyFill="0" applyBorder="0" applyAlignment="0" applyProtection="0"/>
    <xf numFmtId="0" fontId="19" fillId="0" borderId="0"/>
    <xf numFmtId="0" fontId="4" fillId="0" borderId="0"/>
    <xf numFmtId="0" fontId="20" fillId="0" borderId="0" applyNumberFormat="0" applyFill="0" applyBorder="0" applyAlignment="0" applyProtection="0"/>
    <xf numFmtId="43" fontId="7" fillId="0" borderId="0" applyFont="0" applyFill="0" applyBorder="0" applyAlignment="0" applyProtection="0"/>
  </cellStyleXfs>
  <cellXfs count="305">
    <xf numFmtId="0" fontId="0" fillId="0" borderId="0" xfId="0"/>
    <xf numFmtId="0" fontId="8" fillId="2" borderId="1" xfId="0" applyFont="1" applyFill="1" applyBorder="1"/>
    <xf numFmtId="2" fontId="9" fillId="2" borderId="1" xfId="0" applyNumberFormat="1" applyFont="1" applyFill="1" applyBorder="1" applyAlignment="1">
      <alignment horizontal="left"/>
    </xf>
    <xf numFmtId="0" fontId="8" fillId="0" borderId="0" xfId="0" applyFont="1"/>
    <xf numFmtId="0" fontId="10" fillId="0" borderId="0" xfId="0" applyFont="1"/>
    <xf numFmtId="0" fontId="11" fillId="0" borderId="0" xfId="0" applyFont="1"/>
    <xf numFmtId="3" fontId="13" fillId="2" borderId="0" xfId="0" applyNumberFormat="1" applyFont="1" applyFill="1" applyAlignment="1">
      <alignment horizontal="center" vertical="center" wrapText="1"/>
    </xf>
    <xf numFmtId="0" fontId="13" fillId="2" borderId="0" xfId="0" applyFont="1" applyFill="1" applyAlignment="1">
      <alignment horizontal="center" vertical="center" wrapText="1"/>
    </xf>
    <xf numFmtId="165" fontId="13" fillId="2" borderId="0" xfId="0" applyNumberFormat="1" applyFont="1" applyFill="1" applyAlignment="1">
      <alignment horizontal="center" vertical="center" wrapText="1"/>
    </xf>
    <xf numFmtId="164" fontId="13" fillId="2" borderId="0" xfId="0" applyNumberFormat="1" applyFont="1" applyFill="1" applyAlignment="1">
      <alignment horizontal="center" vertical="center" wrapText="1"/>
    </xf>
    <xf numFmtId="9" fontId="13" fillId="2" borderId="0" xfId="0" applyNumberFormat="1" applyFont="1" applyFill="1" applyAlignment="1">
      <alignment horizontal="center" vertical="center" wrapText="1"/>
    </xf>
    <xf numFmtId="0" fontId="15" fillId="0" borderId="0" xfId="0" applyFont="1"/>
    <xf numFmtId="0" fontId="15" fillId="2" borderId="10" xfId="0" applyFont="1" applyFill="1" applyBorder="1" applyAlignment="1">
      <alignment horizontal="center" vertical="center"/>
    </xf>
    <xf numFmtId="0" fontId="13" fillId="2" borderId="5" xfId="0" applyFont="1" applyFill="1" applyBorder="1" applyAlignment="1">
      <alignment horizontal="center" wrapText="1"/>
    </xf>
    <xf numFmtId="0" fontId="13" fillId="2" borderId="5" xfId="0" applyFont="1" applyFill="1" applyBorder="1" applyAlignment="1">
      <alignment horizontal="center" vertical="center" wrapText="1"/>
    </xf>
    <xf numFmtId="16" fontId="13" fillId="2" borderId="5" xfId="0" quotePrefix="1"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3" xfId="0" applyFont="1" applyFill="1" applyBorder="1" applyAlignment="1">
      <alignment horizontal="center" wrapText="1"/>
    </xf>
    <xf numFmtId="0" fontId="13" fillId="2" borderId="6" xfId="0" applyFont="1" applyFill="1" applyBorder="1" applyAlignment="1">
      <alignment horizontal="center" vertical="center"/>
    </xf>
    <xf numFmtId="0" fontId="12" fillId="2" borderId="0" xfId="0" applyFont="1" applyFill="1" applyAlignment="1">
      <alignment horizontal="center"/>
    </xf>
    <xf numFmtId="0" fontId="6" fillId="2" borderId="10" xfId="0" applyFont="1" applyFill="1" applyBorder="1" applyAlignment="1">
      <alignment horizontal="center" vertical="center"/>
    </xf>
    <xf numFmtId="0" fontId="6" fillId="2" borderId="0" xfId="0" applyFont="1" applyFill="1"/>
    <xf numFmtId="0" fontId="6" fillId="2" borderId="2" xfId="0" applyFont="1" applyFill="1" applyBorder="1"/>
    <xf numFmtId="0" fontId="6" fillId="0" borderId="0" xfId="0" applyFont="1"/>
    <xf numFmtId="0" fontId="6" fillId="0" borderId="3" xfId="0" applyFont="1" applyBorder="1"/>
    <xf numFmtId="0" fontId="6" fillId="0" borderId="5" xfId="0" applyFont="1" applyBorder="1" applyAlignment="1">
      <alignment horizontal="center"/>
    </xf>
    <xf numFmtId="0" fontId="6" fillId="0" borderId="5" xfId="0" applyFont="1" applyBorder="1"/>
    <xf numFmtId="0" fontId="6" fillId="0" borderId="6" xfId="0" applyFont="1" applyBorder="1"/>
    <xf numFmtId="167" fontId="6" fillId="0" borderId="0" xfId="2" applyNumberFormat="1" applyFont="1"/>
    <xf numFmtId="0" fontId="6" fillId="0" borderId="4" xfId="0" applyFont="1" applyBorder="1"/>
    <xf numFmtId="0" fontId="6" fillId="0" borderId="6" xfId="0" applyFont="1" applyBorder="1" applyAlignment="1">
      <alignment vertical="center"/>
    </xf>
    <xf numFmtId="3" fontId="6" fillId="0" borderId="0" xfId="0" applyNumberFormat="1" applyFont="1" applyAlignment="1">
      <alignment vertical="center"/>
    </xf>
    <xf numFmtId="167" fontId="6" fillId="0" borderId="0" xfId="2" applyNumberFormat="1" applyFont="1" applyAlignment="1">
      <alignment vertical="center"/>
    </xf>
    <xf numFmtId="167" fontId="6" fillId="0" borderId="0" xfId="0" applyNumberFormat="1" applyFont="1" applyAlignment="1">
      <alignment vertical="center"/>
    </xf>
    <xf numFmtId="168" fontId="6" fillId="0" borderId="0" xfId="1" applyNumberFormat="1" applyFont="1" applyAlignment="1">
      <alignment vertical="center"/>
    </xf>
    <xf numFmtId="167" fontId="6" fillId="0" borderId="7" xfId="2" applyNumberFormat="1" applyFont="1" applyBorder="1" applyAlignment="1">
      <alignment vertical="center"/>
    </xf>
    <xf numFmtId="169" fontId="6" fillId="0" borderId="7" xfId="1" applyNumberFormat="1" applyFont="1" applyBorder="1" applyAlignment="1">
      <alignment vertical="center"/>
    </xf>
    <xf numFmtId="3" fontId="6" fillId="0" borderId="0" xfId="0" applyNumberFormat="1" applyFont="1"/>
    <xf numFmtId="167" fontId="6" fillId="0" borderId="0" xfId="0" applyNumberFormat="1" applyFont="1"/>
    <xf numFmtId="169" fontId="6" fillId="0" borderId="0" xfId="1" applyNumberFormat="1" applyFont="1"/>
    <xf numFmtId="168" fontId="6" fillId="0" borderId="0" xfId="1" applyNumberFormat="1" applyFont="1"/>
    <xf numFmtId="167" fontId="6" fillId="0" borderId="7" xfId="2" applyNumberFormat="1" applyFont="1" applyBorder="1"/>
    <xf numFmtId="169" fontId="6" fillId="0" borderId="7" xfId="1" applyNumberFormat="1" applyFont="1" applyBorder="1"/>
    <xf numFmtId="164" fontId="6" fillId="0" borderId="0" xfId="0" applyNumberFormat="1" applyFont="1"/>
    <xf numFmtId="0" fontId="6" fillId="0" borderId="0" xfId="0" applyFont="1" applyAlignment="1">
      <alignment horizontal="center"/>
    </xf>
    <xf numFmtId="166" fontId="6" fillId="0" borderId="0" xfId="0" applyNumberFormat="1" applyFont="1"/>
    <xf numFmtId="0" fontId="16" fillId="0" borderId="3" xfId="0" applyFont="1" applyBorder="1" applyAlignment="1">
      <alignment horizontal="justify" vertical="center" wrapText="1"/>
    </xf>
    <xf numFmtId="0" fontId="17" fillId="0" borderId="5" xfId="0" applyFont="1" applyBorder="1" applyAlignment="1">
      <alignment horizontal="center" vertical="center" wrapText="1"/>
    </xf>
    <xf numFmtId="164" fontId="6" fillId="0" borderId="0" xfId="0" applyNumberFormat="1" applyFont="1" applyAlignment="1">
      <alignment vertical="center"/>
    </xf>
    <xf numFmtId="10" fontId="6" fillId="0" borderId="0" xfId="2" applyNumberFormat="1" applyFont="1"/>
    <xf numFmtId="0" fontId="6" fillId="0" borderId="8" xfId="0" applyFont="1" applyBorder="1"/>
    <xf numFmtId="168" fontId="6" fillId="0" borderId="6" xfId="1" applyNumberFormat="1" applyFont="1" applyBorder="1"/>
    <xf numFmtId="168" fontId="6" fillId="0" borderId="7" xfId="1" applyNumberFormat="1" applyFont="1" applyBorder="1"/>
    <xf numFmtId="169" fontId="6" fillId="0" borderId="6" xfId="1" applyNumberFormat="1" applyFont="1" applyBorder="1"/>
    <xf numFmtId="0" fontId="15" fillId="0" borderId="0" xfId="0" applyFont="1" applyAlignment="1">
      <alignment horizontal="left" wrapText="1"/>
    </xf>
    <xf numFmtId="0" fontId="6" fillId="0" borderId="0" xfId="0" applyFont="1" applyAlignment="1">
      <alignment wrapText="1"/>
    </xf>
    <xf numFmtId="170" fontId="6" fillId="0" borderId="0" xfId="1" applyNumberFormat="1" applyFont="1"/>
    <xf numFmtId="0" fontId="6" fillId="2" borderId="0" xfId="0" quotePrefix="1" applyFont="1" applyFill="1"/>
    <xf numFmtId="6" fontId="6" fillId="2" borderId="0" xfId="0" applyNumberFormat="1" applyFont="1" applyFill="1"/>
    <xf numFmtId="0" fontId="6" fillId="0" borderId="0" xfId="0" quotePrefix="1" applyFont="1"/>
    <xf numFmtId="0" fontId="6" fillId="0" borderId="6" xfId="0" applyFont="1" applyBorder="1" applyAlignment="1">
      <alignment horizontal="center"/>
    </xf>
    <xf numFmtId="0" fontId="6" fillId="0" borderId="3" xfId="0" applyFont="1" applyBorder="1" applyAlignment="1">
      <alignment horizontal="center"/>
    </xf>
    <xf numFmtId="3" fontId="6" fillId="0" borderId="5" xfId="0" applyNumberFormat="1" applyFont="1" applyBorder="1"/>
    <xf numFmtId="167" fontId="6" fillId="0" borderId="5" xfId="2" applyNumberFormat="1" applyFont="1" applyBorder="1"/>
    <xf numFmtId="167" fontId="6" fillId="0" borderId="5" xfId="0" applyNumberFormat="1" applyFont="1" applyBorder="1"/>
    <xf numFmtId="168" fontId="6" fillId="0" borderId="5" xfId="1" applyNumberFormat="1" applyFont="1" applyBorder="1"/>
    <xf numFmtId="169" fontId="6" fillId="0" borderId="0" xfId="0" applyNumberFormat="1" applyFont="1"/>
    <xf numFmtId="0" fontId="5" fillId="0" borderId="5" xfId="0" applyFont="1" applyBorder="1"/>
    <xf numFmtId="0" fontId="5" fillId="0" borderId="0" xfId="0" applyFont="1"/>
    <xf numFmtId="0" fontId="5" fillId="0" borderId="4" xfId="0" applyFont="1" applyBorder="1" applyAlignment="1">
      <alignment horizontal="center" wrapText="1"/>
    </xf>
    <xf numFmtId="0" fontId="5" fillId="0" borderId="5" xfId="0" applyFont="1" applyBorder="1" applyAlignment="1">
      <alignment horizontal="center" wrapText="1"/>
    </xf>
    <xf numFmtId="169" fontId="15" fillId="0" borderId="13" xfId="1" applyNumberFormat="1" applyFont="1" applyBorder="1"/>
    <xf numFmtId="169" fontId="5" fillId="0" borderId="13" xfId="1" applyNumberFormat="1" applyFont="1" applyBorder="1"/>
    <xf numFmtId="168" fontId="6" fillId="0" borderId="0" xfId="1" applyNumberFormat="1" applyFont="1" applyBorder="1"/>
    <xf numFmtId="168" fontId="6" fillId="0" borderId="3" xfId="1" applyNumberFormat="1" applyFont="1" applyBorder="1"/>
    <xf numFmtId="169" fontId="6" fillId="0" borderId="6" xfId="0" applyNumberFormat="1" applyFont="1" applyBorder="1"/>
    <xf numFmtId="167" fontId="6" fillId="0" borderId="6" xfId="2" applyNumberFormat="1" applyFont="1" applyBorder="1"/>
    <xf numFmtId="167" fontId="6" fillId="0" borderId="3" xfId="2" applyNumberFormat="1" applyFont="1" applyBorder="1"/>
    <xf numFmtId="6" fontId="5" fillId="0" borderId="0" xfId="0" quotePrefix="1" applyNumberFormat="1" applyFont="1"/>
    <xf numFmtId="0" fontId="5" fillId="0" borderId="9" xfId="0" applyFont="1" applyBorder="1"/>
    <xf numFmtId="170" fontId="5" fillId="0" borderId="12" xfId="1" applyNumberFormat="1" applyFont="1" applyBorder="1"/>
    <xf numFmtId="167" fontId="5" fillId="0" borderId="12" xfId="2" applyNumberFormat="1" applyFont="1" applyBorder="1"/>
    <xf numFmtId="0" fontId="5" fillId="2" borderId="0" xfId="0" applyFont="1" applyFill="1"/>
    <xf numFmtId="168" fontId="5" fillId="0" borderId="14" xfId="1" applyNumberFormat="1" applyFont="1" applyBorder="1"/>
    <xf numFmtId="168" fontId="5" fillId="0" borderId="15" xfId="1" applyNumberFormat="1" applyFont="1" applyBorder="1"/>
    <xf numFmtId="0" fontId="4" fillId="0" borderId="16" xfId="3" applyFont="1" applyBorder="1" applyAlignment="1">
      <alignment horizontal="center" vertical="center"/>
    </xf>
    <xf numFmtId="0" fontId="4" fillId="0" borderId="10" xfId="3" applyFont="1" applyBorder="1" applyAlignment="1">
      <alignment vertical="center" wrapText="1"/>
    </xf>
    <xf numFmtId="0" fontId="15" fillId="0" borderId="10" xfId="3" applyFont="1" applyBorder="1" applyAlignment="1">
      <alignment horizontal="center" vertical="center"/>
    </xf>
    <xf numFmtId="0" fontId="4" fillId="0" borderId="17" xfId="3" applyFont="1" applyBorder="1" applyAlignment="1">
      <alignment horizontal="center" vertical="center"/>
    </xf>
    <xf numFmtId="0" fontId="4" fillId="0" borderId="0" xfId="3" applyFont="1" applyAlignment="1">
      <alignment horizontal="center" vertical="center"/>
    </xf>
    <xf numFmtId="0" fontId="4" fillId="0" borderId="1" xfId="4" applyBorder="1"/>
    <xf numFmtId="0" fontId="4" fillId="0" borderId="0" xfId="4"/>
    <xf numFmtId="0" fontId="4" fillId="0" borderId="2" xfId="4" applyBorder="1"/>
    <xf numFmtId="0" fontId="20" fillId="0" borderId="0" xfId="5" applyBorder="1"/>
    <xf numFmtId="0" fontId="21" fillId="0" borderId="0" xfId="4" applyFont="1"/>
    <xf numFmtId="0" fontId="4" fillId="0" borderId="0" xfId="4" applyAlignment="1">
      <alignment horizontal="left" vertical="top"/>
    </xf>
    <xf numFmtId="0" fontId="22" fillId="0" borderId="0" xfId="4" applyFont="1"/>
    <xf numFmtId="0" fontId="9" fillId="0" borderId="0" xfId="4" applyFont="1" applyAlignment="1">
      <alignment horizontal="left" vertical="top"/>
    </xf>
    <xf numFmtId="0" fontId="4" fillId="0" borderId="18" xfId="3" applyFont="1" applyBorder="1" applyAlignment="1">
      <alignment horizontal="center" vertical="center"/>
    </xf>
    <xf numFmtId="0" fontId="4" fillId="0" borderId="19" xfId="3" applyFont="1" applyBorder="1" applyAlignment="1">
      <alignment horizontal="center" vertical="center"/>
    </xf>
    <xf numFmtId="0" fontId="4" fillId="0" borderId="20" xfId="3" applyFont="1" applyBorder="1" applyAlignment="1">
      <alignment horizontal="center" vertical="center"/>
    </xf>
    <xf numFmtId="0" fontId="23" fillId="0" borderId="0" xfId="0" applyFont="1"/>
    <xf numFmtId="3" fontId="0" fillId="0" borderId="0" xfId="0" applyNumberFormat="1"/>
    <xf numFmtId="0" fontId="24" fillId="0" borderId="0" xfId="0" applyFont="1"/>
    <xf numFmtId="8" fontId="0" fillId="0" borderId="0" xfId="0" applyNumberFormat="1"/>
    <xf numFmtId="164" fontId="0" fillId="0" borderId="0" xfId="0" applyNumberFormat="1"/>
    <xf numFmtId="6" fontId="0" fillId="0" borderId="0" xfId="0" applyNumberFormat="1"/>
    <xf numFmtId="6" fontId="0" fillId="0" borderId="12" xfId="0" applyNumberFormat="1" applyBorder="1"/>
    <xf numFmtId="0" fontId="0" fillId="0" borderId="9" xfId="0" applyBorder="1"/>
    <xf numFmtId="0" fontId="0" fillId="2" borderId="12" xfId="0" applyFill="1" applyBorder="1"/>
    <xf numFmtId="0" fontId="0" fillId="2" borderId="11" xfId="0" applyFill="1" applyBorder="1"/>
    <xf numFmtId="0" fontId="25" fillId="2" borderId="11" xfId="0" applyFont="1" applyFill="1" applyBorder="1"/>
    <xf numFmtId="0" fontId="0" fillId="2" borderId="9" xfId="0" applyFill="1" applyBorder="1"/>
    <xf numFmtId="0" fontId="26" fillId="0" borderId="0" xfId="0" applyFont="1"/>
    <xf numFmtId="0" fontId="0" fillId="2" borderId="2" xfId="0" applyFill="1" applyBorder="1"/>
    <xf numFmtId="0" fontId="0" fillId="2" borderId="0" xfId="0" applyFill="1"/>
    <xf numFmtId="0" fontId="0" fillId="2" borderId="1" xfId="0" applyFill="1" applyBorder="1"/>
    <xf numFmtId="0" fontId="23" fillId="2" borderId="0" xfId="0" applyFont="1" applyFill="1"/>
    <xf numFmtId="0" fontId="0" fillId="2" borderId="0" xfId="0" applyFill="1" applyAlignment="1">
      <alignment horizontal="center"/>
    </xf>
    <xf numFmtId="0" fontId="0" fillId="2" borderId="0" xfId="0" quotePrefix="1" applyFill="1"/>
    <xf numFmtId="2" fontId="0" fillId="2" borderId="0" xfId="0" applyNumberFormat="1" applyFill="1" applyAlignment="1">
      <alignment horizontal="center"/>
    </xf>
    <xf numFmtId="6" fontId="0" fillId="2" borderId="0" xfId="0" applyNumberFormat="1" applyFill="1" applyAlignment="1">
      <alignment horizontal="center"/>
    </xf>
    <xf numFmtId="0" fontId="0" fillId="2" borderId="17" xfId="0" applyFill="1" applyBorder="1"/>
    <xf numFmtId="0" fontId="0" fillId="2" borderId="10" xfId="0" applyFill="1" applyBorder="1"/>
    <xf numFmtId="0" fontId="0" fillId="2" borderId="10" xfId="0" applyFill="1" applyBorder="1" applyAlignment="1">
      <alignment horizontal="center"/>
    </xf>
    <xf numFmtId="0" fontId="27" fillId="2" borderId="10" xfId="0" applyFont="1" applyFill="1" applyBorder="1"/>
    <xf numFmtId="0" fontId="24" fillId="2" borderId="16" xfId="0" applyFont="1" applyFill="1" applyBorder="1"/>
    <xf numFmtId="0" fontId="0" fillId="0" borderId="0" xfId="0" applyAlignment="1">
      <alignment vertical="top"/>
    </xf>
    <xf numFmtId="0" fontId="0" fillId="0" borderId="0" xfId="0" applyAlignment="1">
      <alignment horizontal="center"/>
    </xf>
    <xf numFmtId="164" fontId="0" fillId="0" borderId="0" xfId="0" applyNumberFormat="1" applyAlignment="1">
      <alignment horizontal="center"/>
    </xf>
    <xf numFmtId="164" fontId="0" fillId="3" borderId="0" xfId="0" applyNumberFormat="1" applyFill="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3" borderId="5" xfId="0" applyFill="1" applyBorder="1" applyAlignment="1">
      <alignment horizontal="center"/>
    </xf>
    <xf numFmtId="0" fontId="0" fillId="0" borderId="3" xfId="0" applyBorder="1" applyAlignment="1">
      <alignment horizontal="center"/>
    </xf>
    <xf numFmtId="0" fontId="27" fillId="0" borderId="0" xfId="0" applyFont="1"/>
    <xf numFmtId="171" fontId="0" fillId="0" borderId="0" xfId="0" applyNumberFormat="1"/>
    <xf numFmtId="0" fontId="25" fillId="2" borderId="0" xfId="0" applyFont="1" applyFill="1"/>
    <xf numFmtId="6" fontId="0" fillId="2" borderId="0" xfId="0" applyNumberFormat="1" applyFill="1"/>
    <xf numFmtId="0" fontId="0" fillId="2" borderId="0" xfId="0" quotePrefix="1" applyFill="1" applyAlignment="1">
      <alignment horizontal="left"/>
    </xf>
    <xf numFmtId="3" fontId="0" fillId="0" borderId="12" xfId="0" applyNumberFormat="1" applyBorder="1"/>
    <xf numFmtId="3" fontId="0" fillId="2" borderId="3" xfId="0" applyNumberFormat="1" applyFill="1" applyBorder="1" applyAlignment="1">
      <alignment horizontal="center"/>
    </xf>
    <xf numFmtId="3" fontId="0" fillId="2" borderId="5" xfId="0" applyNumberFormat="1" applyFill="1" applyBorder="1" applyAlignment="1">
      <alignment horizontal="center"/>
    </xf>
    <xf numFmtId="3" fontId="0" fillId="2" borderId="4" xfId="0" applyNumberFormat="1" applyFill="1" applyBorder="1" applyAlignment="1">
      <alignment horizontal="center"/>
    </xf>
    <xf numFmtId="0" fontId="0" fillId="2" borderId="8" xfId="0" applyFill="1" applyBorder="1" applyAlignment="1">
      <alignment horizontal="center"/>
    </xf>
    <xf numFmtId="3" fontId="0" fillId="2" borderId="6" xfId="0" applyNumberFormat="1" applyFill="1" applyBorder="1" applyAlignment="1">
      <alignment horizontal="center"/>
    </xf>
    <xf numFmtId="3" fontId="0" fillId="2" borderId="0" xfId="0" applyNumberFormat="1" applyFill="1" applyAlignment="1">
      <alignment horizontal="center"/>
    </xf>
    <xf numFmtId="3" fontId="0" fillId="2" borderId="7" xfId="0" applyNumberFormat="1" applyFill="1" applyBorder="1" applyAlignment="1">
      <alignment horizontal="center"/>
    </xf>
    <xf numFmtId="0" fontId="0" fillId="2" borderId="21" xfId="0" applyFill="1" applyBorder="1" applyAlignment="1">
      <alignment horizontal="center"/>
    </xf>
    <xf numFmtId="0" fontId="0" fillId="0" borderId="5" xfId="0" applyBorder="1"/>
    <xf numFmtId="3" fontId="0" fillId="2" borderId="22" xfId="0" applyNumberFormat="1" applyFill="1" applyBorder="1" applyAlignment="1">
      <alignment horizontal="center"/>
    </xf>
    <xf numFmtId="3" fontId="0" fillId="2" borderId="23" xfId="0" applyNumberFormat="1" applyFill="1" applyBorder="1" applyAlignment="1">
      <alignment horizontal="center"/>
    </xf>
    <xf numFmtId="3" fontId="0" fillId="2" borderId="24" xfId="0" applyNumberFormat="1"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2" fontId="27" fillId="0" borderId="0" xfId="0" applyNumberFormat="1" applyFont="1"/>
    <xf numFmtId="8" fontId="27" fillId="0" borderId="0" xfId="0" applyNumberFormat="1" applyFont="1"/>
    <xf numFmtId="6" fontId="0" fillId="2" borderId="11" xfId="0" applyNumberFormat="1" applyFill="1" applyBorder="1"/>
    <xf numFmtId="0" fontId="0" fillId="2" borderId="0" xfId="0" quotePrefix="1" applyFill="1" applyAlignment="1">
      <alignment horizontal="center"/>
    </xf>
    <xf numFmtId="0" fontId="25" fillId="0" borderId="0" xfId="0" applyFont="1"/>
    <xf numFmtId="0" fontId="0" fillId="2" borderId="11" xfId="0" quotePrefix="1" applyFill="1" applyBorder="1" applyAlignment="1">
      <alignment horizontal="center"/>
    </xf>
    <xf numFmtId="0" fontId="0" fillId="2" borderId="0" xfId="0" applyFill="1" applyAlignment="1">
      <alignment horizontal="left" wrapText="1"/>
    </xf>
    <xf numFmtId="0" fontId="0" fillId="2" borderId="0" xfId="0" applyFill="1" applyAlignment="1">
      <alignment vertical="top"/>
    </xf>
    <xf numFmtId="172" fontId="0" fillId="0" borderId="0" xfId="1" applyNumberFormat="1" applyFont="1"/>
    <xf numFmtId="172" fontId="7" fillId="0" borderId="0" xfId="1" applyNumberFormat="1" applyFont="1"/>
    <xf numFmtId="0" fontId="0" fillId="0" borderId="0" xfId="0" applyAlignment="1">
      <alignment horizontal="left"/>
    </xf>
    <xf numFmtId="8" fontId="0" fillId="0" borderId="12" xfId="0" applyNumberFormat="1" applyBorder="1"/>
    <xf numFmtId="43" fontId="0" fillId="0" borderId="0" xfId="0" applyNumberFormat="1"/>
    <xf numFmtId="172" fontId="0" fillId="0" borderId="0" xfId="0" applyNumberFormat="1"/>
    <xf numFmtId="173" fontId="0" fillId="0" borderId="0" xfId="0" applyNumberFormat="1"/>
    <xf numFmtId="43" fontId="0" fillId="0" borderId="0" xfId="1" applyFont="1"/>
    <xf numFmtId="2" fontId="0" fillId="0" borderId="0" xfId="0" applyNumberFormat="1"/>
    <xf numFmtId="0" fontId="0" fillId="2" borderId="26" xfId="0" applyFill="1" applyBorder="1"/>
    <xf numFmtId="0" fontId="0" fillId="2" borderId="27" xfId="0" applyFill="1" applyBorder="1"/>
    <xf numFmtId="0" fontId="0" fillId="2" borderId="28" xfId="0" applyFill="1" applyBorder="1"/>
    <xf numFmtId="0" fontId="29" fillId="0" borderId="0" xfId="0" applyFont="1"/>
    <xf numFmtId="0" fontId="26" fillId="0" borderId="0" xfId="0" applyFont="1" applyAlignment="1">
      <alignment horizontal="left"/>
    </xf>
    <xf numFmtId="0" fontId="27" fillId="0" borderId="0" xfId="0" applyFont="1" applyAlignment="1">
      <alignment horizontal="left"/>
    </xf>
    <xf numFmtId="0" fontId="0" fillId="2" borderId="20" xfId="0" applyFill="1" applyBorder="1" applyAlignment="1">
      <alignment horizontal="left"/>
    </xf>
    <xf numFmtId="0" fontId="0" fillId="2" borderId="19" xfId="0" applyFill="1" applyBorder="1" applyAlignment="1">
      <alignment horizontal="left"/>
    </xf>
    <xf numFmtId="0" fontId="0" fillId="2" borderId="18" xfId="0" applyFill="1" applyBorder="1" applyAlignment="1">
      <alignment horizontal="left"/>
    </xf>
    <xf numFmtId="0" fontId="27" fillId="0" borderId="0" xfId="0" quotePrefix="1" applyFont="1" applyAlignment="1">
      <alignment horizontal="left"/>
    </xf>
    <xf numFmtId="0" fontId="0" fillId="2" borderId="2" xfId="0" applyFill="1" applyBorder="1" applyAlignment="1">
      <alignment horizontal="left"/>
    </xf>
    <xf numFmtId="0" fontId="0" fillId="2" borderId="0" xfId="0" applyFill="1" applyAlignment="1">
      <alignment horizontal="left"/>
    </xf>
    <xf numFmtId="0" fontId="29" fillId="2" borderId="0" xfId="0" applyFont="1" applyFill="1"/>
    <xf numFmtId="0" fontId="0" fillId="2" borderId="1" xfId="0" applyFill="1" applyBorder="1" applyAlignment="1">
      <alignment horizontal="left"/>
    </xf>
    <xf numFmtId="0" fontId="27" fillId="2" borderId="0" xfId="0" applyFont="1" applyFill="1" applyAlignment="1">
      <alignment horizontal="left"/>
    </xf>
    <xf numFmtId="0" fontId="29" fillId="0" borderId="0" xfId="0" quotePrefix="1" applyFont="1"/>
    <xf numFmtId="2" fontId="0" fillId="2" borderId="0" xfId="0" applyNumberFormat="1" applyFill="1" applyAlignment="1">
      <alignment horizontal="left"/>
    </xf>
    <xf numFmtId="6" fontId="0" fillId="2" borderId="0" xfId="0" applyNumberFormat="1" applyFill="1" applyAlignment="1">
      <alignment horizontal="left"/>
    </xf>
    <xf numFmtId="0" fontId="0" fillId="0" borderId="0" xfId="0" quotePrefix="1" applyAlignment="1">
      <alignment horizontal="left"/>
    </xf>
    <xf numFmtId="0" fontId="23" fillId="0" borderId="0" xfId="0" applyFont="1" applyAlignment="1">
      <alignment horizontal="left"/>
    </xf>
    <xf numFmtId="0" fontId="29" fillId="2" borderId="0" xfId="0" applyFont="1" applyFill="1" applyAlignment="1">
      <alignment horizontal="left"/>
    </xf>
    <xf numFmtId="0" fontId="0" fillId="2" borderId="17" xfId="0" applyFill="1" applyBorder="1" applyAlignment="1">
      <alignment horizontal="left"/>
    </xf>
    <xf numFmtId="0" fontId="0" fillId="2" borderId="10" xfId="0" applyFill="1" applyBorder="1" applyAlignment="1">
      <alignment horizontal="left"/>
    </xf>
    <xf numFmtId="0" fontId="0" fillId="0" borderId="0" xfId="0" applyAlignment="1">
      <alignment vertical="center"/>
    </xf>
    <xf numFmtId="0" fontId="24" fillId="0" borderId="0" xfId="0" applyFont="1" applyAlignment="1">
      <alignment vertical="center"/>
    </xf>
    <xf numFmtId="0" fontId="0" fillId="0" borderId="0" xfId="0" quotePrefix="1"/>
    <xf numFmtId="3" fontId="0" fillId="0" borderId="12" xfId="0" applyNumberFormat="1" applyBorder="1" applyAlignment="1">
      <alignment horizontal="center" vertical="center"/>
    </xf>
    <xf numFmtId="0" fontId="0" fillId="0" borderId="9" xfId="0" applyBorder="1" applyAlignment="1">
      <alignment horizontal="center" vertical="center"/>
    </xf>
    <xf numFmtId="0" fontId="0" fillId="2" borderId="11" xfId="0" quotePrefix="1" applyFill="1" applyBorder="1"/>
    <xf numFmtId="0" fontId="0" fillId="2" borderId="9" xfId="0" applyFill="1" applyBorder="1" applyAlignment="1">
      <alignment horizontal="left"/>
    </xf>
    <xf numFmtId="3" fontId="0" fillId="0" borderId="0" xfId="0" applyNumberFormat="1" applyAlignment="1">
      <alignment horizontal="center"/>
    </xf>
    <xf numFmtId="3" fontId="0" fillId="0" borderId="23" xfId="0" applyNumberFormat="1" applyBorder="1" applyAlignment="1">
      <alignment horizontal="center"/>
    </xf>
    <xf numFmtId="3" fontId="0" fillId="0" borderId="5" xfId="0" applyNumberFormat="1" applyBorder="1" applyAlignment="1">
      <alignment horizontal="center"/>
    </xf>
    <xf numFmtId="167" fontId="0" fillId="0" borderId="5" xfId="0" applyNumberFormat="1" applyBorder="1" applyAlignment="1">
      <alignment horizontal="center"/>
    </xf>
    <xf numFmtId="167" fontId="0" fillId="0" borderId="5" xfId="2" applyNumberFormat="1" applyFont="1" applyBorder="1" applyAlignment="1">
      <alignment horizontal="center"/>
    </xf>
    <xf numFmtId="10" fontId="0" fillId="0" borderId="0" xfId="0" applyNumberFormat="1" applyAlignment="1">
      <alignment horizontal="center"/>
    </xf>
    <xf numFmtId="10" fontId="0" fillId="0" borderId="0" xfId="2" applyNumberFormat="1" applyFont="1" applyAlignment="1">
      <alignment horizontal="center"/>
    </xf>
    <xf numFmtId="167" fontId="0" fillId="0" borderId="0" xfId="0" applyNumberFormat="1" applyAlignment="1">
      <alignment horizontal="center"/>
    </xf>
    <xf numFmtId="167" fontId="0" fillId="0" borderId="0" xfId="2" applyNumberFormat="1" applyFont="1" applyAlignment="1">
      <alignment horizontal="center"/>
    </xf>
    <xf numFmtId="0" fontId="0" fillId="0" borderId="4" xfId="0" applyBorder="1" applyAlignment="1">
      <alignment horizontal="center"/>
    </xf>
    <xf numFmtId="164" fontId="0" fillId="0" borderId="6" xfId="0" applyNumberFormat="1" applyBorder="1" applyAlignment="1">
      <alignment horizontal="center"/>
    </xf>
    <xf numFmtId="3" fontId="0" fillId="2" borderId="29" xfId="0" applyNumberFormat="1" applyFill="1" applyBorder="1" applyAlignment="1">
      <alignment horizontal="center"/>
    </xf>
    <xf numFmtId="0" fontId="0" fillId="2" borderId="5" xfId="0" applyFill="1" applyBorder="1" applyAlignment="1">
      <alignment horizontal="center"/>
    </xf>
    <xf numFmtId="0" fontId="0" fillId="2" borderId="29" xfId="0" applyFill="1" applyBorder="1" applyAlignment="1">
      <alignment horizontal="center"/>
    </xf>
    <xf numFmtId="3" fontId="0" fillId="2" borderId="8" xfId="0" applyNumberFormat="1" applyFill="1" applyBorder="1" applyAlignment="1">
      <alignment horizontal="center"/>
    </xf>
    <xf numFmtId="0" fontId="0" fillId="2" borderId="3" xfId="0" applyFill="1" applyBorder="1" applyAlignment="1">
      <alignment horizontal="center"/>
    </xf>
    <xf numFmtId="3" fontId="0" fillId="2" borderId="21" xfId="0" applyNumberFormat="1" applyFill="1" applyBorder="1" applyAlignment="1">
      <alignment horizontal="center"/>
    </xf>
    <xf numFmtId="0" fontId="0" fillId="2" borderId="6" xfId="0" applyFill="1" applyBorder="1" applyAlignment="1">
      <alignment horizontal="center"/>
    </xf>
    <xf numFmtId="3" fontId="0" fillId="2" borderId="25" xfId="0" applyNumberFormat="1" applyFill="1" applyBorder="1" applyAlignment="1">
      <alignment horizontal="center"/>
    </xf>
    <xf numFmtId="17" fontId="0" fillId="2" borderId="5" xfId="0" quotePrefix="1" applyNumberFormat="1" applyFill="1" applyBorder="1" applyAlignment="1">
      <alignment horizontal="center"/>
    </xf>
    <xf numFmtId="0" fontId="0" fillId="2" borderId="4" xfId="0" applyFill="1" applyBorder="1" applyAlignment="1">
      <alignment horizontal="center"/>
    </xf>
    <xf numFmtId="2" fontId="27" fillId="2" borderId="0" xfId="0" applyNumberFormat="1" applyFont="1" applyFill="1" applyAlignment="1">
      <alignment horizontal="center"/>
    </xf>
    <xf numFmtId="0" fontId="27" fillId="2" borderId="0" xfId="0" applyFont="1" applyFill="1"/>
    <xf numFmtId="0" fontId="0" fillId="2" borderId="16" xfId="0" applyFill="1" applyBorder="1" applyAlignment="1">
      <alignment horizontal="left"/>
    </xf>
    <xf numFmtId="3" fontId="0" fillId="0" borderId="12" xfId="0" applyNumberFormat="1" applyBorder="1" applyAlignment="1">
      <alignment horizontal="center"/>
    </xf>
    <xf numFmtId="0" fontId="0" fillId="0" borderId="9" xfId="0" applyBorder="1" applyAlignment="1">
      <alignment horizontal="center"/>
    </xf>
    <xf numFmtId="2" fontId="0" fillId="0" borderId="0" xfId="0" applyNumberFormat="1" applyAlignment="1">
      <alignment horizontal="center"/>
    </xf>
    <xf numFmtId="3" fontId="0" fillId="0" borderId="22" xfId="0" applyNumberFormat="1" applyBorder="1" applyAlignment="1">
      <alignment horizontal="center"/>
    </xf>
    <xf numFmtId="167" fontId="0" fillId="0" borderId="4" xfId="2" applyNumberFormat="1" applyFont="1" applyBorder="1" applyAlignment="1">
      <alignment horizontal="center"/>
    </xf>
    <xf numFmtId="167" fontId="0" fillId="0" borderId="7" xfId="2" applyNumberFormat="1" applyFont="1" applyBorder="1" applyAlignment="1">
      <alignment horizontal="center"/>
    </xf>
    <xf numFmtId="0" fontId="35" fillId="0" borderId="0" xfId="0" applyFont="1" applyAlignment="1">
      <alignment horizontal="center"/>
    </xf>
    <xf numFmtId="0" fontId="0" fillId="2" borderId="20" xfId="0" applyFill="1" applyBorder="1"/>
    <xf numFmtId="0" fontId="0" fillId="2" borderId="19" xfId="0" applyFill="1" applyBorder="1"/>
    <xf numFmtId="0" fontId="0" fillId="2" borderId="19" xfId="0" quotePrefix="1" applyFill="1" applyBorder="1"/>
    <xf numFmtId="3" fontId="0" fillId="0" borderId="6" xfId="0" applyNumberFormat="1" applyBorder="1" applyAlignment="1">
      <alignment horizontal="center"/>
    </xf>
    <xf numFmtId="167" fontId="0" fillId="0" borderId="3" xfId="2" applyNumberFormat="1" applyFont="1" applyBorder="1" applyAlignment="1">
      <alignment horizontal="center"/>
    </xf>
    <xf numFmtId="167" fontId="0" fillId="0" borderId="6" xfId="2" applyNumberFormat="1" applyFont="1" applyBorder="1" applyAlignment="1">
      <alignment horizontal="center"/>
    </xf>
    <xf numFmtId="9" fontId="0" fillId="0" borderId="0" xfId="2" applyFont="1" applyAlignment="1">
      <alignment horizontal="center"/>
    </xf>
    <xf numFmtId="0" fontId="36" fillId="0" borderId="0" xfId="0" applyFont="1"/>
    <xf numFmtId="164" fontId="0" fillId="0" borderId="20" xfId="0" applyNumberFormat="1" applyBorder="1" applyAlignment="1">
      <alignment horizontal="center"/>
    </xf>
    <xf numFmtId="0" fontId="0" fillId="0" borderId="18" xfId="0" applyBorder="1" applyAlignment="1">
      <alignment horizontal="center"/>
    </xf>
    <xf numFmtId="164" fontId="0" fillId="0" borderId="17" xfId="0" applyNumberFormat="1" applyBorder="1" applyAlignment="1">
      <alignment horizontal="center"/>
    </xf>
    <xf numFmtId="0" fontId="0" fillId="0" borderId="16" xfId="0" applyBorder="1" applyAlignment="1">
      <alignment horizontal="center"/>
    </xf>
    <xf numFmtId="0" fontId="0" fillId="2" borderId="3" xfId="0" applyFill="1" applyBorder="1"/>
    <xf numFmtId="0" fontId="0" fillId="2" borderId="6" xfId="0" applyFill="1" applyBorder="1"/>
    <xf numFmtId="0" fontId="0" fillId="0" borderId="6" xfId="0" applyBorder="1"/>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3" fontId="0" fillId="0" borderId="3" xfId="0" applyNumberFormat="1" applyBorder="1" applyAlignment="1">
      <alignment horizontal="center"/>
    </xf>
    <xf numFmtId="171" fontId="0" fillId="0" borderId="0" xfId="0" applyNumberFormat="1" applyAlignment="1">
      <alignment horizontal="center"/>
    </xf>
    <xf numFmtId="43" fontId="27" fillId="0" borderId="0" xfId="0" applyNumberFormat="1" applyFont="1"/>
    <xf numFmtId="43" fontId="0" fillId="0" borderId="0" xfId="6" applyFont="1"/>
    <xf numFmtId="170" fontId="0" fillId="0" borderId="0" xfId="6" applyNumberFormat="1" applyFont="1"/>
    <xf numFmtId="0" fontId="0" fillId="0" borderId="11" xfId="0" applyBorder="1"/>
    <xf numFmtId="0" fontId="4" fillId="0" borderId="0" xfId="4" applyAlignment="1">
      <alignment horizontal="left" vertical="top" wrapText="1"/>
    </xf>
    <xf numFmtId="0" fontId="4" fillId="0" borderId="0" xfId="4" applyAlignment="1">
      <alignment horizontal="left" vertical="top"/>
    </xf>
    <xf numFmtId="0" fontId="2" fillId="0" borderId="0" xfId="4" applyFont="1" applyAlignment="1">
      <alignment horizontal="left" vertical="top" wrapText="1"/>
    </xf>
    <xf numFmtId="0" fontId="12" fillId="2" borderId="0" xfId="0" applyFont="1" applyFill="1" applyAlignment="1">
      <alignment horizontal="center"/>
    </xf>
    <xf numFmtId="0" fontId="15" fillId="2" borderId="9" xfId="0" applyFont="1" applyFill="1" applyBorder="1" applyAlignment="1">
      <alignment horizontal="left"/>
    </xf>
    <xf numFmtId="0" fontId="15" fillId="2" borderId="11" xfId="0" applyFont="1" applyFill="1" applyBorder="1" applyAlignment="1">
      <alignment horizontal="left"/>
    </xf>
    <xf numFmtId="0" fontId="15" fillId="2" borderId="12" xfId="0" applyFont="1" applyFill="1" applyBorder="1" applyAlignment="1">
      <alignment horizontal="left"/>
    </xf>
    <xf numFmtId="0" fontId="13" fillId="2" borderId="0" xfId="0" applyFont="1" applyFill="1" applyAlignment="1">
      <alignment horizontal="center" vertical="center" wrapText="1"/>
    </xf>
    <xf numFmtId="0" fontId="13" fillId="2" borderId="5" xfId="0" applyFont="1" applyFill="1" applyBorder="1" applyAlignment="1">
      <alignment horizontal="center" vertical="center" wrapText="1"/>
    </xf>
    <xf numFmtId="0" fontId="6" fillId="0" borderId="0" xfId="0" applyFont="1" applyAlignment="1">
      <alignment horizontal="left" wrapText="1"/>
    </xf>
    <xf numFmtId="0" fontId="13" fillId="2" borderId="0" xfId="0" applyFont="1" applyFill="1" applyAlignment="1">
      <alignment horizontal="center" wrapText="1"/>
    </xf>
    <xf numFmtId="0" fontId="13" fillId="2" borderId="5" xfId="0" applyFont="1" applyFill="1" applyBorder="1" applyAlignment="1">
      <alignment horizontal="center" wrapText="1"/>
    </xf>
    <xf numFmtId="0" fontId="13" fillId="2" borderId="6" xfId="0" applyFont="1" applyFill="1" applyBorder="1" applyAlignment="1">
      <alignment horizontal="center" wrapText="1"/>
    </xf>
    <xf numFmtId="0" fontId="13" fillId="2" borderId="3" xfId="0" applyFont="1" applyFill="1" applyBorder="1" applyAlignment="1">
      <alignment horizontal="center" wrapText="1"/>
    </xf>
    <xf numFmtId="0" fontId="5" fillId="0" borderId="0" xfId="0" applyFont="1" applyAlignment="1">
      <alignment horizontal="left" wrapText="1"/>
    </xf>
    <xf numFmtId="0" fontId="15" fillId="0" borderId="0" xfId="0" applyFont="1" applyAlignment="1">
      <alignment horizontal="left" wrapText="1"/>
    </xf>
    <xf numFmtId="0" fontId="0" fillId="0" borderId="0" xfId="0" applyAlignment="1">
      <alignment horizontal="left" vertical="top" wrapText="1"/>
    </xf>
    <xf numFmtId="0" fontId="0" fillId="2" borderId="23" xfId="0" applyFill="1" applyBorder="1" applyAlignment="1">
      <alignment horizontal="center"/>
    </xf>
    <xf numFmtId="0" fontId="0" fillId="2" borderId="22" xfId="0" applyFill="1" applyBorder="1" applyAlignment="1">
      <alignment horizontal="center"/>
    </xf>
    <xf numFmtId="0" fontId="0" fillId="2" borderId="0" xfId="0"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center" wrapText="1"/>
    </xf>
    <xf numFmtId="0" fontId="0" fillId="2" borderId="24" xfId="0" applyFill="1" applyBorder="1" applyAlignment="1">
      <alignment horizontal="center"/>
    </xf>
    <xf numFmtId="0" fontId="0" fillId="2" borderId="25" xfId="0" applyFill="1" applyBorder="1" applyAlignment="1">
      <alignment horizontal="center"/>
    </xf>
    <xf numFmtId="0" fontId="26" fillId="0" borderId="0" xfId="0" applyFont="1" applyAlignment="1">
      <alignment horizontal="center"/>
    </xf>
    <xf numFmtId="0" fontId="0" fillId="2" borderId="25" xfId="0" applyFill="1" applyBorder="1" applyAlignment="1">
      <alignment horizontal="center" wrapText="1"/>
    </xf>
    <xf numFmtId="0" fontId="0" fillId="2" borderId="21" xfId="0" applyFill="1" applyBorder="1" applyAlignment="1">
      <alignment horizontal="center"/>
    </xf>
    <xf numFmtId="0" fontId="0" fillId="2" borderId="8" xfId="0" applyFill="1" applyBorder="1" applyAlignment="1">
      <alignment horizontal="center"/>
    </xf>
    <xf numFmtId="2" fontId="0" fillId="2" borderId="23" xfId="0" applyNumberFormat="1" applyFill="1" applyBorder="1" applyAlignment="1">
      <alignment horizontal="center" wrapText="1"/>
    </xf>
    <xf numFmtId="2" fontId="0" fillId="2" borderId="0" xfId="0" applyNumberFormat="1" applyFill="1" applyAlignment="1">
      <alignment horizontal="center"/>
    </xf>
    <xf numFmtId="2" fontId="0" fillId="2" borderId="5" xfId="0" applyNumberFormat="1" applyFill="1" applyBorder="1" applyAlignment="1">
      <alignment horizontal="center"/>
    </xf>
    <xf numFmtId="0" fontId="0" fillId="2" borderId="24" xfId="0" applyFill="1" applyBorder="1" applyAlignment="1">
      <alignment horizontal="center" wrapText="1"/>
    </xf>
    <xf numFmtId="0" fontId="0" fillId="2" borderId="23" xfId="0" applyFill="1" applyBorder="1" applyAlignment="1">
      <alignment horizontal="center" wrapText="1"/>
    </xf>
    <xf numFmtId="0" fontId="0" fillId="2" borderId="22"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3" xfId="0" applyFill="1" applyBorder="1" applyAlignment="1">
      <alignment horizontal="center" wrapText="1"/>
    </xf>
    <xf numFmtId="0" fontId="0" fillId="0" borderId="0" xfId="0" applyAlignment="1">
      <alignment horizontal="left" wrapText="1"/>
    </xf>
    <xf numFmtId="2" fontId="0" fillId="2" borderId="22" xfId="0" applyNumberFormat="1" applyFill="1" applyBorder="1" applyAlignment="1">
      <alignment horizontal="center" wrapText="1"/>
    </xf>
    <xf numFmtId="2" fontId="0" fillId="2" borderId="6" xfId="0" applyNumberFormat="1" applyFill="1" applyBorder="1" applyAlignment="1">
      <alignment horizontal="center"/>
    </xf>
    <xf numFmtId="2" fontId="0" fillId="2" borderId="3" xfId="0" applyNumberFormat="1" applyFill="1"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center"/>
    </xf>
    <xf numFmtId="0" fontId="27" fillId="0" borderId="0" xfId="0" applyFont="1" applyAlignment="1">
      <alignment horizontal="left" vertical="top" wrapText="1"/>
    </xf>
    <xf numFmtId="0" fontId="29" fillId="2" borderId="0" xfId="0" applyFont="1" applyFill="1" applyAlignment="1">
      <alignment horizontal="left" wrapText="1"/>
    </xf>
  </cellXfs>
  <cellStyles count="7">
    <cellStyle name="Comma" xfId="1" builtinId="3"/>
    <cellStyle name="Comma 2" xfId="6" xr:uid="{123404D6-1A7B-5C42-ABFB-BFC5569EA471}"/>
    <cellStyle name="Hyperlink 2" xfId="5" xr:uid="{C492B471-7BC9-324D-98DE-9734E00BD100}"/>
    <cellStyle name="Normal" xfId="0" builtinId="0"/>
    <cellStyle name="Normal 2 2" xfId="3" xr:uid="{62C5A759-8E64-D84A-AF04-3DE1798B4561}"/>
    <cellStyle name="Normal 4" xfId="4" xr:uid="{02E8DAC4-4BC6-7F4D-B512-5957D86F0D4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A36B737B-80DC-E14C-AD1B-170B94D8F74A}"/>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88900</xdr:colOff>
      <xdr:row>20</xdr:row>
      <xdr:rowOff>38100</xdr:rowOff>
    </xdr:from>
    <xdr:to>
      <xdr:col>16</xdr:col>
      <xdr:colOff>262391</xdr:colOff>
      <xdr:row>22</xdr:row>
      <xdr:rowOff>61468</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BF73114-42A9-1C4D-88D7-E6EDAC7D4C6E}"/>
                </a:ext>
              </a:extLst>
            </xdr:cNvPr>
            <xdr:cNvSpPr txBox="1"/>
          </xdr:nvSpPr>
          <xdr:spPr>
            <a:xfrm>
              <a:off x="12344400" y="4305300"/>
              <a:ext cx="998991" cy="42976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𝑖</m:t>
                        </m:r>
                      </m:sub>
                      <m:sup>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𝑖</m:t>
                            </m:r>
                          </m:sub>
                          <m:sup>
                            <m:r>
                              <a:rPr lang="en-US" sz="1100" i="1">
                                <a:solidFill>
                                  <a:schemeClr val="tx1"/>
                                </a:solidFill>
                                <a:effectLst/>
                                <a:latin typeface="Cambria Math" panose="02040503050406030204" pitchFamily="18" charset="0"/>
                                <a:ea typeface="+mn-ea"/>
                                <a:cs typeface="+mn-cs"/>
                              </a:rPr>
                              <m:t>𝑜𝑝𝑡</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2" name="TextBox 1">
              <a:extLst>
                <a:ext uri="{FF2B5EF4-FFF2-40B4-BE49-F238E27FC236}">
                  <a16:creationId xmlns:a16="http://schemas.microsoft.com/office/drawing/2014/main" id="{5BF73114-42A9-1C4D-88D7-E6EDAC7D4C6E}"/>
                </a:ext>
              </a:extLst>
            </xdr:cNvPr>
            <xdr:cNvSpPr txBox="1"/>
          </xdr:nvSpPr>
          <xdr:spPr>
            <a:xfrm>
              <a:off x="12344400" y="4305300"/>
              <a:ext cx="998991" cy="42976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𝑍_𝑖^𝑜𝑝𝑡=𝑝_𝑖/(𝑝_𝑖+𝑡_𝑖^𝑜𝑝𝑡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107950</xdr:colOff>
      <xdr:row>4</xdr:row>
      <xdr:rowOff>19050</xdr:rowOff>
    </xdr:from>
    <xdr:ext cx="456728" cy="18447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CFD2FF-A87B-2C42-8A98-F2D5BD72223D}"/>
                </a:ext>
              </a:extLst>
            </xdr:cNvPr>
            <xdr:cNvSpPr txBox="1"/>
          </xdr:nvSpPr>
          <xdr:spPr>
            <a:xfrm>
              <a:off x="946150" y="831850"/>
              <a:ext cx="456728"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2</m:t>
                        </m:r>
                      </m:sub>
                      <m:sup>
                        <m:r>
                          <a:rPr lang="en-US" sz="1100" b="0" i="1">
                            <a:latin typeface="Cambria Math" panose="02040503050406030204" pitchFamily="18" charset="0"/>
                          </a:rPr>
                          <m:t>𝑖𝑛𝑑</m:t>
                        </m:r>
                      </m:sup>
                    </m:sSubSup>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C6CFD2FF-A87B-2C42-8A98-F2D5BD72223D}"/>
                </a:ext>
              </a:extLst>
            </xdr:cNvPr>
            <xdr:cNvSpPr txBox="1"/>
          </xdr:nvSpPr>
          <xdr:spPr>
            <a:xfrm>
              <a:off x="946150" y="831850"/>
              <a:ext cx="456728"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𝑈_2^𝑖𝑛𝑑=</a:t>
              </a:r>
              <a:endParaRPr lang="en-US" sz="1100"/>
            </a:p>
          </xdr:txBody>
        </xdr:sp>
      </mc:Fallback>
    </mc:AlternateContent>
    <xdr:clientData/>
  </xdr:oneCellAnchor>
  <xdr:oneCellAnchor>
    <xdr:from>
      <xdr:col>1</xdr:col>
      <xdr:colOff>120650</xdr:colOff>
      <xdr:row>5</xdr:row>
      <xdr:rowOff>31750</xdr:rowOff>
    </xdr:from>
    <xdr:ext cx="398442" cy="1769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8B2312-AD81-5444-A16C-2B686419F294}"/>
                </a:ext>
              </a:extLst>
            </xdr:cNvPr>
            <xdr:cNvSpPr txBox="1"/>
          </xdr:nvSpPr>
          <xdr:spPr>
            <a:xfrm>
              <a:off x="958850" y="1047750"/>
              <a:ext cx="398442"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2,3</m:t>
                        </m:r>
                      </m:sub>
                    </m:sSub>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DA8B2312-AD81-5444-A16C-2B686419F294}"/>
                </a:ext>
              </a:extLst>
            </xdr:cNvPr>
            <xdr:cNvSpPr txBox="1"/>
          </xdr:nvSpPr>
          <xdr:spPr>
            <a:xfrm>
              <a:off x="958850" y="1047750"/>
              <a:ext cx="398442"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𝐶_2,3=</a:t>
              </a:r>
              <a:endParaRPr lang="en-US" sz="1100"/>
            </a:p>
          </xdr:txBody>
        </xdr:sp>
      </mc:Fallback>
    </mc:AlternateContent>
    <xdr:clientData/>
  </xdr:oneCellAnchor>
  <xdr:oneCellAnchor>
    <xdr:from>
      <xdr:col>1</xdr:col>
      <xdr:colOff>133350</xdr:colOff>
      <xdr:row>6</xdr:row>
      <xdr:rowOff>19050</xdr:rowOff>
    </xdr:from>
    <xdr:ext cx="240772"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F65A67-F2B9-A245-8740-B79B5F0991E1}"/>
                </a:ext>
              </a:extLst>
            </xdr:cNvPr>
            <xdr:cNvSpPr txBox="1"/>
          </xdr:nvSpPr>
          <xdr:spPr>
            <a:xfrm>
              <a:off x="971550" y="1238250"/>
              <a:ext cx="2407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𝑞</m:t>
                      </m:r>
                    </m:e>
                    <m:sub>
                      <m:r>
                        <a:rPr lang="en-US" sz="1100" b="0" i="1">
                          <a:latin typeface="Cambria Math" panose="02040503050406030204" pitchFamily="18" charset="0"/>
                        </a:rPr>
                        <m:t>2</m:t>
                      </m:r>
                    </m:sub>
                  </m:sSub>
                </m:oMath>
              </a14:m>
              <a:r>
                <a:rPr lang="en-US" sz="1100"/>
                <a:t> =</a:t>
              </a:r>
            </a:p>
          </xdr:txBody>
        </xdr:sp>
      </mc:Choice>
      <mc:Fallback xmlns="">
        <xdr:sp macro="" textlink="">
          <xdr:nvSpPr>
            <xdr:cNvPr id="4" name="TextBox 3">
              <a:extLst>
                <a:ext uri="{FF2B5EF4-FFF2-40B4-BE49-F238E27FC236}">
                  <a16:creationId xmlns:a16="http://schemas.microsoft.com/office/drawing/2014/main" id="{2EF65A67-F2B9-A245-8740-B79B5F0991E1}"/>
                </a:ext>
              </a:extLst>
            </xdr:cNvPr>
            <xdr:cNvSpPr txBox="1"/>
          </xdr:nvSpPr>
          <xdr:spPr>
            <a:xfrm>
              <a:off x="971550" y="1238250"/>
              <a:ext cx="2407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𝑞_2</a:t>
              </a:r>
              <a:r>
                <a:rPr lang="en-US" sz="1100"/>
                <a:t> =</a:t>
              </a:r>
            </a:p>
          </xdr:txBody>
        </xdr:sp>
      </mc:Fallback>
    </mc:AlternateContent>
    <xdr:clientData/>
  </xdr:oneCellAnchor>
  <xdr:oneCellAnchor>
    <xdr:from>
      <xdr:col>1</xdr:col>
      <xdr:colOff>654050</xdr:colOff>
      <xdr:row>9</xdr:row>
      <xdr:rowOff>19050</xdr:rowOff>
    </xdr:from>
    <xdr:ext cx="307456" cy="18447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D39149F-2331-F144-86C5-3792C82229D5}"/>
                </a:ext>
              </a:extLst>
            </xdr:cNvPr>
            <xdr:cNvSpPr txBox="1"/>
          </xdr:nvSpPr>
          <xdr:spPr>
            <a:xfrm>
              <a:off x="1492250" y="1847850"/>
              <a:ext cx="307456"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𝑅</m:t>
                        </m:r>
                      </m:e>
                      <m:sub>
                        <m:r>
                          <a:rPr lang="en-US" sz="1100" b="0" i="1">
                            <a:latin typeface="Cambria Math" panose="02040503050406030204" pitchFamily="18" charset="0"/>
                          </a:rPr>
                          <m:t>2</m:t>
                        </m:r>
                      </m:sub>
                      <m:sup>
                        <m:r>
                          <a:rPr lang="en-US" sz="1100" b="0" i="1">
                            <a:latin typeface="Cambria Math" panose="02040503050406030204" pitchFamily="18" charset="0"/>
                          </a:rPr>
                          <m:t>𝑖𝑛𝑑</m:t>
                        </m:r>
                      </m:sup>
                    </m:sSubSup>
                  </m:oMath>
                </m:oMathPara>
              </a14:m>
              <a:endParaRPr lang="en-US" sz="1100"/>
            </a:p>
          </xdr:txBody>
        </xdr:sp>
      </mc:Choice>
      <mc:Fallback xmlns="">
        <xdr:sp macro="" textlink="">
          <xdr:nvSpPr>
            <xdr:cNvPr id="5" name="TextBox 4">
              <a:extLst>
                <a:ext uri="{FF2B5EF4-FFF2-40B4-BE49-F238E27FC236}">
                  <a16:creationId xmlns:a16="http://schemas.microsoft.com/office/drawing/2014/main" id="{0D39149F-2331-F144-86C5-3792C82229D5}"/>
                </a:ext>
              </a:extLst>
            </xdr:cNvPr>
            <xdr:cNvSpPr txBox="1"/>
          </xdr:nvSpPr>
          <xdr:spPr>
            <a:xfrm>
              <a:off x="1492250" y="1847850"/>
              <a:ext cx="307456"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𝑅_2^𝑖𝑛𝑑</a:t>
              </a:r>
              <a:endParaRPr 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4</xdr:col>
      <xdr:colOff>187325</xdr:colOff>
      <xdr:row>25</xdr:row>
      <xdr:rowOff>68263</xdr:rowOff>
    </xdr:from>
    <xdr:ext cx="1302857" cy="18255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10341B8-3BA5-7044-8C71-E44EEE0C233C}"/>
                </a:ext>
              </a:extLst>
            </xdr:cNvPr>
            <xdr:cNvSpPr txBox="1"/>
          </xdr:nvSpPr>
          <xdr:spPr>
            <a:xfrm>
              <a:off x="3540125" y="5148263"/>
              <a:ext cx="1302857" cy="182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n-US" sz="1100" b="0" i="1">
                      <a:latin typeface="Cambria Math" panose="02040503050406030204" pitchFamily="18" charset="0"/>
                    </a:rPr>
                    <m:t>𝑉𝑎𝑟</m:t>
                  </m:r>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𝑈</m:t>
                          </m:r>
                        </m:e>
                        <m:sub>
                          <m:r>
                            <a:rPr lang="en-US" sz="1100" b="0" i="1">
                              <a:latin typeface="Cambria Math" panose="02040503050406030204" pitchFamily="18" charset="0"/>
                            </a:rPr>
                            <m:t>𝑖</m:t>
                          </m:r>
                        </m:sub>
                      </m:sSub>
                    </m:e>
                  </m:d>
                  <m:r>
                    <a:rPr lang="en-US" sz="1100" b="0" i="1">
                      <a:latin typeface="Cambria Math" panose="02040503050406030204" pitchFamily="18" charset="0"/>
                    </a:rPr>
                    <m:t>=</m:t>
                  </m:r>
                  <m:r>
                    <a:rPr lang="en-US" sz="1100" b="0" i="1">
                      <a:latin typeface="Cambria Math" panose="02040503050406030204" pitchFamily="18" charset="0"/>
                    </a:rPr>
                    <m:t>𝑉𝑎𝑟</m:t>
                  </m:r>
                  <m:r>
                    <a:rPr lang="en-US" sz="1100" b="0" i="1">
                      <a:latin typeface="Cambria Math" panose="02040503050406030204" pitchFamily="18" charset="0"/>
                    </a:rPr>
                    <m:t>(</m:t>
                  </m:r>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𝑖</m:t>
                      </m:r>
                    </m:sub>
                    <m:sup>
                      <m:r>
                        <a:rPr lang="en-US" sz="1100" b="0" i="1">
                          <a:latin typeface="Cambria Math" panose="02040503050406030204" pitchFamily="18" charset="0"/>
                        </a:rPr>
                        <m:t>𝐵𝐶</m:t>
                      </m:r>
                    </m:sup>
                  </m:sSubSup>
                  <m:r>
                    <a:rPr lang="en-US" sz="1100" b="0" i="1">
                      <a:latin typeface="Cambria Math" panose="02040503050406030204" pitchFamily="18" charset="0"/>
                    </a:rPr>
                    <m:t>)</m:t>
                  </m:r>
                </m:oMath>
              </a14:m>
              <a:r>
                <a:rPr lang="en-US" sz="1100"/>
                <a:t>.</a:t>
              </a:r>
            </a:p>
          </xdr:txBody>
        </xdr:sp>
      </mc:Choice>
      <mc:Fallback xmlns="">
        <xdr:sp macro="" textlink="">
          <xdr:nvSpPr>
            <xdr:cNvPr id="2" name="TextBox 1">
              <a:extLst>
                <a:ext uri="{FF2B5EF4-FFF2-40B4-BE49-F238E27FC236}">
                  <a16:creationId xmlns:a16="http://schemas.microsoft.com/office/drawing/2014/main" id="{210341B8-3BA5-7044-8C71-E44EEE0C233C}"/>
                </a:ext>
              </a:extLst>
            </xdr:cNvPr>
            <xdr:cNvSpPr txBox="1"/>
          </xdr:nvSpPr>
          <xdr:spPr>
            <a:xfrm>
              <a:off x="3540125" y="5148263"/>
              <a:ext cx="1302857" cy="182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𝑉𝑎𝑟(𝑈_𝑖 )=𝑉𝑎𝑟(𝑈_𝑖^𝐵𝐶)</a:t>
              </a:r>
              <a:r>
                <a:rPr lang="en-US" sz="1100"/>
                <a:t>.</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101600</xdr:colOff>
      <xdr:row>4</xdr:row>
      <xdr:rowOff>0</xdr:rowOff>
    </xdr:from>
    <xdr:ext cx="429798" cy="21127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A06A36-1621-9148-8DE3-9891ED9C8F04}"/>
                </a:ext>
              </a:extLst>
            </xdr:cNvPr>
            <xdr:cNvSpPr txBox="1"/>
          </xdr:nvSpPr>
          <xdr:spPr>
            <a:xfrm>
              <a:off x="939800" y="812800"/>
              <a:ext cx="429798" cy="211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4</m:t>
                        </m:r>
                      </m:sub>
                      <m:sup>
                        <m:r>
                          <a:rPr lang="en-US" sz="1100" b="0" i="1">
                            <a:latin typeface="Cambria Math" panose="02040503050406030204" pitchFamily="18" charset="0"/>
                          </a:rPr>
                          <m:t>(0)</m:t>
                        </m:r>
                      </m:sup>
                    </m:sSubSup>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80A06A36-1621-9148-8DE3-9891ED9C8F04}"/>
                </a:ext>
              </a:extLst>
            </xdr:cNvPr>
            <xdr:cNvSpPr txBox="1"/>
          </xdr:nvSpPr>
          <xdr:spPr>
            <a:xfrm>
              <a:off x="939800" y="812800"/>
              <a:ext cx="429798" cy="211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𝑈_4^((0))=</a:t>
              </a:r>
              <a:endParaRPr lang="en-US" sz="1100"/>
            </a:p>
          </xdr:txBody>
        </xdr:sp>
      </mc:Fallback>
    </mc:AlternateContent>
    <xdr:clientData/>
  </xdr:oneCellAnchor>
  <xdr:oneCellAnchor>
    <xdr:from>
      <xdr:col>1</xdr:col>
      <xdr:colOff>114300</xdr:colOff>
      <xdr:row>5</xdr:row>
      <xdr:rowOff>25400</xdr:rowOff>
    </xdr:from>
    <xdr:ext cx="398442" cy="1769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82FDC6E-E3E4-2943-BD1A-23A039E5D607}"/>
                </a:ext>
              </a:extLst>
            </xdr:cNvPr>
            <xdr:cNvSpPr txBox="1"/>
          </xdr:nvSpPr>
          <xdr:spPr>
            <a:xfrm>
              <a:off x="952500" y="1041400"/>
              <a:ext cx="398442"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4,1</m:t>
                        </m:r>
                      </m:sub>
                    </m:sSub>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F82FDC6E-E3E4-2943-BD1A-23A039E5D607}"/>
                </a:ext>
              </a:extLst>
            </xdr:cNvPr>
            <xdr:cNvSpPr txBox="1"/>
          </xdr:nvSpPr>
          <xdr:spPr>
            <a:xfrm>
              <a:off x="952500" y="1041400"/>
              <a:ext cx="398442"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𝐶_4,1=</a:t>
              </a:r>
              <a:endParaRPr lang="en-US" sz="1100"/>
            </a:p>
          </xdr:txBody>
        </xdr:sp>
      </mc:Fallback>
    </mc:AlternateContent>
    <xdr:clientData/>
  </xdr:oneCellAnchor>
  <xdr:oneCellAnchor>
    <xdr:from>
      <xdr:col>1</xdr:col>
      <xdr:colOff>127000</xdr:colOff>
      <xdr:row>6</xdr:row>
      <xdr:rowOff>12700</xdr:rowOff>
    </xdr:from>
    <xdr:ext cx="240772"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080931D-30A0-DB4B-9750-95C9B026DD06}"/>
                </a:ext>
              </a:extLst>
            </xdr:cNvPr>
            <xdr:cNvSpPr txBox="1"/>
          </xdr:nvSpPr>
          <xdr:spPr>
            <a:xfrm>
              <a:off x="965200" y="1231900"/>
              <a:ext cx="2407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𝑞</m:t>
                      </m:r>
                    </m:e>
                    <m:sub>
                      <m:r>
                        <a:rPr lang="en-US" sz="1100" b="0" i="1">
                          <a:latin typeface="Cambria Math" panose="02040503050406030204" pitchFamily="18" charset="0"/>
                        </a:rPr>
                        <m:t>4</m:t>
                      </m:r>
                    </m:sub>
                  </m:sSub>
                </m:oMath>
              </a14:m>
              <a:r>
                <a:rPr lang="en-US" sz="1100"/>
                <a:t> =</a:t>
              </a:r>
            </a:p>
          </xdr:txBody>
        </xdr:sp>
      </mc:Choice>
      <mc:Fallback xmlns="">
        <xdr:sp macro="" textlink="">
          <xdr:nvSpPr>
            <xdr:cNvPr id="4" name="TextBox 3">
              <a:extLst>
                <a:ext uri="{FF2B5EF4-FFF2-40B4-BE49-F238E27FC236}">
                  <a16:creationId xmlns:a16="http://schemas.microsoft.com/office/drawing/2014/main" id="{A080931D-30A0-DB4B-9750-95C9B026DD06}"/>
                </a:ext>
              </a:extLst>
            </xdr:cNvPr>
            <xdr:cNvSpPr txBox="1"/>
          </xdr:nvSpPr>
          <xdr:spPr>
            <a:xfrm>
              <a:off x="965200" y="1231900"/>
              <a:ext cx="2407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𝑞_4</a:t>
              </a:r>
              <a:r>
                <a:rPr lang="en-US" sz="1100"/>
                <a:t> =</a:t>
              </a:r>
            </a:p>
          </xdr:txBody>
        </xdr:sp>
      </mc:Fallback>
    </mc:AlternateContent>
    <xdr:clientData/>
  </xdr:oneCellAnchor>
  <xdr:oneCellAnchor>
    <xdr:from>
      <xdr:col>1</xdr:col>
      <xdr:colOff>635000</xdr:colOff>
      <xdr:row>7</xdr:row>
      <xdr:rowOff>190500</xdr:rowOff>
    </xdr:from>
    <xdr:ext cx="288925" cy="21127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5AC6676-938B-CD4E-990F-003AB7A36777}"/>
                </a:ext>
              </a:extLst>
            </xdr:cNvPr>
            <xdr:cNvSpPr txBox="1"/>
          </xdr:nvSpPr>
          <xdr:spPr>
            <a:xfrm>
              <a:off x="1473200" y="1612900"/>
              <a:ext cx="288925" cy="211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4</m:t>
                      </m:r>
                    </m:sub>
                    <m:sup>
                      <m:r>
                        <a:rPr lang="en-US" sz="1100" b="0" i="1">
                          <a:latin typeface="Cambria Math" panose="02040503050406030204" pitchFamily="18" charset="0"/>
                        </a:rPr>
                        <m:t>(3)</m:t>
                      </m:r>
                    </m:sup>
                  </m:sSubSup>
                </m:oMath>
              </a14:m>
              <a:r>
                <a:rPr lang="en-US" sz="1100"/>
                <a:t>.</a:t>
              </a:r>
            </a:p>
          </xdr:txBody>
        </xdr:sp>
      </mc:Choice>
      <mc:Fallback xmlns="">
        <xdr:sp macro="" textlink="">
          <xdr:nvSpPr>
            <xdr:cNvPr id="5" name="TextBox 4">
              <a:extLst>
                <a:ext uri="{FF2B5EF4-FFF2-40B4-BE49-F238E27FC236}">
                  <a16:creationId xmlns:a16="http://schemas.microsoft.com/office/drawing/2014/main" id="{E5AC6676-938B-CD4E-990F-003AB7A36777}"/>
                </a:ext>
              </a:extLst>
            </xdr:cNvPr>
            <xdr:cNvSpPr txBox="1"/>
          </xdr:nvSpPr>
          <xdr:spPr>
            <a:xfrm>
              <a:off x="1473200" y="1612900"/>
              <a:ext cx="288925" cy="211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𝑈_4^((3))</a:t>
              </a:r>
              <a:r>
                <a:rPr lang="en-US" sz="1100"/>
                <a:t>.</a:t>
              </a:r>
            </a:p>
          </xdr:txBody>
        </xdr:sp>
      </mc:Fallback>
    </mc:AlternateContent>
    <xdr:clientData/>
  </xdr:oneCellAnchor>
  <xdr:twoCellAnchor>
    <xdr:from>
      <xdr:col>12</xdr:col>
      <xdr:colOff>203200</xdr:colOff>
      <xdr:row>23</xdr:row>
      <xdr:rowOff>76200</xdr:rowOff>
    </xdr:from>
    <xdr:to>
      <xdr:col>19</xdr:col>
      <xdr:colOff>698830</xdr:colOff>
      <xdr:row>45</xdr:row>
      <xdr:rowOff>77216</xdr:rowOff>
    </xdr:to>
    <xdr:pic>
      <xdr:nvPicPr>
        <xdr:cNvPr id="6" name="Picture 5">
          <a:extLst>
            <a:ext uri="{FF2B5EF4-FFF2-40B4-BE49-F238E27FC236}">
              <a16:creationId xmlns:a16="http://schemas.microsoft.com/office/drawing/2014/main" id="{48AF0C44-3E02-B64E-8CBA-BFCB00495B6C}"/>
            </a:ext>
          </a:extLst>
        </xdr:cNvPr>
        <xdr:cNvPicPr>
          <a:picLocks noChangeAspect="1"/>
        </xdr:cNvPicPr>
      </xdr:nvPicPr>
      <xdr:blipFill>
        <a:blip xmlns:r="http://schemas.openxmlformats.org/officeDocument/2006/relationships" r:embed="rId1"/>
        <a:stretch>
          <a:fillRect/>
        </a:stretch>
      </xdr:blipFill>
      <xdr:spPr>
        <a:xfrm>
          <a:off x="10261600" y="4749800"/>
          <a:ext cx="6363030" cy="44714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114300</xdr:colOff>
      <xdr:row>5</xdr:row>
      <xdr:rowOff>25400</xdr:rowOff>
    </xdr:from>
    <xdr:ext cx="241733"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EB71483-F85E-A240-BEE1-5E3CFD3BF9E8}"/>
                </a:ext>
              </a:extLst>
            </xdr:cNvPr>
            <xdr:cNvSpPr txBox="1"/>
          </xdr:nvSpPr>
          <xdr:spPr>
            <a:xfrm>
              <a:off x="952500" y="1041400"/>
              <a:ext cx="2417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2</m:t>
                      </m:r>
                    </m:sub>
                  </m:sSub>
                </m:oMath>
              </a14:m>
              <a:r>
                <a:rPr lang="en-US" sz="1100"/>
                <a:t> =</a:t>
              </a:r>
            </a:p>
          </xdr:txBody>
        </xdr:sp>
      </mc:Choice>
      <mc:Fallback xmlns="">
        <xdr:sp macro="" textlink="">
          <xdr:nvSpPr>
            <xdr:cNvPr id="2" name="TextBox 1">
              <a:extLst>
                <a:ext uri="{FF2B5EF4-FFF2-40B4-BE49-F238E27FC236}">
                  <a16:creationId xmlns:a16="http://schemas.microsoft.com/office/drawing/2014/main" id="{5EB71483-F85E-A240-BEE1-5E3CFD3BF9E8}"/>
                </a:ext>
              </a:extLst>
            </xdr:cNvPr>
            <xdr:cNvSpPr txBox="1"/>
          </xdr:nvSpPr>
          <xdr:spPr>
            <a:xfrm>
              <a:off x="952500" y="1041400"/>
              <a:ext cx="2417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𝑝_2</a:t>
              </a:r>
              <a:r>
                <a:rPr lang="en-US" sz="1100"/>
                <a:t> =</a:t>
              </a:r>
            </a:p>
          </xdr:txBody>
        </xdr:sp>
      </mc:Fallback>
    </mc:AlternateContent>
    <xdr:clientData/>
  </xdr:oneCellAnchor>
  <xdr:oneCellAnchor>
    <xdr:from>
      <xdr:col>1</xdr:col>
      <xdr:colOff>114300</xdr:colOff>
      <xdr:row>4</xdr:row>
      <xdr:rowOff>25400</xdr:rowOff>
    </xdr:from>
    <xdr:ext cx="223074"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E4A00B5-2CF3-9D4A-81C9-B05B5032AF6D}"/>
                </a:ext>
              </a:extLst>
            </xdr:cNvPr>
            <xdr:cNvSpPr txBox="1"/>
          </xdr:nvSpPr>
          <xdr:spPr>
            <a:xfrm>
              <a:off x="952500" y="838200"/>
              <a:ext cx="2230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𝑓</m:t>
                      </m:r>
                    </m:e>
                    <m:sub>
                      <m:r>
                        <a:rPr lang="en-US" sz="1100" b="0" i="1">
                          <a:latin typeface="Cambria Math" panose="02040503050406030204" pitchFamily="18" charset="0"/>
                        </a:rPr>
                        <m:t>2</m:t>
                      </m:r>
                    </m:sub>
                  </m:sSub>
                </m:oMath>
              </a14:m>
              <a:r>
                <a:rPr lang="en-US" sz="1100"/>
                <a:t> =</a:t>
              </a:r>
            </a:p>
          </xdr:txBody>
        </xdr:sp>
      </mc:Choice>
      <mc:Fallback xmlns="">
        <xdr:sp macro="" textlink="">
          <xdr:nvSpPr>
            <xdr:cNvPr id="3" name="TextBox 2">
              <a:extLst>
                <a:ext uri="{FF2B5EF4-FFF2-40B4-BE49-F238E27FC236}">
                  <a16:creationId xmlns:a16="http://schemas.microsoft.com/office/drawing/2014/main" id="{3E4A00B5-2CF3-9D4A-81C9-B05B5032AF6D}"/>
                </a:ext>
              </a:extLst>
            </xdr:cNvPr>
            <xdr:cNvSpPr txBox="1"/>
          </xdr:nvSpPr>
          <xdr:spPr>
            <a:xfrm>
              <a:off x="952500" y="838200"/>
              <a:ext cx="2230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𝑓_2</a:t>
              </a:r>
              <a:r>
                <a:rPr lang="en-US" sz="1100"/>
                <a:t> =</a:t>
              </a:r>
            </a:p>
          </xdr:txBody>
        </xdr:sp>
      </mc:Fallback>
    </mc:AlternateContent>
    <xdr:clientData/>
  </xdr:oneCellAnchor>
  <xdr:oneCellAnchor>
    <xdr:from>
      <xdr:col>1</xdr:col>
      <xdr:colOff>88900</xdr:colOff>
      <xdr:row>6</xdr:row>
      <xdr:rowOff>25400</xdr:rowOff>
    </xdr:from>
    <xdr:ext cx="448328" cy="18447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044BDF-1050-4C40-BF57-6C60D195D280}"/>
                </a:ext>
              </a:extLst>
            </xdr:cNvPr>
            <xdr:cNvSpPr txBox="1"/>
          </xdr:nvSpPr>
          <xdr:spPr>
            <a:xfrm>
              <a:off x="927100" y="1244600"/>
              <a:ext cx="448328"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𝑅</m:t>
                        </m:r>
                      </m:e>
                      <m:sub>
                        <m:r>
                          <a:rPr lang="en-US" sz="1100" b="0" i="1">
                            <a:latin typeface="Cambria Math" panose="02040503050406030204" pitchFamily="18" charset="0"/>
                          </a:rPr>
                          <m:t>2</m:t>
                        </m:r>
                      </m:sub>
                      <m:sup>
                        <m:r>
                          <a:rPr lang="en-US" sz="1100" b="0" i="1">
                            <a:latin typeface="Cambria Math" panose="02040503050406030204" pitchFamily="18" charset="0"/>
                          </a:rPr>
                          <m:t>𝑖𝑛𝑑</m:t>
                        </m:r>
                      </m:sup>
                    </m:sSubSup>
                    <m:r>
                      <a:rPr lang="en-US" sz="1100" b="0" i="1">
                        <a:latin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7A044BDF-1050-4C40-BF57-6C60D195D280}"/>
                </a:ext>
              </a:extLst>
            </xdr:cNvPr>
            <xdr:cNvSpPr txBox="1"/>
          </xdr:nvSpPr>
          <xdr:spPr>
            <a:xfrm>
              <a:off x="927100" y="1244600"/>
              <a:ext cx="448328" cy="184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𝑅_2^𝑖𝑛𝑑=</a:t>
              </a:r>
              <a:endParaRPr lang="en-US" sz="1100"/>
            </a:p>
          </xdr:txBody>
        </xdr:sp>
      </mc:Fallback>
    </mc:AlternateContent>
    <xdr:clientData/>
  </xdr:oneCellAnchor>
  <xdr:oneCellAnchor>
    <xdr:from>
      <xdr:col>1</xdr:col>
      <xdr:colOff>88900</xdr:colOff>
      <xdr:row>7</xdr:row>
      <xdr:rowOff>25400</xdr:rowOff>
    </xdr:from>
    <xdr:ext cx="465064" cy="18197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63490AE-117A-0143-A7CF-E0691AC8DFDA}"/>
                </a:ext>
              </a:extLst>
            </xdr:cNvPr>
            <xdr:cNvSpPr txBox="1"/>
          </xdr:nvSpPr>
          <xdr:spPr>
            <a:xfrm>
              <a:off x="927100" y="1447800"/>
              <a:ext cx="465064" cy="1819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𝑅</m:t>
                        </m:r>
                      </m:e>
                      <m:sub>
                        <m:r>
                          <a:rPr lang="en-US" sz="1100" b="0" i="1">
                            <a:latin typeface="Cambria Math" panose="02040503050406030204" pitchFamily="18" charset="0"/>
                          </a:rPr>
                          <m:t>2</m:t>
                        </m:r>
                      </m:sub>
                      <m:sup>
                        <m:r>
                          <a:rPr lang="en-US" sz="1100" b="0" i="1">
                            <a:latin typeface="Cambria Math" panose="02040503050406030204" pitchFamily="18" charset="0"/>
                          </a:rPr>
                          <m:t>𝑐𝑜𝑙𝑙</m:t>
                        </m:r>
                      </m:sup>
                    </m:sSubSup>
                    <m:r>
                      <a:rPr lang="en-US" sz="1100" b="0" i="1">
                        <a:latin typeface="Cambria Math" panose="02040503050406030204" pitchFamily="18" charset="0"/>
                      </a:rPr>
                      <m:t>=</m:t>
                    </m:r>
                  </m:oMath>
                </m:oMathPara>
              </a14:m>
              <a:endParaRPr lang="en-US" sz="1100"/>
            </a:p>
          </xdr:txBody>
        </xdr:sp>
      </mc:Choice>
      <mc:Fallback xmlns="">
        <xdr:sp macro="" textlink="">
          <xdr:nvSpPr>
            <xdr:cNvPr id="5" name="TextBox 4">
              <a:extLst>
                <a:ext uri="{FF2B5EF4-FFF2-40B4-BE49-F238E27FC236}">
                  <a16:creationId xmlns:a16="http://schemas.microsoft.com/office/drawing/2014/main" id="{763490AE-117A-0143-A7CF-E0691AC8DFDA}"/>
                </a:ext>
              </a:extLst>
            </xdr:cNvPr>
            <xdr:cNvSpPr txBox="1"/>
          </xdr:nvSpPr>
          <xdr:spPr>
            <a:xfrm>
              <a:off x="927100" y="1447800"/>
              <a:ext cx="465064" cy="1819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𝑅_2^𝑐𝑜𝑙𝑙=</a:t>
              </a:r>
              <a:endParaRPr lang="en-US" sz="1100"/>
            </a:p>
          </xdr:txBody>
        </xdr:sp>
      </mc:Fallback>
    </mc:AlternateContent>
    <xdr:clientData/>
  </xdr:oneCellAnchor>
  <xdr:oneCellAnchor>
    <xdr:from>
      <xdr:col>8</xdr:col>
      <xdr:colOff>600075</xdr:colOff>
      <xdr:row>9</xdr:row>
      <xdr:rowOff>11110</xdr:rowOff>
    </xdr:from>
    <xdr:ext cx="215892"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B6BAE94-9B80-F444-8882-669DED6DFD9C}"/>
                </a:ext>
              </a:extLst>
            </xdr:cNvPr>
            <xdr:cNvSpPr txBox="1"/>
          </xdr:nvSpPr>
          <xdr:spPr>
            <a:xfrm>
              <a:off x="7305675" y="1839910"/>
              <a:ext cx="2158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𝑅</m:t>
                        </m:r>
                      </m:e>
                      <m:sub>
                        <m:r>
                          <a:rPr lang="en-US" sz="1100" b="0" i="1">
                            <a:latin typeface="Cambria Math" panose="02040503050406030204" pitchFamily="18" charset="0"/>
                          </a:rPr>
                          <m:t>2</m:t>
                        </m:r>
                      </m:sub>
                      <m:sup>
                        <m:r>
                          <a:rPr lang="en-US" sz="1100" b="0" i="1">
                            <a:latin typeface="Cambria Math" panose="02040503050406030204" pitchFamily="18" charset="0"/>
                          </a:rPr>
                          <m:t>𝑐</m:t>
                        </m:r>
                      </m:sup>
                    </m:sSubSup>
                    <m:r>
                      <a:rPr lang="en-US" sz="1100" b="0" i="1">
                        <a:latin typeface="Cambria Math" panose="02040503050406030204" pitchFamily="18" charset="0"/>
                      </a:rPr>
                      <m:t>.</m:t>
                    </m:r>
                  </m:oMath>
                </m:oMathPara>
              </a14:m>
              <a:endParaRPr lang="en-US" sz="1100"/>
            </a:p>
          </xdr:txBody>
        </xdr:sp>
      </mc:Choice>
      <mc:Fallback xmlns="">
        <xdr:sp macro="" textlink="">
          <xdr:nvSpPr>
            <xdr:cNvPr id="6" name="TextBox 5">
              <a:extLst>
                <a:ext uri="{FF2B5EF4-FFF2-40B4-BE49-F238E27FC236}">
                  <a16:creationId xmlns:a16="http://schemas.microsoft.com/office/drawing/2014/main" id="{FB6BAE94-9B80-F444-8882-669DED6DFD9C}"/>
                </a:ext>
              </a:extLst>
            </xdr:cNvPr>
            <xdr:cNvSpPr txBox="1"/>
          </xdr:nvSpPr>
          <xdr:spPr>
            <a:xfrm>
              <a:off x="7305675" y="1839910"/>
              <a:ext cx="2158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𝑅_2^𝑐.</a:t>
              </a:r>
              <a:endParaRPr lang="en-US" sz="1100"/>
            </a:p>
          </xdr:txBody>
        </xdr:sp>
      </mc:Fallback>
    </mc:AlternateContent>
    <xdr:clientData/>
  </xdr:oneCellAnchor>
  <xdr:twoCellAnchor>
    <xdr:from>
      <xdr:col>15</xdr:col>
      <xdr:colOff>241300</xdr:colOff>
      <xdr:row>1</xdr:row>
      <xdr:rowOff>139700</xdr:rowOff>
    </xdr:from>
    <xdr:to>
      <xdr:col>18</xdr:col>
      <xdr:colOff>266700</xdr:colOff>
      <xdr:row>4</xdr:row>
      <xdr:rowOff>12700</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B738123-7369-B245-9C02-B8B4C22F1589}"/>
                </a:ext>
              </a:extLst>
            </xdr:cNvPr>
            <xdr:cNvSpPr txBox="1"/>
          </xdr:nvSpPr>
          <xdr:spPr>
            <a:xfrm>
              <a:off x="12814300" y="342900"/>
              <a:ext cx="2540000" cy="4826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𝑖</m:t>
                        </m:r>
                      </m:sub>
                      <m:sup>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−1+2</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e>
                            </m:d>
                          </m:e>
                        </m:rad>
                      </m:num>
                      <m:den>
                        <m:r>
                          <a:rPr lang="en-US" sz="1100" i="1">
                            <a:solidFill>
                              <a:schemeClr val="tx1"/>
                            </a:solidFill>
                            <a:effectLst/>
                            <a:latin typeface="Cambria Math" panose="02040503050406030204" pitchFamily="18" charset="0"/>
                            <a:ea typeface="+mn-ea"/>
                            <a:cs typeface="+mn-cs"/>
                          </a:rPr>
                          <m:t>2</m:t>
                        </m:r>
                      </m:den>
                    </m:f>
                  </m:oMath>
                </m:oMathPara>
              </a14:m>
              <a:endParaRPr lang="en-US"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0B738123-7369-B245-9C02-B8B4C22F1589}"/>
                </a:ext>
              </a:extLst>
            </xdr:cNvPr>
            <xdr:cNvSpPr txBox="1"/>
          </xdr:nvSpPr>
          <xdr:spPr>
            <a:xfrm>
              <a:off x="12814300" y="342900"/>
              <a:ext cx="2540000" cy="4826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𝑡_𝑖^𝑜𝑝𝑡=(𝑓_𝑖−1+√((𝑓_𝑖+1)×(𝑓_𝑖−1+2𝑝_𝑖 ) ))/2</a:t>
              </a:r>
              <a:endParaRPr lang="en-US" sz="1100">
                <a:solidFill>
                  <a:schemeClr val="tx1"/>
                </a:solidFill>
                <a:effectLst/>
                <a:latin typeface="+mn-lt"/>
                <a:ea typeface="+mn-ea"/>
                <a:cs typeface="+mn-cs"/>
              </a:endParaRPr>
            </a:p>
          </xdr:txBody>
        </xdr:sp>
      </mc:Fallback>
    </mc:AlternateContent>
    <xdr:clientData/>
  </xdr:twoCellAnchor>
  <xdr:twoCellAnchor>
    <xdr:from>
      <xdr:col>16</xdr:col>
      <xdr:colOff>304800</xdr:colOff>
      <xdr:row>4</xdr:row>
      <xdr:rowOff>190500</xdr:rowOff>
    </xdr:from>
    <xdr:to>
      <xdr:col>17</xdr:col>
      <xdr:colOff>546100</xdr:colOff>
      <xdr:row>7</xdr:row>
      <xdr:rowOff>38100</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CD16510-BE81-BE42-8403-88C9C1D0DD53}"/>
                </a:ext>
              </a:extLst>
            </xdr:cNvPr>
            <xdr:cNvSpPr txBox="1"/>
          </xdr:nvSpPr>
          <xdr:spPr>
            <a:xfrm>
              <a:off x="13716000" y="1003300"/>
              <a:ext cx="1079500" cy="4572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𝑖</m:t>
                        </m:r>
                      </m:sub>
                      <m:sup>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𝑖</m:t>
                            </m:r>
                          </m:sub>
                          <m:sup>
                            <m:r>
                              <a:rPr lang="en-US" sz="1100" i="1">
                                <a:solidFill>
                                  <a:schemeClr val="tx1"/>
                                </a:solidFill>
                                <a:effectLst/>
                                <a:latin typeface="Cambria Math" panose="02040503050406030204" pitchFamily="18" charset="0"/>
                                <a:ea typeface="+mn-ea"/>
                                <a:cs typeface="+mn-cs"/>
                              </a:rPr>
                              <m:t>𝑜𝑝𝑡</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ACD16510-BE81-BE42-8403-88C9C1D0DD53}"/>
                </a:ext>
              </a:extLst>
            </xdr:cNvPr>
            <xdr:cNvSpPr txBox="1"/>
          </xdr:nvSpPr>
          <xdr:spPr>
            <a:xfrm>
              <a:off x="13716000" y="1003300"/>
              <a:ext cx="1079500" cy="4572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𝑍_𝑖^𝑜𝑝𝑡=𝑝_𝑖/(𝑝_𝑖+𝑡_𝑖^𝑜𝑝𝑡 )</a:t>
              </a:r>
              <a:endParaRPr lang="en-US" sz="1100">
                <a:solidFill>
                  <a:schemeClr val="tx1"/>
                </a:solidFill>
                <a:effectLst/>
                <a:latin typeface="+mn-lt"/>
                <a:ea typeface="+mn-ea"/>
                <a:cs typeface="+mn-cs"/>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114300</xdr:colOff>
      <xdr:row>5</xdr:row>
      <xdr:rowOff>25400</xdr:rowOff>
    </xdr:from>
    <xdr:ext cx="221343"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BF1974-1F92-8543-9A59-D9560DE17C53}"/>
                </a:ext>
              </a:extLst>
            </xdr:cNvPr>
            <xdr:cNvSpPr txBox="1"/>
          </xdr:nvSpPr>
          <xdr:spPr>
            <a:xfrm>
              <a:off x="952500" y="1041400"/>
              <a:ext cx="2213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𝑡</m:t>
                      </m:r>
                    </m:e>
                    <m:sub>
                      <m:r>
                        <a:rPr lang="en-US" sz="1100" b="0" i="1">
                          <a:latin typeface="Cambria Math" panose="02040503050406030204" pitchFamily="18" charset="0"/>
                        </a:rPr>
                        <m:t>2</m:t>
                      </m:r>
                    </m:sub>
                    <m:sup>
                      <m:r>
                        <a:rPr lang="en-US" sz="1100" b="0" i="1">
                          <a:latin typeface="Cambria Math" panose="02040503050406030204" pitchFamily="18" charset="0"/>
                        </a:rPr>
                        <m:t>∗</m:t>
                      </m:r>
                    </m:sup>
                  </m:sSubSup>
                </m:oMath>
              </a14:m>
              <a:r>
                <a:rPr lang="en-US" sz="1100"/>
                <a:t> =</a:t>
              </a:r>
            </a:p>
          </xdr:txBody>
        </xdr:sp>
      </mc:Choice>
      <mc:Fallback xmlns="">
        <xdr:sp macro="" textlink="">
          <xdr:nvSpPr>
            <xdr:cNvPr id="2" name="TextBox 1">
              <a:extLst>
                <a:ext uri="{FF2B5EF4-FFF2-40B4-BE49-F238E27FC236}">
                  <a16:creationId xmlns:a16="http://schemas.microsoft.com/office/drawing/2014/main" id="{5ABF1974-1F92-8543-9A59-D9560DE17C53}"/>
                </a:ext>
              </a:extLst>
            </xdr:cNvPr>
            <xdr:cNvSpPr txBox="1"/>
          </xdr:nvSpPr>
          <xdr:spPr>
            <a:xfrm>
              <a:off x="952500" y="1041400"/>
              <a:ext cx="22134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𝑡_2^∗</a:t>
              </a:r>
              <a:r>
                <a:rPr lang="en-US" sz="1100"/>
                <a:t> =</a:t>
              </a:r>
            </a:p>
          </xdr:txBody>
        </xdr:sp>
      </mc:Fallback>
    </mc:AlternateContent>
    <xdr:clientData/>
  </xdr:oneCellAnchor>
  <xdr:oneCellAnchor>
    <xdr:from>
      <xdr:col>1</xdr:col>
      <xdr:colOff>114300</xdr:colOff>
      <xdr:row>4</xdr:row>
      <xdr:rowOff>25400</xdr:rowOff>
    </xdr:from>
    <xdr:ext cx="223074"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CECC25-8377-4B48-B280-E33AD277AAE4}"/>
                </a:ext>
              </a:extLst>
            </xdr:cNvPr>
            <xdr:cNvSpPr txBox="1"/>
          </xdr:nvSpPr>
          <xdr:spPr>
            <a:xfrm>
              <a:off x="952500" y="838200"/>
              <a:ext cx="2230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𝑓</m:t>
                      </m:r>
                    </m:e>
                    <m:sub>
                      <m:r>
                        <a:rPr lang="en-US" sz="1100" b="0" i="1">
                          <a:latin typeface="Cambria Math" panose="02040503050406030204" pitchFamily="18" charset="0"/>
                        </a:rPr>
                        <m:t>2</m:t>
                      </m:r>
                    </m:sub>
                  </m:sSub>
                </m:oMath>
              </a14:m>
              <a:r>
                <a:rPr lang="en-US" sz="1100"/>
                <a:t> =</a:t>
              </a:r>
            </a:p>
          </xdr:txBody>
        </xdr:sp>
      </mc:Choice>
      <mc:Fallback xmlns="">
        <xdr:sp macro="" textlink="">
          <xdr:nvSpPr>
            <xdr:cNvPr id="3" name="TextBox 2">
              <a:extLst>
                <a:ext uri="{FF2B5EF4-FFF2-40B4-BE49-F238E27FC236}">
                  <a16:creationId xmlns:a16="http://schemas.microsoft.com/office/drawing/2014/main" id="{44CECC25-8377-4B48-B280-E33AD277AAE4}"/>
                </a:ext>
              </a:extLst>
            </xdr:cNvPr>
            <xdr:cNvSpPr txBox="1"/>
          </xdr:nvSpPr>
          <xdr:spPr>
            <a:xfrm>
              <a:off x="952500" y="838200"/>
              <a:ext cx="2230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𝑓_2</a:t>
              </a:r>
              <a:r>
                <a:rPr lang="en-US" sz="1100"/>
                <a:t> =</a:t>
              </a: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204787</xdr:colOff>
      <xdr:row>15</xdr:row>
      <xdr:rowOff>66675</xdr:rowOff>
    </xdr:from>
    <xdr:ext cx="1435328" cy="19922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152B30-37B0-5F4D-81F9-84E013FC8C8F}"/>
                </a:ext>
              </a:extLst>
            </xdr:cNvPr>
            <xdr:cNvSpPr txBox="1"/>
          </xdr:nvSpPr>
          <xdr:spPr>
            <a:xfrm>
              <a:off x="2719387" y="3114675"/>
              <a:ext cx="1435328" cy="199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IN" sz="1200" b="0" i="1">
                        <a:latin typeface="Cambria Math" panose="02040503050406030204" pitchFamily="18" charset="0"/>
                      </a:rPr>
                      <m:t>𝑉𝑎𝑟</m:t>
                    </m:r>
                    <m:d>
                      <m:dPr>
                        <m:begChr m:val="["/>
                        <m:endChr m:val="]"/>
                        <m:ctrlPr>
                          <a:rPr lang="en-US" sz="1200" b="0" i="1">
                            <a:latin typeface="Cambria Math" panose="02040503050406030204" pitchFamily="18" charset="0"/>
                          </a:rPr>
                        </m:ctrlPr>
                      </m:dPr>
                      <m:e>
                        <m:sSub>
                          <m:sSubPr>
                            <m:ctrlPr>
                              <a:rPr lang="en-IN" sz="1200" b="0" i="1">
                                <a:latin typeface="Cambria Math" panose="02040503050406030204" pitchFamily="18" charset="0"/>
                              </a:rPr>
                            </m:ctrlPr>
                          </m:sSubPr>
                          <m:e>
                            <m:r>
                              <a:rPr lang="en-IN" sz="1200" b="0" i="1">
                                <a:latin typeface="Cambria Math" panose="02040503050406030204" pitchFamily="18" charset="0"/>
                              </a:rPr>
                              <m:t>𝑈</m:t>
                            </m:r>
                          </m:e>
                          <m:sub>
                            <m:r>
                              <a:rPr lang="en-US" sz="1200" b="0" i="1">
                                <a:latin typeface="Cambria Math" panose="02040503050406030204" pitchFamily="18" charset="0"/>
                              </a:rPr>
                              <m:t>𝑖</m:t>
                            </m:r>
                          </m:sub>
                        </m:sSub>
                      </m:e>
                    </m:d>
                    <m:r>
                      <a:rPr lang="en-IN" sz="1200" b="0" i="1">
                        <a:latin typeface="Cambria Math" panose="02040503050406030204" pitchFamily="18" charset="0"/>
                      </a:rPr>
                      <m:t>=</m:t>
                    </m:r>
                    <m:r>
                      <a:rPr lang="en-IN" sz="1200" b="0" i="1">
                        <a:latin typeface="Cambria Math" panose="02040503050406030204" pitchFamily="18" charset="0"/>
                      </a:rPr>
                      <m:t>𝑉𝑎𝑟</m:t>
                    </m:r>
                    <m:r>
                      <a:rPr lang="en-IN" sz="1200" b="0" i="1">
                        <a:latin typeface="Cambria Math" panose="02040503050406030204" pitchFamily="18" charset="0"/>
                      </a:rPr>
                      <m:t>[</m:t>
                    </m:r>
                    <m:sSubSup>
                      <m:sSubSupPr>
                        <m:ctrlPr>
                          <a:rPr lang="en-IN" sz="1200" b="0" i="1">
                            <a:latin typeface="Cambria Math" panose="02040503050406030204" pitchFamily="18" charset="0"/>
                          </a:rPr>
                        </m:ctrlPr>
                      </m:sSubSupPr>
                      <m:e>
                        <m:r>
                          <a:rPr lang="en-IN" sz="1200" b="0" i="1">
                            <a:latin typeface="Cambria Math" panose="02040503050406030204" pitchFamily="18" charset="0"/>
                          </a:rPr>
                          <m:t>𝑈</m:t>
                        </m:r>
                      </m:e>
                      <m:sub>
                        <m:r>
                          <a:rPr lang="en-IN" sz="1200" b="0" i="1">
                            <a:latin typeface="Cambria Math" panose="02040503050406030204" pitchFamily="18" charset="0"/>
                          </a:rPr>
                          <m:t>𝑖</m:t>
                        </m:r>
                      </m:sub>
                      <m:sup>
                        <m:r>
                          <a:rPr lang="en-IN" sz="1200" b="0" i="1">
                            <a:latin typeface="Cambria Math" panose="02040503050406030204" pitchFamily="18" charset="0"/>
                          </a:rPr>
                          <m:t>𝐵𝐶</m:t>
                        </m:r>
                      </m:sup>
                    </m:sSubSup>
                    <m:r>
                      <a:rPr lang="en-IN" sz="1200" b="0" i="1">
                        <a:latin typeface="Cambria Math" panose="02040503050406030204" pitchFamily="18" charset="0"/>
                      </a:rPr>
                      <m:t>]</m:t>
                    </m:r>
                  </m:oMath>
                </m:oMathPara>
              </a14:m>
              <a:endParaRPr lang="en-GB" sz="1100"/>
            </a:p>
          </xdr:txBody>
        </xdr:sp>
      </mc:Choice>
      <mc:Fallback xmlns="">
        <xdr:sp macro="" textlink="">
          <xdr:nvSpPr>
            <xdr:cNvPr id="2" name="TextBox 1">
              <a:extLst>
                <a:ext uri="{FF2B5EF4-FFF2-40B4-BE49-F238E27FC236}">
                  <a16:creationId xmlns:a16="http://schemas.microsoft.com/office/drawing/2014/main" id="{40152B30-37B0-5F4D-81F9-84E013FC8C8F}"/>
                </a:ext>
              </a:extLst>
            </xdr:cNvPr>
            <xdr:cNvSpPr txBox="1"/>
          </xdr:nvSpPr>
          <xdr:spPr>
            <a:xfrm>
              <a:off x="2719387" y="3114675"/>
              <a:ext cx="1435328" cy="199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200" b="0" i="0">
                  <a:latin typeface="Cambria Math" panose="02040503050406030204" pitchFamily="18" charset="0"/>
                </a:rPr>
                <a:t>𝑉𝑎𝑟[𝑈</a:t>
              </a:r>
              <a:r>
                <a:rPr lang="en-US" sz="1200" b="0" i="0">
                  <a:latin typeface="Cambria Math" panose="02040503050406030204" pitchFamily="18" charset="0"/>
                </a:rPr>
                <a:t>_𝑖 ]</a:t>
              </a:r>
              <a:r>
                <a:rPr lang="en-IN" sz="1200" b="0" i="0">
                  <a:latin typeface="Cambria Math" panose="02040503050406030204" pitchFamily="18" charset="0"/>
                </a:rPr>
                <a:t>=𝑉𝑎𝑟[𝑈_𝑖^𝐵𝐶]</a:t>
              </a:r>
              <a:endParaRPr lang="en-GB"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635000</xdr:colOff>
      <xdr:row>20</xdr:row>
      <xdr:rowOff>9525</xdr:rowOff>
    </xdr:from>
    <xdr:ext cx="1476375" cy="19928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34207AF-3BFF-354D-BC9C-D9B1CC9A9AA7}"/>
                </a:ext>
              </a:extLst>
            </xdr:cNvPr>
            <xdr:cNvSpPr txBox="1"/>
          </xdr:nvSpPr>
          <xdr:spPr>
            <a:xfrm>
              <a:off x="2311400" y="4073525"/>
              <a:ext cx="1476375" cy="199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n-IN" sz="1200" b="0" i="1">
                        <a:latin typeface="Cambria Math" panose="02040503050406030204" pitchFamily="18" charset="0"/>
                      </a:rPr>
                      <m:t>𝑉𝑎𝑟</m:t>
                    </m:r>
                    <m:d>
                      <m:dPr>
                        <m:begChr m:val="["/>
                        <m:endChr m:val="]"/>
                        <m:ctrlPr>
                          <a:rPr lang="en-US" sz="1200" b="0" i="1">
                            <a:latin typeface="Cambria Math" panose="02040503050406030204" pitchFamily="18" charset="0"/>
                          </a:rPr>
                        </m:ctrlPr>
                      </m:dPr>
                      <m:e>
                        <m:sSub>
                          <m:sSubPr>
                            <m:ctrlPr>
                              <a:rPr lang="en-IN" sz="1200" b="0" i="1">
                                <a:latin typeface="Cambria Math" panose="02040503050406030204" pitchFamily="18" charset="0"/>
                              </a:rPr>
                            </m:ctrlPr>
                          </m:sSubPr>
                          <m:e>
                            <m:r>
                              <a:rPr lang="en-IN" sz="1200" b="0" i="1">
                                <a:latin typeface="Cambria Math" panose="02040503050406030204" pitchFamily="18" charset="0"/>
                              </a:rPr>
                              <m:t>𝑈</m:t>
                            </m:r>
                          </m:e>
                          <m:sub>
                            <m:r>
                              <a:rPr lang="en-IN" sz="1200" b="0" i="1">
                                <a:latin typeface="Cambria Math" panose="02040503050406030204" pitchFamily="18" charset="0"/>
                              </a:rPr>
                              <m:t>𝑖</m:t>
                            </m:r>
                          </m:sub>
                        </m:sSub>
                      </m:e>
                    </m:d>
                    <m:r>
                      <a:rPr lang="en-IN" sz="1200" b="0" i="1">
                        <a:latin typeface="Cambria Math" panose="02040503050406030204" pitchFamily="18" charset="0"/>
                      </a:rPr>
                      <m:t>=</m:t>
                    </m:r>
                    <m:r>
                      <a:rPr lang="en-IN" sz="1200" b="0" i="1">
                        <a:latin typeface="Cambria Math" panose="02040503050406030204" pitchFamily="18" charset="0"/>
                      </a:rPr>
                      <m:t>𝑉𝑎𝑟</m:t>
                    </m:r>
                    <m:r>
                      <a:rPr lang="en-IN" sz="1200" b="0" i="1">
                        <a:latin typeface="Cambria Math" panose="02040503050406030204" pitchFamily="18" charset="0"/>
                      </a:rPr>
                      <m:t>[</m:t>
                    </m:r>
                    <m:sSubSup>
                      <m:sSubSupPr>
                        <m:ctrlPr>
                          <a:rPr lang="en-IN" sz="1200" b="0" i="1">
                            <a:latin typeface="Cambria Math" panose="02040503050406030204" pitchFamily="18" charset="0"/>
                          </a:rPr>
                        </m:ctrlPr>
                      </m:sSubSupPr>
                      <m:e>
                        <m:r>
                          <a:rPr lang="en-IN" sz="1200" b="0" i="1">
                            <a:latin typeface="Cambria Math" panose="02040503050406030204" pitchFamily="18" charset="0"/>
                          </a:rPr>
                          <m:t>𝑈</m:t>
                        </m:r>
                      </m:e>
                      <m:sub>
                        <m:r>
                          <a:rPr lang="en-IN" sz="1200" b="0" i="1">
                            <a:latin typeface="Cambria Math" panose="02040503050406030204" pitchFamily="18" charset="0"/>
                          </a:rPr>
                          <m:t>𝑖</m:t>
                        </m:r>
                      </m:sub>
                      <m:sup>
                        <m:r>
                          <a:rPr lang="en-IN" sz="1200" b="0" i="1">
                            <a:latin typeface="Cambria Math" panose="02040503050406030204" pitchFamily="18" charset="0"/>
                          </a:rPr>
                          <m:t>𝐵𝐶</m:t>
                        </m:r>
                      </m:sup>
                    </m:sSubSup>
                    <m:r>
                      <a:rPr lang="en-IN" sz="1200" b="0" i="1">
                        <a:latin typeface="Cambria Math" panose="02040503050406030204" pitchFamily="18" charset="0"/>
                      </a:rPr>
                      <m:t>]</m:t>
                    </m:r>
                  </m:oMath>
                </m:oMathPara>
              </a14:m>
              <a:endParaRPr lang="en-GB" sz="1100"/>
            </a:p>
          </xdr:txBody>
        </xdr:sp>
      </mc:Choice>
      <mc:Fallback xmlns="">
        <xdr:sp macro="" textlink="">
          <xdr:nvSpPr>
            <xdr:cNvPr id="2" name="TextBox 1">
              <a:extLst>
                <a:ext uri="{FF2B5EF4-FFF2-40B4-BE49-F238E27FC236}">
                  <a16:creationId xmlns:a16="http://schemas.microsoft.com/office/drawing/2014/main" id="{734207AF-3BFF-354D-BC9C-D9B1CC9A9AA7}"/>
                </a:ext>
              </a:extLst>
            </xdr:cNvPr>
            <xdr:cNvSpPr txBox="1"/>
          </xdr:nvSpPr>
          <xdr:spPr>
            <a:xfrm>
              <a:off x="2311400" y="4073525"/>
              <a:ext cx="1476375" cy="199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IN" sz="1200" b="0" i="0">
                  <a:latin typeface="Cambria Math" panose="02040503050406030204" pitchFamily="18" charset="0"/>
                </a:rPr>
                <a:t>𝑉𝑎𝑟[𝑈</a:t>
              </a:r>
              <a:r>
                <a:rPr lang="en-US" sz="1200" b="0" i="0">
                  <a:latin typeface="Cambria Math" panose="02040503050406030204" pitchFamily="18" charset="0"/>
                </a:rPr>
                <a:t>_</a:t>
              </a:r>
              <a:r>
                <a:rPr lang="en-IN" sz="1200" b="0" i="0">
                  <a:latin typeface="Cambria Math" panose="02040503050406030204" pitchFamily="18" charset="0"/>
                </a:rPr>
                <a:t>𝑖 ]=𝑉𝑎𝑟[𝑈_𝑖^𝐵𝐶]</a:t>
              </a:r>
              <a:endParaRPr lang="en-GB"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190500</xdr:colOff>
      <xdr:row>14</xdr:row>
      <xdr:rowOff>50800</xdr:rowOff>
    </xdr:from>
    <xdr:ext cx="558038"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2B443D-2DE9-1846-B5C8-E48F8748E4F7}"/>
                </a:ext>
              </a:extLst>
            </xdr:cNvPr>
            <xdr:cNvSpPr txBox="1"/>
          </xdr:nvSpPr>
          <xdr:spPr>
            <a:xfrm>
              <a:off x="1866900" y="2895600"/>
              <a:ext cx="5580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r>
                      <a:rPr lang="en-US" sz="1100" b="0" i="1">
                        <a:latin typeface="Cambria Math" panose="02040503050406030204" pitchFamily="18" charset="0"/>
                      </a:rPr>
                      <m:t>= </m:t>
                    </m:r>
                    <m:rad>
                      <m:radPr>
                        <m:degHide m:val="on"/>
                        <m:ctrlPr>
                          <a:rPr lang="en-US" sz="1100" b="0" i="1">
                            <a:latin typeface="Cambria Math" panose="02040503050406030204" pitchFamily="18" charset="0"/>
                          </a:rPr>
                        </m:ctrlPr>
                      </m:radPr>
                      <m:deg/>
                      <m:e>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𝑖</m:t>
                            </m:r>
                          </m:sub>
                        </m:sSub>
                      </m:e>
                    </m:rad>
                  </m:oMath>
                </m:oMathPara>
              </a14:m>
              <a:endParaRPr lang="en-US" sz="1100"/>
            </a:p>
          </xdr:txBody>
        </xdr:sp>
      </mc:Choice>
      <mc:Fallback xmlns="">
        <xdr:sp macro="" textlink="">
          <xdr:nvSpPr>
            <xdr:cNvPr id="2" name="TextBox 1">
              <a:extLst>
                <a:ext uri="{FF2B5EF4-FFF2-40B4-BE49-F238E27FC236}">
                  <a16:creationId xmlns:a16="http://schemas.microsoft.com/office/drawing/2014/main" id="{972B443D-2DE9-1846-B5C8-E48F8748E4F7}"/>
                </a:ext>
              </a:extLst>
            </xdr:cNvPr>
            <xdr:cNvSpPr txBox="1"/>
          </xdr:nvSpPr>
          <xdr:spPr>
            <a:xfrm>
              <a:off x="1866900" y="2895600"/>
              <a:ext cx="5580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𝑡_𝑖= √(𝑝_𝑖 )</a:t>
              </a:r>
              <a:endParaRPr lang="en-US" sz="1100"/>
            </a:p>
          </xdr:txBody>
        </xdr:sp>
      </mc:Fallback>
    </mc:AlternateContent>
    <xdr:clientData/>
  </xdr:oneCellAnchor>
  <xdr:oneCellAnchor>
    <xdr:from>
      <xdr:col>2</xdr:col>
      <xdr:colOff>177800</xdr:colOff>
      <xdr:row>15</xdr:row>
      <xdr:rowOff>50800</xdr:rowOff>
    </xdr:from>
    <xdr:ext cx="786304" cy="17799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03AE694-01FD-5944-8EAB-D12B01568DCF}"/>
                </a:ext>
              </a:extLst>
            </xdr:cNvPr>
            <xdr:cNvSpPr txBox="1"/>
          </xdr:nvSpPr>
          <xdr:spPr>
            <a:xfrm>
              <a:off x="1854200" y="3098800"/>
              <a:ext cx="786304" cy="177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m:t>
                            </m:r>
                          </m:e>
                          <m:sub>
                            <m:r>
                              <a:rPr lang="en-US" sz="1100" b="0" i="1">
                                <a:latin typeface="Cambria Math" panose="02040503050406030204" pitchFamily="18" charset="0"/>
                              </a:rPr>
                              <m:t>2</m:t>
                            </m:r>
                          </m:sub>
                          <m:sup>
                            <m:r>
                              <a:rPr lang="en-US" sz="1100" b="0" i="1">
                                <a:latin typeface="Cambria Math" panose="02040503050406030204" pitchFamily="18" charset="0"/>
                              </a:rPr>
                              <m:t>2</m:t>
                            </m:r>
                          </m:sup>
                        </m:sSubSup>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𝑈</m:t>
                                </m:r>
                              </m:e>
                              <m:sub>
                                <m:r>
                                  <a:rPr lang="en-US" sz="1100" b="0" i="1">
                                    <a:latin typeface="Cambria Math" panose="02040503050406030204" pitchFamily="18" charset="0"/>
                                  </a:rPr>
                                  <m:t>2</m:t>
                                </m:r>
                              </m:sub>
                            </m:sSub>
                          </m:e>
                        </m:d>
                      </m:e>
                    </m:d>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803AE694-01FD-5944-8EAB-D12B01568DCF}"/>
                </a:ext>
              </a:extLst>
            </xdr:cNvPr>
            <xdr:cNvSpPr txBox="1"/>
          </xdr:nvSpPr>
          <xdr:spPr>
            <a:xfrm>
              <a:off x="1854200" y="3098800"/>
              <a:ext cx="786304" cy="177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𝐸[⍺_2^2 (𝑈_2 )]=</a:t>
              </a:r>
              <a:endParaRPr lang="en-US" sz="1100"/>
            </a:p>
          </xdr:txBody>
        </xdr:sp>
      </mc:Fallback>
    </mc:AlternateContent>
    <xdr:clientData/>
  </xdr:oneCellAnchor>
  <xdr:twoCellAnchor>
    <xdr:from>
      <xdr:col>13</xdr:col>
      <xdr:colOff>400050</xdr:colOff>
      <xdr:row>19</xdr:row>
      <xdr:rowOff>44450</xdr:rowOff>
    </xdr:from>
    <xdr:to>
      <xdr:col>17</xdr:col>
      <xdr:colOff>723900</xdr:colOff>
      <xdr:row>20</xdr:row>
      <xdr:rowOff>215246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44255D6-0481-074F-A116-ACC688452701}"/>
                </a:ext>
              </a:extLst>
            </xdr:cNvPr>
            <xdr:cNvSpPr txBox="1"/>
          </xdr:nvSpPr>
          <xdr:spPr>
            <a:xfrm>
              <a:off x="11296650" y="3905250"/>
              <a:ext cx="3676650" cy="3612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r>
                      <a:rPr lang="en-US" sz="1200" b="0" i="1">
                        <a:latin typeface="Cambria Math" panose="02040503050406030204" pitchFamily="18" charset="0"/>
                      </a:rPr>
                      <m:t>𝑀𝑆𝐸</m:t>
                    </m:r>
                    <m:d>
                      <m:dPr>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𝑐</m:t>
                            </m:r>
                          </m:sup>
                        </m:sSubSup>
                      </m:e>
                    </m:d>
                    <m:r>
                      <a:rPr lang="en-US" sz="1200" b="0" i="1">
                        <a:latin typeface="Cambria Math" panose="02040503050406030204" pitchFamily="18" charset="0"/>
                      </a:rPr>
                      <m:t>=</m:t>
                    </m:r>
                    <m:r>
                      <a:rPr lang="en-US" sz="1200" b="0" i="1">
                        <a:latin typeface="Cambria Math" panose="02040503050406030204" pitchFamily="18" charset="0"/>
                      </a:rPr>
                      <m:t>𝐸</m:t>
                    </m:r>
                    <m:d>
                      <m:dPr>
                        <m:begChr m:val="["/>
                        <m:endChr m:val="]"/>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𝑈</m:t>
                                </m:r>
                              </m:e>
                              <m:sub>
                                <m:r>
                                  <a:rPr lang="en-US" sz="1200" b="0" i="1">
                                    <a:latin typeface="Cambria Math" panose="02040503050406030204" pitchFamily="18" charset="0"/>
                                  </a:rPr>
                                  <m:t>𝑖</m:t>
                                </m:r>
                              </m:sub>
                            </m:sSub>
                          </m:e>
                        </m:d>
                      </m:e>
                    </m:d>
                    <m:r>
                      <a:rPr lang="en-US" sz="1200" b="0" i="1">
                        <a:latin typeface="Cambria Math" panose="02040503050406030204" pitchFamily="18" charset="0"/>
                        <a:ea typeface="Cambria Math" panose="02040503050406030204" pitchFamily="18" charset="0"/>
                      </a:rPr>
                      <m:t>×</m:t>
                    </m:r>
                    <m:d>
                      <m:dPr>
                        <m:ctrlPr>
                          <a:rPr lang="en-US" sz="1200" b="0" i="1">
                            <a:latin typeface="Cambria Math" panose="02040503050406030204" pitchFamily="18" charset="0"/>
                            <a:ea typeface="Cambria Math" panose="02040503050406030204" pitchFamily="18" charset="0"/>
                          </a:rPr>
                        </m:ctrlPr>
                      </m:dPr>
                      <m:e>
                        <m:f>
                          <m:fPr>
                            <m:ctrlPr>
                              <a:rPr lang="en-US" sz="1200" b="0" i="1">
                                <a:latin typeface="Cambria Math" panose="02040503050406030204" pitchFamily="18" charset="0"/>
                                <a:ea typeface="Cambria Math" panose="02040503050406030204" pitchFamily="18" charset="0"/>
                              </a:rPr>
                            </m:ctrlPr>
                          </m:fPr>
                          <m:num>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𝑍</m:t>
                                </m:r>
                              </m:e>
                              <m:sub>
                                <m:r>
                                  <a:rPr lang="en-US" sz="1200" b="0" i="1">
                                    <a:latin typeface="Cambria Math" panose="02040503050406030204" pitchFamily="18" charset="0"/>
                                    <a:ea typeface="Cambria Math" panose="02040503050406030204" pitchFamily="18" charset="0"/>
                                  </a:rPr>
                                  <m:t>𝑖</m:t>
                                </m:r>
                              </m:sub>
                              <m:sup>
                                <m:r>
                                  <a:rPr lang="en-US" sz="1200" b="0" i="1">
                                    <a:latin typeface="Cambria Math" panose="02040503050406030204" pitchFamily="18" charset="0"/>
                                    <a:ea typeface="Cambria Math" panose="02040503050406030204" pitchFamily="18" charset="0"/>
                                  </a:rPr>
                                  <m:t>2</m:t>
                                </m:r>
                              </m:sup>
                            </m:sSubSup>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𝑝</m:t>
                                </m:r>
                              </m:e>
                              <m:sub>
                                <m:r>
                                  <a:rPr lang="en-US" sz="1200" b="0" i="1">
                                    <a:latin typeface="Cambria Math" panose="02040503050406030204" pitchFamily="18" charset="0"/>
                                    <a:ea typeface="Cambria Math" panose="02040503050406030204" pitchFamily="18" charset="0"/>
                                  </a:rPr>
                                  <m:t>𝑖</m:t>
                                </m:r>
                              </m:sub>
                            </m:sSub>
                          </m:den>
                        </m:f>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r>
                              <a:rPr lang="en-US" sz="1200" b="0" i="1">
                                <a:latin typeface="Cambria Math" panose="02040503050406030204" pitchFamily="18" charset="0"/>
                                <a:ea typeface="Cambria Math" panose="02040503050406030204" pitchFamily="18" charset="0"/>
                              </a:rPr>
                              <m:t>1</m:t>
                            </m:r>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Sub>
                          </m:den>
                        </m:f>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sSup>
                              <m:sSupPr>
                                <m:ctrlPr>
                                  <a:rPr lang="en-US" sz="1200" b="0" i="1">
                                    <a:latin typeface="Cambria Math" panose="02040503050406030204" pitchFamily="18" charset="0"/>
                                    <a:ea typeface="Cambria Math" panose="02040503050406030204" pitchFamily="18" charset="0"/>
                                  </a:rPr>
                                </m:ctrlPr>
                              </m:sSupPr>
                              <m:e>
                                <m:d>
                                  <m:dPr>
                                    <m:ctrlPr>
                                      <a:rPr lang="en-US" sz="1200" b="0" i="1">
                                        <a:latin typeface="Cambria Math" panose="02040503050406030204" pitchFamily="18" charset="0"/>
                                        <a:ea typeface="Cambria Math" panose="02040503050406030204" pitchFamily="18" charset="0"/>
                                      </a:rPr>
                                    </m:ctrlPr>
                                  </m:dPr>
                                  <m:e>
                                    <m:r>
                                      <a:rPr lang="en-US" sz="1200" b="0" i="1">
                                        <a:latin typeface="Cambria Math" panose="02040503050406030204" pitchFamily="18" charset="0"/>
                                        <a:ea typeface="Cambria Math" panose="02040503050406030204" pitchFamily="18" charset="0"/>
                                      </a:rPr>
                                      <m:t>1−</m:t>
                                    </m:r>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𝑍</m:t>
                                        </m:r>
                                      </m:e>
                                      <m:sub>
                                        <m:r>
                                          <a:rPr lang="en-US" sz="1200" b="0" i="1">
                                            <a:latin typeface="Cambria Math" panose="02040503050406030204" pitchFamily="18" charset="0"/>
                                            <a:ea typeface="Cambria Math" panose="02040503050406030204" pitchFamily="18" charset="0"/>
                                          </a:rPr>
                                          <m:t>𝑖</m:t>
                                        </m:r>
                                      </m:sub>
                                    </m:sSub>
                                  </m:e>
                                </m:d>
                              </m:e>
                              <m:sup>
                                <m:r>
                                  <a:rPr lang="en-US" sz="1200" b="0" i="1">
                                    <a:latin typeface="Cambria Math" panose="02040503050406030204" pitchFamily="18" charset="0"/>
                                    <a:ea typeface="Cambria Math" panose="02040503050406030204" pitchFamily="18" charset="0"/>
                                  </a:rPr>
                                  <m:t>2</m:t>
                                </m:r>
                              </m:sup>
                            </m:sSup>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𝑡</m:t>
                                </m:r>
                              </m:e>
                              <m:sub>
                                <m:r>
                                  <a:rPr lang="en-US" sz="1200" b="0" i="1">
                                    <a:latin typeface="Cambria Math" panose="02040503050406030204" pitchFamily="18" charset="0"/>
                                    <a:ea typeface="Cambria Math" panose="02040503050406030204" pitchFamily="18" charset="0"/>
                                  </a:rPr>
                                  <m:t>𝑖</m:t>
                                </m:r>
                              </m:sub>
                            </m:sSub>
                          </m:den>
                        </m:f>
                      </m:e>
                    </m:d>
                    <m:r>
                      <a:rPr lang="en-US" sz="1200" b="0" i="1">
                        <a:latin typeface="Cambria Math" panose="02040503050406030204" pitchFamily="18" charset="0"/>
                        <a:ea typeface="Cambria Math" panose="02040503050406030204" pitchFamily="18" charset="0"/>
                      </a:rPr>
                      <m:t>×</m:t>
                    </m:r>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up>
                        <m:r>
                          <a:rPr lang="en-US" sz="1200" b="0" i="1">
                            <a:latin typeface="Cambria Math" panose="02040503050406030204" pitchFamily="18" charset="0"/>
                            <a:ea typeface="Cambria Math" panose="02040503050406030204" pitchFamily="18" charset="0"/>
                          </a:rPr>
                          <m:t>2</m:t>
                        </m:r>
                      </m:sup>
                    </m:sSubSup>
                  </m:oMath>
                </m:oMathPara>
              </a14:m>
              <a:endParaRPr lang="en-US" sz="1200"/>
            </a:p>
          </xdr:txBody>
        </xdr:sp>
      </mc:Choice>
      <mc:Fallback xmlns="">
        <xdr:sp macro="" textlink="">
          <xdr:nvSpPr>
            <xdr:cNvPr id="4" name="TextBox 3">
              <a:extLst>
                <a:ext uri="{FF2B5EF4-FFF2-40B4-BE49-F238E27FC236}">
                  <a16:creationId xmlns:a16="http://schemas.microsoft.com/office/drawing/2014/main" id="{944255D6-0481-074F-A116-ACC688452701}"/>
                </a:ext>
              </a:extLst>
            </xdr:cNvPr>
            <xdr:cNvSpPr txBox="1"/>
          </xdr:nvSpPr>
          <xdr:spPr>
            <a:xfrm>
              <a:off x="11296650" y="3905250"/>
              <a:ext cx="3676650" cy="3612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𝑀𝑆𝐸(𝑅_𝑖^𝑐 )=𝐸[⍺_𝑖^2 (𝑈_𝑖 )]</a:t>
              </a:r>
              <a:r>
                <a:rPr lang="en-US" sz="1200" b="0" i="0">
                  <a:latin typeface="Cambria Math" panose="02040503050406030204" pitchFamily="18" charset="0"/>
                  <a:ea typeface="Cambria Math" panose="02040503050406030204" pitchFamily="18" charset="0"/>
                </a:rPr>
                <a:t>×((𝑍_𝑖^2)/𝑝_𝑖 +1/𝑞_𝑖 +(1−𝑍_𝑖 )^2/𝑡_𝑖 )×𝑞_𝑖^2</a:t>
              </a:r>
              <a:endParaRPr lang="en-US" sz="1200"/>
            </a:p>
          </xdr:txBody>
        </xdr:sp>
      </mc:Fallback>
    </mc:AlternateContent>
    <xdr:clientData/>
  </xdr:twoCellAnchor>
  <xdr:twoCellAnchor>
    <xdr:from>
      <xdr:col>13</xdr:col>
      <xdr:colOff>419100</xdr:colOff>
      <xdr:row>16</xdr:row>
      <xdr:rowOff>76200</xdr:rowOff>
    </xdr:from>
    <xdr:to>
      <xdr:col>16</xdr:col>
      <xdr:colOff>635000</xdr:colOff>
      <xdr:row>18</xdr:row>
      <xdr:rowOff>101600</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88AF265-E31A-5E4C-AAE5-143DF958594F}"/>
                </a:ext>
              </a:extLst>
            </xdr:cNvPr>
            <xdr:cNvSpPr txBox="1"/>
          </xdr:nvSpPr>
          <xdr:spPr>
            <a:xfrm>
              <a:off x="11315700" y="3327400"/>
              <a:ext cx="2730500" cy="4318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r>
                      <a:rPr lang="en-US" sz="1200" b="0" i="1">
                        <a:latin typeface="Cambria Math" panose="02040503050406030204" pitchFamily="18" charset="0"/>
                      </a:rPr>
                      <m:t>𝑀𝑆𝐸</m:t>
                    </m:r>
                    <m:d>
                      <m:dPr>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𝑐𝑜𝑙𝑙</m:t>
                            </m:r>
                          </m:sup>
                        </m:sSubSup>
                      </m:e>
                    </m:d>
                    <m:r>
                      <a:rPr lang="en-US" sz="1200" b="0" i="1">
                        <a:latin typeface="Cambria Math" panose="02040503050406030204" pitchFamily="18" charset="0"/>
                      </a:rPr>
                      <m:t>=</m:t>
                    </m:r>
                    <m:r>
                      <a:rPr lang="en-US" sz="1200" b="0" i="1">
                        <a:latin typeface="Cambria Math" panose="02040503050406030204" pitchFamily="18" charset="0"/>
                      </a:rPr>
                      <m:t>𝐸</m:t>
                    </m:r>
                    <m:d>
                      <m:dPr>
                        <m:begChr m:val="["/>
                        <m:endChr m:val="]"/>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𝑈</m:t>
                                </m:r>
                              </m:e>
                              <m:sub>
                                <m:r>
                                  <a:rPr lang="en-US" sz="1200" b="0" i="1">
                                    <a:latin typeface="Cambria Math" panose="02040503050406030204" pitchFamily="18" charset="0"/>
                                  </a:rPr>
                                  <m:t>𝑖</m:t>
                                </m:r>
                              </m:sub>
                            </m:sSub>
                          </m:e>
                        </m:d>
                      </m:e>
                    </m:d>
                    <m:r>
                      <a:rPr lang="en-US" sz="1200" b="0" i="1">
                        <a:latin typeface="Cambria Math" panose="02040503050406030204" pitchFamily="18" charset="0"/>
                        <a:ea typeface="Cambria Math" panose="02040503050406030204" pitchFamily="18" charset="0"/>
                      </a:rPr>
                      <m:t>×</m:t>
                    </m:r>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Sub>
                    <m:d>
                      <m:dPr>
                        <m:ctrlPr>
                          <a:rPr lang="en-US" sz="1200" b="0" i="1">
                            <a:latin typeface="Cambria Math" panose="02040503050406030204" pitchFamily="18" charset="0"/>
                            <a:ea typeface="Cambria Math" panose="02040503050406030204" pitchFamily="18" charset="0"/>
                          </a:rPr>
                        </m:ctrlPr>
                      </m:dPr>
                      <m:e>
                        <m:r>
                          <a:rPr lang="en-US" sz="1200" b="0" i="1">
                            <a:latin typeface="Cambria Math" panose="02040503050406030204" pitchFamily="18" charset="0"/>
                            <a:ea typeface="Cambria Math" panose="02040503050406030204" pitchFamily="18" charset="0"/>
                          </a:rPr>
                          <m:t>1+</m:t>
                        </m:r>
                        <m:f>
                          <m:fPr>
                            <m:ctrlPr>
                              <a:rPr lang="en-US" sz="1200" b="0" i="1">
                                <a:latin typeface="Cambria Math" panose="02040503050406030204" pitchFamily="18" charset="0"/>
                                <a:ea typeface="Cambria Math" panose="02040503050406030204" pitchFamily="18" charset="0"/>
                              </a:rPr>
                            </m:ctrlPr>
                          </m:fPr>
                          <m:num>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Sub>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𝑡</m:t>
                                </m:r>
                              </m:e>
                              <m:sub>
                                <m:r>
                                  <a:rPr lang="en-US" sz="1200" b="0" i="1">
                                    <a:latin typeface="Cambria Math" panose="02040503050406030204" pitchFamily="18" charset="0"/>
                                    <a:ea typeface="Cambria Math" panose="02040503050406030204" pitchFamily="18" charset="0"/>
                                  </a:rPr>
                                  <m:t>𝑖</m:t>
                                </m:r>
                              </m:sub>
                            </m:sSub>
                          </m:den>
                        </m:f>
                      </m:e>
                    </m:d>
                  </m:oMath>
                </m:oMathPara>
              </a14:m>
              <a:endParaRPr lang="en-US" sz="1200"/>
            </a:p>
          </xdr:txBody>
        </xdr:sp>
      </mc:Choice>
      <mc:Fallback xmlns="">
        <xdr:sp macro="" textlink="">
          <xdr:nvSpPr>
            <xdr:cNvPr id="5" name="TextBox 4">
              <a:extLst>
                <a:ext uri="{FF2B5EF4-FFF2-40B4-BE49-F238E27FC236}">
                  <a16:creationId xmlns:a16="http://schemas.microsoft.com/office/drawing/2014/main" id="{888AF265-E31A-5E4C-AAE5-143DF958594F}"/>
                </a:ext>
              </a:extLst>
            </xdr:cNvPr>
            <xdr:cNvSpPr txBox="1"/>
          </xdr:nvSpPr>
          <xdr:spPr>
            <a:xfrm>
              <a:off x="11315700" y="3327400"/>
              <a:ext cx="2730500" cy="4318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𝑀𝑆𝐸(𝑅_𝑖^𝑐𝑜𝑙𝑙 )=𝐸[⍺_𝑖^2 (𝑈_𝑖 )]</a:t>
              </a:r>
              <a:r>
                <a:rPr lang="en-US" sz="1200" b="0" i="0">
                  <a:latin typeface="Cambria Math" panose="02040503050406030204" pitchFamily="18" charset="0"/>
                  <a:ea typeface="Cambria Math" panose="02040503050406030204" pitchFamily="18" charset="0"/>
                </a:rPr>
                <a:t>×𝑞_𝑖 (1+𝑞_𝑖/𝑡_𝑖 )</a:t>
              </a:r>
              <a:endParaRPr lang="en-US" sz="1200"/>
            </a:p>
          </xdr:txBody>
        </xdr:sp>
      </mc:Fallback>
    </mc:AlternateContent>
    <xdr:clientData/>
  </xdr:twoCellAnchor>
  <xdr:twoCellAnchor>
    <xdr:from>
      <xdr:col>13</xdr:col>
      <xdr:colOff>368300</xdr:colOff>
      <xdr:row>14</xdr:row>
      <xdr:rowOff>63500</xdr:rowOff>
    </xdr:from>
    <xdr:to>
      <xdr:col>16</xdr:col>
      <xdr:colOff>50800</xdr:colOff>
      <xdr:row>15</xdr:row>
      <xdr:rowOff>176015</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8D6264-DA56-864D-9F5C-C9C00A07C15D}"/>
                </a:ext>
              </a:extLst>
            </xdr:cNvPr>
            <xdr:cNvSpPr txBox="1"/>
          </xdr:nvSpPr>
          <xdr:spPr>
            <a:xfrm>
              <a:off x="11264900" y="2908300"/>
              <a:ext cx="2197100" cy="3157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r>
                      <a:rPr lang="en-US" sz="1200" b="0" i="1">
                        <a:latin typeface="Cambria Math" panose="02040503050406030204" pitchFamily="18" charset="0"/>
                      </a:rPr>
                      <m:t>𝑀𝑆𝐸</m:t>
                    </m:r>
                    <m:d>
                      <m:dPr>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𝑖𝑛𝑑</m:t>
                            </m:r>
                          </m:sup>
                        </m:sSubSup>
                      </m:e>
                    </m:d>
                    <m:r>
                      <a:rPr lang="en-US" sz="1200" b="0" i="1">
                        <a:latin typeface="Cambria Math" panose="02040503050406030204" pitchFamily="18" charset="0"/>
                      </a:rPr>
                      <m:t>=</m:t>
                    </m:r>
                    <m:r>
                      <a:rPr lang="en-US" sz="1200" b="0" i="1">
                        <a:latin typeface="Cambria Math" panose="02040503050406030204" pitchFamily="18" charset="0"/>
                      </a:rPr>
                      <m:t>𝐸</m:t>
                    </m:r>
                    <m:d>
                      <m:dPr>
                        <m:begChr m:val="["/>
                        <m:endChr m:val="]"/>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𝑈</m:t>
                                </m:r>
                              </m:e>
                              <m:sub>
                                <m:r>
                                  <a:rPr lang="en-US" sz="1200" b="0" i="1">
                                    <a:latin typeface="Cambria Math" panose="02040503050406030204" pitchFamily="18" charset="0"/>
                                  </a:rPr>
                                  <m:t>𝑖</m:t>
                                </m:r>
                              </m:sub>
                            </m:sSub>
                          </m:e>
                        </m:d>
                      </m:e>
                    </m:d>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Sub>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𝑝</m:t>
                            </m:r>
                          </m:e>
                          <m:sub>
                            <m:r>
                              <a:rPr lang="en-US" sz="1200" b="0" i="1">
                                <a:latin typeface="Cambria Math" panose="02040503050406030204" pitchFamily="18" charset="0"/>
                                <a:ea typeface="Cambria Math" panose="02040503050406030204" pitchFamily="18" charset="0"/>
                              </a:rPr>
                              <m:t>𝑖</m:t>
                            </m:r>
                          </m:sub>
                        </m:sSub>
                      </m:den>
                    </m:f>
                  </m:oMath>
                </m:oMathPara>
              </a14:m>
              <a:endParaRPr lang="en-US" sz="1200"/>
            </a:p>
          </xdr:txBody>
        </xdr:sp>
      </mc:Choice>
      <mc:Fallback xmlns="">
        <xdr:sp macro="" textlink="">
          <xdr:nvSpPr>
            <xdr:cNvPr id="6" name="TextBox 5">
              <a:extLst>
                <a:ext uri="{FF2B5EF4-FFF2-40B4-BE49-F238E27FC236}">
                  <a16:creationId xmlns:a16="http://schemas.microsoft.com/office/drawing/2014/main" id="{128D6264-DA56-864D-9F5C-C9C00A07C15D}"/>
                </a:ext>
              </a:extLst>
            </xdr:cNvPr>
            <xdr:cNvSpPr txBox="1"/>
          </xdr:nvSpPr>
          <xdr:spPr>
            <a:xfrm>
              <a:off x="11264900" y="2908300"/>
              <a:ext cx="2197100" cy="3157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𝑀𝑆𝐸(𝑅_𝑖^𝑖𝑛𝑑 )=𝐸[⍺_𝑖^2 (𝑈_𝑖 )]</a:t>
              </a:r>
              <a:r>
                <a:rPr lang="en-US" sz="1200" b="0" i="0">
                  <a:latin typeface="Cambria Math" panose="02040503050406030204" pitchFamily="18" charset="0"/>
                  <a:ea typeface="Cambria Math" panose="02040503050406030204" pitchFamily="18" charset="0"/>
                </a:rPr>
                <a:t>×𝑞_𝑖/𝑝_𝑖 </a:t>
              </a:r>
              <a:endParaRPr lang="en-US" sz="1200"/>
            </a:p>
          </xdr:txBody>
        </xdr:sp>
      </mc:Fallback>
    </mc:AlternateContent>
    <xdr:clientData/>
  </xdr:twoCellAnchor>
  <xdr:twoCellAnchor>
    <xdr:from>
      <xdr:col>11</xdr:col>
      <xdr:colOff>508000</xdr:colOff>
      <xdr:row>38</xdr:row>
      <xdr:rowOff>50800</xdr:rowOff>
    </xdr:from>
    <xdr:to>
      <xdr:col>16</xdr:col>
      <xdr:colOff>6350</xdr:colOff>
      <xdr:row>40</xdr:row>
      <xdr:rowOff>69196</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1CAC365-B44A-C042-813E-E0296390F0C9}"/>
                </a:ext>
              </a:extLst>
            </xdr:cNvPr>
            <xdr:cNvSpPr txBox="1"/>
          </xdr:nvSpPr>
          <xdr:spPr>
            <a:xfrm>
              <a:off x="9728200" y="7772400"/>
              <a:ext cx="3689350" cy="4247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r>
                      <a:rPr lang="en-US" sz="1200" b="0" i="1">
                        <a:latin typeface="Cambria Math" panose="02040503050406030204" pitchFamily="18" charset="0"/>
                      </a:rPr>
                      <m:t>𝑀𝑆𝐸</m:t>
                    </m:r>
                    <m:d>
                      <m:dPr>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𝑐</m:t>
                            </m:r>
                          </m:sup>
                        </m:sSubSup>
                      </m:e>
                    </m:d>
                    <m:r>
                      <a:rPr lang="en-US" sz="1200" b="0" i="1">
                        <a:latin typeface="Cambria Math" panose="02040503050406030204" pitchFamily="18" charset="0"/>
                      </a:rPr>
                      <m:t>=</m:t>
                    </m:r>
                    <m:r>
                      <a:rPr lang="en-US" sz="1200" b="0" i="1">
                        <a:latin typeface="Cambria Math" panose="02040503050406030204" pitchFamily="18" charset="0"/>
                      </a:rPr>
                      <m:t>𝐸</m:t>
                    </m:r>
                    <m:d>
                      <m:dPr>
                        <m:begChr m:val="["/>
                        <m:endChr m:val="]"/>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𝑈</m:t>
                                </m:r>
                              </m:e>
                              <m:sub>
                                <m:r>
                                  <a:rPr lang="en-US" sz="1200" b="0" i="1">
                                    <a:latin typeface="Cambria Math" panose="02040503050406030204" pitchFamily="18" charset="0"/>
                                  </a:rPr>
                                  <m:t>𝑖</m:t>
                                </m:r>
                              </m:sub>
                            </m:sSub>
                          </m:e>
                        </m:d>
                      </m:e>
                    </m:d>
                    <m:r>
                      <a:rPr lang="en-US" sz="1200" b="0" i="1">
                        <a:latin typeface="Cambria Math" panose="02040503050406030204" pitchFamily="18" charset="0"/>
                        <a:ea typeface="Cambria Math" panose="02040503050406030204" pitchFamily="18" charset="0"/>
                      </a:rPr>
                      <m:t>×</m:t>
                    </m:r>
                    <m:d>
                      <m:dPr>
                        <m:ctrlPr>
                          <a:rPr lang="en-US" sz="1200" b="0" i="1">
                            <a:latin typeface="Cambria Math" panose="02040503050406030204" pitchFamily="18" charset="0"/>
                            <a:ea typeface="Cambria Math" panose="02040503050406030204" pitchFamily="18" charset="0"/>
                          </a:rPr>
                        </m:ctrlPr>
                      </m:dPr>
                      <m:e>
                        <m:f>
                          <m:fPr>
                            <m:ctrlPr>
                              <a:rPr lang="en-US" sz="1200" b="0" i="1">
                                <a:latin typeface="Cambria Math" panose="02040503050406030204" pitchFamily="18" charset="0"/>
                                <a:ea typeface="Cambria Math" panose="02040503050406030204" pitchFamily="18" charset="0"/>
                              </a:rPr>
                            </m:ctrlPr>
                          </m:fPr>
                          <m:num>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𝑍</m:t>
                                </m:r>
                              </m:e>
                              <m:sub>
                                <m:r>
                                  <a:rPr lang="en-US" sz="1200" b="0" i="1">
                                    <a:latin typeface="Cambria Math" panose="02040503050406030204" pitchFamily="18" charset="0"/>
                                    <a:ea typeface="Cambria Math" panose="02040503050406030204" pitchFamily="18" charset="0"/>
                                  </a:rPr>
                                  <m:t>𝑖</m:t>
                                </m:r>
                              </m:sub>
                              <m:sup>
                                <m:r>
                                  <a:rPr lang="en-US" sz="1200" b="0" i="1">
                                    <a:latin typeface="Cambria Math" panose="02040503050406030204" pitchFamily="18" charset="0"/>
                                    <a:ea typeface="Cambria Math" panose="02040503050406030204" pitchFamily="18" charset="0"/>
                                  </a:rPr>
                                  <m:t>2</m:t>
                                </m:r>
                              </m:sup>
                            </m:sSubSup>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𝑝</m:t>
                                </m:r>
                              </m:e>
                              <m:sub>
                                <m:r>
                                  <a:rPr lang="en-US" sz="1200" b="0" i="1">
                                    <a:latin typeface="Cambria Math" panose="02040503050406030204" pitchFamily="18" charset="0"/>
                                    <a:ea typeface="Cambria Math" panose="02040503050406030204" pitchFamily="18" charset="0"/>
                                  </a:rPr>
                                  <m:t>𝑖</m:t>
                                </m:r>
                              </m:sub>
                            </m:sSub>
                          </m:den>
                        </m:f>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r>
                              <a:rPr lang="en-US" sz="1200" b="0" i="1">
                                <a:latin typeface="Cambria Math" panose="02040503050406030204" pitchFamily="18" charset="0"/>
                                <a:ea typeface="Cambria Math" panose="02040503050406030204" pitchFamily="18" charset="0"/>
                              </a:rPr>
                              <m:t>1</m:t>
                            </m:r>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Sub>
                          </m:den>
                        </m:f>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sSup>
                              <m:sSupPr>
                                <m:ctrlPr>
                                  <a:rPr lang="en-US" sz="1200" b="0" i="1">
                                    <a:latin typeface="Cambria Math" panose="02040503050406030204" pitchFamily="18" charset="0"/>
                                    <a:ea typeface="Cambria Math" panose="02040503050406030204" pitchFamily="18" charset="0"/>
                                  </a:rPr>
                                </m:ctrlPr>
                              </m:sSupPr>
                              <m:e>
                                <m:d>
                                  <m:dPr>
                                    <m:ctrlPr>
                                      <a:rPr lang="en-US" sz="1200" b="0" i="1">
                                        <a:latin typeface="Cambria Math" panose="02040503050406030204" pitchFamily="18" charset="0"/>
                                        <a:ea typeface="Cambria Math" panose="02040503050406030204" pitchFamily="18" charset="0"/>
                                      </a:rPr>
                                    </m:ctrlPr>
                                  </m:dPr>
                                  <m:e>
                                    <m:r>
                                      <a:rPr lang="en-US" sz="1200" b="0" i="1">
                                        <a:latin typeface="Cambria Math" panose="02040503050406030204" pitchFamily="18" charset="0"/>
                                        <a:ea typeface="Cambria Math" panose="02040503050406030204" pitchFamily="18" charset="0"/>
                                      </a:rPr>
                                      <m:t>1−</m:t>
                                    </m:r>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𝑍</m:t>
                                        </m:r>
                                      </m:e>
                                      <m:sub>
                                        <m:r>
                                          <a:rPr lang="en-US" sz="1200" b="0" i="1">
                                            <a:latin typeface="Cambria Math" panose="02040503050406030204" pitchFamily="18" charset="0"/>
                                            <a:ea typeface="Cambria Math" panose="02040503050406030204" pitchFamily="18" charset="0"/>
                                          </a:rPr>
                                          <m:t>𝑖</m:t>
                                        </m:r>
                                      </m:sub>
                                    </m:sSub>
                                  </m:e>
                                </m:d>
                              </m:e>
                              <m:sup>
                                <m:r>
                                  <a:rPr lang="en-US" sz="1200" b="0" i="1">
                                    <a:latin typeface="Cambria Math" panose="02040503050406030204" pitchFamily="18" charset="0"/>
                                    <a:ea typeface="Cambria Math" panose="02040503050406030204" pitchFamily="18" charset="0"/>
                                  </a:rPr>
                                  <m:t>2</m:t>
                                </m:r>
                              </m:sup>
                            </m:sSup>
                          </m:num>
                          <m:den>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𝑡</m:t>
                                </m:r>
                              </m:e>
                              <m:sub>
                                <m:r>
                                  <a:rPr lang="en-US" sz="1200" b="0" i="1">
                                    <a:latin typeface="Cambria Math" panose="02040503050406030204" pitchFamily="18" charset="0"/>
                                    <a:ea typeface="Cambria Math" panose="02040503050406030204" pitchFamily="18" charset="0"/>
                                  </a:rPr>
                                  <m:t>𝑖</m:t>
                                </m:r>
                              </m:sub>
                            </m:sSub>
                          </m:den>
                        </m:f>
                      </m:e>
                    </m:d>
                    <m:r>
                      <a:rPr lang="en-US" sz="1200" b="0" i="1">
                        <a:latin typeface="Cambria Math" panose="02040503050406030204" pitchFamily="18" charset="0"/>
                        <a:ea typeface="Cambria Math" panose="02040503050406030204" pitchFamily="18" charset="0"/>
                      </a:rPr>
                      <m:t>×</m:t>
                    </m:r>
                    <m:sSubSup>
                      <m:sSubSupPr>
                        <m:ctrlPr>
                          <a:rPr lang="en-US" sz="1200" b="0" i="1">
                            <a:latin typeface="Cambria Math" panose="02040503050406030204" pitchFamily="18" charset="0"/>
                            <a:ea typeface="Cambria Math" panose="02040503050406030204" pitchFamily="18" charset="0"/>
                          </a:rPr>
                        </m:ctrlPr>
                      </m:sSubSupPr>
                      <m:e>
                        <m:r>
                          <a:rPr lang="en-US" sz="1200" b="0" i="1">
                            <a:latin typeface="Cambria Math" panose="02040503050406030204" pitchFamily="18" charset="0"/>
                            <a:ea typeface="Cambria Math" panose="02040503050406030204" pitchFamily="18" charset="0"/>
                          </a:rPr>
                          <m:t>𝑞</m:t>
                        </m:r>
                      </m:e>
                      <m:sub>
                        <m:r>
                          <a:rPr lang="en-US" sz="1200" b="0" i="1">
                            <a:latin typeface="Cambria Math" panose="02040503050406030204" pitchFamily="18" charset="0"/>
                            <a:ea typeface="Cambria Math" panose="02040503050406030204" pitchFamily="18" charset="0"/>
                          </a:rPr>
                          <m:t>𝑖</m:t>
                        </m:r>
                      </m:sub>
                      <m:sup>
                        <m:r>
                          <a:rPr lang="en-US" sz="1200" b="0" i="1">
                            <a:latin typeface="Cambria Math" panose="02040503050406030204" pitchFamily="18" charset="0"/>
                            <a:ea typeface="Cambria Math" panose="02040503050406030204" pitchFamily="18" charset="0"/>
                          </a:rPr>
                          <m:t>2</m:t>
                        </m:r>
                      </m:sup>
                    </m:sSubSup>
                  </m:oMath>
                </m:oMathPara>
              </a14:m>
              <a:endParaRPr lang="en-US" sz="1200"/>
            </a:p>
          </xdr:txBody>
        </xdr:sp>
      </mc:Choice>
      <mc:Fallback xmlns="">
        <xdr:sp macro="" textlink="">
          <xdr:nvSpPr>
            <xdr:cNvPr id="7" name="TextBox 6">
              <a:extLst>
                <a:ext uri="{FF2B5EF4-FFF2-40B4-BE49-F238E27FC236}">
                  <a16:creationId xmlns:a16="http://schemas.microsoft.com/office/drawing/2014/main" id="{C1CAC365-B44A-C042-813E-E0296390F0C9}"/>
                </a:ext>
              </a:extLst>
            </xdr:cNvPr>
            <xdr:cNvSpPr txBox="1"/>
          </xdr:nvSpPr>
          <xdr:spPr>
            <a:xfrm>
              <a:off x="9728200" y="7772400"/>
              <a:ext cx="3689350" cy="4247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𝑀𝑆𝐸(𝑅_𝑖^𝑐 )=𝐸[⍺_𝑖^2 (𝑈_𝑖 )]</a:t>
              </a:r>
              <a:r>
                <a:rPr lang="en-US" sz="1200" b="0" i="0">
                  <a:latin typeface="Cambria Math" panose="02040503050406030204" pitchFamily="18" charset="0"/>
                  <a:ea typeface="Cambria Math" panose="02040503050406030204" pitchFamily="18" charset="0"/>
                </a:rPr>
                <a:t>×((𝑍_𝑖^2)/𝑝_𝑖 +1/𝑞_𝑖 +(1−𝑍_𝑖 )^2/𝑡_𝑖 )×𝑞_𝑖^2</a:t>
              </a:r>
              <a:endParaRPr lang="en-US" sz="1200"/>
            </a:p>
          </xdr:txBody>
        </xdr:sp>
      </mc:Fallback>
    </mc:AlternateContent>
    <xdr:clientData/>
  </xdr:twoCellAnchor>
  <xdr:twoCellAnchor>
    <xdr:from>
      <xdr:col>12</xdr:col>
      <xdr:colOff>139700</xdr:colOff>
      <xdr:row>36</xdr:row>
      <xdr:rowOff>38100</xdr:rowOff>
    </xdr:from>
    <xdr:to>
      <xdr:col>14</xdr:col>
      <xdr:colOff>812800</xdr:colOff>
      <xdr:row>37</xdr:row>
      <xdr:rowOff>63500</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BF40A17-3CC8-AE41-8ADB-FED4A3940CA6}"/>
                </a:ext>
              </a:extLst>
            </xdr:cNvPr>
            <xdr:cNvSpPr txBox="1"/>
          </xdr:nvSpPr>
          <xdr:spPr>
            <a:xfrm>
              <a:off x="10198100" y="7353300"/>
              <a:ext cx="2349500" cy="2286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𝑐</m:t>
                        </m:r>
                      </m:sup>
                    </m:sSubSup>
                    <m:r>
                      <a:rPr lang="en-US" sz="1200" b="0" i="1">
                        <a:latin typeface="Cambria Math" panose="02040503050406030204" pitchFamily="18" charset="0"/>
                      </a:rPr>
                      <m:t>=</m:t>
                    </m:r>
                    <m:sSub>
                      <m:sSubPr>
                        <m:ctrlPr>
                          <a:rPr lang="en-US" sz="1200" b="0" i="1">
                            <a:latin typeface="Cambria Math" panose="02040503050406030204" pitchFamily="18" charset="0"/>
                          </a:rPr>
                        </m:ctrlPr>
                      </m:sSubPr>
                      <m:e>
                        <m:r>
                          <a:rPr lang="en-US" sz="1200" b="0" i="1">
                            <a:latin typeface="Cambria Math" panose="02040503050406030204" pitchFamily="18" charset="0"/>
                          </a:rPr>
                          <m:t>𝑍</m:t>
                        </m:r>
                      </m:e>
                      <m:sub>
                        <m:r>
                          <a:rPr lang="en-US" sz="1200" b="0" i="1">
                            <a:latin typeface="Cambria Math" panose="02040503050406030204" pitchFamily="18" charset="0"/>
                          </a:rPr>
                          <m:t>𝑖</m:t>
                        </m:r>
                      </m:sub>
                    </m:sSub>
                    <m:r>
                      <a:rPr lang="en-US" sz="1200" b="0" i="1">
                        <a:latin typeface="Cambria Math" panose="02040503050406030204" pitchFamily="18" charset="0"/>
                        <a:ea typeface="Cambria Math" panose="02040503050406030204" pitchFamily="18" charset="0"/>
                      </a:rPr>
                      <m:t>×</m:t>
                    </m:r>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𝑖𝑛𝑑</m:t>
                        </m:r>
                      </m:sup>
                    </m:sSubSup>
                    <m:r>
                      <a:rPr lang="en-US" sz="1200" b="0" i="1">
                        <a:latin typeface="Cambria Math" panose="02040503050406030204" pitchFamily="18" charset="0"/>
                      </a:rPr>
                      <m:t>+(1−</m:t>
                    </m:r>
                    <m:sSub>
                      <m:sSubPr>
                        <m:ctrlPr>
                          <a:rPr lang="en-US" sz="1200" b="0" i="1">
                            <a:latin typeface="Cambria Math" panose="02040503050406030204" pitchFamily="18" charset="0"/>
                          </a:rPr>
                        </m:ctrlPr>
                      </m:sSubPr>
                      <m:e>
                        <m:r>
                          <a:rPr lang="en-US" sz="1200" b="0" i="1">
                            <a:latin typeface="Cambria Math" panose="02040503050406030204" pitchFamily="18" charset="0"/>
                          </a:rPr>
                          <m:t>𝑍</m:t>
                        </m:r>
                      </m:e>
                      <m:sub>
                        <m:r>
                          <a:rPr lang="en-US" sz="1200" b="0" i="1">
                            <a:latin typeface="Cambria Math" panose="02040503050406030204" pitchFamily="18" charset="0"/>
                          </a:rPr>
                          <m:t>𝑖</m:t>
                        </m:r>
                      </m:sub>
                    </m:sSub>
                    <m:r>
                      <a:rPr lang="en-US" sz="1200" b="0" i="1">
                        <a:latin typeface="Cambria Math" panose="02040503050406030204" pitchFamily="18" charset="0"/>
                      </a:rPr>
                      <m:t>)</m:t>
                    </m:r>
                    <m:r>
                      <a:rPr lang="en-US" sz="1200" b="0" i="1">
                        <a:latin typeface="Cambria Math" panose="02040503050406030204" pitchFamily="18" charset="0"/>
                        <a:ea typeface="Cambria Math" panose="02040503050406030204" pitchFamily="18" charset="0"/>
                      </a:rPr>
                      <m:t>×</m:t>
                    </m:r>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𝑐𝑜𝑙𝑙</m:t>
                        </m:r>
                      </m:sup>
                    </m:sSubSup>
                  </m:oMath>
                </m:oMathPara>
              </a14:m>
              <a:endParaRPr lang="en-US" sz="1200" b="0"/>
            </a:p>
          </xdr:txBody>
        </xdr:sp>
      </mc:Choice>
      <mc:Fallback xmlns="">
        <xdr:sp macro="" textlink="">
          <xdr:nvSpPr>
            <xdr:cNvPr id="8" name="TextBox 7">
              <a:extLst>
                <a:ext uri="{FF2B5EF4-FFF2-40B4-BE49-F238E27FC236}">
                  <a16:creationId xmlns:a16="http://schemas.microsoft.com/office/drawing/2014/main" id="{7BF40A17-3CC8-AE41-8ADB-FED4A3940CA6}"/>
                </a:ext>
              </a:extLst>
            </xdr:cNvPr>
            <xdr:cNvSpPr txBox="1"/>
          </xdr:nvSpPr>
          <xdr:spPr>
            <a:xfrm>
              <a:off x="10198100" y="7353300"/>
              <a:ext cx="2349500" cy="2286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𝑅_𝑖^𝑐=𝑍_𝑖</a:t>
              </a:r>
              <a:r>
                <a:rPr lang="en-US" sz="1200" b="0" i="0">
                  <a:latin typeface="Cambria Math" panose="02040503050406030204" pitchFamily="18" charset="0"/>
                  <a:ea typeface="Cambria Math" panose="02040503050406030204" pitchFamily="18" charset="0"/>
                </a:rPr>
                <a:t>×</a:t>
              </a:r>
              <a:r>
                <a:rPr lang="en-US" sz="1200" b="0" i="0">
                  <a:latin typeface="Cambria Math" panose="02040503050406030204" pitchFamily="18" charset="0"/>
                </a:rPr>
                <a:t>𝑅_𝑖^𝑖𝑛𝑑+(1−𝑍_𝑖)</a:t>
              </a:r>
              <a:r>
                <a:rPr lang="en-US" sz="1200" b="0" i="0">
                  <a:latin typeface="Cambria Math" panose="02040503050406030204" pitchFamily="18" charset="0"/>
                  <a:ea typeface="Cambria Math" panose="02040503050406030204" pitchFamily="18" charset="0"/>
                </a:rPr>
                <a:t>×</a:t>
              </a:r>
              <a:r>
                <a:rPr lang="en-US" sz="1200" b="0" i="0">
                  <a:latin typeface="Cambria Math" panose="02040503050406030204" pitchFamily="18" charset="0"/>
                </a:rPr>
                <a:t>𝑅_𝑖^𝑐𝑜𝑙𝑙</a:t>
              </a:r>
              <a:endParaRPr lang="en-US" sz="1200" b="0"/>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2</xdr:col>
      <xdr:colOff>176212</xdr:colOff>
      <xdr:row>13</xdr:row>
      <xdr:rowOff>47625</xdr:rowOff>
    </xdr:from>
    <xdr:ext cx="1266180" cy="18248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DD4C5B2-4170-8E45-BBBA-84174B4490D3}"/>
                </a:ext>
              </a:extLst>
            </xdr:cNvPr>
            <xdr:cNvSpPr txBox="1"/>
          </xdr:nvSpPr>
          <xdr:spPr>
            <a:xfrm>
              <a:off x="1852612" y="2689225"/>
              <a:ext cx="1266180" cy="182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IN" sz="1100" b="0" i="1">
                        <a:latin typeface="Cambria Math" panose="02040503050406030204" pitchFamily="18" charset="0"/>
                      </a:rPr>
                      <m:t>𝑉𝑎𝑟</m:t>
                    </m:r>
                    <m:r>
                      <a:rPr lang="en-IN" sz="1100" b="0" i="1">
                        <a:latin typeface="Cambria Math" panose="02040503050406030204" pitchFamily="18" charset="0"/>
                      </a:rPr>
                      <m:t>[</m:t>
                    </m:r>
                    <m:sSub>
                      <m:sSubPr>
                        <m:ctrlPr>
                          <a:rPr lang="en-IN" sz="1100" b="0" i="1">
                            <a:latin typeface="Cambria Math" panose="02040503050406030204" pitchFamily="18" charset="0"/>
                          </a:rPr>
                        </m:ctrlPr>
                      </m:sSubPr>
                      <m:e>
                        <m:r>
                          <a:rPr lang="en-IN" sz="1100" b="0" i="1">
                            <a:latin typeface="Cambria Math" panose="02040503050406030204" pitchFamily="18" charset="0"/>
                          </a:rPr>
                          <m:t>𝑈</m:t>
                        </m:r>
                      </m:e>
                      <m:sub>
                        <m:r>
                          <a:rPr lang="en-IN" sz="1100" b="0" i="1">
                            <a:latin typeface="Cambria Math" panose="02040503050406030204" pitchFamily="18" charset="0"/>
                          </a:rPr>
                          <m:t>𝑖</m:t>
                        </m:r>
                      </m:sub>
                    </m:sSub>
                    <m:r>
                      <a:rPr lang="en-US" sz="1100" b="0" i="1">
                        <a:latin typeface="Cambria Math" panose="02040503050406030204" pitchFamily="18" charset="0"/>
                      </a:rPr>
                      <m:t>]</m:t>
                    </m:r>
                    <m:r>
                      <a:rPr lang="en-IN" sz="1100" b="0" i="1">
                        <a:latin typeface="Cambria Math" panose="02040503050406030204" pitchFamily="18" charset="0"/>
                      </a:rPr>
                      <m:t>=</m:t>
                    </m:r>
                    <m:r>
                      <a:rPr lang="en-IN" sz="1100" b="0" i="1">
                        <a:latin typeface="Cambria Math" panose="02040503050406030204" pitchFamily="18" charset="0"/>
                      </a:rPr>
                      <m:t>𝑉𝑎𝑟</m:t>
                    </m:r>
                    <m:r>
                      <a:rPr lang="en-IN" sz="1100" b="0" i="1">
                        <a:latin typeface="Cambria Math" panose="02040503050406030204" pitchFamily="18" charset="0"/>
                      </a:rPr>
                      <m:t>[</m:t>
                    </m:r>
                    <m:sSubSup>
                      <m:sSubSupPr>
                        <m:ctrlPr>
                          <a:rPr lang="en-IN" sz="1100" b="0" i="1">
                            <a:latin typeface="Cambria Math" panose="02040503050406030204" pitchFamily="18" charset="0"/>
                          </a:rPr>
                        </m:ctrlPr>
                      </m:sSubSupPr>
                      <m:e>
                        <m:r>
                          <a:rPr lang="en-IN" sz="1100" b="0" i="1">
                            <a:latin typeface="Cambria Math" panose="02040503050406030204" pitchFamily="18" charset="0"/>
                          </a:rPr>
                          <m:t>𝑈</m:t>
                        </m:r>
                      </m:e>
                      <m:sub>
                        <m:r>
                          <a:rPr lang="en-IN" sz="1100" b="0" i="1">
                            <a:latin typeface="Cambria Math" panose="02040503050406030204" pitchFamily="18" charset="0"/>
                          </a:rPr>
                          <m:t>𝑖</m:t>
                        </m:r>
                      </m:sub>
                      <m:sup>
                        <m:r>
                          <a:rPr lang="en-IN" sz="1100" b="0" i="1">
                            <a:latin typeface="Cambria Math" panose="02040503050406030204" pitchFamily="18" charset="0"/>
                          </a:rPr>
                          <m:t>𝐵𝐶</m:t>
                        </m:r>
                      </m:sup>
                    </m:sSubSup>
                    <m:r>
                      <a:rPr lang="en-IN" sz="1100" b="0" i="1">
                        <a:latin typeface="Cambria Math" panose="02040503050406030204" pitchFamily="18" charset="0"/>
                      </a:rPr>
                      <m:t>]</m:t>
                    </m:r>
                  </m:oMath>
                </m:oMathPara>
              </a14:m>
              <a:endParaRPr lang="en-GB" sz="1100"/>
            </a:p>
          </xdr:txBody>
        </xdr:sp>
      </mc:Choice>
      <mc:Fallback xmlns="">
        <xdr:sp macro="" textlink="">
          <xdr:nvSpPr>
            <xdr:cNvPr id="2" name="TextBox 1">
              <a:extLst>
                <a:ext uri="{FF2B5EF4-FFF2-40B4-BE49-F238E27FC236}">
                  <a16:creationId xmlns:a16="http://schemas.microsoft.com/office/drawing/2014/main" id="{2DD4C5B2-4170-8E45-BBBA-84174B4490D3}"/>
                </a:ext>
              </a:extLst>
            </xdr:cNvPr>
            <xdr:cNvSpPr txBox="1"/>
          </xdr:nvSpPr>
          <xdr:spPr>
            <a:xfrm>
              <a:off x="1852612" y="2689225"/>
              <a:ext cx="1266180" cy="182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100" b="0" i="0">
                  <a:latin typeface="Cambria Math" panose="02040503050406030204" pitchFamily="18" charset="0"/>
                </a:rPr>
                <a:t>𝑉𝑎𝑟[𝑈_𝑖</a:t>
              </a:r>
              <a:r>
                <a:rPr lang="en-US" sz="1100" b="0" i="0">
                  <a:latin typeface="Cambria Math" panose="02040503050406030204" pitchFamily="18" charset="0"/>
                </a:rPr>
                <a:t>]</a:t>
              </a:r>
              <a:r>
                <a:rPr lang="en-IN" sz="1100" b="0" i="0">
                  <a:latin typeface="Cambria Math" panose="02040503050406030204" pitchFamily="18" charset="0"/>
                </a:rPr>
                <a:t>=𝑉𝑎𝑟[𝑈_𝑖^𝐵𝐶]</a:t>
              </a:r>
              <a:endParaRPr lang="en-GB"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1</xdr:col>
      <xdr:colOff>812800</xdr:colOff>
      <xdr:row>17</xdr:row>
      <xdr:rowOff>25400</xdr:rowOff>
    </xdr:from>
    <xdr:ext cx="547136"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B247EE9-8B15-4745-B8F3-AA9C5ADA3732}"/>
                </a:ext>
              </a:extLst>
            </xdr:cNvPr>
            <xdr:cNvSpPr txBox="1"/>
          </xdr:nvSpPr>
          <xdr:spPr>
            <a:xfrm>
              <a:off x="1638300" y="3479800"/>
              <a:ext cx="5471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𝑡</m:t>
                        </m:r>
                      </m:e>
                      <m:sub>
                        <m:r>
                          <a:rPr lang="en-US" sz="1100" b="0" i="1">
                            <a:latin typeface="Cambria Math" panose="02040503050406030204" pitchFamily="18" charset="0"/>
                          </a:rPr>
                          <m:t>𝑖</m:t>
                        </m:r>
                      </m:sub>
                      <m:sup>
                        <m:r>
                          <a:rPr lang="en-US" sz="1100" b="0" i="1">
                            <a:latin typeface="Cambria Math" panose="02040503050406030204" pitchFamily="18" charset="0"/>
                          </a:rPr>
                          <m:t>∗</m:t>
                        </m:r>
                      </m:sup>
                    </m:sSubSup>
                    <m:r>
                      <a:rPr lang="en-US" sz="1100" b="0" i="1">
                        <a:latin typeface="Cambria Math" panose="02040503050406030204" pitchFamily="18" charset="0"/>
                      </a:rPr>
                      <m:t>=</m:t>
                    </m:r>
                    <m:rad>
                      <m:radPr>
                        <m:degHide m:val="on"/>
                        <m:ctrlPr>
                          <a:rPr lang="en-US" sz="1100" b="0" i="1">
                            <a:latin typeface="Cambria Math" panose="02040503050406030204" pitchFamily="18" charset="0"/>
                          </a:rPr>
                        </m:ctrlPr>
                      </m:radPr>
                      <m:deg/>
                      <m:e>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𝑖</m:t>
                            </m:r>
                          </m:sub>
                        </m:sSub>
                      </m:e>
                    </m:rad>
                  </m:oMath>
                </m:oMathPara>
              </a14:m>
              <a:endParaRPr lang="en-US" sz="1100"/>
            </a:p>
          </xdr:txBody>
        </xdr:sp>
      </mc:Choice>
      <mc:Fallback xmlns="">
        <xdr:sp macro="" textlink="">
          <xdr:nvSpPr>
            <xdr:cNvPr id="2" name="TextBox 1">
              <a:extLst>
                <a:ext uri="{FF2B5EF4-FFF2-40B4-BE49-F238E27FC236}">
                  <a16:creationId xmlns:a16="http://schemas.microsoft.com/office/drawing/2014/main" id="{7B247EE9-8B15-4745-B8F3-AA9C5ADA3732}"/>
                </a:ext>
              </a:extLst>
            </xdr:cNvPr>
            <xdr:cNvSpPr txBox="1"/>
          </xdr:nvSpPr>
          <xdr:spPr>
            <a:xfrm>
              <a:off x="1638300" y="3479800"/>
              <a:ext cx="5471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𝑡_𝑖^∗=√(𝑝_𝑖 )</a:t>
              </a:r>
              <a:endParaRPr lang="en-US" sz="11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1B94A-60C7-E740-A332-C8592781397E}">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90" customWidth="1"/>
    <col min="6" max="12" width="10.83203125" style="90" customWidth="1"/>
    <col min="13" max="13" width="10.6640625" style="90" customWidth="1"/>
    <col min="14" max="16" width="10" style="90" customWidth="1"/>
    <col min="17" max="16384" width="8.5" style="90"/>
  </cols>
  <sheetData>
    <row r="1" spans="1:13" ht="14.5" customHeight="1" x14ac:dyDescent="0.2">
      <c r="A1" s="86"/>
      <c r="B1" s="87"/>
      <c r="C1" s="87"/>
      <c r="D1" s="87"/>
      <c r="E1" s="87"/>
      <c r="F1" s="87"/>
      <c r="G1" s="87"/>
      <c r="H1" s="87"/>
      <c r="I1" s="87"/>
      <c r="J1" s="87"/>
      <c r="K1" s="87"/>
      <c r="L1" s="88" t="s">
        <v>99</v>
      </c>
      <c r="M1" s="89"/>
    </row>
    <row r="2" spans="1:13" s="92" customFormat="1" x14ac:dyDescent="0.2">
      <c r="A2" s="91"/>
      <c r="M2" s="93"/>
    </row>
    <row r="3" spans="1:13" s="92" customFormat="1" ht="16" customHeight="1" x14ac:dyDescent="0.2">
      <c r="A3" s="91"/>
      <c r="M3" s="93"/>
    </row>
    <row r="4" spans="1:13" s="92" customFormat="1" ht="16" customHeight="1" x14ac:dyDescent="0.2">
      <c r="A4" s="91"/>
      <c r="M4" s="93"/>
    </row>
    <row r="5" spans="1:13" s="92" customFormat="1" ht="16" customHeight="1" x14ac:dyDescent="0.2">
      <c r="A5" s="91"/>
      <c r="M5" s="93"/>
    </row>
    <row r="6" spans="1:13" s="92" customFormat="1" ht="16" customHeight="1" x14ac:dyDescent="0.2">
      <c r="A6" s="91"/>
      <c r="B6" s="94" t="s">
        <v>100</v>
      </c>
      <c r="M6" s="93"/>
    </row>
    <row r="7" spans="1:13" s="92" customFormat="1" ht="16" customHeight="1" x14ac:dyDescent="0.2">
      <c r="A7" s="91"/>
      <c r="M7" s="93"/>
    </row>
    <row r="8" spans="1:13" s="92" customFormat="1" ht="16" customHeight="1" x14ac:dyDescent="0.25">
      <c r="A8" s="91"/>
      <c r="B8" s="95" t="s">
        <v>101</v>
      </c>
      <c r="M8" s="93"/>
    </row>
    <row r="9" spans="1:13" s="92" customFormat="1" ht="17" customHeight="1" x14ac:dyDescent="0.2">
      <c r="A9" s="91"/>
      <c r="C9" s="260" t="s">
        <v>102</v>
      </c>
      <c r="D9" s="261"/>
      <c r="E9" s="261"/>
      <c r="F9" s="261"/>
      <c r="G9" s="261"/>
      <c r="H9" s="261"/>
      <c r="I9" s="261"/>
      <c r="J9" s="261"/>
      <c r="K9" s="261"/>
      <c r="M9" s="93"/>
    </row>
    <row r="10" spans="1:13" s="92" customFormat="1" x14ac:dyDescent="0.2">
      <c r="A10" s="91"/>
      <c r="C10" s="261"/>
      <c r="D10" s="261"/>
      <c r="E10" s="261"/>
      <c r="F10" s="261"/>
      <c r="G10" s="261"/>
      <c r="H10" s="261"/>
      <c r="I10" s="261"/>
      <c r="J10" s="261"/>
      <c r="K10" s="261"/>
      <c r="M10" s="93"/>
    </row>
    <row r="11" spans="1:13" s="92" customFormat="1" ht="16" customHeight="1" x14ac:dyDescent="0.2">
      <c r="A11" s="91"/>
      <c r="C11" s="261"/>
      <c r="D11" s="261"/>
      <c r="E11" s="261"/>
      <c r="F11" s="261"/>
      <c r="G11" s="261"/>
      <c r="H11" s="261"/>
      <c r="I11" s="261"/>
      <c r="J11" s="261"/>
      <c r="K11" s="261"/>
      <c r="M11" s="93"/>
    </row>
    <row r="12" spans="1:13" s="92" customFormat="1" ht="16" customHeight="1" x14ac:dyDescent="0.2">
      <c r="A12" s="91"/>
      <c r="C12" s="261"/>
      <c r="D12" s="261"/>
      <c r="E12" s="261"/>
      <c r="F12" s="261"/>
      <c r="G12" s="261"/>
      <c r="H12" s="261"/>
      <c r="I12" s="261"/>
      <c r="J12" s="261"/>
      <c r="K12" s="261"/>
      <c r="M12" s="93"/>
    </row>
    <row r="13" spans="1:13" s="92" customFormat="1" ht="16" customHeight="1" x14ac:dyDescent="0.2">
      <c r="A13" s="91"/>
      <c r="C13" s="261"/>
      <c r="D13" s="261"/>
      <c r="E13" s="261"/>
      <c r="F13" s="261"/>
      <c r="G13" s="261"/>
      <c r="H13" s="261"/>
      <c r="I13" s="261"/>
      <c r="J13" s="261"/>
      <c r="K13" s="261"/>
      <c r="M13" s="93"/>
    </row>
    <row r="14" spans="1:13" s="92" customFormat="1" ht="16" customHeight="1" x14ac:dyDescent="0.2">
      <c r="A14" s="91"/>
      <c r="C14" s="261"/>
      <c r="D14" s="261"/>
      <c r="E14" s="261"/>
      <c r="F14" s="261"/>
      <c r="G14" s="261"/>
      <c r="H14" s="261"/>
      <c r="I14" s="261"/>
      <c r="J14" s="261"/>
      <c r="K14" s="261"/>
      <c r="M14" s="93"/>
    </row>
    <row r="15" spans="1:13" s="92" customFormat="1" ht="16" customHeight="1" x14ac:dyDescent="0.2">
      <c r="A15" s="91"/>
      <c r="C15" s="261"/>
      <c r="D15" s="261"/>
      <c r="E15" s="261"/>
      <c r="F15" s="261"/>
      <c r="G15" s="261"/>
      <c r="H15" s="261"/>
      <c r="I15" s="261"/>
      <c r="J15" s="261"/>
      <c r="K15" s="261"/>
      <c r="M15" s="93"/>
    </row>
    <row r="16" spans="1:13" s="92" customFormat="1" ht="16" customHeight="1" x14ac:dyDescent="0.2">
      <c r="A16" s="91"/>
      <c r="C16" s="261"/>
      <c r="D16" s="261"/>
      <c r="E16" s="261"/>
      <c r="F16" s="261"/>
      <c r="G16" s="261"/>
      <c r="H16" s="261"/>
      <c r="I16" s="261"/>
      <c r="J16" s="261"/>
      <c r="K16" s="261"/>
      <c r="M16" s="93"/>
    </row>
    <row r="17" spans="1:13" s="92" customFormat="1" ht="16" customHeight="1" x14ac:dyDescent="0.2">
      <c r="A17" s="91"/>
      <c r="M17" s="93"/>
    </row>
    <row r="18" spans="1:13" s="92" customFormat="1" ht="16" customHeight="1" x14ac:dyDescent="0.25">
      <c r="A18" s="91"/>
      <c r="B18" s="95" t="s">
        <v>103</v>
      </c>
      <c r="M18" s="93"/>
    </row>
    <row r="19" spans="1:13" s="92" customFormat="1" ht="17" customHeight="1" x14ac:dyDescent="0.2">
      <c r="A19" s="91"/>
      <c r="C19" s="260" t="s">
        <v>104</v>
      </c>
      <c r="D19" s="261"/>
      <c r="E19" s="261"/>
      <c r="F19" s="261"/>
      <c r="G19" s="261"/>
      <c r="H19" s="261"/>
      <c r="I19" s="261"/>
      <c r="J19" s="261"/>
      <c r="K19" s="261"/>
      <c r="M19" s="93"/>
    </row>
    <row r="20" spans="1:13" s="92" customFormat="1" x14ac:dyDescent="0.2">
      <c r="A20" s="91"/>
      <c r="C20" s="261"/>
      <c r="D20" s="261"/>
      <c r="E20" s="261"/>
      <c r="F20" s="261"/>
      <c r="G20" s="261"/>
      <c r="H20" s="261"/>
      <c r="I20" s="261"/>
      <c r="J20" s="261"/>
      <c r="K20" s="261"/>
      <c r="M20" s="93"/>
    </row>
    <row r="21" spans="1:13" s="92" customFormat="1" x14ac:dyDescent="0.2">
      <c r="A21" s="91"/>
      <c r="C21" s="261"/>
      <c r="D21" s="261"/>
      <c r="E21" s="261"/>
      <c r="F21" s="261"/>
      <c r="G21" s="261"/>
      <c r="H21" s="261"/>
      <c r="I21" s="261"/>
      <c r="J21" s="261"/>
      <c r="K21" s="261"/>
      <c r="M21" s="93"/>
    </row>
    <row r="22" spans="1:13" s="92" customFormat="1" x14ac:dyDescent="0.2">
      <c r="A22" s="91"/>
      <c r="C22" s="261"/>
      <c r="D22" s="261"/>
      <c r="E22" s="261"/>
      <c r="F22" s="261"/>
      <c r="G22" s="261"/>
      <c r="H22" s="261"/>
      <c r="I22" s="261"/>
      <c r="J22" s="261"/>
      <c r="K22" s="261"/>
      <c r="M22" s="93"/>
    </row>
    <row r="23" spans="1:13" s="92" customFormat="1" x14ac:dyDescent="0.2">
      <c r="A23" s="91"/>
      <c r="C23" s="261"/>
      <c r="D23" s="261"/>
      <c r="E23" s="261"/>
      <c r="F23" s="261"/>
      <c r="G23" s="261"/>
      <c r="H23" s="261"/>
      <c r="I23" s="261"/>
      <c r="J23" s="261"/>
      <c r="K23" s="261"/>
      <c r="M23" s="93"/>
    </row>
    <row r="24" spans="1:13" s="92" customFormat="1" x14ac:dyDescent="0.2">
      <c r="A24" s="91"/>
      <c r="C24" s="261"/>
      <c r="D24" s="261"/>
      <c r="E24" s="261"/>
      <c r="F24" s="261"/>
      <c r="G24" s="261"/>
      <c r="H24" s="261"/>
      <c r="I24" s="261"/>
      <c r="J24" s="261"/>
      <c r="K24" s="261"/>
      <c r="M24" s="93"/>
    </row>
    <row r="25" spans="1:13" s="92" customFormat="1" x14ac:dyDescent="0.2">
      <c r="A25" s="91"/>
      <c r="C25" s="261"/>
      <c r="D25" s="261"/>
      <c r="E25" s="261"/>
      <c r="F25" s="261"/>
      <c r="G25" s="261"/>
      <c r="H25" s="261"/>
      <c r="I25" s="261"/>
      <c r="J25" s="261"/>
      <c r="K25" s="261"/>
      <c r="M25" s="93"/>
    </row>
    <row r="26" spans="1:13" s="92" customFormat="1" x14ac:dyDescent="0.2">
      <c r="A26" s="91"/>
      <c r="C26" s="261"/>
      <c r="D26" s="261"/>
      <c r="E26" s="261"/>
      <c r="F26" s="261"/>
      <c r="G26" s="261"/>
      <c r="H26" s="261"/>
      <c r="I26" s="261"/>
      <c r="J26" s="261"/>
      <c r="K26" s="261"/>
      <c r="M26" s="93"/>
    </row>
    <row r="27" spans="1:13" s="92" customFormat="1" x14ac:dyDescent="0.2">
      <c r="A27" s="91"/>
      <c r="C27" s="261"/>
      <c r="D27" s="261"/>
      <c r="E27" s="261"/>
      <c r="F27" s="261"/>
      <c r="G27" s="261"/>
      <c r="H27" s="261"/>
      <c r="I27" s="261"/>
      <c r="J27" s="261"/>
      <c r="K27" s="261"/>
      <c r="M27" s="93"/>
    </row>
    <row r="28" spans="1:13" s="92" customFormat="1" x14ac:dyDescent="0.2">
      <c r="A28" s="91"/>
      <c r="C28" s="261"/>
      <c r="D28" s="261"/>
      <c r="E28" s="261"/>
      <c r="F28" s="261"/>
      <c r="G28" s="261"/>
      <c r="H28" s="261"/>
      <c r="I28" s="261"/>
      <c r="J28" s="261"/>
      <c r="K28" s="261"/>
      <c r="M28" s="93"/>
    </row>
    <row r="29" spans="1:13" s="92" customFormat="1" x14ac:dyDescent="0.2">
      <c r="A29" s="91"/>
      <c r="C29" s="96"/>
      <c r="D29" s="96"/>
      <c r="E29" s="96"/>
      <c r="F29" s="96"/>
      <c r="G29" s="96"/>
      <c r="H29" s="96"/>
      <c r="I29" s="96"/>
      <c r="J29" s="96"/>
      <c r="K29" s="96"/>
      <c r="M29" s="93"/>
    </row>
    <row r="30" spans="1:13" s="92" customFormat="1" ht="19" x14ac:dyDescent="0.25">
      <c r="A30" s="91"/>
      <c r="C30" s="97" t="s">
        <v>105</v>
      </c>
      <c r="D30" s="96"/>
      <c r="E30" s="96"/>
      <c r="F30" s="96"/>
      <c r="G30" s="96"/>
      <c r="H30" s="96"/>
      <c r="I30" s="96"/>
      <c r="J30" s="96"/>
      <c r="K30" s="96"/>
      <c r="M30" s="93"/>
    </row>
    <row r="31" spans="1:13" s="92" customFormat="1" x14ac:dyDescent="0.2">
      <c r="A31" s="91"/>
      <c r="C31" s="260" t="s">
        <v>106</v>
      </c>
      <c r="D31" s="260"/>
      <c r="E31" s="260"/>
      <c r="F31" s="260"/>
      <c r="G31" s="260"/>
      <c r="H31" s="260"/>
      <c r="I31" s="260"/>
      <c r="J31" s="260"/>
      <c r="K31" s="260"/>
      <c r="M31" s="93"/>
    </row>
    <row r="32" spans="1:13" s="92" customFormat="1" x14ac:dyDescent="0.2">
      <c r="A32" s="91"/>
      <c r="C32" s="260"/>
      <c r="D32" s="260"/>
      <c r="E32" s="260"/>
      <c r="F32" s="260"/>
      <c r="G32" s="260"/>
      <c r="H32" s="260"/>
      <c r="I32" s="260"/>
      <c r="J32" s="260"/>
      <c r="K32" s="260"/>
      <c r="M32" s="93"/>
    </row>
    <row r="33" spans="1:13" s="92" customFormat="1" x14ac:dyDescent="0.2">
      <c r="A33" s="91"/>
      <c r="C33" s="260"/>
      <c r="D33" s="260"/>
      <c r="E33" s="260"/>
      <c r="F33" s="260"/>
      <c r="G33" s="260"/>
      <c r="H33" s="260"/>
      <c r="I33" s="260"/>
      <c r="J33" s="260"/>
      <c r="K33" s="260"/>
      <c r="M33" s="93"/>
    </row>
    <row r="34" spans="1:13" s="92" customFormat="1" x14ac:dyDescent="0.2">
      <c r="A34" s="91"/>
      <c r="C34" s="260"/>
      <c r="D34" s="260"/>
      <c r="E34" s="260"/>
      <c r="F34" s="260"/>
      <c r="G34" s="260"/>
      <c r="H34" s="260"/>
      <c r="I34" s="260"/>
      <c r="J34" s="260"/>
      <c r="K34" s="260"/>
      <c r="M34" s="93"/>
    </row>
    <row r="35" spans="1:13" s="92" customFormat="1" x14ac:dyDescent="0.2">
      <c r="A35" s="91"/>
      <c r="C35" s="260"/>
      <c r="D35" s="260"/>
      <c r="E35" s="260"/>
      <c r="F35" s="260"/>
      <c r="G35" s="260"/>
      <c r="H35" s="260"/>
      <c r="I35" s="260"/>
      <c r="J35" s="260"/>
      <c r="K35" s="260"/>
      <c r="M35" s="93"/>
    </row>
    <row r="36" spans="1:13" s="92" customFormat="1" x14ac:dyDescent="0.2">
      <c r="A36" s="91"/>
      <c r="C36" s="260"/>
      <c r="D36" s="260"/>
      <c r="E36" s="260"/>
      <c r="F36" s="260"/>
      <c r="G36" s="260"/>
      <c r="H36" s="260"/>
      <c r="I36" s="260"/>
      <c r="J36" s="260"/>
      <c r="K36" s="260"/>
      <c r="M36" s="93"/>
    </row>
    <row r="37" spans="1:13" s="92" customFormat="1" x14ac:dyDescent="0.2">
      <c r="A37" s="91"/>
      <c r="C37" s="260"/>
      <c r="D37" s="260"/>
      <c r="E37" s="260"/>
      <c r="F37" s="260"/>
      <c r="G37" s="260"/>
      <c r="H37" s="260"/>
      <c r="I37" s="260"/>
      <c r="J37" s="260"/>
      <c r="K37" s="260"/>
      <c r="M37" s="93"/>
    </row>
    <row r="38" spans="1:13" s="92" customFormat="1" x14ac:dyDescent="0.2">
      <c r="A38" s="91"/>
      <c r="C38" s="260"/>
      <c r="D38" s="260"/>
      <c r="E38" s="260"/>
      <c r="F38" s="260"/>
      <c r="G38" s="260"/>
      <c r="H38" s="260"/>
      <c r="I38" s="260"/>
      <c r="J38" s="260"/>
      <c r="K38" s="260"/>
      <c r="M38" s="93"/>
    </row>
    <row r="39" spans="1:13" s="92" customFormat="1" x14ac:dyDescent="0.2">
      <c r="A39" s="91"/>
      <c r="C39" s="260"/>
      <c r="D39" s="260"/>
      <c r="E39" s="260"/>
      <c r="F39" s="260"/>
      <c r="G39" s="260"/>
      <c r="H39" s="260"/>
      <c r="I39" s="260"/>
      <c r="J39" s="260"/>
      <c r="K39" s="260"/>
      <c r="M39" s="93"/>
    </row>
    <row r="40" spans="1:13" s="92" customFormat="1" x14ac:dyDescent="0.2">
      <c r="A40" s="91"/>
      <c r="C40" s="98"/>
      <c r="D40" s="98"/>
      <c r="E40" s="98"/>
      <c r="F40" s="98"/>
      <c r="G40" s="98"/>
      <c r="H40" s="98"/>
      <c r="I40" s="98"/>
      <c r="J40" s="98"/>
      <c r="K40" s="98"/>
      <c r="M40" s="93"/>
    </row>
    <row r="41" spans="1:13" s="92" customFormat="1" ht="21" x14ac:dyDescent="0.25">
      <c r="A41" s="91"/>
      <c r="B41" s="95" t="s">
        <v>107</v>
      </c>
      <c r="M41" s="93"/>
    </row>
    <row r="42" spans="1:13" s="92" customFormat="1" x14ac:dyDescent="0.2">
      <c r="A42" s="91"/>
      <c r="C42" s="262" t="s">
        <v>418</v>
      </c>
      <c r="D42" s="261"/>
      <c r="E42" s="261"/>
      <c r="F42" s="261"/>
      <c r="G42" s="261"/>
      <c r="H42" s="261"/>
      <c r="I42" s="261"/>
      <c r="J42" s="261"/>
      <c r="K42" s="261"/>
      <c r="M42" s="93"/>
    </row>
    <row r="43" spans="1:13" s="92" customFormat="1" x14ac:dyDescent="0.2">
      <c r="A43" s="91"/>
      <c r="C43" s="261"/>
      <c r="D43" s="261"/>
      <c r="E43" s="261"/>
      <c r="F43" s="261"/>
      <c r="G43" s="261"/>
      <c r="H43" s="261"/>
      <c r="I43" s="261"/>
      <c r="J43" s="261"/>
      <c r="K43" s="261"/>
      <c r="M43" s="93"/>
    </row>
    <row r="44" spans="1:13" s="92" customFormat="1" x14ac:dyDescent="0.2">
      <c r="A44" s="91"/>
      <c r="C44" s="261"/>
      <c r="D44" s="261"/>
      <c r="E44" s="261"/>
      <c r="F44" s="261"/>
      <c r="G44" s="261"/>
      <c r="H44" s="261"/>
      <c r="I44" s="261"/>
      <c r="J44" s="261"/>
      <c r="K44" s="261"/>
      <c r="M44" s="93"/>
    </row>
    <row r="45" spans="1:13" s="92" customFormat="1" x14ac:dyDescent="0.2">
      <c r="A45" s="91"/>
      <c r="C45" s="261"/>
      <c r="D45" s="261"/>
      <c r="E45" s="261"/>
      <c r="F45" s="261"/>
      <c r="G45" s="261"/>
      <c r="H45" s="261"/>
      <c r="I45" s="261"/>
      <c r="J45" s="261"/>
      <c r="K45" s="261"/>
      <c r="M45" s="93"/>
    </row>
    <row r="46" spans="1:13" s="92" customFormat="1" x14ac:dyDescent="0.2">
      <c r="A46" s="91"/>
      <c r="C46" s="261"/>
      <c r="D46" s="261"/>
      <c r="E46" s="261"/>
      <c r="F46" s="261"/>
      <c r="G46" s="261"/>
      <c r="H46" s="261"/>
      <c r="I46" s="261"/>
      <c r="J46" s="261"/>
      <c r="K46" s="261"/>
      <c r="M46" s="93"/>
    </row>
    <row r="47" spans="1:13" s="92" customFormat="1" x14ac:dyDescent="0.2">
      <c r="A47" s="91"/>
      <c r="C47" s="261"/>
      <c r="D47" s="261"/>
      <c r="E47" s="261"/>
      <c r="F47" s="261"/>
      <c r="G47" s="261"/>
      <c r="H47" s="261"/>
      <c r="I47" s="261"/>
      <c r="J47" s="261"/>
      <c r="K47" s="261"/>
      <c r="M47" s="93"/>
    </row>
    <row r="48" spans="1:13" s="92" customFormat="1" x14ac:dyDescent="0.2">
      <c r="A48" s="91"/>
      <c r="C48" s="261"/>
      <c r="D48" s="261"/>
      <c r="E48" s="261"/>
      <c r="F48" s="261"/>
      <c r="G48" s="261"/>
      <c r="H48" s="261"/>
      <c r="I48" s="261"/>
      <c r="J48" s="261"/>
      <c r="K48" s="261"/>
      <c r="M48" s="93"/>
    </row>
    <row r="49" spans="1:13" s="92" customFormat="1" x14ac:dyDescent="0.2">
      <c r="A49" s="91"/>
      <c r="C49" s="261"/>
      <c r="D49" s="261"/>
      <c r="E49" s="261"/>
      <c r="F49" s="261"/>
      <c r="G49" s="261"/>
      <c r="H49" s="261"/>
      <c r="I49" s="261"/>
      <c r="J49" s="261"/>
      <c r="K49" s="261"/>
      <c r="M49" s="93"/>
    </row>
    <row r="50" spans="1:13" s="92" customFormat="1" x14ac:dyDescent="0.2">
      <c r="A50" s="91"/>
      <c r="C50" s="261"/>
      <c r="D50" s="261"/>
      <c r="E50" s="261"/>
      <c r="F50" s="261"/>
      <c r="G50" s="261"/>
      <c r="H50" s="261"/>
      <c r="I50" s="261"/>
      <c r="J50" s="261"/>
      <c r="K50" s="261"/>
      <c r="M50" s="93"/>
    </row>
    <row r="51" spans="1:13" s="92" customFormat="1" x14ac:dyDescent="0.2">
      <c r="A51" s="91"/>
      <c r="C51" s="98"/>
      <c r="D51" s="98"/>
      <c r="E51" s="98"/>
      <c r="F51" s="98"/>
      <c r="G51" s="98"/>
      <c r="H51" s="98"/>
      <c r="I51" s="98"/>
      <c r="J51" s="98"/>
      <c r="K51" s="98"/>
      <c r="M51" s="93"/>
    </row>
    <row r="52" spans="1:13" ht="17" thickBot="1" x14ac:dyDescent="0.25">
      <c r="A52" s="99"/>
      <c r="B52" s="100"/>
      <c r="C52" s="100"/>
      <c r="D52" s="100"/>
      <c r="E52" s="100"/>
      <c r="F52" s="100"/>
      <c r="G52" s="100"/>
      <c r="H52" s="100"/>
      <c r="I52" s="100"/>
      <c r="J52" s="100"/>
      <c r="K52" s="100"/>
      <c r="L52" s="100"/>
      <c r="M52" s="101"/>
    </row>
  </sheetData>
  <mergeCells count="4">
    <mergeCell ref="C9:K16"/>
    <mergeCell ref="C19:K28"/>
    <mergeCell ref="C31:K39"/>
    <mergeCell ref="C42:K50"/>
  </mergeCells>
  <hyperlinks>
    <hyperlink ref="B6" r:id="rId1" xr:uid="{FDC0F825-586D-3B41-9D54-7FDBD82647EE}"/>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L185"/>
  <sheetViews>
    <sheetView zoomScaleNormal="100" workbookViewId="0"/>
  </sheetViews>
  <sheetFormatPr baseColWidth="10" defaultColWidth="10.83203125" defaultRowHeight="16" outlineLevelCol="1" x14ac:dyDescent="0.2"/>
  <cols>
    <col min="1" max="1" width="4.6640625" style="24" customWidth="1"/>
    <col min="2" max="2" width="10.83203125" style="24"/>
    <col min="3" max="3" width="10.83203125" style="24" customWidth="1"/>
    <col min="4" max="10" width="10.83203125" style="24"/>
    <col min="11" max="11" width="11.5" style="24" bestFit="1" customWidth="1"/>
    <col min="12" max="12" width="11.5" style="24" hidden="1" customWidth="1" outlineLevel="1"/>
    <col min="13" max="21" width="10.83203125" style="24" hidden="1" customWidth="1" outlineLevel="1"/>
    <col min="22" max="22" width="10.83203125" style="24" collapsed="1"/>
    <col min="23" max="16384" width="10.83203125" style="24"/>
  </cols>
  <sheetData>
    <row r="1" spans="1:20" ht="19" x14ac:dyDescent="0.25">
      <c r="A1" s="1" t="s">
        <v>82</v>
      </c>
      <c r="B1" s="12"/>
      <c r="C1" s="21"/>
      <c r="D1" s="21"/>
      <c r="E1" s="21"/>
      <c r="F1" s="22"/>
      <c r="G1" s="22"/>
      <c r="H1" s="22"/>
      <c r="I1" s="22"/>
      <c r="J1" s="23"/>
      <c r="K1" s="3" t="s">
        <v>77</v>
      </c>
      <c r="L1" s="3"/>
    </row>
    <row r="2" spans="1:20" x14ac:dyDescent="0.2">
      <c r="A2" s="2"/>
      <c r="B2" s="22"/>
      <c r="C2" s="22"/>
      <c r="D2" s="22"/>
      <c r="E2" s="22"/>
      <c r="F2" s="22"/>
      <c r="G2" s="22"/>
      <c r="H2" s="22"/>
      <c r="I2" s="22"/>
      <c r="J2" s="23"/>
      <c r="L2" s="4" t="s">
        <v>2</v>
      </c>
    </row>
    <row r="3" spans="1:20" x14ac:dyDescent="0.2">
      <c r="A3" s="2"/>
      <c r="B3" s="22" t="s">
        <v>4</v>
      </c>
      <c r="C3" s="22"/>
      <c r="D3" s="22"/>
      <c r="E3" s="22"/>
      <c r="F3" s="22"/>
      <c r="G3" s="22"/>
      <c r="H3" s="22"/>
      <c r="I3" s="22"/>
      <c r="J3" s="23"/>
    </row>
    <row r="4" spans="1:20" x14ac:dyDescent="0.2">
      <c r="A4" s="2"/>
      <c r="B4" s="22"/>
      <c r="C4" s="22"/>
      <c r="D4" s="22"/>
      <c r="E4" s="22"/>
      <c r="F4" s="22"/>
      <c r="G4" s="22"/>
      <c r="H4" s="22"/>
      <c r="I4" s="22"/>
      <c r="J4" s="23"/>
      <c r="L4" s="25"/>
      <c r="M4" s="26">
        <v>12</v>
      </c>
      <c r="N4" s="26">
        <v>24</v>
      </c>
      <c r="O4" s="26">
        <v>36</v>
      </c>
      <c r="Q4" s="27" t="s">
        <v>37</v>
      </c>
    </row>
    <row r="5" spans="1:20" x14ac:dyDescent="0.2">
      <c r="A5" s="2"/>
      <c r="B5" s="22"/>
      <c r="C5" s="22"/>
      <c r="D5" s="263" t="s">
        <v>10</v>
      </c>
      <c r="E5" s="263"/>
      <c r="F5" s="263"/>
      <c r="G5" s="22"/>
      <c r="H5" s="22"/>
      <c r="I5" s="22"/>
      <c r="J5" s="23"/>
      <c r="L5" s="28" t="s">
        <v>22</v>
      </c>
      <c r="M5" s="29">
        <f>SUM(D8:D10)/SUM($H$8:$H$10)</f>
        <v>0.52685421994884907</v>
      </c>
      <c r="N5" s="29">
        <f>SUM(E8:E9)/SUM($H$8:$H$9)</f>
        <v>0.14565004887585534</v>
      </c>
      <c r="O5" s="29">
        <f>SUM(F8)/SUM($H$8)</f>
        <v>3.5643564356435641E-2</v>
      </c>
      <c r="Q5" s="29">
        <f>SUM(M5:O5)</f>
        <v>0.70814783318114005</v>
      </c>
    </row>
    <row r="6" spans="1:20" x14ac:dyDescent="0.2">
      <c r="A6" s="2"/>
      <c r="B6" s="22"/>
      <c r="C6" s="22"/>
      <c r="D6" s="22"/>
      <c r="E6" s="22"/>
      <c r="F6" s="22"/>
      <c r="G6" s="22"/>
      <c r="H6" s="267" t="s">
        <v>9</v>
      </c>
      <c r="I6" s="22"/>
      <c r="J6" s="23"/>
      <c r="S6" s="69"/>
      <c r="T6" s="69"/>
    </row>
    <row r="7" spans="1:20" ht="34" x14ac:dyDescent="0.2">
      <c r="A7" s="2"/>
      <c r="B7" s="22"/>
      <c r="C7" s="18" t="s">
        <v>5</v>
      </c>
      <c r="D7" s="13" t="s">
        <v>6</v>
      </c>
      <c r="E7" s="13" t="s">
        <v>7</v>
      </c>
      <c r="F7" s="13" t="s">
        <v>8</v>
      </c>
      <c r="G7" s="14"/>
      <c r="H7" s="268"/>
      <c r="I7" s="22"/>
      <c r="J7" s="23"/>
      <c r="L7" s="25"/>
      <c r="M7" s="30" t="s">
        <v>39</v>
      </c>
      <c r="N7" s="27" t="s">
        <v>40</v>
      </c>
      <c r="O7" s="68" t="s">
        <v>49</v>
      </c>
      <c r="P7" s="27" t="s">
        <v>42</v>
      </c>
      <c r="Q7" s="68" t="s">
        <v>86</v>
      </c>
      <c r="R7" s="68" t="s">
        <v>87</v>
      </c>
      <c r="S7" s="70" t="s">
        <v>89</v>
      </c>
      <c r="T7" s="70" t="s">
        <v>88</v>
      </c>
    </row>
    <row r="8" spans="1:20" ht="17" thickBot="1" x14ac:dyDescent="0.25">
      <c r="A8" s="2"/>
      <c r="B8" s="22"/>
      <c r="C8" s="17">
        <v>2013</v>
      </c>
      <c r="D8" s="6">
        <v>2840</v>
      </c>
      <c r="E8" s="7">
        <v>570</v>
      </c>
      <c r="F8" s="7">
        <v>180</v>
      </c>
      <c r="G8" s="7"/>
      <c r="H8" s="6">
        <v>5050</v>
      </c>
      <c r="I8" s="22"/>
      <c r="J8" s="23"/>
      <c r="L8" s="31">
        <f>C8</f>
        <v>2013</v>
      </c>
      <c r="M8" s="32">
        <f>H8</f>
        <v>5050</v>
      </c>
      <c r="N8" s="33">
        <f>SUM($M$5:$O$5)/$Q$5</f>
        <v>1</v>
      </c>
      <c r="O8" s="34">
        <f>1-N8</f>
        <v>0</v>
      </c>
      <c r="P8" s="32">
        <f>SUM(D8:F8)</f>
        <v>3590</v>
      </c>
      <c r="Q8" s="35">
        <f>O8*P8/N8</f>
        <v>0</v>
      </c>
      <c r="R8" s="35">
        <f>M8*$Q$5*O8</f>
        <v>0</v>
      </c>
      <c r="S8" s="36">
        <f>N8</f>
        <v>1</v>
      </c>
      <c r="T8" s="37">
        <f>S8*$Q8+(1-S8)*$R8</f>
        <v>0</v>
      </c>
    </row>
    <row r="9" spans="1:20" ht="17" thickBot="1" x14ac:dyDescent="0.25">
      <c r="A9" s="2"/>
      <c r="B9" s="22"/>
      <c r="C9" s="17">
        <v>2014</v>
      </c>
      <c r="D9" s="6">
        <v>2470</v>
      </c>
      <c r="E9" s="7">
        <v>920</v>
      </c>
      <c r="F9" s="7"/>
      <c r="G9" s="7"/>
      <c r="H9" s="6">
        <v>5180</v>
      </c>
      <c r="I9" s="22"/>
      <c r="J9" s="23"/>
      <c r="L9" s="28">
        <f>C9</f>
        <v>2014</v>
      </c>
      <c r="M9" s="38">
        <f>H9</f>
        <v>5180</v>
      </c>
      <c r="N9" s="29">
        <f>SUM($M$5:$N$5)/$Q$5</f>
        <v>0.94966649238151624</v>
      </c>
      <c r="O9" s="39">
        <f t="shared" ref="O9:O10" si="0">1-N9</f>
        <v>5.0333507618483764E-2</v>
      </c>
      <c r="P9" s="38">
        <f>SUM(D9:F9)</f>
        <v>3390</v>
      </c>
      <c r="Q9" s="40">
        <f>O9*P9/N9</f>
        <v>179.67422478891814</v>
      </c>
      <c r="R9" s="41">
        <f>M9*$Q$5*O9</f>
        <v>184.63366336633683</v>
      </c>
      <c r="S9" s="42">
        <f>N9</f>
        <v>0.94966649238151624</v>
      </c>
      <c r="T9" s="73">
        <f>S9*$Q9+(1-S9)*$R9</f>
        <v>179.92385072833804</v>
      </c>
    </row>
    <row r="10" spans="1:20" x14ac:dyDescent="0.2">
      <c r="A10" s="2"/>
      <c r="B10" s="22"/>
      <c r="C10" s="17">
        <v>2015</v>
      </c>
      <c r="D10" s="6">
        <v>2930</v>
      </c>
      <c r="E10" s="7"/>
      <c r="F10" s="7"/>
      <c r="G10" s="7"/>
      <c r="H10" s="6">
        <v>5410</v>
      </c>
      <c r="I10" s="22"/>
      <c r="J10" s="23"/>
      <c r="L10" s="28">
        <f>C10</f>
        <v>2015</v>
      </c>
      <c r="M10" s="38">
        <f>H10</f>
        <v>5410</v>
      </c>
      <c r="N10" s="29">
        <f>SUM($M$5)/$Q$5</f>
        <v>0.74398903062672062</v>
      </c>
      <c r="O10" s="39">
        <f t="shared" si="0"/>
        <v>0.25601096937327938</v>
      </c>
      <c r="P10" s="38">
        <f>SUM(D10:F10)</f>
        <v>2930</v>
      </c>
      <c r="Q10" s="41">
        <f>O10*P10/N10</f>
        <v>1008.2301074141242</v>
      </c>
      <c r="R10" s="41">
        <f>M10*$Q$5*O10</f>
        <v>980.79844758669435</v>
      </c>
      <c r="S10" s="42">
        <f>N10</f>
        <v>0.74398903062672062</v>
      </c>
      <c r="T10" s="43">
        <f>S10*$Q10+(1-S10)*$R10</f>
        <v>1001.2073015901858</v>
      </c>
    </row>
    <row r="11" spans="1:20" x14ac:dyDescent="0.2">
      <c r="A11" s="2"/>
      <c r="B11" s="22"/>
      <c r="C11" s="22"/>
      <c r="D11" s="22"/>
      <c r="E11" s="22"/>
      <c r="F11" s="22"/>
      <c r="G11" s="22"/>
      <c r="H11" s="22"/>
      <c r="I11" s="22"/>
      <c r="J11" s="23"/>
    </row>
    <row r="12" spans="1:20" x14ac:dyDescent="0.2">
      <c r="A12" s="2"/>
      <c r="B12" s="22"/>
      <c r="C12" s="22"/>
      <c r="D12" s="22"/>
      <c r="E12" s="22"/>
      <c r="F12" s="22"/>
      <c r="G12" s="22"/>
      <c r="H12" s="22"/>
      <c r="I12" s="22"/>
      <c r="J12" s="23"/>
      <c r="L12" s="11" t="s">
        <v>91</v>
      </c>
    </row>
    <row r="13" spans="1:20" x14ac:dyDescent="0.2">
      <c r="A13" s="22" t="s">
        <v>0</v>
      </c>
      <c r="B13" s="22" t="s">
        <v>11</v>
      </c>
      <c r="C13" s="22"/>
      <c r="D13" s="22"/>
      <c r="E13" s="22"/>
      <c r="F13" s="22"/>
      <c r="G13" s="22"/>
      <c r="H13" s="22"/>
      <c r="I13" s="22"/>
      <c r="J13" s="23"/>
    </row>
    <row r="14" spans="1:20" x14ac:dyDescent="0.2">
      <c r="A14" s="2"/>
      <c r="B14" s="22"/>
      <c r="C14" s="22"/>
      <c r="D14" s="22"/>
      <c r="E14" s="22"/>
      <c r="F14" s="22"/>
      <c r="G14" s="22"/>
      <c r="H14" s="22"/>
      <c r="I14" s="22"/>
      <c r="J14" s="23"/>
    </row>
    <row r="15" spans="1:20" ht="18" x14ac:dyDescent="0.25">
      <c r="A15" s="22" t="s">
        <v>1</v>
      </c>
      <c r="B15" s="83" t="s">
        <v>97</v>
      </c>
      <c r="C15" s="22"/>
      <c r="D15" s="22"/>
      <c r="E15" s="22"/>
      <c r="F15" s="22"/>
      <c r="G15" s="22"/>
      <c r="H15" s="22"/>
      <c r="I15" s="22"/>
      <c r="J15" s="23"/>
    </row>
    <row r="16" spans="1:20" x14ac:dyDescent="0.2">
      <c r="A16" s="2"/>
      <c r="B16" s="22" t="s">
        <v>12</v>
      </c>
      <c r="C16" s="22"/>
      <c r="D16" s="22"/>
      <c r="E16" s="22"/>
      <c r="F16" s="22"/>
      <c r="G16" s="22"/>
      <c r="H16" s="22"/>
      <c r="I16" s="22"/>
      <c r="J16" s="23"/>
      <c r="L16" s="4" t="s">
        <v>3</v>
      </c>
    </row>
    <row r="17" spans="1:14" ht="18" customHeight="1" thickBot="1" x14ac:dyDescent="0.25">
      <c r="A17" s="2"/>
      <c r="B17" s="22"/>
      <c r="C17" s="22"/>
      <c r="D17" s="22"/>
      <c r="E17" s="22"/>
      <c r="F17" s="22"/>
      <c r="G17" s="22"/>
      <c r="H17" s="22"/>
      <c r="I17" s="22"/>
      <c r="J17" s="23"/>
    </row>
    <row r="18" spans="1:14" ht="18" thickBot="1" x14ac:dyDescent="0.25">
      <c r="A18" s="264" t="s">
        <v>76</v>
      </c>
      <c r="B18" s="265"/>
      <c r="C18" s="265"/>
      <c r="D18" s="265"/>
      <c r="E18" s="265"/>
      <c r="F18" s="265"/>
      <c r="G18" s="265"/>
      <c r="H18" s="265"/>
      <c r="I18" s="265"/>
      <c r="J18" s="266"/>
      <c r="L18" s="25"/>
      <c r="M18" s="71" t="s">
        <v>50</v>
      </c>
      <c r="N18" s="71" t="s">
        <v>90</v>
      </c>
    </row>
    <row r="19" spans="1:14" ht="17" thickBot="1" x14ac:dyDescent="0.25">
      <c r="L19" s="31">
        <f>C8</f>
        <v>2013</v>
      </c>
      <c r="M19" s="33">
        <f>N8/(N8+SQRT(N8))</f>
        <v>0.5</v>
      </c>
      <c r="N19" s="37">
        <f>M19*$Q8+(1-M19)*$R8</f>
        <v>0</v>
      </c>
    </row>
    <row r="20" spans="1:14" ht="20" thickBot="1" x14ac:dyDescent="0.3">
      <c r="A20" s="3"/>
      <c r="L20" s="31">
        <f>C9</f>
        <v>2014</v>
      </c>
      <c r="M20" s="29">
        <f>N9/(N9+SQRT(N9))</f>
        <v>0.49354480659795114</v>
      </c>
      <c r="N20" s="73">
        <f>M20*$Q9+(1-M20)*$R9</f>
        <v>182.18595821281031</v>
      </c>
    </row>
    <row r="21" spans="1:14" x14ac:dyDescent="0.2">
      <c r="A21" s="4"/>
      <c r="C21" s="44"/>
      <c r="L21" s="31">
        <f>C10</f>
        <v>2015</v>
      </c>
      <c r="M21" s="29">
        <f>N10/(N10+SQRT(N10))</f>
        <v>0.46310108155785212</v>
      </c>
      <c r="N21" s="43">
        <f>M21*$Q10+(1-M21)*$R10</f>
        <v>993.5020789217042</v>
      </c>
    </row>
    <row r="22" spans="1:14" x14ac:dyDescent="0.2">
      <c r="C22" s="45"/>
      <c r="D22" s="45"/>
      <c r="E22" s="45"/>
    </row>
    <row r="23" spans="1:14" x14ac:dyDescent="0.2">
      <c r="L23" s="11" t="s">
        <v>92</v>
      </c>
      <c r="M23" s="69"/>
    </row>
    <row r="26" spans="1:14" ht="19" x14ac:dyDescent="0.25">
      <c r="L26" s="3" t="s">
        <v>93</v>
      </c>
    </row>
    <row r="27" spans="1:14" x14ac:dyDescent="0.2">
      <c r="L27" s="69" t="s">
        <v>94</v>
      </c>
    </row>
    <row r="34" spans="1:15" x14ac:dyDescent="0.2">
      <c r="A34" s="4"/>
    </row>
    <row r="38" spans="1:15" x14ac:dyDescent="0.2">
      <c r="A38" s="4"/>
      <c r="C38" s="44"/>
    </row>
    <row r="43" spans="1:15" x14ac:dyDescent="0.2">
      <c r="N43" s="44"/>
    </row>
    <row r="44" spans="1:15" x14ac:dyDescent="0.2">
      <c r="M44" s="5"/>
      <c r="N44" s="5"/>
      <c r="O44" s="5"/>
    </row>
    <row r="45" spans="1:15" x14ac:dyDescent="0.2">
      <c r="M45" s="5"/>
      <c r="N45" s="5"/>
      <c r="O45" s="5"/>
    </row>
    <row r="46" spans="1:15" x14ac:dyDescent="0.2">
      <c r="M46" s="5"/>
      <c r="N46" s="5"/>
      <c r="O46" s="5"/>
    </row>
    <row r="47" spans="1:15" x14ac:dyDescent="0.2">
      <c r="M47" s="5"/>
      <c r="N47" s="5"/>
      <c r="O47" s="5"/>
    </row>
    <row r="48" spans="1:15" x14ac:dyDescent="0.2">
      <c r="M48" s="5"/>
      <c r="N48" s="5"/>
      <c r="O48" s="5"/>
    </row>
    <row r="49" spans="13:15" x14ac:dyDescent="0.2">
      <c r="M49" s="5"/>
      <c r="N49" s="5"/>
      <c r="O49" s="5"/>
    </row>
    <row r="50" spans="13:15" x14ac:dyDescent="0.2">
      <c r="M50" s="5"/>
      <c r="N50" s="5"/>
      <c r="O50" s="5"/>
    </row>
    <row r="51" spans="13:15" x14ac:dyDescent="0.2">
      <c r="M51" s="5"/>
      <c r="N51" s="5"/>
      <c r="O51" s="5"/>
    </row>
    <row r="52" spans="13:15" x14ac:dyDescent="0.2">
      <c r="M52" s="5"/>
      <c r="N52" s="5"/>
      <c r="O52" s="5"/>
    </row>
    <row r="53" spans="13:15" x14ac:dyDescent="0.2">
      <c r="N53" s="44"/>
    </row>
    <row r="54" spans="13:15" x14ac:dyDescent="0.2">
      <c r="M54" s="5"/>
      <c r="N54" s="5"/>
      <c r="O54" s="5"/>
    </row>
    <row r="55" spans="13:15" x14ac:dyDescent="0.2">
      <c r="M55" s="5"/>
      <c r="N55" s="5"/>
      <c r="O55" s="5"/>
    </row>
    <row r="56" spans="13:15" x14ac:dyDescent="0.2">
      <c r="M56" s="5"/>
      <c r="N56" s="5"/>
      <c r="O56" s="5"/>
    </row>
    <row r="57" spans="13:15" x14ac:dyDescent="0.2">
      <c r="M57" s="5"/>
      <c r="N57" s="5"/>
      <c r="O57" s="5"/>
    </row>
    <row r="58" spans="13:15" x14ac:dyDescent="0.2">
      <c r="M58" s="5"/>
      <c r="N58" s="5"/>
      <c r="O58" s="5"/>
    </row>
    <row r="59" spans="13:15" x14ac:dyDescent="0.2">
      <c r="M59" s="5"/>
      <c r="N59" s="5"/>
      <c r="O59" s="5"/>
    </row>
    <row r="60" spans="13:15" x14ac:dyDescent="0.2">
      <c r="M60" s="5"/>
      <c r="N60" s="5"/>
      <c r="O60" s="5"/>
    </row>
    <row r="61" spans="13:15" x14ac:dyDescent="0.2">
      <c r="M61" s="5"/>
      <c r="N61" s="5"/>
      <c r="O61" s="5"/>
    </row>
    <row r="62" spans="13:15" x14ac:dyDescent="0.2">
      <c r="M62" s="5"/>
      <c r="N62" s="5"/>
      <c r="O62" s="5"/>
    </row>
    <row r="63" spans="13:15" x14ac:dyDescent="0.2">
      <c r="N63" s="44"/>
    </row>
    <row r="64" spans="13:15" x14ac:dyDescent="0.2">
      <c r="M64" s="5"/>
      <c r="N64" s="5"/>
      <c r="O64" s="5"/>
    </row>
    <row r="65" spans="1:15" x14ac:dyDescent="0.2">
      <c r="M65" s="5"/>
      <c r="N65" s="5"/>
      <c r="O65" s="5"/>
    </row>
    <row r="66" spans="1:15" x14ac:dyDescent="0.2">
      <c r="M66" s="5"/>
      <c r="N66" s="5"/>
      <c r="O66" s="5"/>
    </row>
    <row r="67" spans="1:15" x14ac:dyDescent="0.2">
      <c r="M67" s="5"/>
      <c r="N67" s="5"/>
      <c r="O67" s="5"/>
    </row>
    <row r="68" spans="1:15" x14ac:dyDescent="0.2">
      <c r="M68" s="5"/>
      <c r="N68" s="5"/>
      <c r="O68" s="5"/>
    </row>
    <row r="69" spans="1:15" x14ac:dyDescent="0.2">
      <c r="M69" s="5"/>
      <c r="N69" s="5"/>
      <c r="O69" s="5"/>
    </row>
    <row r="70" spans="1:15" x14ac:dyDescent="0.2">
      <c r="M70" s="5"/>
      <c r="N70" s="5"/>
      <c r="O70" s="5"/>
    </row>
    <row r="71" spans="1:15" x14ac:dyDescent="0.2">
      <c r="M71" s="5"/>
      <c r="N71" s="5"/>
      <c r="O71" s="5"/>
    </row>
    <row r="72" spans="1:15" x14ac:dyDescent="0.2">
      <c r="M72" s="5"/>
      <c r="N72" s="5"/>
      <c r="O72" s="5"/>
    </row>
    <row r="73" spans="1:15" x14ac:dyDescent="0.2">
      <c r="N73" s="44"/>
    </row>
    <row r="74" spans="1:15" x14ac:dyDescent="0.2">
      <c r="M74" s="5"/>
      <c r="N74" s="5"/>
      <c r="O74" s="5"/>
    </row>
    <row r="75" spans="1:15" x14ac:dyDescent="0.2">
      <c r="M75" s="5"/>
      <c r="N75" s="5"/>
      <c r="O75" s="5"/>
    </row>
    <row r="76" spans="1:15" x14ac:dyDescent="0.2">
      <c r="M76" s="5"/>
      <c r="N76" s="5"/>
      <c r="O76" s="5"/>
    </row>
    <row r="77" spans="1:15" x14ac:dyDescent="0.2">
      <c r="M77" s="5"/>
      <c r="N77" s="5"/>
      <c r="O77" s="5"/>
    </row>
    <row r="78" spans="1:15" x14ac:dyDescent="0.2">
      <c r="M78" s="5"/>
      <c r="N78" s="5"/>
      <c r="O78" s="5"/>
    </row>
    <row r="79" spans="1:15" x14ac:dyDescent="0.2">
      <c r="M79" s="5"/>
      <c r="N79" s="5"/>
      <c r="O79" s="5"/>
    </row>
    <row r="80" spans="1:15" x14ac:dyDescent="0.2">
      <c r="A80" s="5"/>
      <c r="B80" s="5"/>
      <c r="C80" s="5"/>
      <c r="D80" s="5"/>
      <c r="E80" s="5"/>
      <c r="F80" s="5"/>
      <c r="G80" s="5"/>
      <c r="H80" s="5"/>
      <c r="I80" s="5"/>
      <c r="J80" s="5"/>
      <c r="M80" s="5"/>
      <c r="N80" s="5"/>
      <c r="O80" s="5"/>
    </row>
    <row r="81" spans="1:64" x14ac:dyDescent="0.2">
      <c r="A81" s="5"/>
      <c r="B81" s="5"/>
      <c r="C81" s="5"/>
      <c r="D81" s="5"/>
      <c r="E81" s="5"/>
      <c r="F81" s="5"/>
      <c r="G81" s="5"/>
      <c r="H81" s="5"/>
      <c r="I81" s="5"/>
      <c r="J81" s="5"/>
      <c r="M81" s="5"/>
      <c r="N81" s="5"/>
      <c r="O81" s="5"/>
    </row>
    <row r="82" spans="1:64" x14ac:dyDescent="0.2">
      <c r="A82" s="5"/>
      <c r="B82" s="5"/>
      <c r="C82" s="5"/>
      <c r="D82" s="5"/>
      <c r="E82" s="5"/>
      <c r="F82" s="5"/>
      <c r="G82" s="5"/>
      <c r="H82" s="5"/>
      <c r="I82" s="5"/>
      <c r="J82" s="5"/>
      <c r="M82" s="5"/>
      <c r="N82" s="5"/>
      <c r="O82" s="5"/>
    </row>
    <row r="83" spans="1:64" x14ac:dyDescent="0.2">
      <c r="A83" s="5"/>
      <c r="B83" s="5"/>
      <c r="C83" s="5"/>
      <c r="D83" s="5"/>
      <c r="E83" s="5"/>
      <c r="F83" s="5"/>
      <c r="G83" s="5"/>
      <c r="H83" s="5"/>
      <c r="I83" s="5"/>
      <c r="J83" s="5"/>
      <c r="K83" s="5"/>
      <c r="L83" s="5"/>
      <c r="N83" s="44"/>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row>
    <row r="84" spans="1:64"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row>
    <row r="85" spans="1:64"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row>
    <row r="86" spans="1:64"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row>
    <row r="87" spans="1:64"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row>
    <row r="88" spans="1:64"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M185" s="5"/>
      <c r="N185" s="5"/>
      <c r="O185" s="5"/>
      <c r="P185" s="5"/>
      <c r="Q185" s="5"/>
      <c r="R185" s="5"/>
      <c r="S185" s="5"/>
      <c r="T185" s="5"/>
      <c r="U185" s="5"/>
    </row>
  </sheetData>
  <mergeCells count="3">
    <mergeCell ref="D5:F5"/>
    <mergeCell ref="A18:J18"/>
    <mergeCell ref="H6: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L189"/>
  <sheetViews>
    <sheetView zoomScaleNormal="100" workbookViewId="0"/>
  </sheetViews>
  <sheetFormatPr baseColWidth="10" defaultColWidth="10.83203125" defaultRowHeight="16" outlineLevelCol="1" x14ac:dyDescent="0.2"/>
  <cols>
    <col min="1" max="1" width="4.6640625" style="24" customWidth="1"/>
    <col min="2" max="6" width="10.83203125" style="24"/>
    <col min="7" max="7" width="8" style="24" customWidth="1"/>
    <col min="8" max="10" width="10.83203125" style="24"/>
    <col min="11" max="11" width="11.5" style="24" bestFit="1" customWidth="1"/>
    <col min="12" max="21" width="10.83203125" style="24" hidden="1" customWidth="1" outlineLevel="1"/>
    <col min="22" max="22" width="10.83203125" style="24" collapsed="1"/>
    <col min="23" max="16384" width="10.83203125" style="24"/>
  </cols>
  <sheetData>
    <row r="1" spans="1:21" ht="19" x14ac:dyDescent="0.25">
      <c r="A1" s="1" t="s">
        <v>83</v>
      </c>
      <c r="B1" s="12"/>
      <c r="C1" s="21"/>
      <c r="D1" s="21"/>
      <c r="E1" s="21"/>
      <c r="F1" s="22"/>
      <c r="G1" s="22"/>
      <c r="H1" s="22"/>
      <c r="I1" s="22"/>
      <c r="J1" s="23"/>
      <c r="K1" s="3" t="s">
        <v>77</v>
      </c>
    </row>
    <row r="2" spans="1:21" x14ac:dyDescent="0.2">
      <c r="A2" s="2"/>
      <c r="B2" s="22"/>
      <c r="C2" s="22"/>
      <c r="D2" s="22"/>
      <c r="E2" s="22"/>
      <c r="F2" s="22"/>
      <c r="G2" s="22"/>
      <c r="H2" s="22"/>
      <c r="I2" s="22"/>
      <c r="J2" s="23"/>
      <c r="L2" s="4" t="s">
        <v>2</v>
      </c>
      <c r="M2" s="44"/>
    </row>
    <row r="3" spans="1:21" x14ac:dyDescent="0.2">
      <c r="A3" s="2"/>
      <c r="B3" s="22" t="s">
        <v>4</v>
      </c>
      <c r="C3" s="22"/>
      <c r="D3" s="22"/>
      <c r="E3" s="22"/>
      <c r="F3" s="22"/>
      <c r="G3" s="22"/>
      <c r="H3" s="22"/>
      <c r="I3" s="22"/>
      <c r="J3" s="23"/>
      <c r="L3" s="24" t="s">
        <v>74</v>
      </c>
    </row>
    <row r="4" spans="1:21" x14ac:dyDescent="0.2">
      <c r="A4" s="2"/>
      <c r="B4" s="22"/>
      <c r="C4" s="22"/>
      <c r="D4" s="22"/>
      <c r="E4" s="22"/>
      <c r="F4" s="22"/>
      <c r="G4" s="22"/>
      <c r="H4" s="22"/>
      <c r="I4" s="22"/>
      <c r="J4" s="23"/>
    </row>
    <row r="5" spans="1:21" x14ac:dyDescent="0.2">
      <c r="A5" s="2"/>
      <c r="B5" s="22"/>
      <c r="C5" s="22"/>
      <c r="D5" s="263" t="s">
        <v>10</v>
      </c>
      <c r="E5" s="263"/>
      <c r="F5" s="263"/>
      <c r="G5" s="22"/>
      <c r="H5" s="22"/>
      <c r="I5" s="22"/>
      <c r="J5" s="23"/>
      <c r="L5" s="25"/>
      <c r="M5" s="26">
        <v>12</v>
      </c>
      <c r="N5" s="26">
        <v>24</v>
      </c>
      <c r="O5" s="26">
        <v>36</v>
      </c>
      <c r="Q5" s="27" t="s">
        <v>37</v>
      </c>
    </row>
    <row r="6" spans="1:21" x14ac:dyDescent="0.2">
      <c r="A6" s="2"/>
      <c r="B6" s="22"/>
      <c r="C6" s="22"/>
      <c r="D6" s="20"/>
      <c r="E6" s="20"/>
      <c r="F6" s="20"/>
      <c r="G6" s="22"/>
      <c r="H6" s="267" t="s">
        <v>9</v>
      </c>
      <c r="I6" s="22"/>
      <c r="J6" s="23"/>
      <c r="L6" s="28" t="s">
        <v>22</v>
      </c>
      <c r="M6" s="29">
        <f>SUM(D9:D11)/SUM($H$9:$H$11)</f>
        <v>0.36898395721925131</v>
      </c>
      <c r="N6" s="29">
        <f>SUM(E9:E10)/SUM($H$9:$H$10)</f>
        <v>0.25409836065573771</v>
      </c>
      <c r="O6" s="29">
        <f>SUM(F9)/SUM($H$9)</f>
        <v>7.4999999999999997E-2</v>
      </c>
      <c r="Q6" s="29">
        <f>SUM(M6:O6)</f>
        <v>0.69808231787498898</v>
      </c>
    </row>
    <row r="7" spans="1:21" x14ac:dyDescent="0.2">
      <c r="A7" s="2"/>
      <c r="B7" s="22"/>
      <c r="C7" s="272" t="s">
        <v>5</v>
      </c>
      <c r="D7" s="270" t="s">
        <v>6</v>
      </c>
      <c r="E7" s="270" t="s">
        <v>7</v>
      </c>
      <c r="F7" s="270" t="s">
        <v>8</v>
      </c>
      <c r="G7" s="22"/>
      <c r="H7" s="267"/>
      <c r="I7" s="22"/>
      <c r="J7" s="23"/>
    </row>
    <row r="8" spans="1:21" x14ac:dyDescent="0.2">
      <c r="A8" s="2"/>
      <c r="B8" s="22"/>
      <c r="C8" s="273"/>
      <c r="D8" s="271"/>
      <c r="E8" s="271"/>
      <c r="F8" s="271"/>
      <c r="G8" s="14"/>
      <c r="H8" s="268"/>
      <c r="I8" s="22"/>
      <c r="J8" s="23"/>
      <c r="L8" s="24" t="s">
        <v>75</v>
      </c>
    </row>
    <row r="9" spans="1:21" x14ac:dyDescent="0.2">
      <c r="A9" s="2"/>
      <c r="B9" s="22"/>
      <c r="C9" s="17">
        <v>2013</v>
      </c>
      <c r="D9" s="6">
        <v>2700</v>
      </c>
      <c r="E9" s="6">
        <v>1400</v>
      </c>
      <c r="F9" s="7">
        <v>450</v>
      </c>
      <c r="G9" s="7"/>
      <c r="H9" s="6">
        <v>6000</v>
      </c>
      <c r="I9" s="22"/>
      <c r="J9" s="23"/>
    </row>
    <row r="10" spans="1:21" x14ac:dyDescent="0.2">
      <c r="A10" s="2"/>
      <c r="B10" s="22"/>
      <c r="C10" s="17">
        <v>2014</v>
      </c>
      <c r="D10" s="6">
        <v>1900</v>
      </c>
      <c r="E10" s="6">
        <v>1700</v>
      </c>
      <c r="F10" s="7"/>
      <c r="G10" s="7"/>
      <c r="H10" s="6">
        <v>6200</v>
      </c>
      <c r="I10" s="22"/>
      <c r="J10" s="23"/>
      <c r="L10" s="25"/>
      <c r="M10" s="30" t="s">
        <v>39</v>
      </c>
      <c r="N10" s="27" t="s">
        <v>40</v>
      </c>
      <c r="O10" s="27" t="s">
        <v>41</v>
      </c>
      <c r="P10" s="27" t="s">
        <v>42</v>
      </c>
      <c r="Q10" s="27" t="s">
        <v>43</v>
      </c>
      <c r="R10" s="25" t="s">
        <v>44</v>
      </c>
      <c r="S10" s="25" t="s">
        <v>71</v>
      </c>
      <c r="T10" s="27" t="s">
        <v>72</v>
      </c>
    </row>
    <row r="11" spans="1:21" x14ac:dyDescent="0.2">
      <c r="A11" s="2"/>
      <c r="B11" s="22"/>
      <c r="C11" s="17">
        <v>2015</v>
      </c>
      <c r="D11" s="6">
        <v>2300</v>
      </c>
      <c r="E11" s="7"/>
      <c r="F11" s="7"/>
      <c r="G11" s="7"/>
      <c r="H11" s="6">
        <v>6500</v>
      </c>
      <c r="I11" s="22"/>
      <c r="J11" s="23"/>
      <c r="L11" s="61">
        <f>C10</f>
        <v>2014</v>
      </c>
      <c r="M11" s="38">
        <f>H10</f>
        <v>6200</v>
      </c>
      <c r="N11" s="29">
        <f>SUM($M$6:$N$6)/$Q$6</f>
        <v>0.89256281375482316</v>
      </c>
      <c r="O11" s="39">
        <f t="shared" ref="O11:O12" si="0">1-N11</f>
        <v>0.10743718624517684</v>
      </c>
      <c r="P11" s="38">
        <f>SUM(D10:F10)</f>
        <v>3600</v>
      </c>
      <c r="Q11" s="40">
        <f>O11*P11/N11</f>
        <v>433.32958142806859</v>
      </c>
      <c r="R11" s="52">
        <f>M11*$Q$6*O11</f>
        <v>464.9999999999996</v>
      </c>
      <c r="S11" s="77">
        <f>N11*$Q$6</f>
        <v>0.62308231787498902</v>
      </c>
      <c r="T11" s="74">
        <f>S11*$Q11+(1-S11)*$R11</f>
        <v>445.26672218812973</v>
      </c>
    </row>
    <row r="12" spans="1:21" ht="17" thickBot="1" x14ac:dyDescent="0.25">
      <c r="A12" s="2"/>
      <c r="B12" s="22"/>
      <c r="C12" s="22"/>
      <c r="D12" s="22"/>
      <c r="E12" s="22"/>
      <c r="F12" s="22"/>
      <c r="G12" s="22"/>
      <c r="H12" s="22"/>
      <c r="I12" s="22"/>
      <c r="J12" s="23"/>
      <c r="L12" s="62">
        <f>C11</f>
        <v>2015</v>
      </c>
      <c r="M12" s="63">
        <f>H11</f>
        <v>6500</v>
      </c>
      <c r="N12" s="64">
        <f>SUM($M$6)/$Q$6</f>
        <v>0.52856797510996134</v>
      </c>
      <c r="O12" s="65">
        <f t="shared" si="0"/>
        <v>0.47143202489003866</v>
      </c>
      <c r="P12" s="63">
        <f>SUM(D11:F11)</f>
        <v>2300</v>
      </c>
      <c r="Q12" s="66">
        <f>O12*P12/N12</f>
        <v>2051.3797814207651</v>
      </c>
      <c r="R12" s="75">
        <f>M12*$Q$6*O12</f>
        <v>2139.1393442622948</v>
      </c>
      <c r="S12" s="78">
        <f>N12*$Q$6</f>
        <v>0.36898395721925131</v>
      </c>
      <c r="T12" s="74">
        <f>S12*$Q12+(1-S12)*$R12</f>
        <v>2106.757473481196</v>
      </c>
    </row>
    <row r="13" spans="1:21" ht="17" thickBot="1" x14ac:dyDescent="0.25">
      <c r="A13" s="2"/>
      <c r="B13" s="22"/>
      <c r="C13" s="22"/>
      <c r="D13" s="22"/>
      <c r="E13" s="22"/>
      <c r="F13" s="22"/>
      <c r="G13" s="22"/>
      <c r="H13" s="22"/>
      <c r="I13" s="22"/>
      <c r="J13" s="23"/>
      <c r="L13" s="61" t="s">
        <v>73</v>
      </c>
      <c r="P13" s="67">
        <f>SUM(P11:P12)</f>
        <v>5900</v>
      </c>
      <c r="Q13" s="67">
        <f>SUM(Q11:Q12)</f>
        <v>2484.7093628488337</v>
      </c>
      <c r="R13" s="76">
        <f>SUM(R11:R12)</f>
        <v>2604.1393442622943</v>
      </c>
      <c r="T13" s="72">
        <f>SUM(T11:T12)</f>
        <v>2552.0241956693258</v>
      </c>
      <c r="U13" s="79" t="s">
        <v>67</v>
      </c>
    </row>
    <row r="14" spans="1:21" x14ac:dyDescent="0.2">
      <c r="A14" s="22" t="s">
        <v>0</v>
      </c>
      <c r="B14" s="22" t="s">
        <v>14</v>
      </c>
      <c r="C14" s="22"/>
      <c r="D14" s="22"/>
      <c r="E14" s="22"/>
      <c r="F14" s="22"/>
      <c r="G14" s="22"/>
      <c r="H14" s="22"/>
      <c r="I14" s="22"/>
      <c r="J14" s="23"/>
      <c r="M14" s="44"/>
    </row>
    <row r="15" spans="1:21" x14ac:dyDescent="0.2">
      <c r="A15" s="2"/>
      <c r="B15" s="22" t="s">
        <v>13</v>
      </c>
      <c r="C15" s="22"/>
      <c r="D15" s="22"/>
      <c r="E15" s="22"/>
      <c r="F15" s="22"/>
      <c r="G15" s="22"/>
      <c r="H15" s="22"/>
      <c r="I15" s="22"/>
      <c r="J15" s="23"/>
    </row>
    <row r="16" spans="1:21" x14ac:dyDescent="0.2">
      <c r="A16" s="2"/>
      <c r="B16" s="22"/>
      <c r="C16" s="22"/>
      <c r="D16" s="22"/>
      <c r="E16" s="22"/>
      <c r="F16" s="22"/>
      <c r="G16" s="22"/>
      <c r="H16" s="22"/>
      <c r="I16" s="22"/>
      <c r="J16" s="23"/>
    </row>
    <row r="17" spans="1:19" x14ac:dyDescent="0.2">
      <c r="A17" s="22" t="s">
        <v>1</v>
      </c>
      <c r="B17" s="22" t="s">
        <v>15</v>
      </c>
      <c r="C17" s="22"/>
      <c r="D17" s="22"/>
      <c r="E17" s="22"/>
      <c r="F17" s="22"/>
      <c r="G17" s="22"/>
      <c r="H17" s="22"/>
      <c r="I17" s="22"/>
      <c r="J17" s="23"/>
      <c r="L17" s="4" t="s">
        <v>3</v>
      </c>
    </row>
    <row r="18" spans="1:19" x14ac:dyDescent="0.2">
      <c r="A18" s="2"/>
      <c r="B18" s="22"/>
      <c r="C18" s="22"/>
      <c r="D18" s="22"/>
      <c r="E18" s="22"/>
      <c r="F18" s="22"/>
      <c r="G18" s="22"/>
      <c r="H18" s="22"/>
      <c r="I18" s="22"/>
      <c r="J18" s="23"/>
      <c r="L18" s="269" t="s">
        <v>78</v>
      </c>
      <c r="M18" s="269"/>
      <c r="N18" s="269"/>
      <c r="O18" s="269"/>
      <c r="P18" s="269"/>
      <c r="Q18" s="269"/>
      <c r="R18" s="269"/>
      <c r="S18" s="269"/>
    </row>
    <row r="19" spans="1:19" ht="17" thickBot="1" x14ac:dyDescent="0.25">
      <c r="A19" s="2"/>
      <c r="B19" s="22"/>
      <c r="C19" s="22"/>
      <c r="D19" s="22"/>
      <c r="E19" s="22"/>
      <c r="F19" s="22"/>
      <c r="G19" s="22"/>
      <c r="H19" s="22"/>
      <c r="I19" s="22"/>
      <c r="J19" s="23"/>
      <c r="L19" s="269"/>
      <c r="M19" s="269"/>
      <c r="N19" s="269"/>
      <c r="O19" s="269"/>
      <c r="P19" s="269"/>
      <c r="Q19" s="269"/>
      <c r="R19" s="269"/>
      <c r="S19" s="269"/>
    </row>
    <row r="20" spans="1:19" ht="17" thickBot="1" x14ac:dyDescent="0.25">
      <c r="A20" s="264" t="s">
        <v>76</v>
      </c>
      <c r="B20" s="265"/>
      <c r="C20" s="265"/>
      <c r="D20" s="265"/>
      <c r="E20" s="265"/>
      <c r="F20" s="265"/>
      <c r="G20" s="265"/>
      <c r="H20" s="265"/>
      <c r="I20" s="265"/>
      <c r="J20" s="266"/>
    </row>
    <row r="22" spans="1:19" ht="19" x14ac:dyDescent="0.25">
      <c r="A22" s="3"/>
    </row>
    <row r="23" spans="1:19" ht="19" x14ac:dyDescent="0.25">
      <c r="L23" s="3" t="s">
        <v>93</v>
      </c>
    </row>
    <row r="24" spans="1:19" x14ac:dyDescent="0.2">
      <c r="L24" s="69" t="s">
        <v>94</v>
      </c>
    </row>
    <row r="46" spans="1:13" x14ac:dyDescent="0.2">
      <c r="A46" s="4"/>
      <c r="C46" s="44"/>
    </row>
    <row r="47" spans="1:13" x14ac:dyDescent="0.2">
      <c r="L47" s="44"/>
    </row>
    <row r="48" spans="1:13" x14ac:dyDescent="0.2">
      <c r="L48" s="5"/>
      <c r="M48" s="5"/>
    </row>
    <row r="49" spans="12:13" x14ac:dyDescent="0.2">
      <c r="L49" s="5"/>
      <c r="M49" s="5"/>
    </row>
    <row r="50" spans="12:13" x14ac:dyDescent="0.2">
      <c r="L50" s="5"/>
      <c r="M50" s="5"/>
    </row>
    <row r="51" spans="12:13" x14ac:dyDescent="0.2">
      <c r="L51" s="5"/>
      <c r="M51" s="5"/>
    </row>
    <row r="52" spans="12:13" x14ac:dyDescent="0.2">
      <c r="L52" s="5"/>
      <c r="M52" s="5"/>
    </row>
    <row r="53" spans="12:13" x14ac:dyDescent="0.2">
      <c r="L53" s="5"/>
      <c r="M53" s="5"/>
    </row>
    <row r="54" spans="12:13" x14ac:dyDescent="0.2">
      <c r="L54" s="5"/>
      <c r="M54" s="5"/>
    </row>
    <row r="55" spans="12:13" x14ac:dyDescent="0.2">
      <c r="L55" s="5"/>
      <c r="M55" s="5"/>
    </row>
    <row r="56" spans="12:13" x14ac:dyDescent="0.2">
      <c r="L56" s="5"/>
      <c r="M56" s="5"/>
    </row>
    <row r="57" spans="12:13" x14ac:dyDescent="0.2">
      <c r="L57" s="44"/>
    </row>
    <row r="58" spans="12:13" x14ac:dyDescent="0.2">
      <c r="L58" s="5"/>
      <c r="M58" s="5"/>
    </row>
    <row r="59" spans="12:13" x14ac:dyDescent="0.2">
      <c r="L59" s="5"/>
      <c r="M59" s="5"/>
    </row>
    <row r="60" spans="12:13" x14ac:dyDescent="0.2">
      <c r="L60" s="5"/>
      <c r="M60" s="5"/>
    </row>
    <row r="61" spans="12:13" x14ac:dyDescent="0.2">
      <c r="L61" s="5"/>
      <c r="M61" s="5"/>
    </row>
    <row r="62" spans="12:13" x14ac:dyDescent="0.2">
      <c r="L62" s="5"/>
      <c r="M62" s="5"/>
    </row>
    <row r="63" spans="12:13" x14ac:dyDescent="0.2">
      <c r="L63" s="5"/>
      <c r="M63" s="5"/>
    </row>
    <row r="64" spans="12:13" x14ac:dyDescent="0.2">
      <c r="L64" s="5"/>
      <c r="M64" s="5"/>
    </row>
    <row r="65" spans="12:13" x14ac:dyDescent="0.2">
      <c r="L65" s="5"/>
      <c r="M65" s="5"/>
    </row>
    <row r="66" spans="12:13" x14ac:dyDescent="0.2">
      <c r="L66" s="5"/>
      <c r="M66" s="5"/>
    </row>
    <row r="67" spans="12:13" x14ac:dyDescent="0.2">
      <c r="L67" s="44"/>
    </row>
    <row r="68" spans="12:13" x14ac:dyDescent="0.2">
      <c r="L68" s="5"/>
      <c r="M68" s="5"/>
    </row>
    <row r="69" spans="12:13" x14ac:dyDescent="0.2">
      <c r="L69" s="5"/>
      <c r="M69" s="5"/>
    </row>
    <row r="70" spans="12:13" x14ac:dyDescent="0.2">
      <c r="L70" s="5"/>
      <c r="M70" s="5"/>
    </row>
    <row r="71" spans="12:13" x14ac:dyDescent="0.2">
      <c r="L71" s="5"/>
      <c r="M71" s="5"/>
    </row>
    <row r="72" spans="12:13" x14ac:dyDescent="0.2">
      <c r="L72" s="5"/>
      <c r="M72" s="5"/>
    </row>
    <row r="73" spans="12:13" x14ac:dyDescent="0.2">
      <c r="L73" s="5"/>
      <c r="M73" s="5"/>
    </row>
    <row r="74" spans="12:13" x14ac:dyDescent="0.2">
      <c r="L74" s="5"/>
      <c r="M74" s="5"/>
    </row>
    <row r="75" spans="12:13" x14ac:dyDescent="0.2">
      <c r="L75" s="5"/>
      <c r="M75" s="5"/>
    </row>
    <row r="76" spans="12:13" x14ac:dyDescent="0.2">
      <c r="L76" s="5"/>
      <c r="M76" s="5"/>
    </row>
    <row r="77" spans="12:13" x14ac:dyDescent="0.2">
      <c r="L77" s="44"/>
    </row>
    <row r="78" spans="12:13" x14ac:dyDescent="0.2">
      <c r="L78" s="5"/>
      <c r="M78" s="5"/>
    </row>
    <row r="79" spans="12:13" x14ac:dyDescent="0.2">
      <c r="L79" s="5"/>
      <c r="M79" s="5"/>
    </row>
    <row r="80" spans="12:13" x14ac:dyDescent="0.2">
      <c r="L80" s="5"/>
      <c r="M80" s="5"/>
    </row>
    <row r="81" spans="1:64" x14ac:dyDescent="0.2">
      <c r="L81" s="5"/>
      <c r="M81" s="5"/>
    </row>
    <row r="82" spans="1:64" x14ac:dyDescent="0.2">
      <c r="L82" s="5"/>
      <c r="M82" s="5"/>
    </row>
    <row r="83" spans="1:64" x14ac:dyDescent="0.2">
      <c r="L83" s="5"/>
      <c r="M83" s="5"/>
    </row>
    <row r="84" spans="1:64" x14ac:dyDescent="0.2">
      <c r="L84" s="5"/>
      <c r="M84" s="5"/>
    </row>
    <row r="85" spans="1:64" x14ac:dyDescent="0.2">
      <c r="L85" s="5"/>
      <c r="M85" s="5"/>
    </row>
    <row r="86" spans="1:64" x14ac:dyDescent="0.2">
      <c r="L86" s="5"/>
      <c r="M86" s="5"/>
    </row>
    <row r="87" spans="1:64" x14ac:dyDescent="0.2">
      <c r="L87" s="44"/>
    </row>
    <row r="88" spans="1:64"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spans="1:64"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sheetData>
  <mergeCells count="8">
    <mergeCell ref="D5:F5"/>
    <mergeCell ref="A20:J20"/>
    <mergeCell ref="L18:S19"/>
    <mergeCell ref="H6:H8"/>
    <mergeCell ref="F7:F8"/>
    <mergeCell ref="E7:E8"/>
    <mergeCell ref="D7:D8"/>
    <mergeCell ref="C7: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94"/>
  <sheetViews>
    <sheetView zoomScaleNormal="100" workbookViewId="0"/>
  </sheetViews>
  <sheetFormatPr baseColWidth="10" defaultColWidth="10.83203125" defaultRowHeight="16" outlineLevelCol="1" x14ac:dyDescent="0.2"/>
  <cols>
    <col min="1" max="1" width="4.6640625" style="24" customWidth="1"/>
    <col min="2" max="3" width="10.83203125" style="24" customWidth="1"/>
    <col min="4" max="4" width="12.1640625" style="24" bestFit="1" customWidth="1"/>
    <col min="5" max="7" width="11" style="24" bestFit="1" customWidth="1"/>
    <col min="8" max="10" width="10.83203125" style="24"/>
    <col min="11" max="11" width="11.5" style="24" bestFit="1" customWidth="1"/>
    <col min="12" max="12" width="10.83203125" style="24" hidden="1" customWidth="1" outlineLevel="1"/>
    <col min="13" max="13" width="12.83203125" style="24" hidden="1" customWidth="1" outlineLevel="1"/>
    <col min="14" max="19" width="10.83203125" style="24" hidden="1" customWidth="1" outlineLevel="1"/>
    <col min="20" max="20" width="10.83203125" style="24" collapsed="1"/>
    <col min="21" max="16384" width="10.83203125" style="24"/>
  </cols>
  <sheetData>
    <row r="1" spans="1:18" ht="19" x14ac:dyDescent="0.25">
      <c r="A1" s="1" t="s">
        <v>84</v>
      </c>
      <c r="B1" s="12"/>
      <c r="C1" s="21"/>
      <c r="D1" s="21"/>
      <c r="E1" s="21"/>
      <c r="F1" s="22"/>
      <c r="G1" s="22"/>
      <c r="H1" s="22"/>
      <c r="I1" s="22"/>
      <c r="J1" s="23"/>
      <c r="K1" s="3" t="s">
        <v>77</v>
      </c>
    </row>
    <row r="2" spans="1:18" x14ac:dyDescent="0.2">
      <c r="A2" s="2"/>
      <c r="B2" s="22"/>
      <c r="C2" s="22"/>
      <c r="D2" s="22"/>
      <c r="E2" s="22"/>
      <c r="F2" s="22"/>
      <c r="G2" s="22"/>
      <c r="H2" s="22"/>
      <c r="I2" s="22"/>
      <c r="J2" s="23"/>
      <c r="L2" s="4" t="s">
        <v>2</v>
      </c>
      <c r="N2" s="44"/>
    </row>
    <row r="3" spans="1:18" x14ac:dyDescent="0.2">
      <c r="A3" s="2"/>
      <c r="B3" s="22" t="s">
        <v>20</v>
      </c>
      <c r="C3" s="22"/>
      <c r="D3" s="22"/>
      <c r="E3" s="22"/>
      <c r="F3" s="22"/>
      <c r="G3" s="22"/>
      <c r="H3" s="22"/>
      <c r="I3" s="22"/>
      <c r="J3" s="23"/>
      <c r="M3" s="24" t="s">
        <v>59</v>
      </c>
      <c r="N3" s="29">
        <f>SUM(D19:G19)</f>
        <v>0.75700000000000001</v>
      </c>
    </row>
    <row r="4" spans="1:18" x14ac:dyDescent="0.2">
      <c r="A4" s="2"/>
      <c r="B4" s="22"/>
      <c r="C4" s="22"/>
      <c r="D4" s="22"/>
      <c r="E4" s="22"/>
      <c r="F4" s="22"/>
      <c r="G4" s="22"/>
      <c r="H4" s="22"/>
      <c r="I4" s="22"/>
      <c r="J4" s="23"/>
    </row>
    <row r="5" spans="1:18" x14ac:dyDescent="0.2">
      <c r="A5" s="2"/>
      <c r="B5" s="22"/>
      <c r="C5" s="22"/>
      <c r="D5" s="263" t="s">
        <v>10</v>
      </c>
      <c r="E5" s="263"/>
      <c r="F5" s="263"/>
      <c r="G5" s="22"/>
      <c r="H5" s="22"/>
      <c r="I5" s="22"/>
      <c r="J5" s="23"/>
      <c r="M5" s="69" t="s">
        <v>96</v>
      </c>
    </row>
    <row r="6" spans="1:18" x14ac:dyDescent="0.2">
      <c r="A6" s="2"/>
      <c r="B6" s="22"/>
      <c r="C6" s="272" t="s">
        <v>5</v>
      </c>
      <c r="D6" s="20"/>
      <c r="E6" s="20"/>
      <c r="F6" s="20"/>
      <c r="G6" s="22"/>
      <c r="H6" s="22"/>
      <c r="I6" s="22"/>
      <c r="J6" s="23"/>
      <c r="M6" s="69"/>
    </row>
    <row r="7" spans="1:18" ht="17" x14ac:dyDescent="0.2">
      <c r="A7" s="2"/>
      <c r="B7" s="22"/>
      <c r="C7" s="273"/>
      <c r="D7" s="13" t="s">
        <v>16</v>
      </c>
      <c r="E7" s="13" t="s">
        <v>17</v>
      </c>
      <c r="F7" s="13" t="s">
        <v>18</v>
      </c>
      <c r="G7" s="13" t="s">
        <v>19</v>
      </c>
      <c r="H7" s="22"/>
      <c r="I7" s="22"/>
      <c r="J7" s="23"/>
      <c r="M7" s="24" t="s">
        <v>60</v>
      </c>
      <c r="N7" s="46">
        <f>D19/N3</f>
        <v>0.40845442536327603</v>
      </c>
    </row>
    <row r="8" spans="1:18" x14ac:dyDescent="0.2">
      <c r="A8" s="2"/>
      <c r="B8" s="22"/>
      <c r="C8" s="17">
        <v>2013</v>
      </c>
      <c r="D8" s="6">
        <v>2580</v>
      </c>
      <c r="E8" s="6">
        <v>1670</v>
      </c>
      <c r="F8" s="6">
        <v>1840</v>
      </c>
      <c r="G8" s="7">
        <v>310</v>
      </c>
      <c r="H8" s="22"/>
      <c r="I8" s="22"/>
      <c r="J8" s="23"/>
      <c r="M8" s="24" t="s">
        <v>61</v>
      </c>
      <c r="N8" s="46">
        <f>1-N7</f>
        <v>0.59154557463672397</v>
      </c>
    </row>
    <row r="9" spans="1:18" x14ac:dyDescent="0.2">
      <c r="A9" s="2"/>
      <c r="B9" s="22"/>
      <c r="C9" s="17">
        <v>2014</v>
      </c>
      <c r="D9" s="6">
        <v>2350</v>
      </c>
      <c r="E9" s="6">
        <v>2890</v>
      </c>
      <c r="F9" s="6">
        <v>1070</v>
      </c>
      <c r="G9" s="7"/>
      <c r="H9" s="22"/>
      <c r="I9" s="22"/>
      <c r="J9" s="23"/>
      <c r="M9" s="24" t="s">
        <v>62</v>
      </c>
      <c r="N9" s="57">
        <f>N8*D11/N7</f>
        <v>5952.3221216041411</v>
      </c>
    </row>
    <row r="10" spans="1:18" x14ac:dyDescent="0.2">
      <c r="A10" s="2"/>
      <c r="B10" s="22"/>
      <c r="C10" s="17">
        <v>2015</v>
      </c>
      <c r="D10" s="6">
        <v>2640</v>
      </c>
      <c r="E10" s="6">
        <v>2560</v>
      </c>
      <c r="F10" s="7"/>
      <c r="G10" s="7"/>
      <c r="H10" s="22"/>
      <c r="I10" s="22"/>
      <c r="J10" s="23"/>
      <c r="M10" s="24" t="s">
        <v>63</v>
      </c>
      <c r="N10" s="57">
        <f>D15/1000*N8*N3</f>
        <v>4419.786000000001</v>
      </c>
      <c r="O10" s="46"/>
      <c r="P10" s="46"/>
      <c r="Q10" s="46"/>
      <c r="R10" s="46"/>
    </row>
    <row r="11" spans="1:18" x14ac:dyDescent="0.2">
      <c r="A11" s="2"/>
      <c r="B11" s="22"/>
      <c r="C11" s="17">
        <v>2016</v>
      </c>
      <c r="D11" s="6">
        <v>4110</v>
      </c>
      <c r="E11" s="22"/>
      <c r="F11" s="22"/>
      <c r="G11" s="22"/>
      <c r="H11" s="22"/>
      <c r="I11" s="22"/>
      <c r="J11" s="23"/>
      <c r="N11" s="44"/>
      <c r="O11" s="44"/>
      <c r="P11" s="44"/>
    </row>
    <row r="12" spans="1:18" x14ac:dyDescent="0.2">
      <c r="A12" s="2"/>
      <c r="B12" s="22"/>
      <c r="C12" s="22"/>
      <c r="D12" s="22"/>
      <c r="E12" s="22"/>
      <c r="F12" s="22"/>
      <c r="G12" s="22"/>
      <c r="H12" s="22"/>
      <c r="I12" s="22"/>
      <c r="J12" s="23"/>
      <c r="M12" s="24" t="s">
        <v>64</v>
      </c>
      <c r="N12" s="44"/>
      <c r="O12" s="44"/>
      <c r="P12" s="44"/>
    </row>
    <row r="13" spans="1:18" x14ac:dyDescent="0.2">
      <c r="A13" s="2"/>
      <c r="B13" s="58" t="s">
        <v>79</v>
      </c>
      <c r="C13" s="22"/>
      <c r="D13" s="22"/>
      <c r="E13" s="22"/>
      <c r="F13" s="22"/>
      <c r="G13" s="22"/>
      <c r="H13" s="22"/>
      <c r="I13" s="22"/>
      <c r="J13" s="23"/>
      <c r="N13" s="29"/>
      <c r="O13" s="29"/>
      <c r="P13" s="29"/>
      <c r="Q13" s="29"/>
      <c r="R13" s="50"/>
    </row>
    <row r="14" spans="1:18" x14ac:dyDescent="0.2">
      <c r="A14" s="2"/>
      <c r="B14" s="22"/>
      <c r="C14" s="22"/>
      <c r="D14" s="22"/>
      <c r="E14" s="22"/>
      <c r="F14" s="22"/>
      <c r="G14" s="22"/>
      <c r="H14" s="22"/>
      <c r="I14" s="22"/>
      <c r="J14" s="23"/>
      <c r="M14" s="24" t="s">
        <v>65</v>
      </c>
      <c r="N14" s="29">
        <f>N7/SUM(N7+SQRT(N7))</f>
        <v>0.38991073163507201</v>
      </c>
    </row>
    <row r="15" spans="1:18" ht="17" thickBot="1" x14ac:dyDescent="0.25">
      <c r="A15" s="2"/>
      <c r="B15" s="22" t="s">
        <v>21</v>
      </c>
      <c r="C15" s="22"/>
      <c r="D15" s="59">
        <v>9870000</v>
      </c>
      <c r="E15" s="22"/>
      <c r="F15" s="22"/>
      <c r="G15" s="22"/>
      <c r="H15" s="22"/>
      <c r="I15" s="22"/>
      <c r="J15" s="23"/>
    </row>
    <row r="16" spans="1:18" ht="17" thickBot="1" x14ac:dyDescent="0.25">
      <c r="A16" s="2"/>
      <c r="B16" s="22"/>
      <c r="C16" s="22"/>
      <c r="D16" s="22"/>
      <c r="E16" s="22"/>
      <c r="F16" s="22"/>
      <c r="G16" s="22"/>
      <c r="H16" s="22"/>
      <c r="I16" s="22"/>
      <c r="J16" s="23"/>
      <c r="M16" s="80" t="s">
        <v>66</v>
      </c>
      <c r="N16" s="81">
        <f>$N$14*$N$9+(1-$N$14)*$N$10</f>
        <v>5017.3382804318462</v>
      </c>
      <c r="O16" s="60" t="s">
        <v>67</v>
      </c>
    </row>
    <row r="17" spans="1:19" x14ac:dyDescent="0.2">
      <c r="A17" s="2"/>
      <c r="B17" s="22"/>
      <c r="C17" s="22"/>
      <c r="D17" s="263" t="s">
        <v>420</v>
      </c>
      <c r="E17" s="263"/>
      <c r="F17" s="263"/>
      <c r="G17" s="22"/>
      <c r="H17" s="22"/>
      <c r="I17" s="22"/>
      <c r="J17" s="23"/>
      <c r="N17" s="44"/>
    </row>
    <row r="18" spans="1:19" ht="25" customHeight="1" x14ac:dyDescent="0.2">
      <c r="A18" s="2"/>
      <c r="B18" s="22"/>
      <c r="C18" s="18"/>
      <c r="D18" s="13" t="s">
        <v>16</v>
      </c>
      <c r="E18" s="13" t="s">
        <v>17</v>
      </c>
      <c r="F18" s="13" t="s">
        <v>18</v>
      </c>
      <c r="G18" s="13" t="s">
        <v>19</v>
      </c>
      <c r="H18" s="22"/>
      <c r="I18" s="22"/>
      <c r="J18" s="23"/>
      <c r="L18" s="4" t="s">
        <v>3</v>
      </c>
    </row>
    <row r="19" spans="1:19" ht="17" x14ac:dyDescent="0.2">
      <c r="A19" s="2"/>
      <c r="B19" s="22"/>
      <c r="C19" s="17" t="s">
        <v>23</v>
      </c>
      <c r="D19" s="8">
        <v>0.30919999999999997</v>
      </c>
      <c r="E19" s="8">
        <v>0.25509999999999999</v>
      </c>
      <c r="F19" s="8">
        <v>0.1583</v>
      </c>
      <c r="G19" s="7">
        <v>3.44E-2</v>
      </c>
      <c r="H19" s="22"/>
      <c r="I19" s="22"/>
      <c r="J19" s="23"/>
      <c r="M19" s="24" t="s">
        <v>68</v>
      </c>
      <c r="N19" s="24">
        <v>1.25</v>
      </c>
    </row>
    <row r="20" spans="1:19" x14ac:dyDescent="0.2">
      <c r="A20" s="2"/>
      <c r="B20" s="22"/>
      <c r="C20" s="22"/>
      <c r="D20" s="22"/>
      <c r="E20" s="22"/>
      <c r="F20" s="22"/>
      <c r="G20" s="22"/>
      <c r="H20" s="22"/>
      <c r="I20" s="22"/>
      <c r="J20" s="23"/>
      <c r="M20" s="24" t="s">
        <v>69</v>
      </c>
      <c r="N20" s="46">
        <f>(N19-1+SQRT((N19+1)*(N19-1+2*N7)))/2</f>
        <v>0.89968459939105894</v>
      </c>
    </row>
    <row r="21" spans="1:19" x14ac:dyDescent="0.2">
      <c r="A21" s="2"/>
      <c r="B21" s="58" t="s">
        <v>80</v>
      </c>
      <c r="C21" s="22"/>
      <c r="D21" s="22"/>
      <c r="E21" s="22"/>
      <c r="F21" s="22"/>
      <c r="G21" s="22"/>
      <c r="H21" s="22"/>
      <c r="I21" s="22"/>
      <c r="J21" s="23"/>
    </row>
    <row r="22" spans="1:19" x14ac:dyDescent="0.2">
      <c r="A22" s="2"/>
      <c r="B22" s="22" t="s">
        <v>24</v>
      </c>
      <c r="C22" s="22"/>
      <c r="D22" s="22"/>
      <c r="E22" s="22"/>
      <c r="F22" s="22"/>
      <c r="G22" s="22"/>
      <c r="H22" s="22"/>
      <c r="I22" s="22"/>
      <c r="J22" s="23"/>
      <c r="M22" s="24" t="s">
        <v>65</v>
      </c>
      <c r="N22" s="29">
        <f>N7/SUM(N7+N20)</f>
        <v>0.31224083804088232</v>
      </c>
    </row>
    <row r="23" spans="1:19" x14ac:dyDescent="0.2">
      <c r="A23" s="2"/>
      <c r="B23" s="22"/>
      <c r="C23" s="22"/>
      <c r="D23" s="22"/>
      <c r="E23" s="22"/>
      <c r="F23" s="22"/>
      <c r="G23" s="22"/>
      <c r="H23" s="22"/>
      <c r="I23" s="22"/>
      <c r="J23" s="23"/>
      <c r="M23" s="24" t="s">
        <v>66</v>
      </c>
      <c r="N23" s="57">
        <f>$N$22*$N$9+(1-$N$22)*$N$10</f>
        <v>4898.3063629376011</v>
      </c>
      <c r="O23" s="60" t="s">
        <v>67</v>
      </c>
    </row>
    <row r="24" spans="1:19" ht="17" thickBot="1" x14ac:dyDescent="0.25">
      <c r="A24" s="2"/>
      <c r="B24" s="22"/>
      <c r="C24" s="22"/>
      <c r="D24" s="22"/>
      <c r="E24" s="22"/>
      <c r="F24" s="22"/>
      <c r="G24" s="22"/>
      <c r="H24" s="22"/>
      <c r="I24" s="22"/>
      <c r="J24" s="23"/>
    </row>
    <row r="25" spans="1:19" ht="17" thickBot="1" x14ac:dyDescent="0.25">
      <c r="A25" s="22" t="s">
        <v>0</v>
      </c>
      <c r="B25" s="22" t="s">
        <v>25</v>
      </c>
      <c r="C25" s="22"/>
      <c r="D25" s="22"/>
      <c r="E25" s="22"/>
      <c r="F25" s="22"/>
      <c r="G25" s="22"/>
      <c r="H25" s="22"/>
      <c r="I25" s="22"/>
      <c r="J25" s="23"/>
      <c r="L25" s="11"/>
      <c r="M25" s="80" t="s">
        <v>70</v>
      </c>
      <c r="N25" s="82">
        <f>N23/N16-1</f>
        <v>-2.3724116422144004E-2</v>
      </c>
    </row>
    <row r="26" spans="1:19" x14ac:dyDescent="0.2">
      <c r="A26" s="2"/>
      <c r="B26" s="22"/>
      <c r="C26" s="22"/>
      <c r="D26" s="22"/>
      <c r="E26" s="22"/>
      <c r="F26" s="22"/>
      <c r="G26" s="22"/>
      <c r="H26" s="22"/>
      <c r="I26" s="22"/>
      <c r="J26" s="23"/>
    </row>
    <row r="27" spans="1:19" x14ac:dyDescent="0.2">
      <c r="A27" s="22" t="s">
        <v>1</v>
      </c>
      <c r="B27" s="22" t="s">
        <v>26</v>
      </c>
      <c r="C27" s="22"/>
      <c r="D27" s="22"/>
      <c r="E27" s="22"/>
      <c r="F27" s="22"/>
      <c r="G27" s="22"/>
      <c r="H27" s="22"/>
      <c r="I27" s="22"/>
      <c r="J27" s="23"/>
      <c r="M27" s="269" t="s">
        <v>81</v>
      </c>
      <c r="N27" s="269"/>
      <c r="O27" s="269"/>
      <c r="P27" s="269"/>
      <c r="Q27" s="269"/>
      <c r="R27" s="269"/>
      <c r="S27" s="269"/>
    </row>
    <row r="28" spans="1:19" x14ac:dyDescent="0.2">
      <c r="A28" s="2"/>
      <c r="B28" s="22" t="s">
        <v>27</v>
      </c>
      <c r="C28" s="22"/>
      <c r="D28" s="22"/>
      <c r="E28" s="22"/>
      <c r="F28" s="22"/>
      <c r="G28" s="22"/>
      <c r="H28" s="22"/>
      <c r="I28" s="22"/>
      <c r="J28" s="23"/>
      <c r="M28" s="269"/>
      <c r="N28" s="269"/>
      <c r="O28" s="269"/>
      <c r="P28" s="269"/>
      <c r="Q28" s="269"/>
      <c r="R28" s="269"/>
      <c r="S28" s="269"/>
    </row>
    <row r="29" spans="1:19" ht="17" thickBot="1" x14ac:dyDescent="0.25">
      <c r="A29" s="2"/>
      <c r="B29" s="22"/>
      <c r="C29" s="22"/>
      <c r="D29" s="22"/>
      <c r="E29" s="22"/>
      <c r="F29" s="22"/>
      <c r="G29" s="22"/>
      <c r="H29" s="22"/>
      <c r="I29" s="22"/>
      <c r="J29" s="23"/>
    </row>
    <row r="30" spans="1:19" ht="20" thickBot="1" x14ac:dyDescent="0.3">
      <c r="A30" s="264" t="s">
        <v>76</v>
      </c>
      <c r="B30" s="265"/>
      <c r="C30" s="265"/>
      <c r="D30" s="265"/>
      <c r="E30" s="265"/>
      <c r="F30" s="265"/>
      <c r="G30" s="265"/>
      <c r="H30" s="265"/>
      <c r="I30" s="265"/>
      <c r="J30" s="266"/>
      <c r="L30" s="3" t="s">
        <v>57</v>
      </c>
    </row>
    <row r="31" spans="1:19" ht="16" customHeight="1" x14ac:dyDescent="0.2">
      <c r="L31" s="274" t="s">
        <v>98</v>
      </c>
      <c r="M31" s="274"/>
      <c r="N31" s="274"/>
      <c r="O31" s="274"/>
      <c r="P31" s="274"/>
      <c r="Q31" s="274"/>
      <c r="R31" s="274"/>
    </row>
    <row r="32" spans="1:19" ht="19" x14ac:dyDescent="0.25">
      <c r="A32" s="3"/>
      <c r="L32" s="274"/>
      <c r="M32" s="274"/>
      <c r="N32" s="274"/>
      <c r="O32" s="274"/>
      <c r="P32" s="274"/>
      <c r="Q32" s="274"/>
      <c r="R32" s="274"/>
    </row>
    <row r="33" spans="12:18" x14ac:dyDescent="0.2">
      <c r="L33" s="274"/>
      <c r="M33" s="274"/>
      <c r="N33" s="274"/>
      <c r="O33" s="274"/>
      <c r="P33" s="274"/>
      <c r="Q33" s="274"/>
      <c r="R33" s="274"/>
    </row>
    <row r="36" spans="12:18" ht="19" x14ac:dyDescent="0.25">
      <c r="L36" s="3" t="s">
        <v>93</v>
      </c>
    </row>
    <row r="37" spans="12:18" x14ac:dyDescent="0.2">
      <c r="L37" s="69" t="s">
        <v>94</v>
      </c>
    </row>
    <row r="38" spans="12:18" x14ac:dyDescent="0.2">
      <c r="L38" s="69" t="s">
        <v>95</v>
      </c>
    </row>
    <row r="50" spans="12:14" x14ac:dyDescent="0.2">
      <c r="M50" s="44"/>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44"/>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44"/>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44"/>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A91" s="5"/>
      <c r="B91" s="5"/>
      <c r="C91" s="5"/>
      <c r="D91" s="5"/>
      <c r="E91" s="5"/>
      <c r="F91" s="5"/>
      <c r="G91" s="5"/>
      <c r="H91" s="5"/>
      <c r="I91" s="5"/>
      <c r="J91" s="5"/>
      <c r="M91" s="44"/>
    </row>
    <row r="92" spans="1:65" x14ac:dyDescent="0.2">
      <c r="A92" s="5"/>
      <c r="B92" s="5"/>
      <c r="C92" s="5"/>
      <c r="D92" s="5"/>
      <c r="E92" s="5"/>
      <c r="F92" s="5"/>
      <c r="G92" s="5"/>
      <c r="H92" s="5"/>
      <c r="I92" s="5"/>
      <c r="J92" s="5"/>
      <c r="L92" s="5"/>
      <c r="M92" s="5"/>
      <c r="N92" s="5"/>
      <c r="O92" s="5"/>
      <c r="P92" s="5"/>
      <c r="Q92" s="5"/>
      <c r="R92" s="5"/>
      <c r="S92" s="5"/>
      <c r="T92" s="5"/>
      <c r="U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1:65"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1:65" x14ac:dyDescent="0.2">
      <c r="K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sheetData>
  <mergeCells count="6">
    <mergeCell ref="L31:R33"/>
    <mergeCell ref="D5:F5"/>
    <mergeCell ref="D17:F17"/>
    <mergeCell ref="A30:J30"/>
    <mergeCell ref="M27:S28"/>
    <mergeCell ref="C6:C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82"/>
  <sheetViews>
    <sheetView zoomScaleNormal="100" workbookViewId="0"/>
  </sheetViews>
  <sheetFormatPr baseColWidth="10" defaultColWidth="10.83203125" defaultRowHeight="16" outlineLevelCol="1" x14ac:dyDescent="0.2"/>
  <cols>
    <col min="1" max="1" width="4.6640625" style="24" customWidth="1"/>
    <col min="2" max="2" width="10.83203125" style="24"/>
    <col min="3" max="3" width="10.83203125" style="24" customWidth="1"/>
    <col min="4" max="6" width="10.83203125" style="24"/>
    <col min="7" max="7" width="10.83203125" style="24" customWidth="1"/>
    <col min="8" max="8" width="10.83203125" style="24"/>
    <col min="9" max="9" width="10.83203125" style="24" customWidth="1"/>
    <col min="10" max="10" width="10.83203125" style="24"/>
    <col min="11" max="11" width="11.5" style="24" bestFit="1" customWidth="1"/>
    <col min="12" max="21" width="10.83203125" style="24" hidden="1" customWidth="1" outlineLevel="1"/>
    <col min="22" max="22" width="10.83203125" style="24" collapsed="1"/>
    <col min="23" max="16384" width="10.83203125" style="24"/>
  </cols>
  <sheetData>
    <row r="1" spans="1:20" ht="19" x14ac:dyDescent="0.25">
      <c r="A1" s="1" t="s">
        <v>85</v>
      </c>
      <c r="B1" s="12"/>
      <c r="C1" s="21"/>
      <c r="D1" s="21"/>
      <c r="E1" s="21"/>
      <c r="F1" s="22"/>
      <c r="G1" s="22"/>
      <c r="H1" s="22"/>
      <c r="I1" s="22"/>
      <c r="J1" s="23"/>
      <c r="K1" s="3" t="s">
        <v>77</v>
      </c>
    </row>
    <row r="2" spans="1:20" x14ac:dyDescent="0.2">
      <c r="A2" s="2"/>
      <c r="B2" s="22"/>
      <c r="C2" s="22"/>
      <c r="D2" s="22"/>
      <c r="E2" s="22"/>
      <c r="F2" s="22"/>
      <c r="G2" s="22"/>
      <c r="H2" s="22"/>
      <c r="I2" s="22"/>
      <c r="J2" s="23"/>
      <c r="L2" s="24" t="s">
        <v>53</v>
      </c>
      <c r="M2" s="44"/>
    </row>
    <row r="3" spans="1:20" x14ac:dyDescent="0.2">
      <c r="A3" s="2"/>
      <c r="B3" s="22" t="s">
        <v>4</v>
      </c>
      <c r="C3" s="22"/>
      <c r="D3" s="22"/>
      <c r="E3" s="22"/>
      <c r="F3" s="22"/>
      <c r="G3" s="22"/>
      <c r="H3" s="22"/>
      <c r="I3" s="22"/>
      <c r="J3" s="23"/>
      <c r="M3" s="46"/>
      <c r="N3" s="46"/>
      <c r="O3" s="46"/>
      <c r="P3" s="46"/>
      <c r="Q3" s="46"/>
    </row>
    <row r="4" spans="1:20" x14ac:dyDescent="0.2">
      <c r="A4" s="2"/>
      <c r="B4" s="22"/>
      <c r="C4" s="22"/>
      <c r="D4" s="22"/>
      <c r="E4" s="22"/>
      <c r="F4" s="22"/>
      <c r="G4" s="22"/>
      <c r="H4" s="22"/>
      <c r="I4" s="22"/>
      <c r="J4" s="23"/>
      <c r="L4" s="47"/>
      <c r="M4" s="48" t="s">
        <v>54</v>
      </c>
      <c r="N4" s="48" t="s">
        <v>55</v>
      </c>
      <c r="O4" s="48" t="s">
        <v>56</v>
      </c>
      <c r="P4" s="48" t="s">
        <v>31</v>
      </c>
      <c r="Q4" s="46"/>
    </row>
    <row r="5" spans="1:20" ht="34" x14ac:dyDescent="0.2">
      <c r="A5" s="2"/>
      <c r="B5" s="16" t="s">
        <v>5</v>
      </c>
      <c r="C5" s="14" t="s">
        <v>16</v>
      </c>
      <c r="D5" s="14" t="s">
        <v>17</v>
      </c>
      <c r="E5" s="14" t="s">
        <v>18</v>
      </c>
      <c r="F5" s="14" t="s">
        <v>19</v>
      </c>
      <c r="G5" s="14"/>
      <c r="H5" s="14" t="s">
        <v>28</v>
      </c>
      <c r="I5" s="22"/>
      <c r="J5" s="23"/>
      <c r="L5" s="31" t="s">
        <v>38</v>
      </c>
      <c r="M5" s="49">
        <f>N5*C12</f>
        <v>1.682180888</v>
      </c>
      <c r="N5" s="49">
        <f>O5*D12</f>
        <v>1.109618</v>
      </c>
      <c r="O5" s="49">
        <f>P5*E12</f>
        <v>1.006</v>
      </c>
      <c r="P5" s="49">
        <f>F12</f>
        <v>1</v>
      </c>
    </row>
    <row r="6" spans="1:20" x14ac:dyDescent="0.2">
      <c r="A6" s="2"/>
      <c r="B6" s="17">
        <v>2013</v>
      </c>
      <c r="C6" s="6">
        <v>4210</v>
      </c>
      <c r="D6" s="6">
        <v>6370</v>
      </c>
      <c r="E6" s="6">
        <v>7090</v>
      </c>
      <c r="F6" s="6">
        <v>7130</v>
      </c>
      <c r="G6" s="7"/>
      <c r="H6" s="6">
        <v>9200</v>
      </c>
      <c r="I6" s="22"/>
      <c r="J6" s="23"/>
      <c r="L6" s="31" t="s">
        <v>48</v>
      </c>
      <c r="M6" s="33">
        <f>1/M5</f>
        <v>0.59446639010917124</v>
      </c>
      <c r="N6" s="33">
        <f>1/N5</f>
        <v>0.90121104740550351</v>
      </c>
      <c r="O6" s="33">
        <f>1/O5</f>
        <v>0.99403578528827041</v>
      </c>
      <c r="P6" s="33">
        <f>1/P5</f>
        <v>1</v>
      </c>
      <c r="Q6" s="50"/>
    </row>
    <row r="7" spans="1:20" x14ac:dyDescent="0.2">
      <c r="A7" s="2"/>
      <c r="B7" s="17">
        <v>2014</v>
      </c>
      <c r="C7" s="6">
        <v>4460</v>
      </c>
      <c r="D7" s="6">
        <v>6890</v>
      </c>
      <c r="E7" s="6">
        <v>7540</v>
      </c>
      <c r="F7" s="7"/>
      <c r="G7" s="7"/>
      <c r="H7" s="6">
        <v>9500</v>
      </c>
      <c r="I7" s="22"/>
      <c r="J7" s="23"/>
    </row>
    <row r="8" spans="1:20" x14ac:dyDescent="0.2">
      <c r="A8" s="2"/>
      <c r="B8" s="17">
        <v>2015</v>
      </c>
      <c r="C8" s="6">
        <v>4870</v>
      </c>
      <c r="D8" s="6">
        <v>7260</v>
      </c>
      <c r="E8" s="7"/>
      <c r="F8" s="7"/>
      <c r="G8" s="7"/>
      <c r="H8" s="6">
        <v>10300</v>
      </c>
      <c r="I8" s="22"/>
      <c r="J8" s="23"/>
      <c r="L8" s="25" t="s">
        <v>45</v>
      </c>
      <c r="M8" s="30" t="s">
        <v>39</v>
      </c>
      <c r="N8" s="27" t="s">
        <v>48</v>
      </c>
      <c r="O8" s="27" t="s">
        <v>49</v>
      </c>
      <c r="P8" s="27" t="s">
        <v>42</v>
      </c>
      <c r="Q8" s="27" t="s">
        <v>46</v>
      </c>
      <c r="R8" s="25" t="s">
        <v>47</v>
      </c>
      <c r="S8" s="51" t="s">
        <v>50</v>
      </c>
      <c r="T8" s="27" t="s">
        <v>51</v>
      </c>
    </row>
    <row r="9" spans="1:20" x14ac:dyDescent="0.2">
      <c r="A9" s="2"/>
      <c r="B9" s="17">
        <v>2016</v>
      </c>
      <c r="C9" s="6">
        <v>4780</v>
      </c>
      <c r="D9" s="7"/>
      <c r="E9" s="7"/>
      <c r="F9" s="7"/>
      <c r="G9" s="7"/>
      <c r="H9" s="6">
        <v>10400</v>
      </c>
      <c r="I9" s="22"/>
      <c r="J9" s="23"/>
      <c r="L9" s="28">
        <f>B6</f>
        <v>2013</v>
      </c>
      <c r="M9" s="38">
        <f>H6</f>
        <v>9200</v>
      </c>
      <c r="N9" s="29">
        <f>P6</f>
        <v>1</v>
      </c>
      <c r="O9" s="39">
        <f>1-N9</f>
        <v>0</v>
      </c>
      <c r="P9" s="38">
        <f>F6</f>
        <v>7130</v>
      </c>
      <c r="Q9" s="41">
        <f>O9*P9/N9</f>
        <v>0</v>
      </c>
      <c r="R9" s="52">
        <f>H6*D18*O9</f>
        <v>0</v>
      </c>
      <c r="S9" s="29">
        <f>N9/(N9+SQRT(N9))</f>
        <v>0.5</v>
      </c>
      <c r="T9" s="53">
        <f>S9*$Q9+(1-S9)*$R9</f>
        <v>0</v>
      </c>
    </row>
    <row r="10" spans="1:20" ht="17" thickBot="1" x14ac:dyDescent="0.25">
      <c r="A10" s="2"/>
      <c r="B10" s="7"/>
      <c r="C10" s="7"/>
      <c r="D10" s="7"/>
      <c r="E10" s="7"/>
      <c r="F10" s="7"/>
      <c r="G10" s="7"/>
      <c r="H10" s="7"/>
      <c r="I10" s="22"/>
      <c r="J10" s="23"/>
      <c r="L10" s="28">
        <f>B7</f>
        <v>2014</v>
      </c>
      <c r="M10" s="38">
        <f>H7</f>
        <v>9500</v>
      </c>
      <c r="N10" s="29">
        <f>O6</f>
        <v>0.99403578528827041</v>
      </c>
      <c r="O10" s="39">
        <f>1-N10</f>
        <v>5.9642147117295874E-3</v>
      </c>
      <c r="P10" s="38">
        <f>E7</f>
        <v>7540</v>
      </c>
      <c r="Q10" s="40">
        <f>O10*P10/N10</f>
        <v>45.239999999999732</v>
      </c>
      <c r="R10" s="54">
        <f>H7*D19*O10</f>
        <v>42.49502982107331</v>
      </c>
      <c r="S10" s="29">
        <f t="shared" ref="S10" si="0">N10/(N10+SQRT(N10))</f>
        <v>0.49925224159777881</v>
      </c>
      <c r="T10" s="43">
        <f>S10*$Q10+(1-S10)*$R10</f>
        <v>43.86546233602138</v>
      </c>
    </row>
    <row r="11" spans="1:20" ht="17" x14ac:dyDescent="0.2">
      <c r="A11" s="2"/>
      <c r="B11" s="16"/>
      <c r="C11" s="15" t="s">
        <v>33</v>
      </c>
      <c r="D11" s="14" t="s">
        <v>29</v>
      </c>
      <c r="E11" s="14" t="s">
        <v>30</v>
      </c>
      <c r="F11" s="14" t="s">
        <v>31</v>
      </c>
      <c r="G11" s="7"/>
      <c r="H11" s="7"/>
      <c r="I11" s="22"/>
      <c r="J11" s="23"/>
      <c r="L11" s="28">
        <f>B8</f>
        <v>2015</v>
      </c>
      <c r="M11" s="38">
        <f>H8</f>
        <v>10300</v>
      </c>
      <c r="N11" s="29">
        <f>N6</f>
        <v>0.90121104740550351</v>
      </c>
      <c r="O11" s="39">
        <f>1-N11</f>
        <v>9.8788952594496493E-2</v>
      </c>
      <c r="P11" s="38">
        <f>D8</f>
        <v>7260</v>
      </c>
      <c r="Q11" s="41">
        <f>O11*P11/N11</f>
        <v>795.82668000000001</v>
      </c>
      <c r="R11" s="52">
        <f>H8*D20*O11</f>
        <v>793.67044514418478</v>
      </c>
      <c r="S11" s="29">
        <f>N11/(N11+SQRT(N11))</f>
        <v>0.48700095338355487</v>
      </c>
      <c r="T11" s="84">
        <f>S11*$Q11+(1-S11)*$R11</f>
        <v>794.72053357468565</v>
      </c>
    </row>
    <row r="12" spans="1:20" ht="17" thickBot="1" x14ac:dyDescent="0.25">
      <c r="A12" s="2"/>
      <c r="B12" s="19" t="s">
        <v>32</v>
      </c>
      <c r="C12" s="7">
        <v>1.516</v>
      </c>
      <c r="D12" s="7">
        <v>1.103</v>
      </c>
      <c r="E12" s="7">
        <v>1.006</v>
      </c>
      <c r="F12" s="9">
        <v>1</v>
      </c>
      <c r="G12" s="7"/>
      <c r="H12" s="7"/>
      <c r="I12" s="22"/>
      <c r="J12" s="23"/>
      <c r="L12" s="28">
        <f>B9</f>
        <v>2016</v>
      </c>
      <c r="M12" s="38">
        <f>H9</f>
        <v>10400</v>
      </c>
      <c r="N12" s="29">
        <f>M6</f>
        <v>0.59446639010917124</v>
      </c>
      <c r="O12" s="39">
        <f>1-N12</f>
        <v>0.40553360989082876</v>
      </c>
      <c r="P12" s="38">
        <f>C9</f>
        <v>4780</v>
      </c>
      <c r="Q12" s="41">
        <f>O12*P12/N12</f>
        <v>3260.8246446399994</v>
      </c>
      <c r="R12" s="52">
        <f>H9*D21*O12</f>
        <v>3374.0396342916952</v>
      </c>
      <c r="S12" s="29">
        <f t="shared" ref="S12" si="1">N12/(N12+SQRT(N12))</f>
        <v>0.43535251113314383</v>
      </c>
      <c r="T12" s="85">
        <f>S12*$Q12+(1-S12)*$R12</f>
        <v>3324.751204248917</v>
      </c>
    </row>
    <row r="13" spans="1:20" x14ac:dyDescent="0.2">
      <c r="A13" s="2"/>
      <c r="B13" s="22"/>
      <c r="C13" s="22"/>
      <c r="D13" s="22"/>
      <c r="E13" s="22"/>
      <c r="F13" s="22"/>
      <c r="G13" s="22"/>
      <c r="H13" s="22"/>
      <c r="I13" s="22"/>
      <c r="J13" s="23"/>
    </row>
    <row r="14" spans="1:20" x14ac:dyDescent="0.2">
      <c r="A14" s="2"/>
      <c r="B14" s="22"/>
      <c r="C14" s="22"/>
      <c r="D14" s="22"/>
      <c r="E14" s="22"/>
      <c r="F14" s="22"/>
      <c r="G14" s="22"/>
      <c r="H14" s="22"/>
      <c r="I14" s="22"/>
      <c r="J14" s="23"/>
      <c r="L14" s="275" t="s">
        <v>52</v>
      </c>
      <c r="M14" s="275"/>
      <c r="N14" s="275"/>
      <c r="O14" s="275"/>
      <c r="P14" s="275"/>
      <c r="Q14" s="275"/>
      <c r="R14" s="275"/>
      <c r="S14" s="275"/>
    </row>
    <row r="15" spans="1:20" x14ac:dyDescent="0.2">
      <c r="A15" s="2"/>
      <c r="B15" s="22" t="s">
        <v>34</v>
      </c>
      <c r="C15" s="22"/>
      <c r="D15" s="22"/>
      <c r="E15" s="22"/>
      <c r="F15" s="22"/>
      <c r="G15" s="22"/>
      <c r="H15" s="22"/>
      <c r="I15" s="22"/>
      <c r="J15" s="23"/>
      <c r="L15" s="275"/>
      <c r="M15" s="275"/>
      <c r="N15" s="275"/>
      <c r="O15" s="275"/>
      <c r="P15" s="275"/>
      <c r="Q15" s="275"/>
      <c r="R15" s="275"/>
      <c r="S15" s="275"/>
    </row>
    <row r="16" spans="1:20" x14ac:dyDescent="0.2">
      <c r="A16" s="2"/>
      <c r="B16" s="22"/>
      <c r="C16" s="22"/>
      <c r="D16" s="22"/>
      <c r="E16" s="22"/>
      <c r="F16" s="22"/>
      <c r="G16" s="22"/>
      <c r="H16" s="22"/>
      <c r="I16" s="22"/>
      <c r="J16" s="23"/>
      <c r="L16" s="55"/>
      <c r="M16" s="55"/>
      <c r="N16" s="55"/>
      <c r="O16" s="55"/>
      <c r="P16" s="55"/>
      <c r="Q16" s="55"/>
      <c r="R16" s="55"/>
      <c r="S16" s="55"/>
    </row>
    <row r="17" spans="1:20" ht="16" customHeight="1" x14ac:dyDescent="0.2">
      <c r="A17" s="2"/>
      <c r="B17" s="22"/>
      <c r="C17" s="16" t="s">
        <v>5</v>
      </c>
      <c r="D17" s="14" t="s">
        <v>35</v>
      </c>
      <c r="E17" s="22"/>
      <c r="F17" s="22"/>
      <c r="G17" s="22"/>
      <c r="H17" s="22"/>
      <c r="I17" s="22"/>
      <c r="J17" s="23"/>
      <c r="L17" s="11"/>
      <c r="M17" s="55"/>
      <c r="N17" s="55"/>
      <c r="O17" s="55"/>
      <c r="P17" s="55"/>
      <c r="Q17" s="55"/>
      <c r="R17" s="55"/>
      <c r="S17" s="55"/>
      <c r="T17" s="55"/>
    </row>
    <row r="18" spans="1:20" ht="16" customHeight="1" x14ac:dyDescent="0.25">
      <c r="A18" s="2"/>
      <c r="B18" s="22"/>
      <c r="C18" s="17">
        <v>2013</v>
      </c>
      <c r="D18" s="10">
        <v>0.75</v>
      </c>
      <c r="E18" s="22"/>
      <c r="F18" s="22"/>
      <c r="G18" s="22"/>
      <c r="H18" s="22"/>
      <c r="I18" s="22"/>
      <c r="J18" s="23"/>
      <c r="L18" s="3" t="s">
        <v>57</v>
      </c>
    </row>
    <row r="19" spans="1:20" x14ac:dyDescent="0.2">
      <c r="A19" s="2"/>
      <c r="B19" s="22"/>
      <c r="C19" s="17">
        <v>2014</v>
      </c>
      <c r="D19" s="10">
        <v>0.75</v>
      </c>
      <c r="E19" s="22"/>
      <c r="F19" s="22"/>
      <c r="G19" s="22"/>
      <c r="H19" s="22"/>
      <c r="I19" s="22"/>
      <c r="J19" s="23"/>
      <c r="L19" s="274" t="s">
        <v>58</v>
      </c>
      <c r="M19" s="274"/>
      <c r="N19" s="274"/>
      <c r="O19" s="274"/>
      <c r="P19" s="274"/>
      <c r="Q19" s="274"/>
      <c r="R19" s="274"/>
      <c r="S19" s="274"/>
      <c r="T19" s="56"/>
    </row>
    <row r="20" spans="1:20" x14ac:dyDescent="0.2">
      <c r="A20" s="2"/>
      <c r="B20" s="22"/>
      <c r="C20" s="17">
        <v>2015</v>
      </c>
      <c r="D20" s="10">
        <v>0.78</v>
      </c>
      <c r="E20" s="22"/>
      <c r="F20" s="22"/>
      <c r="G20" s="22"/>
      <c r="H20" s="22"/>
      <c r="I20" s="22"/>
      <c r="J20" s="23"/>
      <c r="L20" s="274"/>
      <c r="M20" s="274"/>
      <c r="N20" s="274"/>
      <c r="O20" s="274"/>
      <c r="P20" s="274"/>
      <c r="Q20" s="274"/>
      <c r="R20" s="274"/>
      <c r="S20" s="274"/>
      <c r="T20" s="56"/>
    </row>
    <row r="21" spans="1:20" x14ac:dyDescent="0.2">
      <c r="A21" s="2"/>
      <c r="B21" s="22"/>
      <c r="C21" s="17">
        <v>2016</v>
      </c>
      <c r="D21" s="10">
        <v>0.8</v>
      </c>
      <c r="E21" s="22"/>
      <c r="F21" s="22"/>
      <c r="G21" s="22"/>
      <c r="H21" s="22"/>
      <c r="I21" s="22"/>
      <c r="J21" s="23"/>
      <c r="L21" s="274"/>
      <c r="M21" s="274"/>
      <c r="N21" s="274"/>
      <c r="O21" s="274"/>
      <c r="P21" s="274"/>
      <c r="Q21" s="274"/>
      <c r="R21" s="274"/>
      <c r="S21" s="274"/>
      <c r="T21" s="56"/>
    </row>
    <row r="22" spans="1:20" x14ac:dyDescent="0.2">
      <c r="A22" s="2"/>
      <c r="B22" s="22"/>
      <c r="C22" s="22"/>
      <c r="D22" s="22"/>
      <c r="E22" s="22"/>
      <c r="F22" s="22"/>
      <c r="G22" s="22"/>
      <c r="H22" s="22"/>
      <c r="I22" s="22"/>
      <c r="J22" s="23"/>
      <c r="L22" s="274"/>
      <c r="M22" s="274"/>
      <c r="N22" s="274"/>
      <c r="O22" s="274"/>
      <c r="P22" s="274"/>
      <c r="Q22" s="274"/>
      <c r="R22" s="274"/>
      <c r="S22" s="274"/>
      <c r="T22" s="56"/>
    </row>
    <row r="23" spans="1:20" x14ac:dyDescent="0.2">
      <c r="A23" s="2"/>
      <c r="B23" s="22"/>
      <c r="C23" s="22"/>
      <c r="D23" s="22"/>
      <c r="E23" s="22"/>
      <c r="F23" s="22"/>
      <c r="G23" s="22"/>
      <c r="H23" s="22"/>
      <c r="I23" s="22"/>
      <c r="J23" s="23"/>
      <c r="L23" s="274"/>
      <c r="M23" s="274"/>
      <c r="N23" s="274"/>
      <c r="O23" s="274"/>
      <c r="P23" s="274"/>
      <c r="Q23" s="274"/>
      <c r="R23" s="274"/>
      <c r="S23" s="274"/>
      <c r="T23" s="56"/>
    </row>
    <row r="24" spans="1:20" x14ac:dyDescent="0.2">
      <c r="A24" s="2"/>
      <c r="B24" s="22" t="s">
        <v>36</v>
      </c>
      <c r="C24" s="22"/>
      <c r="D24" s="22"/>
      <c r="E24" s="22"/>
      <c r="F24" s="22"/>
      <c r="G24" s="22"/>
      <c r="H24" s="22"/>
      <c r="I24" s="22"/>
      <c r="J24" s="23"/>
      <c r="L24" s="274"/>
      <c r="M24" s="274"/>
      <c r="N24" s="274"/>
      <c r="O24" s="274"/>
      <c r="P24" s="274"/>
      <c r="Q24" s="274"/>
      <c r="R24" s="274"/>
      <c r="S24" s="274"/>
      <c r="T24" s="56"/>
    </row>
    <row r="25" spans="1:20" ht="17" thickBot="1" x14ac:dyDescent="0.25">
      <c r="A25" s="2"/>
      <c r="B25" s="22"/>
      <c r="C25" s="22"/>
      <c r="D25" s="22"/>
      <c r="E25" s="22"/>
      <c r="F25" s="22"/>
      <c r="G25" s="22"/>
      <c r="H25" s="22"/>
      <c r="I25" s="22"/>
      <c r="J25" s="23"/>
      <c r="L25" s="274"/>
      <c r="M25" s="274"/>
      <c r="N25" s="274"/>
      <c r="O25" s="274"/>
      <c r="P25" s="274"/>
      <c r="Q25" s="274"/>
      <c r="R25" s="274"/>
      <c r="S25" s="274"/>
      <c r="T25" s="56"/>
    </row>
    <row r="26" spans="1:20" ht="17" thickBot="1" x14ac:dyDescent="0.25">
      <c r="A26" s="264" t="s">
        <v>76</v>
      </c>
      <c r="B26" s="265"/>
      <c r="C26" s="265"/>
      <c r="D26" s="265"/>
      <c r="E26" s="265"/>
      <c r="F26" s="265"/>
      <c r="G26" s="265"/>
      <c r="H26" s="265"/>
      <c r="I26" s="265"/>
      <c r="J26" s="266"/>
      <c r="M26" s="56"/>
      <c r="N26" s="56"/>
      <c r="O26" s="56"/>
      <c r="P26" s="56"/>
      <c r="Q26" s="56"/>
      <c r="R26" s="56"/>
      <c r="S26" s="56"/>
      <c r="T26" s="56"/>
    </row>
    <row r="27" spans="1:20" ht="19" x14ac:dyDescent="0.25">
      <c r="L27" s="3" t="s">
        <v>93</v>
      </c>
    </row>
    <row r="28" spans="1:20" ht="19" x14ac:dyDescent="0.25">
      <c r="A28" s="3"/>
      <c r="L28" s="69" t="s">
        <v>94</v>
      </c>
    </row>
    <row r="43" spans="11:14" x14ac:dyDescent="0.2">
      <c r="K43" s="5"/>
    </row>
    <row r="44" spans="11:14" x14ac:dyDescent="0.2">
      <c r="K44" s="5"/>
    </row>
    <row r="45" spans="11:14" x14ac:dyDescent="0.2">
      <c r="L45" s="5"/>
      <c r="M45" s="5"/>
    </row>
    <row r="46" spans="11:14" x14ac:dyDescent="0.2">
      <c r="L46" s="5"/>
      <c r="M46" s="5"/>
    </row>
    <row r="47" spans="11:14" x14ac:dyDescent="0.2">
      <c r="L47" s="5"/>
      <c r="M47" s="5"/>
      <c r="N47" s="5"/>
    </row>
    <row r="48" spans="11:14" x14ac:dyDescent="0.2">
      <c r="L48" s="5"/>
      <c r="M48" s="5"/>
      <c r="N48" s="5"/>
    </row>
    <row r="49" spans="12:14" x14ac:dyDescent="0.2">
      <c r="L49" s="5"/>
      <c r="M49" s="5"/>
      <c r="N49" s="5"/>
    </row>
    <row r="50" spans="12:14" x14ac:dyDescent="0.2">
      <c r="M50" s="44"/>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M60" s="44"/>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M70" s="44"/>
    </row>
    <row r="71" spans="1:65" x14ac:dyDescent="0.2">
      <c r="L71" s="5"/>
      <c r="M71" s="5"/>
      <c r="N71" s="5"/>
    </row>
    <row r="72" spans="1:65" x14ac:dyDescent="0.2">
      <c r="L72" s="5"/>
      <c r="M72" s="5"/>
      <c r="N72" s="5"/>
    </row>
    <row r="73" spans="1:65" x14ac:dyDescent="0.2">
      <c r="L73" s="5"/>
      <c r="M73" s="5"/>
      <c r="N73" s="5"/>
    </row>
    <row r="74" spans="1:65" x14ac:dyDescent="0.2">
      <c r="L74" s="5"/>
      <c r="M74" s="5"/>
      <c r="N74" s="5"/>
    </row>
    <row r="75" spans="1:65" x14ac:dyDescent="0.2">
      <c r="L75" s="5"/>
      <c r="M75" s="5"/>
      <c r="N75" s="5"/>
    </row>
    <row r="76" spans="1:65" x14ac:dyDescent="0.2">
      <c r="L76" s="5"/>
      <c r="M76" s="5"/>
      <c r="N76" s="5"/>
    </row>
    <row r="77" spans="1:65" x14ac:dyDescent="0.2">
      <c r="L77" s="5"/>
      <c r="M77" s="5"/>
      <c r="N77" s="5"/>
    </row>
    <row r="78" spans="1:65" x14ac:dyDescent="0.2">
      <c r="L78" s="5"/>
      <c r="M78" s="5"/>
      <c r="N78" s="5"/>
    </row>
    <row r="79" spans="1:65" x14ac:dyDescent="0.2">
      <c r="A79" s="5"/>
      <c r="B79" s="5"/>
      <c r="C79" s="5"/>
      <c r="D79" s="5"/>
      <c r="E79" s="5"/>
      <c r="F79" s="5"/>
      <c r="G79" s="5"/>
      <c r="H79" s="5"/>
      <c r="I79" s="5"/>
      <c r="J79" s="5"/>
      <c r="K79" s="5"/>
      <c r="L79" s="5"/>
      <c r="M79" s="5"/>
      <c r="N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M80" s="44"/>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L181" s="5"/>
      <c r="M181" s="5"/>
      <c r="N181" s="5"/>
      <c r="O181" s="5"/>
      <c r="P181" s="5"/>
      <c r="Q181" s="5"/>
      <c r="R181" s="5"/>
      <c r="S181" s="5"/>
      <c r="T181" s="5"/>
      <c r="U181" s="5"/>
      <c r="V181" s="5"/>
    </row>
    <row r="182" spans="1:65" x14ac:dyDescent="0.2">
      <c r="L182" s="5"/>
      <c r="M182" s="5"/>
      <c r="N182" s="5"/>
      <c r="O182" s="5"/>
      <c r="P182" s="5"/>
      <c r="Q182" s="5"/>
      <c r="R182" s="5"/>
      <c r="S182" s="5"/>
      <c r="T182" s="5"/>
      <c r="U182" s="5"/>
      <c r="V182" s="5"/>
    </row>
  </sheetData>
  <mergeCells count="3">
    <mergeCell ref="L14:S15"/>
    <mergeCell ref="A26:J26"/>
    <mergeCell ref="L19:S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8E9D-C8B5-7641-B5C3-04D4F75F1117}">
  <dimension ref="A1:T26"/>
  <sheetViews>
    <sheetView workbookViewId="0">
      <selection activeCell="T26" sqref="T26"/>
    </sheetView>
  </sheetViews>
  <sheetFormatPr baseColWidth="10" defaultColWidth="11" defaultRowHeight="16" outlineLevelCol="1" x14ac:dyDescent="0.2"/>
  <cols>
    <col min="1" max="1" width="4.5" customWidth="1"/>
    <col min="3" max="3" width="10.83203125" customWidth="1"/>
    <col min="8" max="10" width="11.5" customWidth="1"/>
    <col min="12" max="12" width="11.1640625" bestFit="1" customWidth="1"/>
    <col min="13" max="13" width="15.83203125" hidden="1" customWidth="1" outlineLevel="1"/>
    <col min="14" max="17" width="10.83203125" hidden="1" customWidth="1" outlineLevel="1"/>
    <col min="18" max="18" width="12" hidden="1" customWidth="1" outlineLevel="1"/>
    <col min="19" max="19" width="11" hidden="1" customWidth="1" outlineLevel="1"/>
    <col min="20" max="20" width="10.83203125" customWidth="1" collapsed="1"/>
  </cols>
  <sheetData>
    <row r="1" spans="1:20" ht="19" x14ac:dyDescent="0.25">
      <c r="A1" s="127" t="s">
        <v>120</v>
      </c>
      <c r="B1" s="126"/>
      <c r="C1" s="125"/>
      <c r="D1" s="125"/>
      <c r="E1" s="125"/>
      <c r="F1" s="124"/>
      <c r="G1" s="124"/>
      <c r="H1" s="124"/>
      <c r="I1" s="124"/>
      <c r="J1" s="123"/>
      <c r="L1" s="104" t="s">
        <v>77</v>
      </c>
    </row>
    <row r="2" spans="1:20" x14ac:dyDescent="0.2">
      <c r="A2" s="117"/>
      <c r="B2" s="116"/>
      <c r="C2" s="116"/>
      <c r="D2" s="116"/>
      <c r="E2" s="116"/>
      <c r="F2" s="116"/>
      <c r="G2" s="116"/>
      <c r="H2" s="116"/>
      <c r="I2" s="116"/>
      <c r="J2" s="115"/>
    </row>
    <row r="3" spans="1:20" x14ac:dyDescent="0.2">
      <c r="A3" s="117"/>
      <c r="B3" s="116" t="s">
        <v>119</v>
      </c>
      <c r="C3" s="116"/>
      <c r="D3" s="116"/>
      <c r="E3" s="116"/>
      <c r="F3" s="116"/>
      <c r="G3" s="116"/>
      <c r="H3" s="116"/>
      <c r="I3" s="116"/>
      <c r="J3" s="115"/>
      <c r="M3" s="114" t="s">
        <v>118</v>
      </c>
    </row>
    <row r="4" spans="1:20" ht="17" thickBot="1" x14ac:dyDescent="0.25">
      <c r="A4" s="117"/>
      <c r="B4" s="116"/>
      <c r="C4" s="116"/>
      <c r="D4" s="116"/>
      <c r="E4" s="116"/>
      <c r="F4" s="116"/>
      <c r="G4" s="116"/>
      <c r="H4" s="116"/>
      <c r="I4" s="116"/>
      <c r="J4" s="115"/>
      <c r="N4" s="107"/>
    </row>
    <row r="5" spans="1:20" ht="17" thickBot="1" x14ac:dyDescent="0.25">
      <c r="A5" s="117"/>
      <c r="B5" s="120" t="s">
        <v>116</v>
      </c>
      <c r="C5" s="122">
        <v>5000</v>
      </c>
      <c r="D5" s="116"/>
      <c r="E5" s="116"/>
      <c r="F5" s="116"/>
      <c r="G5" s="116"/>
      <c r="H5" s="116"/>
      <c r="I5" s="116"/>
      <c r="J5" s="115"/>
      <c r="M5" s="109" t="s">
        <v>110</v>
      </c>
      <c r="N5" s="108">
        <f>C5-C6</f>
        <v>500</v>
      </c>
      <c r="O5" t="s">
        <v>117</v>
      </c>
    </row>
    <row r="6" spans="1:20" x14ac:dyDescent="0.2">
      <c r="A6" s="117"/>
      <c r="B6" s="120" t="s">
        <v>116</v>
      </c>
      <c r="C6" s="122">
        <v>4500</v>
      </c>
      <c r="D6" s="116"/>
      <c r="E6" s="116"/>
      <c r="F6" s="116"/>
      <c r="G6" s="116"/>
      <c r="H6" s="116"/>
      <c r="I6" s="116"/>
      <c r="J6" s="115"/>
      <c r="N6" s="107"/>
    </row>
    <row r="7" spans="1:20" x14ac:dyDescent="0.2">
      <c r="A7" s="117"/>
      <c r="B7" s="120" t="s">
        <v>116</v>
      </c>
      <c r="C7" s="121">
        <v>0.1</v>
      </c>
      <c r="D7" s="116"/>
      <c r="E7" s="116"/>
      <c r="F7" s="116"/>
      <c r="G7" s="116"/>
      <c r="H7" s="116"/>
      <c r="I7" s="116"/>
      <c r="J7" s="115"/>
      <c r="M7" s="114" t="s">
        <v>115</v>
      </c>
      <c r="N7" s="107"/>
    </row>
    <row r="8" spans="1:20" ht="17" thickBot="1" x14ac:dyDescent="0.25">
      <c r="A8" s="117"/>
      <c r="B8" s="120" t="s">
        <v>114</v>
      </c>
      <c r="C8" s="119">
        <v>4</v>
      </c>
      <c r="D8" s="116"/>
      <c r="E8" s="116"/>
      <c r="F8" s="116"/>
      <c r="G8" s="116"/>
      <c r="H8" s="116"/>
      <c r="I8" s="116"/>
      <c r="J8" s="115"/>
      <c r="N8" s="107"/>
    </row>
    <row r="9" spans="1:20" ht="17" thickBot="1" x14ac:dyDescent="0.25">
      <c r="A9" s="117"/>
      <c r="B9" s="118"/>
      <c r="C9" s="116"/>
      <c r="D9" s="116"/>
      <c r="E9" s="116"/>
      <c r="F9" s="116"/>
      <c r="G9" s="116"/>
      <c r="H9" s="116"/>
      <c r="I9" s="116"/>
      <c r="J9" s="115"/>
      <c r="M9" s="109" t="s">
        <v>110</v>
      </c>
      <c r="N9" s="108">
        <f>C7*C5</f>
        <v>500</v>
      </c>
      <c r="O9" t="s">
        <v>113</v>
      </c>
    </row>
    <row r="10" spans="1:20" x14ac:dyDescent="0.2">
      <c r="A10" s="117"/>
      <c r="B10" s="116" t="s">
        <v>112</v>
      </c>
      <c r="C10" s="116"/>
      <c r="D10" s="116"/>
      <c r="E10" s="116"/>
      <c r="F10" s="116"/>
      <c r="G10" s="116"/>
      <c r="H10" s="116"/>
      <c r="I10" s="116"/>
      <c r="J10" s="115"/>
      <c r="N10" s="107"/>
    </row>
    <row r="11" spans="1:20" ht="17" thickBot="1" x14ac:dyDescent="0.25">
      <c r="A11" s="117"/>
      <c r="B11" s="116"/>
      <c r="C11" s="116"/>
      <c r="D11" s="116"/>
      <c r="E11" s="116"/>
      <c r="F11" s="116"/>
      <c r="G11" s="116"/>
      <c r="H11" s="116"/>
      <c r="I11" s="116"/>
      <c r="J11" s="115"/>
      <c r="M11" s="114" t="s">
        <v>111</v>
      </c>
      <c r="N11" s="107"/>
    </row>
    <row r="12" spans="1:20" ht="17" thickBot="1" x14ac:dyDescent="0.25">
      <c r="A12" s="113" t="s">
        <v>76</v>
      </c>
      <c r="B12" s="112"/>
      <c r="C12" s="111"/>
      <c r="D12" s="111"/>
      <c r="E12" s="111"/>
      <c r="F12" s="111"/>
      <c r="G12" s="111"/>
      <c r="H12" s="111"/>
      <c r="I12" s="111"/>
      <c r="J12" s="110"/>
      <c r="N12" s="107"/>
    </row>
    <row r="13" spans="1:20" ht="17" thickBot="1" x14ac:dyDescent="0.25">
      <c r="M13" s="109" t="s">
        <v>110</v>
      </c>
      <c r="N13" s="108">
        <f>C7*C6/(1-C7)</f>
        <v>500</v>
      </c>
      <c r="O13" t="s">
        <v>109</v>
      </c>
    </row>
    <row r="14" spans="1:20" x14ac:dyDescent="0.2">
      <c r="N14" s="107"/>
      <c r="R14" s="106"/>
      <c r="S14" s="106"/>
      <c r="T14" s="105"/>
    </row>
    <row r="15" spans="1:20" x14ac:dyDescent="0.2">
      <c r="N15" s="107"/>
      <c r="R15" s="106"/>
      <c r="S15" s="106"/>
      <c r="T15" s="105"/>
    </row>
    <row r="16" spans="1:20" x14ac:dyDescent="0.2">
      <c r="N16" s="107"/>
      <c r="R16" s="106"/>
      <c r="S16" s="106"/>
      <c r="T16" s="105"/>
    </row>
    <row r="17" spans="13:19" ht="19" x14ac:dyDescent="0.25">
      <c r="M17" s="104" t="s">
        <v>57</v>
      </c>
    </row>
    <row r="18" spans="13:19" x14ac:dyDescent="0.2">
      <c r="M18" s="276" t="s">
        <v>108</v>
      </c>
      <c r="N18" s="276"/>
      <c r="O18" s="276"/>
      <c r="P18" s="276"/>
      <c r="Q18" s="276"/>
      <c r="R18" s="276"/>
      <c r="S18" s="276"/>
    </row>
    <row r="19" spans="13:19" x14ac:dyDescent="0.2">
      <c r="M19" s="276"/>
      <c r="N19" s="276"/>
      <c r="O19" s="276"/>
      <c r="P19" s="276"/>
      <c r="Q19" s="276"/>
      <c r="R19" s="276"/>
      <c r="S19" s="276"/>
    </row>
    <row r="21" spans="13:19" ht="19" x14ac:dyDescent="0.25">
      <c r="M21" s="104" t="s">
        <v>93</v>
      </c>
    </row>
    <row r="22" spans="13:19" x14ac:dyDescent="0.2">
      <c r="M22" t="s">
        <v>94</v>
      </c>
      <c r="N22" s="103"/>
    </row>
    <row r="24" spans="13:19" x14ac:dyDescent="0.2">
      <c r="M24" s="102"/>
    </row>
    <row r="26" spans="13:19" x14ac:dyDescent="0.2">
      <c r="M26" s="102"/>
    </row>
  </sheetData>
  <mergeCells count="1">
    <mergeCell ref="M18:S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F4D3-BFF1-4649-95B5-D68B12305B4B}">
  <dimension ref="A1:U65"/>
  <sheetViews>
    <sheetView workbookViewId="0"/>
  </sheetViews>
  <sheetFormatPr baseColWidth="10" defaultColWidth="11" defaultRowHeight="16" outlineLevelCol="1" x14ac:dyDescent="0.2"/>
  <cols>
    <col min="1" max="1" width="4.5" customWidth="1"/>
    <col min="3" max="3" width="11.33203125" customWidth="1"/>
    <col min="8" max="10" width="11.5" customWidth="1"/>
    <col min="12" max="12" width="11.1640625" bestFit="1" customWidth="1"/>
    <col min="13" max="13" width="12.5" hidden="1" customWidth="1" outlineLevel="1"/>
    <col min="14" max="20" width="10.83203125" hidden="1" customWidth="1" outlineLevel="1"/>
    <col min="21" max="21" width="11" collapsed="1"/>
  </cols>
  <sheetData>
    <row r="1" spans="1:19" ht="19" x14ac:dyDescent="0.25">
      <c r="A1" s="127" t="s">
        <v>178</v>
      </c>
      <c r="B1" s="126"/>
      <c r="C1" s="125"/>
      <c r="D1" s="125"/>
      <c r="E1" s="125"/>
      <c r="F1" s="124"/>
      <c r="G1" s="124"/>
      <c r="H1" s="124"/>
      <c r="I1" s="124"/>
      <c r="J1" s="123"/>
      <c r="L1" s="104" t="s">
        <v>77</v>
      </c>
    </row>
    <row r="2" spans="1:19" x14ac:dyDescent="0.2">
      <c r="A2" s="117"/>
      <c r="B2" s="116"/>
      <c r="C2" s="116"/>
      <c r="D2" s="116"/>
      <c r="E2" s="116"/>
      <c r="F2" s="116"/>
      <c r="G2" s="116"/>
      <c r="H2" s="116"/>
      <c r="I2" s="116"/>
      <c r="J2" s="115"/>
    </row>
    <row r="3" spans="1:19" x14ac:dyDescent="0.2">
      <c r="A3" s="117"/>
      <c r="B3" s="116" t="s">
        <v>177</v>
      </c>
      <c r="C3" s="119"/>
      <c r="D3" s="116"/>
      <c r="E3" s="116"/>
      <c r="F3" s="116"/>
      <c r="G3" s="116"/>
      <c r="H3" s="116"/>
      <c r="I3" s="116"/>
      <c r="J3" s="115"/>
      <c r="M3" s="136" t="s">
        <v>176</v>
      </c>
    </row>
    <row r="4" spans="1:19" x14ac:dyDescent="0.2">
      <c r="A4" s="117"/>
      <c r="B4" s="116"/>
      <c r="C4" s="119"/>
      <c r="D4" s="116"/>
      <c r="E4" s="116"/>
      <c r="F4" s="116"/>
      <c r="G4" s="116"/>
      <c r="H4" s="116"/>
      <c r="I4" s="116"/>
      <c r="J4" s="115"/>
      <c r="N4" s="107"/>
    </row>
    <row r="5" spans="1:19" x14ac:dyDescent="0.2">
      <c r="A5" s="117"/>
      <c r="B5" s="157"/>
      <c r="C5" s="157" t="s">
        <v>175</v>
      </c>
      <c r="D5" s="277" t="s">
        <v>174</v>
      </c>
      <c r="E5" s="277"/>
      <c r="F5" s="277"/>
      <c r="G5" s="278"/>
      <c r="H5" s="116"/>
      <c r="I5" s="116"/>
      <c r="J5" s="115"/>
      <c r="M5" s="114" t="s">
        <v>173</v>
      </c>
    </row>
    <row r="6" spans="1:19" x14ac:dyDescent="0.2">
      <c r="A6" s="117"/>
      <c r="B6" s="145" t="s">
        <v>45</v>
      </c>
      <c r="C6" s="145" t="s">
        <v>172</v>
      </c>
      <c r="D6" s="156" t="s">
        <v>171</v>
      </c>
      <c r="E6" s="155" t="s">
        <v>170</v>
      </c>
      <c r="F6" s="155" t="s">
        <v>169</v>
      </c>
      <c r="G6" s="154" t="s">
        <v>168</v>
      </c>
      <c r="H6" s="116"/>
      <c r="I6" s="116"/>
      <c r="J6" s="115"/>
    </row>
    <row r="7" spans="1:19" x14ac:dyDescent="0.2">
      <c r="A7" s="117"/>
      <c r="B7" s="149">
        <v>2009</v>
      </c>
      <c r="C7" s="148">
        <v>7000</v>
      </c>
      <c r="D7" s="153">
        <v>4000</v>
      </c>
      <c r="E7" s="152">
        <v>2000</v>
      </c>
      <c r="F7" s="152">
        <v>500</v>
      </c>
      <c r="G7" s="151">
        <v>200</v>
      </c>
      <c r="H7" s="116"/>
      <c r="I7" s="116"/>
      <c r="J7" s="115"/>
      <c r="M7" s="135" t="s">
        <v>167</v>
      </c>
      <c r="N7" s="150" t="s">
        <v>23</v>
      </c>
    </row>
    <row r="8" spans="1:19" x14ac:dyDescent="0.2">
      <c r="A8" s="117"/>
      <c r="B8" s="149">
        <v>2010</v>
      </c>
      <c r="C8" s="148">
        <v>7500</v>
      </c>
      <c r="D8" s="148">
        <v>3000</v>
      </c>
      <c r="E8" s="147">
        <v>2500</v>
      </c>
      <c r="F8" s="147">
        <v>600</v>
      </c>
      <c r="G8" s="146"/>
      <c r="H8" s="116"/>
      <c r="I8" s="116"/>
      <c r="J8" s="115"/>
      <c r="M8" s="132">
        <v>1</v>
      </c>
      <c r="N8" s="130">
        <f>SUM(D7:D10)/SUM(C7:C10)</f>
        <v>0.532258064516129</v>
      </c>
    </row>
    <row r="9" spans="1:19" x14ac:dyDescent="0.2">
      <c r="A9" s="117"/>
      <c r="B9" s="149">
        <v>2011</v>
      </c>
      <c r="C9" s="148">
        <v>8000</v>
      </c>
      <c r="D9" s="148">
        <v>4500</v>
      </c>
      <c r="E9" s="147">
        <v>1500</v>
      </c>
      <c r="F9" s="147"/>
      <c r="G9" s="146"/>
      <c r="H9" s="116"/>
      <c r="I9" s="116"/>
      <c r="J9" s="115"/>
      <c r="M9" s="132">
        <v>2</v>
      </c>
      <c r="N9" s="130">
        <f>SUM(E7:E9)/SUM(C7:C9)</f>
        <v>0.26666666666666666</v>
      </c>
    </row>
    <row r="10" spans="1:19" x14ac:dyDescent="0.2">
      <c r="A10" s="117"/>
      <c r="B10" s="145">
        <v>2012</v>
      </c>
      <c r="C10" s="144">
        <v>8500</v>
      </c>
      <c r="D10" s="144">
        <v>5000</v>
      </c>
      <c r="E10" s="143"/>
      <c r="F10" s="143"/>
      <c r="G10" s="142"/>
      <c r="H10" s="116"/>
      <c r="I10" s="116"/>
      <c r="J10" s="115"/>
      <c r="M10" s="132">
        <v>3</v>
      </c>
      <c r="N10" s="130">
        <f>SUM(F7:F8)/SUM(C7:C8)</f>
        <v>7.586206896551724E-2</v>
      </c>
    </row>
    <row r="11" spans="1:19" x14ac:dyDescent="0.2">
      <c r="A11" s="117"/>
      <c r="B11" s="116"/>
      <c r="C11" s="119"/>
      <c r="D11" s="116"/>
      <c r="E11" s="116"/>
      <c r="F11" s="116"/>
      <c r="G11" s="116"/>
      <c r="H11" s="116"/>
      <c r="I11" s="116"/>
      <c r="J11" s="115"/>
      <c r="M11" s="132">
        <v>4</v>
      </c>
      <c r="N11" s="130">
        <f>G7/C7</f>
        <v>2.8571428571428571E-2</v>
      </c>
    </row>
    <row r="12" spans="1:19" x14ac:dyDescent="0.2">
      <c r="A12" s="117"/>
      <c r="B12" s="140" t="s">
        <v>0</v>
      </c>
      <c r="C12" s="116"/>
      <c r="D12" s="116"/>
      <c r="E12" s="116"/>
      <c r="F12" s="139"/>
      <c r="G12" s="116"/>
      <c r="H12" s="116"/>
      <c r="I12" s="116"/>
      <c r="J12" s="115"/>
    </row>
    <row r="13" spans="1:19" x14ac:dyDescent="0.2">
      <c r="A13" s="117"/>
      <c r="B13" s="116" t="s">
        <v>166</v>
      </c>
      <c r="C13" s="116"/>
      <c r="D13" s="116"/>
      <c r="E13" s="116"/>
      <c r="F13" s="139"/>
      <c r="G13" s="116"/>
      <c r="H13" s="116"/>
      <c r="I13" s="116"/>
      <c r="J13" s="115"/>
      <c r="M13" s="114" t="s">
        <v>165</v>
      </c>
    </row>
    <row r="14" spans="1:19" x14ac:dyDescent="0.2">
      <c r="A14" s="117"/>
      <c r="B14" s="116"/>
      <c r="C14" s="116"/>
      <c r="D14" s="116"/>
      <c r="E14" s="116"/>
      <c r="F14" s="139"/>
      <c r="G14" s="116"/>
      <c r="H14" s="116"/>
      <c r="I14" s="116"/>
      <c r="J14" s="115"/>
      <c r="N14" s="107"/>
      <c r="R14" s="106"/>
      <c r="S14" s="105"/>
    </row>
    <row r="15" spans="1:19" x14ac:dyDescent="0.2">
      <c r="A15" s="117"/>
      <c r="B15" s="140" t="s">
        <v>1</v>
      </c>
      <c r="C15" s="116"/>
      <c r="D15" s="116"/>
      <c r="E15" s="116"/>
      <c r="F15" s="139"/>
      <c r="G15" s="116"/>
      <c r="H15" s="116"/>
      <c r="I15" s="116"/>
      <c r="J15" s="115"/>
      <c r="M15" t="s">
        <v>164</v>
      </c>
      <c r="N15" s="107">
        <f>SUM(N8:N11)*C9</f>
        <v>7226.8658297579314</v>
      </c>
      <c r="O15" s="107" t="s">
        <v>163</v>
      </c>
      <c r="R15" s="106"/>
      <c r="S15" s="105"/>
    </row>
    <row r="16" spans="1:19" x14ac:dyDescent="0.2">
      <c r="A16" s="117"/>
      <c r="B16" s="116" t="s">
        <v>162</v>
      </c>
      <c r="C16" s="116"/>
      <c r="D16" s="116"/>
      <c r="E16" s="116"/>
      <c r="F16" s="139"/>
      <c r="G16" s="116"/>
      <c r="H16" s="116"/>
      <c r="I16" s="116"/>
      <c r="J16" s="115"/>
      <c r="N16" s="137"/>
    </row>
    <row r="17" spans="1:20" x14ac:dyDescent="0.2">
      <c r="A17" s="117"/>
      <c r="B17" s="116"/>
      <c r="C17" s="116"/>
      <c r="D17" s="116"/>
      <c r="E17" s="116"/>
      <c r="F17" s="139"/>
      <c r="G17" s="116"/>
      <c r="H17" s="116"/>
      <c r="I17" s="116"/>
      <c r="J17" s="115"/>
      <c r="M17" s="114" t="s">
        <v>161</v>
      </c>
      <c r="N17" s="103"/>
    </row>
    <row r="18" spans="1:20" x14ac:dyDescent="0.2">
      <c r="A18" s="117"/>
      <c r="B18" s="140" t="s">
        <v>160</v>
      </c>
      <c r="C18" s="116"/>
      <c r="D18" s="116"/>
      <c r="E18" s="116"/>
      <c r="F18" s="139"/>
      <c r="G18" s="116"/>
      <c r="H18" s="116"/>
      <c r="I18" s="116"/>
      <c r="J18" s="115"/>
      <c r="N18" s="103"/>
    </row>
    <row r="19" spans="1:20" x14ac:dyDescent="0.2">
      <c r="A19" s="117"/>
      <c r="B19" s="116" t="s">
        <v>159</v>
      </c>
      <c r="C19" s="116"/>
      <c r="D19" s="116"/>
      <c r="E19" s="116"/>
      <c r="F19" s="139"/>
      <c r="G19" s="116"/>
      <c r="H19" s="116"/>
      <c r="I19" s="116"/>
      <c r="J19" s="115"/>
      <c r="M19" t="s">
        <v>158</v>
      </c>
      <c r="N19" s="137">
        <f>SUM(N8:N9)/SUM(N8:N11)</f>
        <v>0.88439414817203665</v>
      </c>
      <c r="O19" t="s">
        <v>157</v>
      </c>
    </row>
    <row r="20" spans="1:20" x14ac:dyDescent="0.2">
      <c r="A20" s="117"/>
      <c r="B20" s="116"/>
      <c r="C20" s="116"/>
      <c r="D20" s="116"/>
      <c r="E20" s="116"/>
      <c r="F20" s="139"/>
      <c r="G20" s="116"/>
      <c r="H20" s="116"/>
      <c r="I20" s="116"/>
      <c r="J20" s="115"/>
      <c r="M20" t="s">
        <v>156</v>
      </c>
      <c r="N20" s="137">
        <f>1-N19</f>
        <v>0.11560585182796335</v>
      </c>
    </row>
    <row r="21" spans="1:20" x14ac:dyDescent="0.2">
      <c r="A21" s="117"/>
      <c r="B21" s="140" t="s">
        <v>155</v>
      </c>
      <c r="C21" s="116"/>
      <c r="D21" s="116"/>
      <c r="E21" s="116"/>
      <c r="F21" s="139"/>
      <c r="G21" s="116"/>
      <c r="H21" s="116"/>
      <c r="I21" s="116"/>
      <c r="J21" s="115"/>
      <c r="N21" s="103"/>
    </row>
    <row r="22" spans="1:20" x14ac:dyDescent="0.2">
      <c r="A22" s="117"/>
      <c r="B22" s="116" t="s">
        <v>154</v>
      </c>
      <c r="C22" s="116"/>
      <c r="D22" s="116"/>
      <c r="E22" s="116"/>
      <c r="F22" s="139"/>
      <c r="G22" s="116"/>
      <c r="H22" s="116"/>
      <c r="I22" s="116"/>
      <c r="J22" s="115"/>
      <c r="M22" t="s">
        <v>153</v>
      </c>
      <c r="N22" s="103">
        <f>N20*N15</f>
        <v>835.4679802955668</v>
      </c>
      <c r="O22" t="s">
        <v>152</v>
      </c>
    </row>
    <row r="23" spans="1:20" ht="17" thickBot="1" x14ac:dyDescent="0.25">
      <c r="A23" s="117"/>
      <c r="B23" s="116"/>
      <c r="C23" s="116"/>
      <c r="D23" s="116"/>
      <c r="E23" s="116"/>
      <c r="F23" s="139"/>
      <c r="G23" s="116"/>
      <c r="H23" s="116"/>
      <c r="I23" s="116"/>
      <c r="J23" s="115"/>
      <c r="N23" s="103"/>
    </row>
    <row r="24" spans="1:20" ht="17" thickBot="1" x14ac:dyDescent="0.25">
      <c r="A24" s="117"/>
      <c r="B24" s="140" t="s">
        <v>151</v>
      </c>
      <c r="C24" s="116"/>
      <c r="D24" s="116"/>
      <c r="E24" s="116"/>
      <c r="F24" s="139"/>
      <c r="G24" s="116"/>
      <c r="H24" s="116"/>
      <c r="I24" s="116"/>
      <c r="J24" s="115"/>
      <c r="M24" s="109" t="s">
        <v>150</v>
      </c>
      <c r="N24" s="141">
        <f>N22+D9+E9</f>
        <v>6835.467980295567</v>
      </c>
      <c r="O24" t="s">
        <v>142</v>
      </c>
    </row>
    <row r="25" spans="1:20" ht="16" customHeight="1" x14ac:dyDescent="0.2">
      <c r="A25" s="117"/>
      <c r="B25" s="279" t="s">
        <v>149</v>
      </c>
      <c r="C25" s="279"/>
      <c r="D25" s="279"/>
      <c r="E25" s="279"/>
      <c r="F25" s="279"/>
      <c r="G25" s="279"/>
      <c r="H25" s="279"/>
      <c r="I25" s="279"/>
      <c r="J25" s="115"/>
      <c r="N25" s="103"/>
    </row>
    <row r="26" spans="1:20" x14ac:dyDescent="0.2">
      <c r="A26" s="117"/>
      <c r="B26" s="279"/>
      <c r="C26" s="279"/>
      <c r="D26" s="279"/>
      <c r="E26" s="279"/>
      <c r="F26" s="279"/>
      <c r="G26" s="279"/>
      <c r="H26" s="279"/>
      <c r="I26" s="279"/>
      <c r="J26" s="115"/>
      <c r="M26" s="136" t="s">
        <v>148</v>
      </c>
      <c r="N26" s="103"/>
    </row>
    <row r="27" spans="1:20" x14ac:dyDescent="0.2">
      <c r="A27" s="117"/>
      <c r="B27" s="140"/>
      <c r="C27" s="116"/>
      <c r="D27" s="116"/>
      <c r="E27" s="116"/>
      <c r="F27" s="139"/>
      <c r="G27" s="116"/>
      <c r="H27" s="116"/>
      <c r="I27" s="116"/>
      <c r="J27" s="115"/>
      <c r="T27" s="105"/>
    </row>
    <row r="28" spans="1:20" ht="17" thickBot="1" x14ac:dyDescent="0.25">
      <c r="A28" s="117"/>
      <c r="B28" s="140" t="s">
        <v>147</v>
      </c>
      <c r="C28" s="116"/>
      <c r="D28" s="116"/>
      <c r="E28" s="116"/>
      <c r="F28" s="139"/>
      <c r="G28" s="116"/>
      <c r="H28" s="116"/>
      <c r="I28" s="116"/>
      <c r="J28" s="115"/>
      <c r="M28" t="s">
        <v>146</v>
      </c>
      <c r="N28" s="103">
        <f>N20/N19*SUM(D9:E9)</f>
        <v>784.30540545916278</v>
      </c>
      <c r="O28" t="s">
        <v>145</v>
      </c>
      <c r="R28" s="106"/>
      <c r="T28" s="105"/>
    </row>
    <row r="29" spans="1:20" ht="17" customHeight="1" thickBot="1" x14ac:dyDescent="0.25">
      <c r="A29" s="117"/>
      <c r="B29" s="279" t="s">
        <v>144</v>
      </c>
      <c r="C29" s="279"/>
      <c r="D29" s="279"/>
      <c r="E29" s="279"/>
      <c r="F29" s="279"/>
      <c r="G29" s="279"/>
      <c r="H29" s="279"/>
      <c r="I29" s="279"/>
      <c r="J29" s="115"/>
      <c r="M29" s="109" t="s">
        <v>143</v>
      </c>
      <c r="N29" s="108">
        <f>N28+D9+E9</f>
        <v>6784.305405459163</v>
      </c>
      <c r="O29" t="s">
        <v>142</v>
      </c>
      <c r="R29" s="106"/>
      <c r="S29" s="106"/>
      <c r="T29" s="105"/>
    </row>
    <row r="30" spans="1:20" x14ac:dyDescent="0.2">
      <c r="A30" s="117"/>
      <c r="B30" s="279"/>
      <c r="C30" s="279"/>
      <c r="D30" s="279"/>
      <c r="E30" s="279"/>
      <c r="F30" s="279"/>
      <c r="G30" s="279"/>
      <c r="H30" s="279"/>
      <c r="I30" s="279"/>
      <c r="J30" s="115"/>
      <c r="R30" s="106"/>
      <c r="S30" s="106"/>
    </row>
    <row r="31" spans="1:20" ht="17" thickBot="1" x14ac:dyDescent="0.25">
      <c r="A31" s="117"/>
      <c r="B31" s="138"/>
      <c r="C31" s="116"/>
      <c r="D31" s="116"/>
      <c r="E31" s="116"/>
      <c r="F31" s="116"/>
      <c r="G31" s="116"/>
      <c r="H31" s="116"/>
      <c r="I31" s="116"/>
      <c r="J31" s="115"/>
      <c r="M31" s="136" t="s">
        <v>141</v>
      </c>
      <c r="R31" s="106"/>
      <c r="S31" s="106"/>
    </row>
    <row r="32" spans="1:20" ht="17" thickBot="1" x14ac:dyDescent="0.25">
      <c r="A32" s="113" t="s">
        <v>76</v>
      </c>
      <c r="B32" s="111"/>
      <c r="C32" s="111"/>
      <c r="D32" s="111"/>
      <c r="E32" s="111"/>
      <c r="F32" s="111"/>
      <c r="G32" s="111"/>
      <c r="H32" s="111"/>
      <c r="I32" s="111"/>
      <c r="J32" s="110"/>
      <c r="N32" s="105"/>
    </row>
    <row r="33" spans="13:18" ht="17" thickBot="1" x14ac:dyDescent="0.25">
      <c r="M33" t="s">
        <v>140</v>
      </c>
      <c r="N33" s="106">
        <f>SUM(N8:N9)</f>
        <v>0.79892473118279561</v>
      </c>
      <c r="O33" t="s">
        <v>139</v>
      </c>
    </row>
    <row r="34" spans="13:18" ht="17" thickBot="1" x14ac:dyDescent="0.25">
      <c r="M34" s="109" t="s">
        <v>138</v>
      </c>
      <c r="N34" s="108">
        <f>N33*N29+(1-N33)*N24</f>
        <v>6794.5929339477734</v>
      </c>
      <c r="O34" t="s">
        <v>129</v>
      </c>
    </row>
    <row r="36" spans="13:18" x14ac:dyDescent="0.2">
      <c r="M36" s="136" t="s">
        <v>137</v>
      </c>
    </row>
    <row r="37" spans="13:18" x14ac:dyDescent="0.2">
      <c r="M37" s="102"/>
    </row>
    <row r="38" spans="13:18" ht="17" thickBot="1" x14ac:dyDescent="0.25">
      <c r="M38" t="s">
        <v>136</v>
      </c>
      <c r="N38" s="137">
        <f>N19</f>
        <v>0.88439414817203665</v>
      </c>
      <c r="O38" t="s">
        <v>135</v>
      </c>
    </row>
    <row r="39" spans="13:18" ht="17" thickBot="1" x14ac:dyDescent="0.25">
      <c r="M39" s="109" t="s">
        <v>134</v>
      </c>
      <c r="N39" s="108">
        <f>N38*N29+(1-N38)*N24</f>
        <v>6790.2200985048376</v>
      </c>
      <c r="O39" t="s">
        <v>129</v>
      </c>
    </row>
    <row r="41" spans="13:18" x14ac:dyDescent="0.2">
      <c r="M41" s="136" t="s">
        <v>133</v>
      </c>
    </row>
    <row r="43" spans="13:18" ht="17" thickBot="1" x14ac:dyDescent="0.25">
      <c r="M43" t="s">
        <v>132</v>
      </c>
      <c r="N43" s="106">
        <f>N19/(N19+SQRT(N19))</f>
        <v>0.4846482709246992</v>
      </c>
      <c r="O43" t="s">
        <v>131</v>
      </c>
    </row>
    <row r="44" spans="13:18" ht="17" thickBot="1" x14ac:dyDescent="0.25">
      <c r="M44" s="109" t="s">
        <v>130</v>
      </c>
      <c r="N44" s="108">
        <f>N43*N29+(1-N43)*N24</f>
        <v>6810.672126865049</v>
      </c>
      <c r="O44" t="s">
        <v>129</v>
      </c>
    </row>
    <row r="46" spans="13:18" x14ac:dyDescent="0.2">
      <c r="M46" s="136" t="s">
        <v>128</v>
      </c>
    </row>
    <row r="48" spans="13:18" x14ac:dyDescent="0.2">
      <c r="M48" s="135" t="s">
        <v>45</v>
      </c>
      <c r="N48" s="133" t="s">
        <v>127</v>
      </c>
      <c r="O48" s="133" t="s">
        <v>126</v>
      </c>
      <c r="P48" s="134" t="s">
        <v>125</v>
      </c>
      <c r="Q48" s="133" t="s">
        <v>124</v>
      </c>
      <c r="R48" s="129"/>
    </row>
    <row r="49" spans="13:20" x14ac:dyDescent="0.2">
      <c r="M49" s="132">
        <v>2011</v>
      </c>
      <c r="N49" s="130">
        <f>(0^2/N19+1/N20+(1-0)^2/SQRT(N19))/(N43^2/N19+1/N20+(1-N43)^2/SQRT(N19))</f>
        <v>1.0560281761971995</v>
      </c>
      <c r="O49" s="130">
        <f>(1^2/N19+1/N20+(1-1)^2/SQRT(N19))/(N43^2/N19+1/N20+(1-N43)^2/SQRT(N19))</f>
        <v>1.0633520431054464</v>
      </c>
      <c r="P49" s="131">
        <f>(N33^2/N19+1/N20+(1-N33)^2/SQRT(N19))/(N43^2/N19+1/N20+(1-N43)^2/SQRT(N19))</f>
        <v>1.0235600851868776</v>
      </c>
      <c r="Q49" s="130">
        <f>(N38^2/N19+1/N20+(1-N38)^2/SQRT(N19))/(N43^2/N19+1/N20+(1-N43)^2/SQRT(N19))</f>
        <v>1.0381172128418672</v>
      </c>
      <c r="R49" s="129"/>
    </row>
    <row r="51" spans="13:20" ht="16" customHeight="1" x14ac:dyDescent="0.2">
      <c r="M51" s="128" t="s">
        <v>123</v>
      </c>
      <c r="N51" s="128"/>
      <c r="O51" s="128"/>
      <c r="P51" s="128"/>
      <c r="Q51" s="128"/>
      <c r="R51" s="128"/>
      <c r="S51" s="128"/>
      <c r="T51" s="128"/>
    </row>
    <row r="52" spans="13:20" x14ac:dyDescent="0.2">
      <c r="M52" s="128"/>
      <c r="N52" s="128"/>
      <c r="O52" s="128"/>
      <c r="P52" s="128"/>
      <c r="Q52" s="128"/>
      <c r="R52" s="128"/>
      <c r="S52" s="128"/>
      <c r="T52" s="128"/>
    </row>
    <row r="54" spans="13:20" ht="16" customHeight="1" x14ac:dyDescent="0.2">
      <c r="M54" s="128" t="s">
        <v>122</v>
      </c>
      <c r="N54" s="128"/>
      <c r="O54" s="128"/>
      <c r="P54" s="128"/>
      <c r="Q54" s="128"/>
      <c r="R54" s="128"/>
      <c r="S54" s="128"/>
      <c r="T54" s="128"/>
    </row>
    <row r="55" spans="13:20" x14ac:dyDescent="0.2">
      <c r="M55" s="128"/>
      <c r="N55" s="128"/>
      <c r="O55" s="128"/>
      <c r="P55" s="128"/>
      <c r="Q55" s="128"/>
      <c r="R55" s="128"/>
      <c r="S55" s="128"/>
      <c r="T55" s="128"/>
    </row>
    <row r="57" spans="13:20" ht="19" x14ac:dyDescent="0.25">
      <c r="M57" s="104" t="s">
        <v>57</v>
      </c>
    </row>
    <row r="58" spans="13:20" x14ac:dyDescent="0.2">
      <c r="M58" s="276" t="s">
        <v>121</v>
      </c>
      <c r="N58" s="276"/>
      <c r="O58" s="276"/>
      <c r="P58" s="276"/>
      <c r="Q58" s="276"/>
      <c r="R58" s="276"/>
      <c r="S58" s="276"/>
      <c r="T58" s="276"/>
    </row>
    <row r="59" spans="13:20" x14ac:dyDescent="0.2">
      <c r="M59" s="276"/>
      <c r="N59" s="276"/>
      <c r="O59" s="276"/>
      <c r="P59" s="276"/>
      <c r="Q59" s="276"/>
      <c r="R59" s="276"/>
      <c r="S59" s="276"/>
      <c r="T59" s="276"/>
    </row>
    <row r="60" spans="13:20" x14ac:dyDescent="0.2">
      <c r="M60" s="276"/>
      <c r="N60" s="276"/>
      <c r="O60" s="276"/>
      <c r="P60" s="276"/>
      <c r="Q60" s="276"/>
      <c r="R60" s="276"/>
      <c r="S60" s="276"/>
      <c r="T60" s="276"/>
    </row>
    <row r="61" spans="13:20" x14ac:dyDescent="0.2">
      <c r="M61" s="276"/>
      <c r="N61" s="276"/>
      <c r="O61" s="276"/>
      <c r="P61" s="276"/>
      <c r="Q61" s="276"/>
      <c r="R61" s="276"/>
      <c r="S61" s="276"/>
      <c r="T61" s="276"/>
    </row>
    <row r="62" spans="13:20" x14ac:dyDescent="0.2">
      <c r="M62" s="276"/>
      <c r="N62" s="276"/>
      <c r="O62" s="276"/>
      <c r="P62" s="276"/>
      <c r="Q62" s="276"/>
      <c r="R62" s="276"/>
      <c r="S62" s="276"/>
      <c r="T62" s="276"/>
    </row>
    <row r="64" spans="13:20" ht="19" x14ac:dyDescent="0.25">
      <c r="M64" s="104" t="s">
        <v>93</v>
      </c>
    </row>
    <row r="65" spans="13:13" x14ac:dyDescent="0.2">
      <c r="M65" t="s">
        <v>94</v>
      </c>
    </row>
  </sheetData>
  <mergeCells count="4">
    <mergeCell ref="M58:T62"/>
    <mergeCell ref="D5:G5"/>
    <mergeCell ref="B25:I26"/>
    <mergeCell ref="B29:I3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387C-7684-8C4A-8801-66BBB6587788}">
  <dimension ref="A1:U49"/>
  <sheetViews>
    <sheetView workbookViewId="0"/>
  </sheetViews>
  <sheetFormatPr baseColWidth="10" defaultColWidth="11" defaultRowHeight="16" outlineLevelCol="1" x14ac:dyDescent="0.2"/>
  <cols>
    <col min="1" max="1" width="4.5" customWidth="1"/>
    <col min="3" max="3" width="13.83203125" bestFit="1" customWidth="1"/>
    <col min="8" max="10" width="11.5" customWidth="1"/>
    <col min="12" max="12" width="11.1640625" bestFit="1" customWidth="1"/>
    <col min="13" max="13" width="15.83203125" hidden="1" customWidth="1" outlineLevel="1"/>
    <col min="14" max="20" width="10.83203125" hidden="1" customWidth="1" outlineLevel="1"/>
    <col min="21" max="21" width="11" collapsed="1"/>
  </cols>
  <sheetData>
    <row r="1" spans="1:20" ht="19" x14ac:dyDescent="0.25">
      <c r="A1" s="127" t="s">
        <v>194</v>
      </c>
      <c r="B1" s="126"/>
      <c r="C1" s="125"/>
      <c r="D1" s="125"/>
      <c r="E1" s="125"/>
      <c r="F1" s="124"/>
      <c r="G1" s="124"/>
      <c r="H1" s="124"/>
      <c r="I1" s="124"/>
      <c r="J1" s="123"/>
      <c r="L1" s="104" t="s">
        <v>77</v>
      </c>
    </row>
    <row r="2" spans="1:20" x14ac:dyDescent="0.2">
      <c r="A2" s="117"/>
      <c r="B2" s="116"/>
      <c r="C2" s="116"/>
      <c r="D2" s="116"/>
      <c r="E2" s="116"/>
      <c r="F2" s="116"/>
      <c r="G2" s="116"/>
      <c r="H2" s="116"/>
      <c r="I2" s="116"/>
      <c r="J2" s="115"/>
      <c r="M2" t="s">
        <v>193</v>
      </c>
      <c r="N2" s="107">
        <f>C5</f>
        <v>5000</v>
      </c>
    </row>
    <row r="3" spans="1:20" x14ac:dyDescent="0.2">
      <c r="A3" s="117"/>
      <c r="B3" s="116" t="s">
        <v>192</v>
      </c>
      <c r="C3" s="116"/>
      <c r="D3" s="116"/>
      <c r="E3" s="116"/>
      <c r="F3" s="116"/>
      <c r="G3" s="116"/>
      <c r="H3" s="116"/>
      <c r="I3" s="116"/>
      <c r="J3" s="115"/>
      <c r="N3" s="107"/>
    </row>
    <row r="4" spans="1:20" x14ac:dyDescent="0.2">
      <c r="A4" s="117"/>
      <c r="B4" s="116"/>
      <c r="C4" s="116"/>
      <c r="D4" s="116"/>
      <c r="E4" s="116"/>
      <c r="F4" s="116"/>
      <c r="G4" s="116"/>
      <c r="H4" s="116"/>
      <c r="I4" s="116"/>
      <c r="J4" s="115"/>
      <c r="M4" t="s">
        <v>191</v>
      </c>
      <c r="N4" s="107">
        <f>N2*C7</f>
        <v>4000</v>
      </c>
      <c r="O4" t="s">
        <v>190</v>
      </c>
    </row>
    <row r="5" spans="1:20" x14ac:dyDescent="0.2">
      <c r="A5" s="117"/>
      <c r="B5" s="120" t="s">
        <v>116</v>
      </c>
      <c r="C5" s="122">
        <v>5000</v>
      </c>
      <c r="D5" s="116"/>
      <c r="E5" s="116"/>
      <c r="F5" s="116"/>
      <c r="G5" s="116"/>
      <c r="H5" s="116"/>
      <c r="I5" s="116"/>
      <c r="J5" s="115"/>
      <c r="M5" t="s">
        <v>189</v>
      </c>
      <c r="N5" s="107">
        <f>N4+C6</f>
        <v>5200</v>
      </c>
      <c r="O5" t="s">
        <v>188</v>
      </c>
    </row>
    <row r="6" spans="1:20" x14ac:dyDescent="0.2">
      <c r="A6" s="117"/>
      <c r="B6" s="120" t="s">
        <v>116</v>
      </c>
      <c r="C6" s="122">
        <v>1200</v>
      </c>
      <c r="D6" s="116"/>
      <c r="E6" s="116"/>
      <c r="F6" s="116"/>
      <c r="G6" s="116"/>
      <c r="H6" s="116"/>
      <c r="I6" s="116"/>
      <c r="J6" s="115"/>
      <c r="N6" s="107"/>
    </row>
    <row r="7" spans="1:20" x14ac:dyDescent="0.2">
      <c r="A7" s="117"/>
      <c r="B7" s="120" t="s">
        <v>116</v>
      </c>
      <c r="C7" s="121">
        <v>0.8</v>
      </c>
      <c r="D7" s="116"/>
      <c r="E7" s="116"/>
      <c r="F7" s="116"/>
      <c r="G7" s="116"/>
      <c r="H7" s="116"/>
      <c r="I7" s="116"/>
      <c r="J7" s="115"/>
      <c r="M7" t="s">
        <v>187</v>
      </c>
      <c r="N7" s="107">
        <f>N5*C7</f>
        <v>4160</v>
      </c>
      <c r="O7" t="s">
        <v>186</v>
      </c>
    </row>
    <row r="8" spans="1:20" x14ac:dyDescent="0.2">
      <c r="A8" s="117"/>
      <c r="B8" s="116"/>
      <c r="C8" s="116"/>
      <c r="D8" s="116"/>
      <c r="E8" s="116"/>
      <c r="F8" s="116"/>
      <c r="G8" s="116"/>
      <c r="H8" s="116"/>
      <c r="I8" s="116"/>
      <c r="J8" s="115"/>
      <c r="M8" t="s">
        <v>185</v>
      </c>
      <c r="N8" s="107">
        <f>N7+C6</f>
        <v>5360</v>
      </c>
      <c r="O8" t="s">
        <v>184</v>
      </c>
    </row>
    <row r="9" spans="1:20" x14ac:dyDescent="0.2">
      <c r="A9" s="117"/>
      <c r="B9" s="116" t="s">
        <v>183</v>
      </c>
      <c r="C9" s="116"/>
      <c r="D9" s="116"/>
      <c r="E9" s="116"/>
      <c r="F9" s="116"/>
      <c r="G9" s="116"/>
      <c r="H9" s="116"/>
      <c r="I9" s="116"/>
      <c r="J9" s="115"/>
      <c r="N9" s="107"/>
    </row>
    <row r="10" spans="1:20" ht="17" thickBot="1" x14ac:dyDescent="0.25">
      <c r="A10" s="117"/>
      <c r="B10" s="161"/>
      <c r="C10" s="116"/>
      <c r="D10" s="116"/>
      <c r="E10" s="116"/>
      <c r="F10" s="139"/>
      <c r="G10" s="116"/>
      <c r="H10" s="116"/>
      <c r="I10" s="116"/>
      <c r="J10" s="115"/>
      <c r="M10" t="s">
        <v>182</v>
      </c>
      <c r="N10" s="107">
        <f>N8*C7</f>
        <v>4288</v>
      </c>
    </row>
    <row r="11" spans="1:20" ht="17" thickBot="1" x14ac:dyDescent="0.25">
      <c r="A11" s="113" t="s">
        <v>76</v>
      </c>
      <c r="B11" s="112"/>
      <c r="C11" s="111"/>
      <c r="D11" s="111"/>
      <c r="E11" s="111"/>
      <c r="F11" s="160"/>
      <c r="G11" s="111"/>
      <c r="H11" s="111"/>
      <c r="I11" s="111"/>
      <c r="J11" s="110"/>
      <c r="M11" s="109" t="s">
        <v>181</v>
      </c>
      <c r="N11" s="108">
        <f>N10+C6</f>
        <v>5488</v>
      </c>
    </row>
    <row r="12" spans="1:20" x14ac:dyDescent="0.2">
      <c r="N12" s="107"/>
      <c r="S12" s="106"/>
      <c r="T12" s="105"/>
    </row>
    <row r="13" spans="1:20" ht="19" x14ac:dyDescent="0.25">
      <c r="M13" s="104" t="s">
        <v>57</v>
      </c>
      <c r="N13" s="107"/>
      <c r="R13" s="106"/>
      <c r="S13" s="106"/>
      <c r="T13" s="105"/>
    </row>
    <row r="14" spans="1:20" ht="16" customHeight="1" x14ac:dyDescent="0.2">
      <c r="M14" s="280" t="s">
        <v>180</v>
      </c>
      <c r="N14" s="280"/>
      <c r="O14" s="280"/>
      <c r="P14" s="280"/>
      <c r="Q14" s="280"/>
      <c r="R14" s="280"/>
      <c r="S14" s="280"/>
      <c r="T14" s="280"/>
    </row>
    <row r="15" spans="1:20" x14ac:dyDescent="0.2">
      <c r="M15" s="280"/>
      <c r="N15" s="280"/>
      <c r="O15" s="280"/>
      <c r="P15" s="280"/>
      <c r="Q15" s="280"/>
      <c r="R15" s="280"/>
      <c r="S15" s="280"/>
      <c r="T15" s="280"/>
    </row>
    <row r="16" spans="1:20" x14ac:dyDescent="0.2">
      <c r="M16" s="280"/>
      <c r="N16" s="280"/>
      <c r="O16" s="280"/>
      <c r="P16" s="280"/>
      <c r="Q16" s="280"/>
      <c r="R16" s="280"/>
      <c r="S16" s="280"/>
      <c r="T16" s="280"/>
    </row>
    <row r="17" spans="13:20" x14ac:dyDescent="0.2">
      <c r="M17" s="280"/>
      <c r="N17" s="280"/>
      <c r="O17" s="280"/>
      <c r="P17" s="280"/>
      <c r="Q17" s="280"/>
      <c r="R17" s="280"/>
      <c r="S17" s="280"/>
      <c r="T17" s="280"/>
    </row>
    <row r="18" spans="13:20" x14ac:dyDescent="0.2">
      <c r="M18" s="280"/>
      <c r="N18" s="280"/>
      <c r="O18" s="280"/>
      <c r="P18" s="280"/>
      <c r="Q18" s="280"/>
      <c r="R18" s="280"/>
      <c r="S18" s="280"/>
      <c r="T18" s="280"/>
    </row>
    <row r="19" spans="13:20" x14ac:dyDescent="0.2">
      <c r="M19" s="280"/>
      <c r="N19" s="280"/>
      <c r="O19" s="280"/>
      <c r="P19" s="280"/>
      <c r="Q19" s="280"/>
      <c r="R19" s="280"/>
      <c r="S19" s="280"/>
      <c r="T19" s="280"/>
    </row>
    <row r="20" spans="13:20" x14ac:dyDescent="0.2">
      <c r="M20" s="280"/>
      <c r="N20" s="280"/>
      <c r="O20" s="280"/>
      <c r="P20" s="280"/>
      <c r="Q20" s="280"/>
      <c r="R20" s="280"/>
      <c r="S20" s="280"/>
      <c r="T20" s="280"/>
    </row>
    <row r="21" spans="13:20" x14ac:dyDescent="0.2">
      <c r="M21" s="280"/>
      <c r="N21" s="280"/>
      <c r="O21" s="280"/>
      <c r="P21" s="280"/>
      <c r="Q21" s="280"/>
      <c r="R21" s="280"/>
      <c r="S21" s="280"/>
      <c r="T21" s="280"/>
    </row>
    <row r="22" spans="13:20" x14ac:dyDescent="0.2">
      <c r="M22" s="280"/>
      <c r="N22" s="280"/>
      <c r="O22" s="280"/>
      <c r="P22" s="280"/>
      <c r="Q22" s="280"/>
      <c r="R22" s="280"/>
      <c r="S22" s="280"/>
      <c r="T22" s="280"/>
    </row>
    <row r="23" spans="13:20" x14ac:dyDescent="0.2">
      <c r="M23" s="280"/>
      <c r="N23" s="280"/>
      <c r="O23" s="280"/>
      <c r="P23" s="280"/>
      <c r="Q23" s="280"/>
      <c r="R23" s="280"/>
      <c r="S23" s="280"/>
      <c r="T23" s="280"/>
    </row>
    <row r="26" spans="13:20" x14ac:dyDescent="0.2">
      <c r="M26" s="114"/>
    </row>
    <row r="27" spans="13:20" x14ac:dyDescent="0.2">
      <c r="N27" s="107"/>
    </row>
    <row r="28" spans="13:20" x14ac:dyDescent="0.2">
      <c r="N28" s="107"/>
      <c r="O28" s="106"/>
      <c r="P28" s="105"/>
    </row>
    <row r="29" spans="13:20" x14ac:dyDescent="0.2">
      <c r="O29" s="106"/>
      <c r="P29" s="105"/>
    </row>
    <row r="30" spans="13:20" x14ac:dyDescent="0.2">
      <c r="O30" s="106"/>
      <c r="P30" s="105"/>
    </row>
    <row r="31" spans="13:20" x14ac:dyDescent="0.2">
      <c r="O31" s="106"/>
      <c r="P31" s="105"/>
    </row>
    <row r="32" spans="13:20" x14ac:dyDescent="0.2">
      <c r="O32" s="106"/>
    </row>
    <row r="34" spans="13:16" x14ac:dyDescent="0.2">
      <c r="P34" s="105"/>
    </row>
    <row r="36" spans="13:16" x14ac:dyDescent="0.2">
      <c r="O36" s="159"/>
    </row>
    <row r="37" spans="13:16" x14ac:dyDescent="0.2">
      <c r="M37" s="136"/>
      <c r="N37" s="136"/>
    </row>
    <row r="39" spans="13:16" x14ac:dyDescent="0.2">
      <c r="M39" s="136"/>
    </row>
    <row r="41" spans="13:16" x14ac:dyDescent="0.2">
      <c r="N41" s="107"/>
      <c r="O41" s="106"/>
      <c r="P41" s="105"/>
    </row>
    <row r="42" spans="13:16" x14ac:dyDescent="0.2">
      <c r="O42" s="106"/>
      <c r="P42" s="105"/>
    </row>
    <row r="43" spans="13:16" x14ac:dyDescent="0.2">
      <c r="O43" s="106"/>
      <c r="P43" s="105"/>
    </row>
    <row r="44" spans="13:16" x14ac:dyDescent="0.2">
      <c r="O44" s="106"/>
    </row>
    <row r="46" spans="13:16" x14ac:dyDescent="0.2">
      <c r="P46" s="105"/>
    </row>
    <row r="47" spans="13:16" ht="19" x14ac:dyDescent="0.25">
      <c r="M47" s="104" t="s">
        <v>93</v>
      </c>
    </row>
    <row r="48" spans="13:16" x14ac:dyDescent="0.2">
      <c r="M48" t="s">
        <v>94</v>
      </c>
    </row>
    <row r="49" spans="13:14" x14ac:dyDescent="0.2">
      <c r="M49" t="s">
        <v>179</v>
      </c>
      <c r="N49" s="158"/>
    </row>
  </sheetData>
  <mergeCells count="1">
    <mergeCell ref="M14:T2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3C52-88D4-9C45-8044-837227FFE013}">
  <dimension ref="A1:T48"/>
  <sheetViews>
    <sheetView workbookViewId="0">
      <selection activeCell="L29" sqref="L29"/>
    </sheetView>
  </sheetViews>
  <sheetFormatPr baseColWidth="10" defaultColWidth="11" defaultRowHeight="16" outlineLevelCol="1" x14ac:dyDescent="0.2"/>
  <cols>
    <col min="1" max="1" width="4.5" customWidth="1"/>
    <col min="3" max="3" width="10.83203125" customWidth="1"/>
    <col min="8" max="10" width="11.5" customWidth="1"/>
    <col min="12" max="12" width="11.1640625" bestFit="1" customWidth="1"/>
    <col min="13" max="13" width="11" hidden="1" customWidth="1" outlineLevel="1"/>
    <col min="14" max="15" width="10.83203125" hidden="1" customWidth="1" outlineLevel="1"/>
    <col min="16" max="19" width="11" hidden="1" customWidth="1" outlineLevel="1"/>
    <col min="20" max="20" width="10.83203125" customWidth="1" collapsed="1"/>
  </cols>
  <sheetData>
    <row r="1" spans="1:20" ht="19" x14ac:dyDescent="0.25">
      <c r="A1" s="127" t="s">
        <v>200</v>
      </c>
      <c r="B1" s="126"/>
      <c r="C1" s="125"/>
      <c r="D1" s="125"/>
      <c r="E1" s="125"/>
      <c r="F1" s="124"/>
      <c r="G1" s="124"/>
      <c r="H1" s="124"/>
      <c r="I1" s="124"/>
      <c r="J1" s="123"/>
      <c r="L1" s="104" t="s">
        <v>77</v>
      </c>
    </row>
    <row r="2" spans="1:20" x14ac:dyDescent="0.2">
      <c r="A2" s="117"/>
      <c r="B2" s="116"/>
      <c r="C2" s="116"/>
      <c r="D2" s="116"/>
      <c r="E2" s="116"/>
      <c r="F2" s="116"/>
      <c r="G2" s="116"/>
      <c r="H2" s="116"/>
      <c r="I2" s="116"/>
      <c r="J2" s="115"/>
    </row>
    <row r="3" spans="1:20" x14ac:dyDescent="0.2">
      <c r="A3" s="117"/>
      <c r="B3" s="116" t="s">
        <v>119</v>
      </c>
      <c r="C3" s="116"/>
      <c r="D3" s="116"/>
      <c r="E3" s="116"/>
      <c r="F3" s="116"/>
      <c r="G3" s="116"/>
      <c r="H3" s="116"/>
      <c r="I3" s="116"/>
      <c r="J3" s="115"/>
      <c r="M3" t="s">
        <v>199</v>
      </c>
      <c r="N3" s="166">
        <f>(C5-1+SQRT((C5+1)*(C5-1+2*C6)))/2</f>
        <v>1.2488630487917955</v>
      </c>
    </row>
    <row r="4" spans="1:20" x14ac:dyDescent="0.2">
      <c r="A4" s="117"/>
      <c r="B4" s="116"/>
      <c r="C4" s="116"/>
      <c r="D4" s="116"/>
      <c r="E4" s="116"/>
      <c r="F4" s="116"/>
      <c r="G4" s="116"/>
      <c r="H4" s="116"/>
      <c r="I4" s="116"/>
      <c r="J4" s="115"/>
      <c r="M4" t="s">
        <v>198</v>
      </c>
      <c r="N4" s="166">
        <f>C6/(C6+N3)</f>
        <v>0.41882613250110456</v>
      </c>
    </row>
    <row r="5" spans="1:20" ht="17" thickBot="1" x14ac:dyDescent="0.25">
      <c r="A5" s="117"/>
      <c r="B5" s="120" t="s">
        <v>116</v>
      </c>
      <c r="C5" s="121">
        <v>1.3</v>
      </c>
      <c r="D5" s="116"/>
      <c r="E5" s="116"/>
      <c r="F5" s="116"/>
      <c r="G5" s="116"/>
      <c r="H5" s="116"/>
      <c r="I5" s="116"/>
      <c r="J5" s="115"/>
    </row>
    <row r="6" spans="1:20" ht="17" thickBot="1" x14ac:dyDescent="0.25">
      <c r="A6" s="117"/>
      <c r="B6" s="120" t="s">
        <v>116</v>
      </c>
      <c r="C6" s="121">
        <v>0.9</v>
      </c>
      <c r="D6" s="116"/>
      <c r="E6" s="116"/>
      <c r="F6" s="116"/>
      <c r="G6" s="116"/>
      <c r="H6" s="116"/>
      <c r="I6" s="116"/>
      <c r="J6" s="115"/>
      <c r="M6" s="109" t="s">
        <v>197</v>
      </c>
      <c r="N6" s="108">
        <f>N4*C7+(1-N4)*C8</f>
        <v>4709.4130662505522</v>
      </c>
      <c r="O6" t="s">
        <v>196</v>
      </c>
    </row>
    <row r="7" spans="1:20" x14ac:dyDescent="0.2">
      <c r="A7" s="117"/>
      <c r="B7" s="120" t="s">
        <v>116</v>
      </c>
      <c r="C7" s="122">
        <v>5000</v>
      </c>
      <c r="D7" s="116"/>
      <c r="E7" s="116"/>
      <c r="F7" s="116"/>
      <c r="G7" s="116"/>
      <c r="H7" s="116"/>
      <c r="I7" s="116"/>
      <c r="J7" s="115"/>
      <c r="N7" s="107"/>
    </row>
    <row r="8" spans="1:20" ht="19" x14ac:dyDescent="0.25">
      <c r="A8" s="117"/>
      <c r="B8" s="120" t="s">
        <v>116</v>
      </c>
      <c r="C8" s="122">
        <v>4500</v>
      </c>
      <c r="D8" s="116"/>
      <c r="E8" s="116"/>
      <c r="F8" s="116"/>
      <c r="G8" s="116"/>
      <c r="H8" s="116"/>
      <c r="I8" s="116"/>
      <c r="J8" s="115"/>
      <c r="M8" s="104" t="s">
        <v>57</v>
      </c>
      <c r="N8" s="107"/>
    </row>
    <row r="9" spans="1:20" ht="16" customHeight="1" x14ac:dyDescent="0.2">
      <c r="A9" s="117"/>
      <c r="B9" s="116"/>
      <c r="C9" s="116"/>
      <c r="D9" s="116"/>
      <c r="E9" s="116"/>
      <c r="F9" s="116"/>
      <c r="G9" s="116"/>
      <c r="H9" s="116"/>
      <c r="I9" s="116"/>
      <c r="J9" s="115"/>
      <c r="M9" s="276" t="s">
        <v>419</v>
      </c>
      <c r="N9" s="276"/>
      <c r="O9" s="276"/>
      <c r="P9" s="276"/>
      <c r="Q9" s="276"/>
      <c r="R9" s="276"/>
      <c r="S9" s="276"/>
    </row>
    <row r="10" spans="1:20" ht="16" customHeight="1" x14ac:dyDescent="0.2">
      <c r="A10" s="117"/>
      <c r="B10" s="165" t="s">
        <v>195</v>
      </c>
      <c r="C10" s="165"/>
      <c r="D10" s="165"/>
      <c r="E10" s="165"/>
      <c r="F10" s="165"/>
      <c r="G10" s="165"/>
      <c r="H10" s="165"/>
      <c r="I10" s="165"/>
      <c r="J10" s="115"/>
      <c r="M10" s="276"/>
      <c r="N10" s="276"/>
      <c r="O10" s="276"/>
      <c r="P10" s="276"/>
      <c r="Q10" s="276"/>
      <c r="R10" s="276"/>
      <c r="S10" s="276"/>
    </row>
    <row r="11" spans="1:20" ht="17" thickBot="1" x14ac:dyDescent="0.25">
      <c r="A11" s="117"/>
      <c r="B11" s="164"/>
      <c r="C11" s="164"/>
      <c r="D11" s="164"/>
      <c r="E11" s="164"/>
      <c r="F11" s="164"/>
      <c r="G11" s="164"/>
      <c r="H11" s="164"/>
      <c r="I11" s="116"/>
      <c r="J11" s="115"/>
      <c r="M11" s="276"/>
      <c r="N11" s="276"/>
      <c r="O11" s="276"/>
      <c r="P11" s="276"/>
      <c r="Q11" s="276"/>
      <c r="R11" s="276"/>
      <c r="S11" s="276"/>
    </row>
    <row r="12" spans="1:20" ht="17" thickBot="1" x14ac:dyDescent="0.25">
      <c r="A12" s="113" t="s">
        <v>76</v>
      </c>
      <c r="B12" s="163"/>
      <c r="C12" s="111"/>
      <c r="D12" s="111"/>
      <c r="E12" s="111"/>
      <c r="F12" s="160"/>
      <c r="G12" s="111"/>
      <c r="H12" s="111"/>
      <c r="I12" s="111"/>
      <c r="J12" s="110"/>
      <c r="M12" s="276"/>
      <c r="N12" s="276"/>
      <c r="O12" s="276"/>
      <c r="P12" s="276"/>
      <c r="Q12" s="276"/>
      <c r="R12" s="276"/>
      <c r="S12" s="276"/>
    </row>
    <row r="13" spans="1:20" x14ac:dyDescent="0.2">
      <c r="B13" s="162"/>
      <c r="F13" s="107"/>
      <c r="M13" s="276"/>
      <c r="N13" s="276"/>
      <c r="O13" s="276"/>
      <c r="P13" s="276"/>
      <c r="Q13" s="276"/>
      <c r="R13" s="276"/>
      <c r="S13" s="276"/>
    </row>
    <row r="14" spans="1:20" x14ac:dyDescent="0.2">
      <c r="M14" s="276"/>
      <c r="N14" s="276"/>
      <c r="O14" s="276"/>
      <c r="P14" s="276"/>
      <c r="Q14" s="276"/>
      <c r="R14" s="276"/>
      <c r="S14" s="276"/>
      <c r="T14" s="105"/>
    </row>
    <row r="15" spans="1:20" x14ac:dyDescent="0.2">
      <c r="M15" s="276"/>
      <c r="N15" s="276"/>
      <c r="O15" s="276"/>
      <c r="P15" s="276"/>
      <c r="Q15" s="276"/>
      <c r="R15" s="276"/>
      <c r="S15" s="276"/>
      <c r="T15" s="105"/>
    </row>
    <row r="16" spans="1:20" x14ac:dyDescent="0.2">
      <c r="M16" s="276"/>
      <c r="N16" s="276"/>
      <c r="O16" s="276"/>
      <c r="P16" s="276"/>
      <c r="Q16" s="276"/>
      <c r="R16" s="276"/>
      <c r="S16" s="276"/>
      <c r="T16" s="105"/>
    </row>
    <row r="17" spans="13:20" x14ac:dyDescent="0.2">
      <c r="M17" s="276"/>
      <c r="N17" s="276"/>
      <c r="O17" s="276"/>
      <c r="P17" s="276"/>
      <c r="Q17" s="276"/>
      <c r="R17" s="276"/>
      <c r="S17" s="276"/>
      <c r="T17" s="105"/>
    </row>
    <row r="18" spans="13:20" x14ac:dyDescent="0.2">
      <c r="M18" s="276"/>
      <c r="N18" s="276"/>
      <c r="O18" s="276"/>
      <c r="P18" s="276"/>
      <c r="Q18" s="276"/>
      <c r="R18" s="276"/>
      <c r="S18" s="276"/>
    </row>
    <row r="19" spans="13:20" x14ac:dyDescent="0.2">
      <c r="O19" s="106"/>
      <c r="P19" s="105"/>
      <c r="R19" s="106"/>
    </row>
    <row r="20" spans="13:20" ht="19" x14ac:dyDescent="0.25">
      <c r="M20" s="104" t="s">
        <v>93</v>
      </c>
      <c r="O20" s="106"/>
      <c r="P20" s="105"/>
    </row>
    <row r="21" spans="13:20" x14ac:dyDescent="0.2">
      <c r="M21" t="s">
        <v>95</v>
      </c>
      <c r="O21" s="106"/>
    </row>
    <row r="22" spans="13:20" x14ac:dyDescent="0.2">
      <c r="M22" s="114"/>
    </row>
    <row r="23" spans="13:20" x14ac:dyDescent="0.2">
      <c r="P23" s="105"/>
    </row>
    <row r="25" spans="13:20" x14ac:dyDescent="0.2">
      <c r="M25" s="114"/>
    </row>
    <row r="26" spans="13:20" x14ac:dyDescent="0.2">
      <c r="N26" s="107"/>
    </row>
    <row r="27" spans="13:20" x14ac:dyDescent="0.2">
      <c r="N27" s="107"/>
    </row>
    <row r="28" spans="13:20" x14ac:dyDescent="0.2">
      <c r="O28" s="106"/>
      <c r="P28" s="105"/>
    </row>
    <row r="29" spans="13:20" x14ac:dyDescent="0.2">
      <c r="O29" s="106"/>
      <c r="P29" s="105"/>
    </row>
    <row r="30" spans="13:20" x14ac:dyDescent="0.2">
      <c r="O30" s="106"/>
      <c r="P30" s="105"/>
    </row>
    <row r="31" spans="13:20" x14ac:dyDescent="0.2">
      <c r="O31" s="106"/>
      <c r="P31" s="105"/>
    </row>
    <row r="32" spans="13:20" x14ac:dyDescent="0.2">
      <c r="O32" s="106"/>
    </row>
    <row r="34" spans="13:16" x14ac:dyDescent="0.2">
      <c r="P34" s="105"/>
    </row>
    <row r="36" spans="13:16" x14ac:dyDescent="0.2">
      <c r="M36" s="136"/>
      <c r="N36" s="136"/>
      <c r="O36" s="159"/>
    </row>
    <row r="38" spans="13:16" x14ac:dyDescent="0.2">
      <c r="M38" s="136"/>
    </row>
    <row r="40" spans="13:16" x14ac:dyDescent="0.2">
      <c r="N40" s="107"/>
    </row>
    <row r="41" spans="13:16" x14ac:dyDescent="0.2">
      <c r="O41" s="106"/>
      <c r="P41" s="105"/>
    </row>
    <row r="42" spans="13:16" x14ac:dyDescent="0.2">
      <c r="O42" s="106"/>
      <c r="P42" s="105"/>
    </row>
    <row r="43" spans="13:16" x14ac:dyDescent="0.2">
      <c r="O43" s="106"/>
      <c r="P43" s="105"/>
    </row>
    <row r="44" spans="13:16" x14ac:dyDescent="0.2">
      <c r="O44" s="106"/>
    </row>
    <row r="46" spans="13:16" x14ac:dyDescent="0.2">
      <c r="P46" s="105"/>
    </row>
    <row r="48" spans="13:16" x14ac:dyDescent="0.2">
      <c r="M48" s="136"/>
      <c r="N48" s="158"/>
    </row>
  </sheetData>
  <mergeCells count="1">
    <mergeCell ref="M9:S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D3C8-01A7-1345-A816-19034B75C4B9}">
  <dimension ref="A1:U48"/>
  <sheetViews>
    <sheetView workbookViewId="0"/>
  </sheetViews>
  <sheetFormatPr baseColWidth="10" defaultColWidth="11" defaultRowHeight="16" outlineLevelCol="1" x14ac:dyDescent="0.2"/>
  <cols>
    <col min="1" max="1" width="4.5" customWidth="1"/>
    <col min="3" max="10" width="10.83203125" customWidth="1"/>
    <col min="12" max="12" width="11.1640625" bestFit="1" customWidth="1"/>
    <col min="13" max="20" width="10.83203125" hidden="1" customWidth="1" outlineLevel="1"/>
    <col min="21" max="21" width="10.83203125" customWidth="1" collapsed="1"/>
  </cols>
  <sheetData>
    <row r="1" spans="1:21" ht="19" x14ac:dyDescent="0.25">
      <c r="A1" s="127" t="s">
        <v>209</v>
      </c>
      <c r="B1" s="126"/>
      <c r="C1" s="125"/>
      <c r="D1" s="125"/>
      <c r="E1" s="125"/>
      <c r="F1" s="124"/>
      <c r="G1" s="124"/>
      <c r="H1" s="124"/>
      <c r="I1" s="124"/>
      <c r="J1" s="123"/>
      <c r="L1" s="104" t="s">
        <v>77</v>
      </c>
    </row>
    <row r="2" spans="1:21" x14ac:dyDescent="0.2">
      <c r="A2" s="117"/>
      <c r="B2" s="116"/>
      <c r="C2" s="116"/>
      <c r="D2" s="116"/>
      <c r="E2" s="116"/>
      <c r="F2" s="116"/>
      <c r="G2" s="116"/>
      <c r="H2" s="116"/>
      <c r="I2" s="116"/>
      <c r="J2" s="115"/>
    </row>
    <row r="3" spans="1:21" x14ac:dyDescent="0.2">
      <c r="A3" s="117"/>
      <c r="B3" s="116" t="s">
        <v>119</v>
      </c>
      <c r="C3" s="116"/>
      <c r="D3" s="116"/>
      <c r="E3" s="116"/>
      <c r="F3" s="116"/>
      <c r="G3" s="116"/>
      <c r="H3" s="116"/>
      <c r="I3" s="116"/>
      <c r="J3" s="115"/>
      <c r="M3" t="s">
        <v>208</v>
      </c>
      <c r="N3" s="167">
        <f>C6^2</f>
        <v>0.90249999999999997</v>
      </c>
      <c r="O3" t="s">
        <v>207</v>
      </c>
    </row>
    <row r="4" spans="1:21" x14ac:dyDescent="0.2">
      <c r="A4" s="117"/>
      <c r="B4" s="116"/>
      <c r="C4" s="116"/>
      <c r="D4" s="116"/>
      <c r="E4" s="116"/>
      <c r="F4" s="116"/>
      <c r="G4" s="116"/>
      <c r="H4" s="116"/>
      <c r="I4" s="116"/>
      <c r="J4" s="115"/>
      <c r="M4" t="s">
        <v>198</v>
      </c>
      <c r="N4" s="167">
        <f>N3/(N3+C6)</f>
        <v>0.48717948717948717</v>
      </c>
    </row>
    <row r="5" spans="1:21" ht="17" thickBot="1" x14ac:dyDescent="0.25">
      <c r="A5" s="117"/>
      <c r="B5" s="120" t="s">
        <v>116</v>
      </c>
      <c r="C5" s="121">
        <v>1</v>
      </c>
      <c r="D5" s="116"/>
      <c r="E5" s="116"/>
      <c r="F5" s="116"/>
      <c r="G5" s="116"/>
      <c r="H5" s="116"/>
      <c r="I5" s="116"/>
      <c r="J5" s="115"/>
    </row>
    <row r="6" spans="1:21" ht="17" thickBot="1" x14ac:dyDescent="0.25">
      <c r="A6" s="117"/>
      <c r="B6" s="120" t="s">
        <v>116</v>
      </c>
      <c r="C6" s="121">
        <v>0.95</v>
      </c>
      <c r="D6" s="116"/>
      <c r="E6" s="116"/>
      <c r="F6" s="116"/>
      <c r="G6" s="116"/>
      <c r="H6" s="116"/>
      <c r="I6" s="116"/>
      <c r="J6" s="115"/>
      <c r="M6" s="109" t="s">
        <v>206</v>
      </c>
      <c r="N6" s="108">
        <f>(E8-N4*E7)/(1-N4)</f>
        <v>4610</v>
      </c>
      <c r="O6" t="s">
        <v>205</v>
      </c>
    </row>
    <row r="7" spans="1:21" x14ac:dyDescent="0.2">
      <c r="A7" s="117"/>
      <c r="B7" s="120" t="s">
        <v>204</v>
      </c>
      <c r="C7" s="122"/>
      <c r="D7" s="116"/>
      <c r="E7" s="122">
        <v>5000</v>
      </c>
      <c r="F7" s="116"/>
      <c r="G7" s="116"/>
      <c r="H7" s="116"/>
      <c r="I7" s="116"/>
      <c r="J7" s="115"/>
      <c r="N7" s="107"/>
    </row>
    <row r="8" spans="1:21" x14ac:dyDescent="0.2">
      <c r="A8" s="117"/>
      <c r="B8" s="120" t="s">
        <v>203</v>
      </c>
      <c r="C8" s="122"/>
      <c r="D8" s="116"/>
      <c r="E8" s="122">
        <v>4800</v>
      </c>
      <c r="F8" s="116"/>
      <c r="G8" s="116"/>
      <c r="H8" s="116"/>
      <c r="I8" s="116"/>
      <c r="J8" s="115"/>
      <c r="N8" s="107"/>
    </row>
    <row r="9" spans="1:21" ht="19" x14ac:dyDescent="0.25">
      <c r="A9" s="117"/>
      <c r="B9" s="116"/>
      <c r="C9" s="116"/>
      <c r="D9" s="116"/>
      <c r="E9" s="116"/>
      <c r="F9" s="116"/>
      <c r="G9" s="116"/>
      <c r="H9" s="116"/>
      <c r="I9" s="116"/>
      <c r="J9" s="115"/>
      <c r="M9" s="104" t="s">
        <v>57</v>
      </c>
      <c r="N9" s="107"/>
    </row>
    <row r="10" spans="1:21" x14ac:dyDescent="0.2">
      <c r="A10" s="117"/>
      <c r="B10" s="116" t="s">
        <v>202</v>
      </c>
      <c r="C10" s="116"/>
      <c r="D10" s="116"/>
      <c r="E10" s="116"/>
      <c r="F10" s="116"/>
      <c r="G10" s="116"/>
      <c r="H10" s="116"/>
      <c r="I10" s="116"/>
      <c r="J10" s="115"/>
      <c r="M10" s="276" t="s">
        <v>201</v>
      </c>
      <c r="N10" s="276"/>
      <c r="O10" s="276"/>
      <c r="P10" s="276"/>
      <c r="Q10" s="276"/>
      <c r="R10" s="276"/>
      <c r="S10" s="276"/>
      <c r="T10" s="276"/>
    </row>
    <row r="11" spans="1:21" ht="17" thickBot="1" x14ac:dyDescent="0.25">
      <c r="A11" s="117"/>
      <c r="B11" s="161"/>
      <c r="C11" s="116"/>
      <c r="D11" s="116"/>
      <c r="E11" s="116"/>
      <c r="F11" s="139"/>
      <c r="G11" s="116"/>
      <c r="H11" s="116"/>
      <c r="I11" s="116"/>
      <c r="J11" s="115"/>
      <c r="M11" s="276"/>
      <c r="N11" s="276"/>
      <c r="O11" s="276"/>
      <c r="P11" s="276"/>
      <c r="Q11" s="276"/>
      <c r="R11" s="276"/>
      <c r="S11" s="276"/>
      <c r="T11" s="276"/>
    </row>
    <row r="12" spans="1:21" ht="17" thickBot="1" x14ac:dyDescent="0.25">
      <c r="A12" s="113" t="s">
        <v>76</v>
      </c>
      <c r="B12" s="112"/>
      <c r="C12" s="111"/>
      <c r="D12" s="111"/>
      <c r="E12" s="111"/>
      <c r="F12" s="160"/>
      <c r="G12" s="111"/>
      <c r="H12" s="111"/>
      <c r="I12" s="111"/>
      <c r="J12" s="110"/>
      <c r="N12" s="107"/>
    </row>
    <row r="13" spans="1:21" ht="19" x14ac:dyDescent="0.25">
      <c r="M13" s="104" t="s">
        <v>93</v>
      </c>
      <c r="N13" s="107"/>
    </row>
    <row r="14" spans="1:21" x14ac:dyDescent="0.2">
      <c r="M14" t="s">
        <v>94</v>
      </c>
      <c r="N14" s="107"/>
    </row>
    <row r="15" spans="1:21" x14ac:dyDescent="0.2">
      <c r="M15" s="114"/>
      <c r="U15" s="105"/>
    </row>
    <row r="16" spans="1:21" x14ac:dyDescent="0.2">
      <c r="N16" s="107"/>
      <c r="R16" s="106"/>
      <c r="S16" s="106"/>
      <c r="U16" s="105"/>
    </row>
    <row r="17" spans="13:21" x14ac:dyDescent="0.2">
      <c r="N17" s="107"/>
      <c r="R17" s="106"/>
      <c r="S17" s="106"/>
      <c r="T17" s="106"/>
      <c r="U17" s="105"/>
    </row>
    <row r="18" spans="13:21" x14ac:dyDescent="0.2">
      <c r="O18" s="106"/>
      <c r="P18" s="105"/>
      <c r="R18" s="106"/>
      <c r="S18" s="106"/>
      <c r="T18" s="106"/>
    </row>
    <row r="19" spans="13:21" x14ac:dyDescent="0.2">
      <c r="O19" s="106"/>
      <c r="P19" s="105"/>
      <c r="R19" s="106"/>
      <c r="S19" s="106"/>
      <c r="T19" s="106"/>
    </row>
    <row r="20" spans="13:21" x14ac:dyDescent="0.2">
      <c r="O20" s="106"/>
      <c r="P20" s="105"/>
    </row>
    <row r="21" spans="13:21" x14ac:dyDescent="0.2">
      <c r="O21" s="106"/>
    </row>
    <row r="23" spans="13:21" x14ac:dyDescent="0.2">
      <c r="P23" s="105"/>
    </row>
    <row r="25" spans="13:21" x14ac:dyDescent="0.2">
      <c r="M25" s="114"/>
    </row>
    <row r="26" spans="13:21" x14ac:dyDescent="0.2">
      <c r="N26" s="107"/>
    </row>
    <row r="27" spans="13:21" x14ac:dyDescent="0.2">
      <c r="N27" s="107"/>
    </row>
    <row r="28" spans="13:21" x14ac:dyDescent="0.2">
      <c r="O28" s="106"/>
      <c r="P28" s="105"/>
    </row>
    <row r="29" spans="13:21" x14ac:dyDescent="0.2">
      <c r="O29" s="106"/>
      <c r="P29" s="105"/>
    </row>
    <row r="30" spans="13:21" x14ac:dyDescent="0.2">
      <c r="O30" s="106"/>
      <c r="P30" s="105"/>
    </row>
    <row r="31" spans="13:21" x14ac:dyDescent="0.2">
      <c r="O31" s="106"/>
      <c r="P31" s="105"/>
    </row>
    <row r="32" spans="13:21" x14ac:dyDescent="0.2">
      <c r="O32" s="106"/>
    </row>
    <row r="34" spans="13:16" x14ac:dyDescent="0.2">
      <c r="P34" s="105"/>
    </row>
    <row r="36" spans="13:16" x14ac:dyDescent="0.2">
      <c r="M36" s="136"/>
      <c r="N36" s="136"/>
      <c r="O36" s="159"/>
    </row>
    <row r="38" spans="13:16" x14ac:dyDescent="0.2">
      <c r="M38" s="136"/>
    </row>
    <row r="40" spans="13:16" x14ac:dyDescent="0.2">
      <c r="N40" s="107"/>
    </row>
    <row r="41" spans="13:16" x14ac:dyDescent="0.2">
      <c r="O41" s="106"/>
      <c r="P41" s="105"/>
    </row>
    <row r="42" spans="13:16" x14ac:dyDescent="0.2">
      <c r="O42" s="106"/>
      <c r="P42" s="105"/>
    </row>
    <row r="43" spans="13:16" x14ac:dyDescent="0.2">
      <c r="O43" s="106"/>
      <c r="P43" s="105"/>
    </row>
    <row r="44" spans="13:16" x14ac:dyDescent="0.2">
      <c r="O44" s="106"/>
    </row>
    <row r="46" spans="13:16" x14ac:dyDescent="0.2">
      <c r="P46" s="105"/>
    </row>
    <row r="48" spans="13:16" x14ac:dyDescent="0.2">
      <c r="M48" s="136"/>
      <c r="N48" s="158"/>
    </row>
  </sheetData>
  <mergeCells count="1">
    <mergeCell ref="M10:T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46F99-9CD1-074B-AE10-553FCA5DC52E}">
  <dimension ref="A1:U42"/>
  <sheetViews>
    <sheetView workbookViewId="0"/>
  </sheetViews>
  <sheetFormatPr baseColWidth="10" defaultColWidth="11" defaultRowHeight="16" outlineLevelCol="1" x14ac:dyDescent="0.2"/>
  <cols>
    <col min="1" max="1" width="4.5" customWidth="1"/>
    <col min="2" max="10" width="10.83203125" customWidth="1"/>
    <col min="12" max="12" width="11.1640625" bestFit="1" customWidth="1"/>
    <col min="13" max="20" width="10.83203125" hidden="1" customWidth="1" outlineLevel="1"/>
    <col min="21" max="21" width="11" collapsed="1"/>
  </cols>
  <sheetData>
    <row r="1" spans="1:19" ht="19" x14ac:dyDescent="0.25">
      <c r="A1" s="127" t="s">
        <v>231</v>
      </c>
      <c r="B1" s="124"/>
      <c r="C1" s="125"/>
      <c r="D1" s="125"/>
      <c r="E1" s="125"/>
      <c r="F1" s="124"/>
      <c r="G1" s="124"/>
      <c r="H1" s="124"/>
      <c r="I1" s="124"/>
      <c r="J1" s="123"/>
      <c r="L1" s="104" t="s">
        <v>77</v>
      </c>
    </row>
    <row r="2" spans="1:19" x14ac:dyDescent="0.2">
      <c r="A2" s="117"/>
      <c r="B2" s="116"/>
      <c r="C2" s="116"/>
      <c r="D2" s="116"/>
      <c r="E2" s="116"/>
      <c r="F2" s="116"/>
      <c r="G2" s="116"/>
      <c r="H2" s="116"/>
      <c r="I2" s="116"/>
      <c r="J2" s="115"/>
    </row>
    <row r="3" spans="1:19" x14ac:dyDescent="0.2">
      <c r="A3" s="117"/>
      <c r="B3" s="116" t="s">
        <v>177</v>
      </c>
      <c r="C3" s="119"/>
      <c r="D3" s="116"/>
      <c r="E3" s="116"/>
      <c r="F3" s="116"/>
      <c r="G3" s="116"/>
      <c r="H3" s="116"/>
      <c r="I3" s="116"/>
      <c r="J3" s="115"/>
      <c r="M3" s="136" t="s">
        <v>176</v>
      </c>
    </row>
    <row r="4" spans="1:19" x14ac:dyDescent="0.2">
      <c r="A4" s="117"/>
      <c r="B4" s="116"/>
      <c r="C4" s="119"/>
      <c r="D4" s="116"/>
      <c r="E4" s="116"/>
      <c r="F4" s="116"/>
      <c r="G4" s="116"/>
      <c r="H4" s="116"/>
      <c r="I4" s="116"/>
      <c r="J4" s="115"/>
      <c r="N4" s="107"/>
    </row>
    <row r="5" spans="1:19" x14ac:dyDescent="0.2">
      <c r="A5" s="117"/>
      <c r="B5" s="116"/>
      <c r="C5" s="157"/>
      <c r="D5" s="157" t="s">
        <v>175</v>
      </c>
      <c r="E5" s="177" t="s">
        <v>230</v>
      </c>
      <c r="F5" s="176"/>
      <c r="G5" s="175"/>
      <c r="H5" s="116"/>
      <c r="I5" s="116"/>
      <c r="J5" s="115"/>
      <c r="M5" s="114" t="s">
        <v>229</v>
      </c>
    </row>
    <row r="6" spans="1:19" x14ac:dyDescent="0.2">
      <c r="A6" s="117"/>
      <c r="B6" s="116"/>
      <c r="C6" s="145" t="s">
        <v>45</v>
      </c>
      <c r="D6" s="145" t="s">
        <v>172</v>
      </c>
      <c r="E6" s="156" t="s">
        <v>171</v>
      </c>
      <c r="F6" s="155" t="s">
        <v>170</v>
      </c>
      <c r="G6" s="154" t="s">
        <v>169</v>
      </c>
      <c r="H6" s="116"/>
      <c r="I6" s="116"/>
      <c r="J6" s="115"/>
    </row>
    <row r="7" spans="1:19" x14ac:dyDescent="0.2">
      <c r="A7" s="117"/>
      <c r="B7" s="116"/>
      <c r="C7" s="149">
        <v>2010</v>
      </c>
      <c r="D7" s="148">
        <v>200</v>
      </c>
      <c r="E7" s="153">
        <v>40</v>
      </c>
      <c r="F7" s="152">
        <v>80</v>
      </c>
      <c r="G7" s="151">
        <v>100</v>
      </c>
      <c r="H7" s="116"/>
      <c r="I7" s="116"/>
      <c r="J7" s="115"/>
      <c r="M7" t="s">
        <v>228</v>
      </c>
      <c r="N7" s="174">
        <f>SUM(F7:F8)/SUM(E7:E8)</f>
        <v>2</v>
      </c>
    </row>
    <row r="8" spans="1:19" x14ac:dyDescent="0.2">
      <c r="A8" s="117"/>
      <c r="B8" s="116"/>
      <c r="C8" s="149">
        <v>2011</v>
      </c>
      <c r="D8" s="148">
        <v>225</v>
      </c>
      <c r="E8" s="148">
        <v>60</v>
      </c>
      <c r="F8" s="147">
        <v>120</v>
      </c>
      <c r="G8" s="146"/>
      <c r="H8" s="116"/>
      <c r="I8" s="116"/>
      <c r="J8" s="115"/>
      <c r="M8" t="s">
        <v>227</v>
      </c>
      <c r="N8" s="174">
        <f>G7/F7</f>
        <v>1.25</v>
      </c>
    </row>
    <row r="9" spans="1:19" x14ac:dyDescent="0.2">
      <c r="A9" s="117"/>
      <c r="B9" s="116"/>
      <c r="C9" s="145">
        <v>2012</v>
      </c>
      <c r="D9" s="144">
        <v>250</v>
      </c>
      <c r="E9" s="144">
        <v>65</v>
      </c>
      <c r="F9" s="143"/>
      <c r="G9" s="142"/>
      <c r="H9" s="116"/>
      <c r="I9" s="116"/>
      <c r="J9" s="115"/>
      <c r="N9" s="106"/>
    </row>
    <row r="10" spans="1:19" x14ac:dyDescent="0.2">
      <c r="A10" s="117"/>
      <c r="B10" s="116"/>
      <c r="C10" s="119"/>
      <c r="D10" s="116"/>
      <c r="E10" s="116"/>
      <c r="F10" s="116"/>
      <c r="G10" s="116"/>
      <c r="H10" s="116"/>
      <c r="I10" s="116"/>
      <c r="J10" s="115"/>
      <c r="M10" s="114" t="s">
        <v>226</v>
      </c>
      <c r="N10" s="106"/>
    </row>
    <row r="11" spans="1:19" x14ac:dyDescent="0.2">
      <c r="A11" s="117"/>
      <c r="B11" s="140" t="s">
        <v>0</v>
      </c>
      <c r="C11" s="116"/>
      <c r="D11" s="116"/>
      <c r="E11" s="116"/>
      <c r="F11" s="139"/>
      <c r="G11" s="116"/>
      <c r="H11" s="116"/>
      <c r="I11" s="116"/>
      <c r="J11" s="115"/>
    </row>
    <row r="12" spans="1:19" x14ac:dyDescent="0.2">
      <c r="A12" s="117"/>
      <c r="B12" s="116" t="s">
        <v>225</v>
      </c>
      <c r="C12" s="116"/>
      <c r="D12" s="116"/>
      <c r="E12" s="116"/>
      <c r="F12" s="139"/>
      <c r="G12" s="116"/>
      <c r="H12" s="116"/>
      <c r="I12" s="116"/>
      <c r="J12" s="115"/>
      <c r="M12" t="s">
        <v>224</v>
      </c>
      <c r="N12" s="173">
        <v>1</v>
      </c>
    </row>
    <row r="13" spans="1:19" x14ac:dyDescent="0.2">
      <c r="A13" s="117"/>
      <c r="B13" s="161"/>
      <c r="C13" s="116"/>
      <c r="D13" s="116"/>
      <c r="E13" s="116"/>
      <c r="F13" s="139"/>
      <c r="G13" s="116"/>
      <c r="H13" s="116"/>
      <c r="I13" s="116"/>
      <c r="J13" s="115"/>
      <c r="M13" t="s">
        <v>223</v>
      </c>
      <c r="N13" s="173">
        <f>1/N8</f>
        <v>0.8</v>
      </c>
      <c r="R13" s="106"/>
      <c r="S13" s="105"/>
    </row>
    <row r="14" spans="1:19" x14ac:dyDescent="0.2">
      <c r="A14" s="117"/>
      <c r="B14" s="140" t="s">
        <v>1</v>
      </c>
      <c r="C14" s="116"/>
      <c r="D14" s="116"/>
      <c r="E14" s="116"/>
      <c r="F14" s="139"/>
      <c r="G14" s="116"/>
      <c r="H14" s="116"/>
      <c r="I14" s="116"/>
      <c r="J14" s="115"/>
      <c r="M14" t="s">
        <v>222</v>
      </c>
      <c r="N14" s="173">
        <f>1/(N7*N8)</f>
        <v>0.4</v>
      </c>
      <c r="O14" s="107"/>
      <c r="R14" s="106"/>
      <c r="S14" s="105"/>
    </row>
    <row r="15" spans="1:19" ht="16" customHeight="1" x14ac:dyDescent="0.2">
      <c r="A15" s="117"/>
      <c r="B15" s="279" t="s">
        <v>221</v>
      </c>
      <c r="C15" s="279"/>
      <c r="D15" s="279"/>
      <c r="E15" s="279"/>
      <c r="F15" s="279"/>
      <c r="G15" s="279"/>
      <c r="H15" s="279"/>
      <c r="I15" s="279"/>
      <c r="J15" s="115"/>
      <c r="N15" s="137"/>
    </row>
    <row r="16" spans="1:19" x14ac:dyDescent="0.2">
      <c r="A16" s="117"/>
      <c r="B16" s="279"/>
      <c r="C16" s="279"/>
      <c r="D16" s="279"/>
      <c r="E16" s="279"/>
      <c r="F16" s="279"/>
      <c r="G16" s="279"/>
      <c r="H16" s="279"/>
      <c r="I16" s="279"/>
      <c r="J16" s="115"/>
      <c r="M16" s="114" t="s">
        <v>220</v>
      </c>
      <c r="N16" s="103"/>
    </row>
    <row r="17" spans="1:20" ht="17" thickBot="1" x14ac:dyDescent="0.25">
      <c r="A17" s="117"/>
      <c r="B17" s="138"/>
      <c r="C17" s="116"/>
      <c r="D17" s="116"/>
      <c r="E17" s="116"/>
      <c r="F17" s="116"/>
      <c r="G17" s="116"/>
      <c r="H17" s="116"/>
      <c r="I17" s="116"/>
      <c r="J17" s="115"/>
      <c r="R17" s="106"/>
    </row>
    <row r="18" spans="1:20" ht="17" thickBot="1" x14ac:dyDescent="0.25">
      <c r="A18" s="113" t="s">
        <v>76</v>
      </c>
      <c r="B18" s="111"/>
      <c r="C18" s="111"/>
      <c r="D18" s="111"/>
      <c r="E18" s="111"/>
      <c r="F18" s="111"/>
      <c r="G18" s="111"/>
      <c r="H18" s="111"/>
      <c r="I18" s="111"/>
      <c r="J18" s="110"/>
      <c r="M18" t="s">
        <v>219</v>
      </c>
      <c r="N18" s="172">
        <f>(1-N14)/N14*E9</f>
        <v>97.499999999999986</v>
      </c>
      <c r="O18" t="s">
        <v>218</v>
      </c>
      <c r="R18" s="106"/>
      <c r="S18" s="106"/>
      <c r="T18" s="105"/>
    </row>
    <row r="19" spans="1:20" x14ac:dyDescent="0.2">
      <c r="R19" s="106"/>
      <c r="S19" s="106"/>
      <c r="T19" s="105"/>
    </row>
    <row r="20" spans="1:20" x14ac:dyDescent="0.2">
      <c r="M20" t="s">
        <v>217</v>
      </c>
      <c r="N20" s="171">
        <f>(G7+F8+E9)/(D7*N12+D8*N13+D9*N14)</f>
        <v>0.59375</v>
      </c>
      <c r="O20" t="s">
        <v>216</v>
      </c>
      <c r="R20" s="106"/>
      <c r="S20" s="106"/>
      <c r="T20" s="105"/>
    </row>
    <row r="21" spans="1:20" x14ac:dyDescent="0.2">
      <c r="M21" t="s">
        <v>212</v>
      </c>
      <c r="N21" s="105">
        <f>N20*D9*(1-N14)</f>
        <v>89.0625</v>
      </c>
      <c r="O21" t="s">
        <v>215</v>
      </c>
    </row>
    <row r="22" spans="1:20" x14ac:dyDescent="0.2">
      <c r="N22" s="106"/>
    </row>
    <row r="23" spans="1:20" x14ac:dyDescent="0.2">
      <c r="M23" s="114" t="s">
        <v>214</v>
      </c>
      <c r="N23" s="105"/>
    </row>
    <row r="25" spans="1:20" ht="17" thickBot="1" x14ac:dyDescent="0.25">
      <c r="M25" t="s">
        <v>213</v>
      </c>
      <c r="N25" s="106">
        <f>N14/(N14+SQRT(N14))</f>
        <v>0.3874258867227931</v>
      </c>
      <c r="O25" t="s">
        <v>131</v>
      </c>
    </row>
    <row r="26" spans="1:20" ht="17" thickBot="1" x14ac:dyDescent="0.25">
      <c r="M26" s="109" t="s">
        <v>211</v>
      </c>
      <c r="N26" s="169">
        <f>N25*N18+(1-N25)*N21</f>
        <v>92.331405919223556</v>
      </c>
    </row>
    <row r="27" spans="1:20" x14ac:dyDescent="0.2">
      <c r="N27" s="137"/>
    </row>
    <row r="28" spans="1:20" x14ac:dyDescent="0.2">
      <c r="M28" s="136" t="s">
        <v>148</v>
      </c>
      <c r="N28" s="105"/>
    </row>
    <row r="30" spans="1:20" ht="17" thickBot="1" x14ac:dyDescent="0.25">
      <c r="M30" t="s">
        <v>212</v>
      </c>
      <c r="N30" s="170">
        <f>D9*0.55*(1-N14)</f>
        <v>82.5</v>
      </c>
    </row>
    <row r="31" spans="1:20" ht="17" thickBot="1" x14ac:dyDescent="0.25">
      <c r="M31" s="109" t="s">
        <v>211</v>
      </c>
      <c r="N31" s="169">
        <f>N25*N18+(1-N25)*N30</f>
        <v>88.311388300841884</v>
      </c>
    </row>
    <row r="32" spans="1:20" x14ac:dyDescent="0.2">
      <c r="N32" s="106"/>
    </row>
    <row r="33" spans="13:20" x14ac:dyDescent="0.2">
      <c r="N33" s="105"/>
    </row>
    <row r="35" spans="13:20" ht="19" x14ac:dyDescent="0.25">
      <c r="M35" s="104" t="s">
        <v>57</v>
      </c>
    </row>
    <row r="36" spans="13:20" x14ac:dyDescent="0.2">
      <c r="M36" s="276" t="s">
        <v>210</v>
      </c>
      <c r="N36" s="276"/>
      <c r="O36" s="276"/>
      <c r="P36" s="276"/>
      <c r="Q36" s="276"/>
      <c r="R36" s="276"/>
      <c r="S36" s="276"/>
      <c r="T36" s="276"/>
    </row>
    <row r="37" spans="13:20" x14ac:dyDescent="0.2">
      <c r="M37" s="276"/>
      <c r="N37" s="276"/>
      <c r="O37" s="276"/>
      <c r="P37" s="276"/>
      <c r="Q37" s="276"/>
      <c r="R37" s="276"/>
      <c r="S37" s="276"/>
      <c r="T37" s="276"/>
    </row>
    <row r="38" spans="13:20" x14ac:dyDescent="0.2">
      <c r="M38" s="276"/>
      <c r="N38" s="276"/>
      <c r="O38" s="276"/>
      <c r="P38" s="276"/>
      <c r="Q38" s="276"/>
      <c r="R38" s="276"/>
      <c r="S38" s="276"/>
      <c r="T38" s="276"/>
    </row>
    <row r="39" spans="13:20" x14ac:dyDescent="0.2">
      <c r="M39" s="276"/>
      <c r="N39" s="276"/>
      <c r="O39" s="276"/>
      <c r="P39" s="276"/>
      <c r="Q39" s="276"/>
      <c r="R39" s="276"/>
      <c r="S39" s="276"/>
      <c r="T39" s="276"/>
    </row>
    <row r="40" spans="13:20" x14ac:dyDescent="0.2">
      <c r="N40" s="130"/>
      <c r="O40" s="130"/>
      <c r="P40" s="130"/>
      <c r="Q40" s="130"/>
      <c r="R40" s="129"/>
    </row>
    <row r="41" spans="13:20" ht="19" x14ac:dyDescent="0.25">
      <c r="M41" s="104" t="s">
        <v>93</v>
      </c>
    </row>
    <row r="42" spans="13:20" x14ac:dyDescent="0.2">
      <c r="M42" s="168" t="s">
        <v>94</v>
      </c>
    </row>
  </sheetData>
  <mergeCells count="2">
    <mergeCell ref="B15:I16"/>
    <mergeCell ref="M36:T3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028E-6D30-F346-A2DD-99232E09FF25}">
  <dimension ref="A1:S36"/>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3" max="3" width="11.6640625" customWidth="1"/>
    <col min="12" max="18" width="10.83203125" hidden="1" customWidth="1" outlineLevel="1"/>
    <col min="19" max="19" width="11" collapsed="1"/>
  </cols>
  <sheetData>
    <row r="1" spans="1:18" x14ac:dyDescent="0.2">
      <c r="A1" s="228"/>
      <c r="B1" s="126" t="s">
        <v>277</v>
      </c>
      <c r="C1" s="125" t="s">
        <v>276</v>
      </c>
      <c r="D1" s="125" t="s">
        <v>275</v>
      </c>
      <c r="E1" s="125" t="s">
        <v>274</v>
      </c>
      <c r="F1" s="124"/>
      <c r="G1" s="124"/>
      <c r="H1" s="124"/>
      <c r="I1" s="124"/>
      <c r="J1" s="123"/>
      <c r="K1" s="136" t="s">
        <v>77</v>
      </c>
      <c r="L1" s="136"/>
    </row>
    <row r="2" spans="1:18" x14ac:dyDescent="0.2">
      <c r="A2" s="188"/>
      <c r="B2" s="227" t="s">
        <v>273</v>
      </c>
      <c r="C2" s="226">
        <v>2.75</v>
      </c>
      <c r="D2" s="116"/>
      <c r="E2" s="116"/>
      <c r="F2" s="116"/>
      <c r="G2" s="116"/>
      <c r="H2" s="116"/>
      <c r="I2" s="116"/>
      <c r="J2" s="115"/>
    </row>
    <row r="3" spans="1:18" x14ac:dyDescent="0.2">
      <c r="A3" s="188"/>
      <c r="B3" s="116"/>
      <c r="C3" s="116"/>
      <c r="D3" s="116"/>
      <c r="E3" s="116"/>
      <c r="F3" s="116"/>
      <c r="G3" s="116"/>
      <c r="H3" s="116"/>
      <c r="I3" s="116"/>
      <c r="J3" s="115"/>
      <c r="L3" s="136" t="s">
        <v>272</v>
      </c>
    </row>
    <row r="4" spans="1:18" x14ac:dyDescent="0.2">
      <c r="A4" s="188"/>
      <c r="B4" s="116"/>
      <c r="C4" s="116" t="s">
        <v>4</v>
      </c>
      <c r="D4" s="116"/>
      <c r="E4" s="116"/>
      <c r="F4" s="116"/>
      <c r="G4" s="116"/>
      <c r="H4" s="116"/>
      <c r="I4" s="116"/>
      <c r="J4" s="115"/>
      <c r="L4" t="s">
        <v>271</v>
      </c>
    </row>
    <row r="5" spans="1:18" x14ac:dyDescent="0.2">
      <c r="A5" s="188"/>
      <c r="B5" s="116"/>
      <c r="C5" s="116"/>
      <c r="D5" s="116"/>
      <c r="E5" s="116"/>
      <c r="F5" s="116"/>
      <c r="G5" s="116"/>
      <c r="H5" s="116"/>
      <c r="I5" s="116"/>
      <c r="J5" s="115"/>
    </row>
    <row r="6" spans="1:18" x14ac:dyDescent="0.2">
      <c r="A6" s="188"/>
      <c r="B6" s="116"/>
      <c r="C6" s="116"/>
      <c r="D6" s="282" t="s">
        <v>270</v>
      </c>
      <c r="E6" s="277"/>
      <c r="F6" s="277"/>
      <c r="G6" s="277"/>
      <c r="H6" s="278"/>
      <c r="I6" s="116"/>
      <c r="J6" s="115"/>
      <c r="L6" s="129"/>
      <c r="M6" s="205"/>
      <c r="N6" s="205"/>
      <c r="O6" s="205"/>
      <c r="P6" s="205" t="s">
        <v>175</v>
      </c>
    </row>
    <row r="7" spans="1:18" x14ac:dyDescent="0.2">
      <c r="A7" s="188"/>
      <c r="B7" s="116"/>
      <c r="C7" s="116"/>
      <c r="D7" s="157" t="s">
        <v>269</v>
      </c>
      <c r="E7" s="156"/>
      <c r="F7" s="155"/>
      <c r="G7" s="154"/>
      <c r="H7" s="157" t="s">
        <v>268</v>
      </c>
      <c r="I7" s="116"/>
      <c r="J7" s="115"/>
      <c r="L7" s="135" t="s">
        <v>45</v>
      </c>
      <c r="M7" s="207">
        <v>12</v>
      </c>
      <c r="N7" s="207">
        <v>24</v>
      </c>
      <c r="O7" s="133">
        <v>36</v>
      </c>
      <c r="P7" s="133" t="s">
        <v>268</v>
      </c>
    </row>
    <row r="8" spans="1:18" x14ac:dyDescent="0.2">
      <c r="A8" s="188"/>
      <c r="B8" s="116"/>
      <c r="C8" s="116"/>
      <c r="D8" s="145" t="s">
        <v>267</v>
      </c>
      <c r="E8" s="225" t="s">
        <v>266</v>
      </c>
      <c r="F8" s="224" t="s">
        <v>33</v>
      </c>
      <c r="G8" s="220" t="s">
        <v>29</v>
      </c>
      <c r="H8" s="145" t="s">
        <v>265</v>
      </c>
      <c r="I8" s="116"/>
      <c r="J8" s="115"/>
      <c r="L8" s="132">
        <f>D9</f>
        <v>2010</v>
      </c>
      <c r="M8" s="205">
        <f>E9</f>
        <v>1400</v>
      </c>
      <c r="N8" s="205">
        <f>F9</f>
        <v>650</v>
      </c>
      <c r="O8" s="205">
        <f>G9</f>
        <v>280</v>
      </c>
      <c r="P8" s="205">
        <f>H9</f>
        <v>3600</v>
      </c>
    </row>
    <row r="9" spans="1:18" x14ac:dyDescent="0.2">
      <c r="A9" s="188"/>
      <c r="B9" s="116"/>
      <c r="C9" s="116"/>
      <c r="D9" s="157">
        <v>2010</v>
      </c>
      <c r="E9" s="153">
        <v>1400</v>
      </c>
      <c r="F9" s="155">
        <v>650</v>
      </c>
      <c r="G9" s="154">
        <v>280</v>
      </c>
      <c r="H9" s="223">
        <v>3600</v>
      </c>
      <c r="I9" s="116"/>
      <c r="J9" s="115"/>
      <c r="L9" s="132">
        <f>D10</f>
        <v>2011</v>
      </c>
      <c r="M9" s="205">
        <f>E10</f>
        <v>1000</v>
      </c>
      <c r="N9" s="205">
        <f>F10</f>
        <v>850</v>
      </c>
      <c r="O9" s="205"/>
      <c r="P9" s="205">
        <f>H10</f>
        <v>3700</v>
      </c>
    </row>
    <row r="10" spans="1:18" x14ac:dyDescent="0.2">
      <c r="A10" s="188"/>
      <c r="B10" s="116"/>
      <c r="C10" s="116"/>
      <c r="D10" s="149">
        <v>2011</v>
      </c>
      <c r="E10" s="148">
        <v>1000</v>
      </c>
      <c r="F10" s="119">
        <v>850</v>
      </c>
      <c r="G10" s="222"/>
      <c r="H10" s="221">
        <v>3700</v>
      </c>
      <c r="I10" s="116"/>
      <c r="J10" s="115"/>
      <c r="L10" s="132">
        <f>D11</f>
        <v>2012</v>
      </c>
      <c r="M10" s="205">
        <f>E11</f>
        <v>1500</v>
      </c>
      <c r="N10" s="129"/>
      <c r="O10" s="129"/>
      <c r="P10" s="205">
        <f>H11</f>
        <v>3650</v>
      </c>
    </row>
    <row r="11" spans="1:18" x14ac:dyDescent="0.2">
      <c r="A11" s="188"/>
      <c r="B11" s="116"/>
      <c r="C11" s="116"/>
      <c r="D11" s="145">
        <v>2012</v>
      </c>
      <c r="E11" s="144">
        <v>1500</v>
      </c>
      <c r="F11" s="217"/>
      <c r="G11" s="220"/>
      <c r="H11" s="219">
        <v>3650</v>
      </c>
      <c r="I11" s="116"/>
      <c r="J11" s="115"/>
    </row>
    <row r="12" spans="1:18" x14ac:dyDescent="0.2">
      <c r="A12" s="188"/>
      <c r="B12" s="116"/>
      <c r="C12" s="116"/>
      <c r="D12" s="218" t="s">
        <v>73</v>
      </c>
      <c r="E12" s="143">
        <f>SUM(E9:E11)</f>
        <v>3900</v>
      </c>
      <c r="F12" s="143">
        <f>SUM(F9:F11)</f>
        <v>1500</v>
      </c>
      <c r="G12" s="217">
        <f>SUM(G9:G11)</f>
        <v>280</v>
      </c>
      <c r="H12" s="216">
        <f>SUM(H9:H11)</f>
        <v>10950</v>
      </c>
      <c r="I12" s="116"/>
      <c r="J12" s="115"/>
      <c r="L12" s="135"/>
      <c r="M12" s="133"/>
      <c r="N12" s="133"/>
      <c r="O12" s="135"/>
      <c r="P12" s="133" t="s">
        <v>37</v>
      </c>
    </row>
    <row r="13" spans="1:18" ht="18" x14ac:dyDescent="0.25">
      <c r="A13" s="188"/>
      <c r="B13" s="116"/>
      <c r="C13" s="116"/>
      <c r="D13" s="116"/>
      <c r="E13" s="116"/>
      <c r="F13" s="116"/>
      <c r="G13" s="116"/>
      <c r="H13" s="116"/>
      <c r="I13" s="116"/>
      <c r="J13" s="115"/>
      <c r="L13" s="132" t="s">
        <v>264</v>
      </c>
      <c r="M13" s="130">
        <f>SUM(M8:M10)/SUM($P$8:$P$10)</f>
        <v>0.35616438356164382</v>
      </c>
      <c r="N13" s="130">
        <f>SUM(N8:N9)/SUM($P$8:$P$9)</f>
        <v>0.20547945205479451</v>
      </c>
      <c r="O13" s="215">
        <f>SUM(O8)/SUM($P$8)</f>
        <v>7.7777777777777779E-2</v>
      </c>
      <c r="P13" s="130">
        <f>SUM(M13:O13)</f>
        <v>0.6394216133942161</v>
      </c>
    </row>
    <row r="14" spans="1:18" x14ac:dyDescent="0.2">
      <c r="A14" s="188"/>
      <c r="B14" s="119"/>
      <c r="C14" s="116" t="s">
        <v>263</v>
      </c>
      <c r="D14" s="116"/>
      <c r="E14" s="116"/>
      <c r="F14" s="116"/>
      <c r="G14" s="116"/>
      <c r="H14" s="116"/>
      <c r="I14" s="116"/>
      <c r="J14" s="115"/>
    </row>
    <row r="15" spans="1:18" x14ac:dyDescent="0.2">
      <c r="A15" s="188"/>
      <c r="B15" s="119"/>
      <c r="C15" s="116"/>
      <c r="D15" s="116"/>
      <c r="E15" s="116"/>
      <c r="F15" s="116"/>
      <c r="G15" s="116"/>
      <c r="H15" s="116"/>
      <c r="I15" s="116"/>
      <c r="J15" s="115"/>
      <c r="P15" s="129" t="s">
        <v>262</v>
      </c>
    </row>
    <row r="16" spans="1:18" ht="20" x14ac:dyDescent="0.25">
      <c r="A16" s="188" t="s">
        <v>0</v>
      </c>
      <c r="B16" s="186" t="s">
        <v>261</v>
      </c>
      <c r="C16" s="116" t="s">
        <v>260</v>
      </c>
      <c r="D16" s="116"/>
      <c r="E16" s="116"/>
      <c r="F16" s="116"/>
      <c r="G16" s="116"/>
      <c r="H16" s="116"/>
      <c r="I16" s="116"/>
      <c r="J16" s="115"/>
      <c r="L16" s="135" t="s">
        <v>45</v>
      </c>
      <c r="M16" s="214" t="s">
        <v>39</v>
      </c>
      <c r="N16" s="133" t="s">
        <v>259</v>
      </c>
      <c r="O16" s="133" t="s">
        <v>258</v>
      </c>
      <c r="P16" s="133" t="s">
        <v>257</v>
      </c>
      <c r="Q16" s="133" t="s">
        <v>256</v>
      </c>
      <c r="R16" s="133" t="s">
        <v>255</v>
      </c>
    </row>
    <row r="17" spans="1:19" x14ac:dyDescent="0.2">
      <c r="A17" s="188"/>
      <c r="B17" s="119"/>
      <c r="C17" s="116" t="s">
        <v>252</v>
      </c>
      <c r="D17" s="116"/>
      <c r="E17" s="116"/>
      <c r="F17" s="116"/>
      <c r="G17" s="116"/>
      <c r="H17" s="116"/>
      <c r="I17" s="116"/>
      <c r="J17" s="115"/>
      <c r="L17" s="132">
        <f>L8</f>
        <v>2010</v>
      </c>
      <c r="M17" s="205">
        <f>P8</f>
        <v>3600</v>
      </c>
      <c r="N17" s="213">
        <f>SUM($M$13:$O$13)/$P$13</f>
        <v>1</v>
      </c>
      <c r="O17" s="212">
        <f>1-N17</f>
        <v>0</v>
      </c>
      <c r="P17" s="205">
        <f>SUM(M8:O8)</f>
        <v>2330</v>
      </c>
      <c r="Q17" s="205">
        <f>O17*P17/N17</f>
        <v>0</v>
      </c>
      <c r="R17" s="205">
        <f>M17*$P$13*O17</f>
        <v>0</v>
      </c>
    </row>
    <row r="18" spans="1:19" x14ac:dyDescent="0.2">
      <c r="A18" s="188"/>
      <c r="B18" s="119"/>
      <c r="C18" s="116"/>
      <c r="D18" s="116"/>
      <c r="E18" s="116"/>
      <c r="F18" s="116"/>
      <c r="G18" s="116"/>
      <c r="H18" s="116"/>
      <c r="I18" s="116"/>
      <c r="J18" s="115"/>
      <c r="L18" s="132">
        <f>L9</f>
        <v>2011</v>
      </c>
      <c r="M18" s="205">
        <f>P9</f>
        <v>3700</v>
      </c>
      <c r="N18" s="211">
        <f>SUM($M$13:$N$13)/$P$13</f>
        <v>0.8783622946917401</v>
      </c>
      <c r="O18" s="210">
        <f>1-N18</f>
        <v>0.1216377053082599</v>
      </c>
      <c r="P18" s="205">
        <f>SUM(M9:O9)</f>
        <v>1850</v>
      </c>
      <c r="Q18" s="205">
        <f>O18*P18/N18</f>
        <v>256.19241192411914</v>
      </c>
      <c r="R18" s="205">
        <f>M18*$P$13*O18</f>
        <v>287.77777777777766</v>
      </c>
    </row>
    <row r="19" spans="1:19" ht="19" x14ac:dyDescent="0.2">
      <c r="A19" s="188" t="s">
        <v>1</v>
      </c>
      <c r="B19" s="186" t="s">
        <v>254</v>
      </c>
      <c r="C19" s="116" t="s">
        <v>253</v>
      </c>
      <c r="D19" s="116"/>
      <c r="E19" s="116"/>
      <c r="F19" s="116"/>
      <c r="G19" s="116"/>
      <c r="H19" s="116"/>
      <c r="I19" s="116"/>
      <c r="J19" s="115"/>
      <c r="L19" s="135">
        <f>L10</f>
        <v>2012</v>
      </c>
      <c r="M19" s="207">
        <f>P10</f>
        <v>3650</v>
      </c>
      <c r="N19" s="209">
        <f>SUM($M$13)/$P$13</f>
        <v>0.55701023565817664</v>
      </c>
      <c r="O19" s="208">
        <f>1-N19</f>
        <v>0.44298976434182336</v>
      </c>
      <c r="P19" s="207">
        <f>SUM(M10:O10)</f>
        <v>1500</v>
      </c>
      <c r="Q19" s="207">
        <f>O19*P19/N19</f>
        <v>1192.9487179487178</v>
      </c>
      <c r="R19" s="207">
        <f>M19*$P$13*O19</f>
        <v>1033.8888888888887</v>
      </c>
    </row>
    <row r="20" spans="1:19" x14ac:dyDescent="0.2">
      <c r="A20" s="188"/>
      <c r="B20" s="119"/>
      <c r="C20" s="116" t="s">
        <v>252</v>
      </c>
      <c r="D20" s="116"/>
      <c r="E20" s="116"/>
      <c r="F20" s="116"/>
      <c r="G20" s="116"/>
      <c r="H20" s="116"/>
      <c r="I20" s="116"/>
      <c r="J20" s="115"/>
      <c r="L20" s="132" t="s">
        <v>73</v>
      </c>
      <c r="M20" s="129"/>
      <c r="N20" s="129"/>
      <c r="O20" s="129"/>
      <c r="P20" s="205">
        <f>SUM(P17:P19)</f>
        <v>5680</v>
      </c>
      <c r="Q20" s="205">
        <f>SUM(Q17:Q19)</f>
        <v>1449.1411298728369</v>
      </c>
      <c r="R20" s="206">
        <f>SUM(R17:R19)</f>
        <v>1321.6666666666663</v>
      </c>
      <c r="S20" s="205"/>
    </row>
    <row r="21" spans="1:19" ht="17" thickBot="1" x14ac:dyDescent="0.25">
      <c r="A21" s="188"/>
      <c r="B21" s="119"/>
      <c r="C21" s="116"/>
      <c r="D21" s="116"/>
      <c r="E21" s="116"/>
      <c r="F21" s="116"/>
      <c r="G21" s="116"/>
      <c r="H21" s="116"/>
      <c r="I21" s="116"/>
      <c r="J21" s="115"/>
    </row>
    <row r="22" spans="1:19" ht="17" thickBot="1" x14ac:dyDescent="0.25">
      <c r="A22" s="204" t="s">
        <v>76</v>
      </c>
      <c r="B22" s="111"/>
      <c r="C22" s="203"/>
      <c r="D22" s="111"/>
      <c r="E22" s="111"/>
      <c r="F22" s="111"/>
      <c r="G22" s="111"/>
      <c r="H22" s="111"/>
      <c r="I22" s="111"/>
      <c r="J22" s="110"/>
    </row>
    <row r="23" spans="1:19" ht="20" thickBot="1" x14ac:dyDescent="0.25">
      <c r="L23" s="202" t="s">
        <v>251</v>
      </c>
      <c r="M23" s="201">
        <f>Q20</f>
        <v>1449.1411298728369</v>
      </c>
      <c r="N23" s="200" t="s">
        <v>67</v>
      </c>
    </row>
    <row r="25" spans="1:19" x14ac:dyDescent="0.2">
      <c r="L25" s="136" t="s">
        <v>250</v>
      </c>
    </row>
    <row r="26" spans="1:19" ht="17" thickBot="1" x14ac:dyDescent="0.25"/>
    <row r="27" spans="1:19" ht="20" thickBot="1" x14ac:dyDescent="0.25">
      <c r="L27" s="202" t="s">
        <v>249</v>
      </c>
      <c r="M27" s="201">
        <f>R20</f>
        <v>1321.6666666666663</v>
      </c>
      <c r="N27" s="200" t="s">
        <v>67</v>
      </c>
    </row>
    <row r="30" spans="1:19" ht="19" x14ac:dyDescent="0.2">
      <c r="L30" s="199" t="s">
        <v>57</v>
      </c>
    </row>
    <row r="31" spans="1:19" x14ac:dyDescent="0.2">
      <c r="L31" s="281" t="s">
        <v>248</v>
      </c>
      <c r="M31" s="281"/>
      <c r="N31" s="281"/>
      <c r="O31" s="281"/>
      <c r="P31" s="281"/>
      <c r="Q31" s="281"/>
      <c r="R31" s="281"/>
    </row>
    <row r="32" spans="1:19" x14ac:dyDescent="0.2">
      <c r="L32" s="281"/>
      <c r="M32" s="281"/>
      <c r="N32" s="281"/>
      <c r="O32" s="281"/>
      <c r="P32" s="281"/>
      <c r="Q32" s="281"/>
      <c r="R32" s="281"/>
    </row>
    <row r="33" spans="12:18" x14ac:dyDescent="0.2">
      <c r="L33" s="281"/>
      <c r="M33" s="281"/>
      <c r="N33" s="281"/>
      <c r="O33" s="281"/>
      <c r="P33" s="281"/>
      <c r="Q33" s="281"/>
      <c r="R33" s="281"/>
    </row>
    <row r="35" spans="12:18" ht="19" x14ac:dyDescent="0.2">
      <c r="L35" s="199" t="s">
        <v>93</v>
      </c>
    </row>
    <row r="36" spans="12:18" x14ac:dyDescent="0.2">
      <c r="L36" s="198" t="s">
        <v>247</v>
      </c>
      <c r="M36" s="198"/>
      <c r="N36" s="198"/>
      <c r="O36" s="198"/>
      <c r="P36" s="198"/>
      <c r="Q36" s="198"/>
      <c r="R36" s="198"/>
    </row>
  </sheetData>
  <mergeCells count="2">
    <mergeCell ref="L31:R33"/>
    <mergeCell ref="D6:H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9505-EB2F-534C-ACED-54FA3C962BBB}">
  <dimension ref="A1:S44"/>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12" max="18" width="10.83203125" hidden="1" customWidth="1" outlineLevel="1"/>
    <col min="19" max="19" width="11" collapsed="1"/>
  </cols>
  <sheetData>
    <row r="1" spans="1:17" x14ac:dyDescent="0.2">
      <c r="A1" s="228"/>
      <c r="B1" s="126" t="s">
        <v>277</v>
      </c>
      <c r="C1" s="125" t="s">
        <v>301</v>
      </c>
      <c r="D1" s="125" t="s">
        <v>275</v>
      </c>
      <c r="E1" s="125" t="s">
        <v>300</v>
      </c>
      <c r="F1" s="124"/>
      <c r="G1" s="124"/>
      <c r="H1" s="124"/>
      <c r="I1" s="124"/>
      <c r="J1" s="123"/>
      <c r="K1" s="136" t="s">
        <v>77</v>
      </c>
      <c r="L1" s="136"/>
    </row>
    <row r="2" spans="1:17" x14ac:dyDescent="0.2">
      <c r="A2" s="188"/>
      <c r="B2" s="227" t="s">
        <v>273</v>
      </c>
      <c r="C2" s="226">
        <v>2.25</v>
      </c>
      <c r="D2" s="116"/>
      <c r="E2" s="116"/>
      <c r="F2" s="116"/>
      <c r="G2" s="116"/>
      <c r="H2" s="116"/>
      <c r="I2" s="116"/>
      <c r="J2" s="115"/>
    </row>
    <row r="3" spans="1:17" x14ac:dyDescent="0.2">
      <c r="A3" s="188"/>
      <c r="B3" s="116"/>
      <c r="C3" s="116"/>
      <c r="D3" s="116"/>
      <c r="E3" s="116"/>
      <c r="F3" s="116"/>
      <c r="G3" s="116"/>
      <c r="H3" s="116"/>
      <c r="I3" s="116"/>
      <c r="J3" s="115"/>
      <c r="L3" s="136" t="s">
        <v>272</v>
      </c>
    </row>
    <row r="4" spans="1:17" x14ac:dyDescent="0.2">
      <c r="A4" s="188"/>
      <c r="B4" s="116"/>
      <c r="C4" s="116" t="s">
        <v>4</v>
      </c>
      <c r="D4" s="116"/>
      <c r="E4" s="116"/>
      <c r="F4" s="116"/>
      <c r="G4" s="116"/>
      <c r="H4" s="116"/>
      <c r="I4" s="116"/>
      <c r="J4" s="115"/>
      <c r="L4" t="s">
        <v>271</v>
      </c>
    </row>
    <row r="5" spans="1:17" x14ac:dyDescent="0.2">
      <c r="A5" s="188"/>
      <c r="B5" s="116"/>
      <c r="C5" s="116"/>
      <c r="D5" s="116"/>
      <c r="E5" s="116"/>
      <c r="F5" s="116"/>
      <c r="G5" s="116"/>
      <c r="H5" s="116"/>
      <c r="I5" s="116"/>
      <c r="J5" s="115"/>
    </row>
    <row r="6" spans="1:17" x14ac:dyDescent="0.2">
      <c r="A6" s="188"/>
      <c r="B6" s="116"/>
      <c r="C6" s="116"/>
      <c r="D6" s="282" t="s">
        <v>10</v>
      </c>
      <c r="E6" s="277"/>
      <c r="F6" s="277"/>
      <c r="G6" s="277"/>
      <c r="H6" s="278"/>
      <c r="I6" s="116"/>
      <c r="J6" s="115"/>
      <c r="L6" s="129"/>
      <c r="M6" s="205"/>
      <c r="N6" s="205"/>
      <c r="O6" s="205"/>
      <c r="P6" s="205" t="s">
        <v>175</v>
      </c>
    </row>
    <row r="7" spans="1:17" x14ac:dyDescent="0.2">
      <c r="A7" s="188"/>
      <c r="B7" s="116"/>
      <c r="C7" s="116"/>
      <c r="D7" s="157" t="s">
        <v>269</v>
      </c>
      <c r="E7" s="156" t="s">
        <v>299</v>
      </c>
      <c r="F7" s="155" t="s">
        <v>33</v>
      </c>
      <c r="G7" s="154" t="s">
        <v>298</v>
      </c>
      <c r="H7" s="157" t="s">
        <v>175</v>
      </c>
      <c r="I7" s="116"/>
      <c r="J7" s="115"/>
      <c r="L7" s="135" t="s">
        <v>45</v>
      </c>
      <c r="M7" s="207">
        <v>12</v>
      </c>
      <c r="N7" s="207">
        <v>24</v>
      </c>
      <c r="O7" s="133">
        <v>36</v>
      </c>
      <c r="P7" s="133" t="s">
        <v>268</v>
      </c>
    </row>
    <row r="8" spans="1:17" x14ac:dyDescent="0.2">
      <c r="A8" s="188"/>
      <c r="B8" s="116"/>
      <c r="C8" s="116"/>
      <c r="D8" s="145" t="s">
        <v>297</v>
      </c>
      <c r="E8" s="225" t="s">
        <v>296</v>
      </c>
      <c r="F8" s="224" t="s">
        <v>296</v>
      </c>
      <c r="G8" s="220" t="s">
        <v>296</v>
      </c>
      <c r="H8" s="145" t="s">
        <v>268</v>
      </c>
      <c r="I8" s="116"/>
      <c r="J8" s="115"/>
      <c r="L8" s="132">
        <f>D9</f>
        <v>2012</v>
      </c>
      <c r="M8" s="205">
        <f>E9</f>
        <v>2400</v>
      </c>
      <c r="N8" s="205">
        <f>F9</f>
        <v>1000</v>
      </c>
      <c r="O8" s="205">
        <f>G9</f>
        <v>400</v>
      </c>
      <c r="P8" s="205">
        <f>H9</f>
        <v>5000</v>
      </c>
    </row>
    <row r="9" spans="1:17" x14ac:dyDescent="0.2">
      <c r="A9" s="188"/>
      <c r="B9" s="116"/>
      <c r="C9" s="116"/>
      <c r="D9" s="157">
        <v>2012</v>
      </c>
      <c r="E9" s="153">
        <v>2400</v>
      </c>
      <c r="F9" s="152">
        <v>1000</v>
      </c>
      <c r="G9" s="154">
        <v>400</v>
      </c>
      <c r="H9" s="223">
        <v>5000</v>
      </c>
      <c r="I9" s="116"/>
      <c r="J9" s="115"/>
      <c r="L9" s="132">
        <f>D10</f>
        <v>2013</v>
      </c>
      <c r="M9" s="205">
        <f>E10</f>
        <v>2700</v>
      </c>
      <c r="N9" s="205">
        <f>F10</f>
        <v>900</v>
      </c>
      <c r="O9" s="205"/>
      <c r="P9" s="205">
        <f>H10</f>
        <v>5200</v>
      </c>
    </row>
    <row r="10" spans="1:17" x14ac:dyDescent="0.2">
      <c r="A10" s="188"/>
      <c r="B10" s="116"/>
      <c r="C10" s="116"/>
      <c r="D10" s="149">
        <v>2013</v>
      </c>
      <c r="E10" s="148">
        <v>2700</v>
      </c>
      <c r="F10" s="119">
        <v>900</v>
      </c>
      <c r="G10" s="222"/>
      <c r="H10" s="221">
        <v>5200</v>
      </c>
      <c r="I10" s="116"/>
      <c r="J10" s="115"/>
      <c r="L10" s="132">
        <f>D11</f>
        <v>2014</v>
      </c>
      <c r="M10" s="205">
        <f>E11</f>
        <v>2100</v>
      </c>
      <c r="N10" s="129"/>
      <c r="O10" s="129"/>
      <c r="P10" s="205">
        <f>H11</f>
        <v>5400</v>
      </c>
    </row>
    <row r="11" spans="1:17" x14ac:dyDescent="0.2">
      <c r="A11" s="188"/>
      <c r="B11" s="116"/>
      <c r="C11" s="116"/>
      <c r="D11" s="145">
        <v>2014</v>
      </c>
      <c r="E11" s="144">
        <v>2100</v>
      </c>
      <c r="F11" s="217"/>
      <c r="G11" s="220"/>
      <c r="H11" s="219">
        <v>5400</v>
      </c>
      <c r="I11" s="116"/>
      <c r="J11" s="115"/>
    </row>
    <row r="12" spans="1:17" x14ac:dyDescent="0.2">
      <c r="A12" s="188"/>
      <c r="B12" s="116"/>
      <c r="C12" s="116"/>
      <c r="D12" s="116"/>
      <c r="E12" s="116"/>
      <c r="F12" s="116"/>
      <c r="G12" s="116"/>
      <c r="H12" s="116"/>
      <c r="I12" s="116"/>
      <c r="J12" s="115"/>
      <c r="L12" s="135"/>
      <c r="M12" s="133"/>
      <c r="N12" s="133"/>
      <c r="O12" s="135"/>
      <c r="P12" s="133" t="s">
        <v>37</v>
      </c>
    </row>
    <row r="13" spans="1:17" ht="18" x14ac:dyDescent="0.25">
      <c r="A13" s="188" t="s">
        <v>0</v>
      </c>
      <c r="B13" s="186" t="s">
        <v>295</v>
      </c>
      <c r="C13" s="116" t="s">
        <v>294</v>
      </c>
      <c r="D13" s="116"/>
      <c r="E13" s="116"/>
      <c r="F13" s="116"/>
      <c r="G13" s="116"/>
      <c r="H13" s="116"/>
      <c r="I13" s="116"/>
      <c r="J13" s="115"/>
      <c r="L13" s="132" t="s">
        <v>264</v>
      </c>
      <c r="M13" s="130">
        <f>SUM(M8:M10)/SUM($P$8:$P$10)</f>
        <v>0.46153846153846156</v>
      </c>
      <c r="N13" s="130">
        <f>SUM(N8:N9)/SUM($P$8:$P$9)</f>
        <v>0.18627450980392157</v>
      </c>
      <c r="O13" s="215">
        <f>SUM(O8)/SUM($P$8)</f>
        <v>0.08</v>
      </c>
      <c r="P13" s="130">
        <f>SUM(M13:O13)</f>
        <v>0.7278129713423831</v>
      </c>
    </row>
    <row r="14" spans="1:17" ht="19" x14ac:dyDescent="0.2">
      <c r="A14" s="188"/>
      <c r="B14" s="119"/>
      <c r="C14" s="116" t="s">
        <v>293</v>
      </c>
      <c r="D14" s="116"/>
      <c r="E14" s="116"/>
      <c r="F14" s="116"/>
      <c r="G14" s="116"/>
      <c r="H14" s="116"/>
      <c r="I14" s="116"/>
      <c r="J14" s="115"/>
    </row>
    <row r="15" spans="1:17" x14ac:dyDescent="0.2">
      <c r="A15" s="188"/>
      <c r="B15" s="119"/>
      <c r="C15" s="116"/>
      <c r="D15" s="116"/>
      <c r="E15" s="116"/>
      <c r="F15" s="116"/>
      <c r="G15" s="116"/>
      <c r="H15" s="116"/>
      <c r="I15" s="116"/>
      <c r="J15" s="115"/>
      <c r="L15" t="s">
        <v>292</v>
      </c>
      <c r="N15" s="174"/>
      <c r="O15" s="174"/>
      <c r="P15" s="174"/>
      <c r="Q15" s="174"/>
    </row>
    <row r="16" spans="1:17" ht="19.5" customHeight="1" x14ac:dyDescent="0.2">
      <c r="A16" s="188" t="s">
        <v>1</v>
      </c>
      <c r="B16" s="186" t="s">
        <v>291</v>
      </c>
      <c r="C16" s="116" t="s">
        <v>290</v>
      </c>
      <c r="D16" s="116"/>
      <c r="E16" s="116"/>
      <c r="F16" s="116" t="s">
        <v>289</v>
      </c>
      <c r="G16" s="116"/>
      <c r="H16" s="116"/>
      <c r="I16" s="116"/>
      <c r="J16" s="115"/>
      <c r="N16" s="174"/>
      <c r="O16" s="174"/>
      <c r="P16" s="174"/>
      <c r="Q16" s="174"/>
    </row>
    <row r="17" spans="1:17" ht="18" x14ac:dyDescent="0.25">
      <c r="A17" s="188"/>
      <c r="B17" s="119"/>
      <c r="C17" s="116" t="s">
        <v>288</v>
      </c>
      <c r="D17" s="116"/>
      <c r="E17" s="116"/>
      <c r="F17" s="116"/>
      <c r="G17" s="116"/>
      <c r="H17" s="116"/>
      <c r="I17" s="116"/>
      <c r="J17" s="115"/>
      <c r="L17" s="129" t="s">
        <v>287</v>
      </c>
      <c r="M17" s="130">
        <f>M13/P13</f>
        <v>0.63414431964189499</v>
      </c>
      <c r="P17" s="174"/>
      <c r="Q17" s="174"/>
    </row>
    <row r="18" spans="1:17" ht="18" x14ac:dyDescent="0.25">
      <c r="A18" s="188"/>
      <c r="B18" s="119"/>
      <c r="C18" s="186">
        <v>2014</v>
      </c>
      <c r="D18" s="116"/>
      <c r="E18" s="116"/>
      <c r="F18" s="116"/>
      <c r="G18" s="116"/>
      <c r="H18" s="116"/>
      <c r="I18" s="116"/>
      <c r="J18" s="115"/>
      <c r="L18" s="129" t="s">
        <v>286</v>
      </c>
      <c r="M18" s="130">
        <f>1-M17</f>
        <v>0.36585568035810501</v>
      </c>
      <c r="P18" s="174"/>
      <c r="Q18" s="174"/>
    </row>
    <row r="19" spans="1:17" ht="17" thickBot="1" x14ac:dyDescent="0.25">
      <c r="A19" s="188"/>
      <c r="B19" s="119"/>
      <c r="C19" s="116"/>
      <c r="D19" s="116"/>
      <c r="E19" s="116"/>
      <c r="F19" s="116"/>
      <c r="G19" s="116"/>
      <c r="H19" s="116"/>
      <c r="I19" s="116"/>
      <c r="J19" s="115"/>
      <c r="N19" s="174"/>
      <c r="O19" s="174"/>
      <c r="P19" s="174"/>
      <c r="Q19" s="174"/>
    </row>
    <row r="20" spans="1:17" ht="20" thickBot="1" x14ac:dyDescent="0.25">
      <c r="A20" s="204" t="s">
        <v>76</v>
      </c>
      <c r="B20" s="111"/>
      <c r="C20" s="203"/>
      <c r="D20" s="111"/>
      <c r="E20" s="111"/>
      <c r="F20" s="111"/>
      <c r="G20" s="111"/>
      <c r="H20" s="111"/>
      <c r="I20" s="111"/>
      <c r="J20" s="110"/>
      <c r="L20" s="129" t="s">
        <v>285</v>
      </c>
      <c r="M20" s="205">
        <f>M18*E11/M17</f>
        <v>1211.5490196078431</v>
      </c>
      <c r="N20" s="174"/>
      <c r="O20" s="174"/>
      <c r="P20" s="174"/>
      <c r="Q20" s="174"/>
    </row>
    <row r="21" spans="1:17" ht="19" x14ac:dyDescent="0.2">
      <c r="L21" s="129" t="s">
        <v>284</v>
      </c>
      <c r="M21" s="205">
        <f>M18*H11*P13</f>
        <v>1437.8823529411764</v>
      </c>
      <c r="N21" s="174"/>
      <c r="O21" s="174"/>
      <c r="P21" s="174"/>
      <c r="Q21" s="174"/>
    </row>
    <row r="22" spans="1:17" x14ac:dyDescent="0.2">
      <c r="N22" s="174"/>
      <c r="O22" s="174"/>
      <c r="P22" s="174"/>
      <c r="Q22" s="174"/>
    </row>
    <row r="23" spans="1:17" ht="20" thickBot="1" x14ac:dyDescent="0.25">
      <c r="L23" s="129" t="s">
        <v>283</v>
      </c>
      <c r="M23" s="130">
        <f>M17*P13</f>
        <v>0.46153846153846156</v>
      </c>
      <c r="N23" s="174"/>
      <c r="O23" s="174"/>
      <c r="P23" s="174"/>
      <c r="Q23" s="174"/>
    </row>
    <row r="24" spans="1:17" ht="20" thickBot="1" x14ac:dyDescent="0.25">
      <c r="L24" s="230" t="s">
        <v>282</v>
      </c>
      <c r="M24" s="229">
        <f>M23*M20+(1-M23)*M21</f>
        <v>1333.420814479638</v>
      </c>
      <c r="N24" s="174"/>
      <c r="O24" s="174"/>
      <c r="P24" s="174"/>
      <c r="Q24" s="174"/>
    </row>
    <row r="25" spans="1:17" x14ac:dyDescent="0.2">
      <c r="M25" s="174"/>
      <c r="N25" s="174"/>
      <c r="O25" s="174"/>
      <c r="P25" s="174"/>
      <c r="Q25" s="174"/>
    </row>
    <row r="26" spans="1:17" x14ac:dyDescent="0.2">
      <c r="L26" s="136" t="s">
        <v>250</v>
      </c>
      <c r="M26" s="174"/>
      <c r="N26" s="174"/>
      <c r="O26" s="174"/>
      <c r="P26" s="174"/>
      <c r="Q26" s="174"/>
    </row>
    <row r="27" spans="1:17" x14ac:dyDescent="0.2">
      <c r="M27" s="174"/>
      <c r="N27" s="174"/>
      <c r="O27" s="174"/>
      <c r="P27" s="174"/>
      <c r="Q27" s="174"/>
    </row>
    <row r="28" spans="1:17" ht="20" thickBot="1" x14ac:dyDescent="0.25">
      <c r="L28" s="129" t="s">
        <v>281</v>
      </c>
      <c r="M28" s="130">
        <f>M17/(M17+SQRT(M17))</f>
        <v>0.44330996889895774</v>
      </c>
      <c r="N28" s="174"/>
      <c r="O28" s="174"/>
      <c r="P28" s="174"/>
      <c r="Q28" s="174"/>
    </row>
    <row r="29" spans="1:17" ht="20" thickBot="1" x14ac:dyDescent="0.25">
      <c r="L29" s="230" t="s">
        <v>280</v>
      </c>
      <c r="M29" s="229">
        <f>M28*M20+(1-M28)*M21</f>
        <v>1337.5465299803791</v>
      </c>
      <c r="N29" s="174"/>
      <c r="O29" s="174"/>
      <c r="P29" s="174"/>
      <c r="Q29" s="174"/>
    </row>
    <row r="30" spans="1:17" x14ac:dyDescent="0.2">
      <c r="N30" s="174"/>
      <c r="O30" s="174"/>
      <c r="P30" s="174"/>
      <c r="Q30" s="174"/>
    </row>
    <row r="31" spans="1:17" x14ac:dyDescent="0.2">
      <c r="M31" s="174"/>
      <c r="N31" s="174"/>
      <c r="O31" s="174"/>
      <c r="P31" s="174"/>
      <c r="Q31" s="174"/>
    </row>
    <row r="32" spans="1:17" ht="19" x14ac:dyDescent="0.25">
      <c r="L32" s="104" t="s">
        <v>57</v>
      </c>
      <c r="M32" s="174"/>
      <c r="N32" s="174"/>
      <c r="O32" s="174"/>
      <c r="P32" s="174"/>
      <c r="Q32" s="174"/>
    </row>
    <row r="33" spans="12:18" x14ac:dyDescent="0.2">
      <c r="L33" s="276" t="s">
        <v>279</v>
      </c>
      <c r="M33" s="276"/>
      <c r="N33" s="276"/>
      <c r="O33" s="276"/>
      <c r="P33" s="276"/>
      <c r="Q33" s="276"/>
      <c r="R33" s="276"/>
    </row>
    <row r="34" spans="12:18" x14ac:dyDescent="0.2">
      <c r="L34" s="276"/>
      <c r="M34" s="276"/>
      <c r="N34" s="276"/>
      <c r="O34" s="276"/>
      <c r="P34" s="276"/>
      <c r="Q34" s="276"/>
      <c r="R34" s="276"/>
    </row>
    <row r="35" spans="12:18" x14ac:dyDescent="0.2">
      <c r="L35" s="276"/>
      <c r="M35" s="276"/>
      <c r="N35" s="276"/>
      <c r="O35" s="276"/>
      <c r="P35" s="276"/>
      <c r="Q35" s="276"/>
      <c r="R35" s="276"/>
    </row>
    <row r="36" spans="12:18" x14ac:dyDescent="0.2">
      <c r="L36" s="276"/>
      <c r="M36" s="276"/>
      <c r="N36" s="276"/>
      <c r="O36" s="276"/>
      <c r="P36" s="276"/>
      <c r="Q36" s="276"/>
      <c r="R36" s="276"/>
    </row>
    <row r="37" spans="12:18" x14ac:dyDescent="0.2">
      <c r="L37" s="276"/>
      <c r="M37" s="276"/>
      <c r="N37" s="276"/>
      <c r="O37" s="276"/>
      <c r="P37" s="276"/>
      <c r="Q37" s="276"/>
      <c r="R37" s="276"/>
    </row>
    <row r="38" spans="12:18" x14ac:dyDescent="0.2">
      <c r="L38" s="276"/>
      <c r="M38" s="276"/>
      <c r="N38" s="276"/>
      <c r="O38" s="276"/>
      <c r="P38" s="276"/>
      <c r="Q38" s="276"/>
      <c r="R38" s="276"/>
    </row>
    <row r="39" spans="12:18" x14ac:dyDescent="0.2">
      <c r="L39" s="276"/>
      <c r="M39" s="276"/>
      <c r="N39" s="276"/>
      <c r="O39" s="276"/>
      <c r="P39" s="276"/>
      <c r="Q39" s="276"/>
      <c r="R39" s="276"/>
    </row>
    <row r="40" spans="12:18" x14ac:dyDescent="0.2">
      <c r="L40" s="276"/>
      <c r="M40" s="276"/>
      <c r="N40" s="276"/>
      <c r="O40" s="276"/>
      <c r="P40" s="276"/>
      <c r="Q40" s="276"/>
      <c r="R40" s="276"/>
    </row>
    <row r="41" spans="12:18" x14ac:dyDescent="0.2">
      <c r="M41" s="174"/>
      <c r="N41" s="174"/>
      <c r="O41" s="174"/>
      <c r="P41" s="174"/>
      <c r="Q41" s="174"/>
    </row>
    <row r="42" spans="12:18" ht="19" x14ac:dyDescent="0.25">
      <c r="L42" s="104" t="s">
        <v>93</v>
      </c>
      <c r="M42" s="174"/>
      <c r="N42" s="174"/>
      <c r="O42" s="174"/>
      <c r="P42" s="174"/>
      <c r="Q42" s="174"/>
    </row>
    <row r="43" spans="12:18" x14ac:dyDescent="0.2">
      <c r="L43" t="s">
        <v>278</v>
      </c>
      <c r="M43" s="174"/>
      <c r="N43" s="174"/>
      <c r="O43" s="174"/>
      <c r="P43" s="174"/>
      <c r="Q43" s="174"/>
    </row>
    <row r="44" spans="12:18" x14ac:dyDescent="0.2">
      <c r="M44" s="174"/>
      <c r="N44" s="174"/>
      <c r="O44" s="174"/>
      <c r="P44" s="174"/>
      <c r="Q44" s="174"/>
    </row>
  </sheetData>
  <mergeCells count="2">
    <mergeCell ref="L33:R40"/>
    <mergeCell ref="D6: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E1319-936F-2F4D-A30E-F965F5A91B86}">
  <dimension ref="A1:U53"/>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12" max="12" width="13.1640625" hidden="1" customWidth="1" outlineLevel="1"/>
    <col min="13" max="18" width="10.83203125" hidden="1" customWidth="1" outlineLevel="1"/>
    <col min="19" max="20" width="11" hidden="1" customWidth="1" outlineLevel="1"/>
    <col min="21" max="21" width="11" collapsed="1"/>
  </cols>
  <sheetData>
    <row r="1" spans="1:20" x14ac:dyDescent="0.2">
      <c r="A1" s="228"/>
      <c r="B1" s="126" t="s">
        <v>277</v>
      </c>
      <c r="C1" s="125" t="s">
        <v>332</v>
      </c>
      <c r="D1" s="125" t="s">
        <v>275</v>
      </c>
      <c r="E1" s="125" t="s">
        <v>300</v>
      </c>
      <c r="F1" s="124"/>
      <c r="G1" s="124"/>
      <c r="H1" s="124"/>
      <c r="I1" s="124"/>
      <c r="J1" s="123"/>
      <c r="K1" s="136" t="s">
        <v>77</v>
      </c>
      <c r="L1" s="136"/>
    </row>
    <row r="2" spans="1:20" x14ac:dyDescent="0.2">
      <c r="A2" s="188"/>
      <c r="B2" s="227" t="s">
        <v>273</v>
      </c>
      <c r="C2" s="226">
        <v>3.5</v>
      </c>
      <c r="D2" s="116"/>
      <c r="E2" s="116"/>
      <c r="F2" s="116"/>
      <c r="G2" s="116"/>
      <c r="H2" s="116"/>
      <c r="I2" s="116"/>
      <c r="J2" s="115"/>
    </row>
    <row r="3" spans="1:20" x14ac:dyDescent="0.2">
      <c r="A3" s="188"/>
      <c r="B3" s="116"/>
      <c r="C3" s="116"/>
      <c r="D3" s="116"/>
      <c r="E3" s="116"/>
      <c r="F3" s="116"/>
      <c r="G3" s="116"/>
      <c r="H3" s="116"/>
      <c r="I3" s="116"/>
      <c r="J3" s="115"/>
      <c r="L3" s="136" t="s">
        <v>272</v>
      </c>
    </row>
    <row r="4" spans="1:20" x14ac:dyDescent="0.2">
      <c r="A4" s="188"/>
      <c r="B4" s="116"/>
      <c r="C4" s="116" t="s">
        <v>4</v>
      </c>
      <c r="D4" s="116"/>
      <c r="E4" s="116"/>
      <c r="F4" s="116"/>
      <c r="G4" s="116"/>
      <c r="H4" s="116"/>
      <c r="I4" s="116"/>
      <c r="J4" s="115"/>
    </row>
    <row r="5" spans="1:20" x14ac:dyDescent="0.2">
      <c r="A5" s="188"/>
      <c r="B5" s="116"/>
      <c r="C5" s="116"/>
      <c r="D5" s="116"/>
      <c r="E5" s="116"/>
      <c r="F5" s="116"/>
      <c r="G5" s="116"/>
      <c r="H5" s="116"/>
      <c r="I5" s="116"/>
      <c r="J5" s="115"/>
      <c r="L5" t="s">
        <v>331</v>
      </c>
    </row>
    <row r="6" spans="1:20" x14ac:dyDescent="0.2">
      <c r="A6" s="188"/>
      <c r="B6" s="116"/>
      <c r="C6" s="116"/>
      <c r="D6" s="283" t="s">
        <v>330</v>
      </c>
      <c r="E6" s="283"/>
      <c r="F6" s="283"/>
      <c r="G6" s="283"/>
      <c r="H6" s="116"/>
      <c r="I6" s="116"/>
      <c r="J6" s="115"/>
      <c r="L6" s="129"/>
      <c r="M6" s="205"/>
      <c r="N6" s="205"/>
      <c r="O6" s="205"/>
      <c r="P6" s="205" t="s">
        <v>329</v>
      </c>
    </row>
    <row r="7" spans="1:20" x14ac:dyDescent="0.2">
      <c r="A7" s="188"/>
      <c r="B7" s="116"/>
      <c r="C7" s="116"/>
      <c r="D7" s="157" t="s">
        <v>328</v>
      </c>
      <c r="E7" s="156">
        <v>12</v>
      </c>
      <c r="F7" s="155">
        <v>24</v>
      </c>
      <c r="G7" s="154">
        <v>36</v>
      </c>
      <c r="H7" s="116"/>
      <c r="I7" s="116"/>
      <c r="J7" s="115"/>
      <c r="L7" s="135" t="s">
        <v>45</v>
      </c>
      <c r="M7" s="207">
        <v>12</v>
      </c>
      <c r="N7" s="207">
        <v>24</v>
      </c>
      <c r="O7" s="133">
        <v>36</v>
      </c>
      <c r="P7" s="133" t="s">
        <v>268</v>
      </c>
    </row>
    <row r="8" spans="1:20" x14ac:dyDescent="0.2">
      <c r="A8" s="188"/>
      <c r="B8" s="116"/>
      <c r="C8" s="116"/>
      <c r="D8" s="145" t="s">
        <v>297</v>
      </c>
      <c r="E8" s="225" t="s">
        <v>327</v>
      </c>
      <c r="F8" s="217" t="s">
        <v>327</v>
      </c>
      <c r="G8" s="220" t="s">
        <v>296</v>
      </c>
      <c r="H8" s="116"/>
      <c r="I8" s="116"/>
      <c r="J8" s="115"/>
      <c r="L8" s="132">
        <v>2013</v>
      </c>
      <c r="M8" s="205">
        <v>1500</v>
      </c>
      <c r="N8" s="205">
        <v>1200</v>
      </c>
      <c r="O8" s="205">
        <v>750</v>
      </c>
      <c r="P8" s="205">
        <v>5000</v>
      </c>
    </row>
    <row r="9" spans="1:20" x14ac:dyDescent="0.2">
      <c r="A9" s="188"/>
      <c r="B9" s="116"/>
      <c r="C9" s="116"/>
      <c r="D9" s="157">
        <v>2013</v>
      </c>
      <c r="E9" s="153">
        <v>1500</v>
      </c>
      <c r="F9" s="152">
        <v>2700</v>
      </c>
      <c r="G9" s="151">
        <v>3450</v>
      </c>
      <c r="H9" s="116"/>
      <c r="I9" s="116"/>
      <c r="J9" s="115"/>
      <c r="L9" s="132">
        <v>2014</v>
      </c>
      <c r="M9" s="205">
        <v>1600</v>
      </c>
      <c r="N9" s="205">
        <v>1140</v>
      </c>
      <c r="O9" s="205"/>
      <c r="P9" s="205">
        <v>5000</v>
      </c>
    </row>
    <row r="10" spans="1:20" x14ac:dyDescent="0.2">
      <c r="A10" s="188"/>
      <c r="B10" s="116"/>
      <c r="C10" s="116"/>
      <c r="D10" s="149">
        <v>2014</v>
      </c>
      <c r="E10" s="148">
        <v>1600</v>
      </c>
      <c r="F10" s="147">
        <v>2740</v>
      </c>
      <c r="G10" s="222"/>
      <c r="H10" s="116"/>
      <c r="I10" s="116"/>
      <c r="J10" s="115"/>
      <c r="L10" s="132">
        <v>2015</v>
      </c>
      <c r="M10" s="205">
        <v>1700</v>
      </c>
      <c r="N10" s="129"/>
      <c r="O10" s="129"/>
      <c r="P10" s="205">
        <v>5000</v>
      </c>
    </row>
    <row r="11" spans="1:20" x14ac:dyDescent="0.2">
      <c r="A11" s="188"/>
      <c r="B11" s="116"/>
      <c r="C11" s="116"/>
      <c r="D11" s="145">
        <v>2015</v>
      </c>
      <c r="E11" s="144">
        <v>1700</v>
      </c>
      <c r="F11" s="143"/>
      <c r="G11" s="220"/>
      <c r="H11" s="116"/>
      <c r="I11" s="116"/>
      <c r="J11" s="115"/>
    </row>
    <row r="12" spans="1:20" x14ac:dyDescent="0.2">
      <c r="A12" s="188"/>
      <c r="B12" s="116"/>
      <c r="C12" s="116"/>
      <c r="D12" s="116"/>
      <c r="E12" s="116"/>
      <c r="F12" s="116"/>
      <c r="G12" s="116"/>
      <c r="H12" s="116"/>
      <c r="I12" s="116"/>
      <c r="J12" s="115"/>
      <c r="L12" s="135"/>
      <c r="M12" s="133"/>
      <c r="N12" s="133"/>
      <c r="O12" s="135"/>
      <c r="P12" s="133" t="s">
        <v>37</v>
      </c>
    </row>
    <row r="13" spans="1:20" x14ac:dyDescent="0.2">
      <c r="A13" s="188"/>
      <c r="B13" s="119"/>
      <c r="C13" s="116" t="s">
        <v>326</v>
      </c>
      <c r="D13" s="116"/>
      <c r="E13" s="116"/>
      <c r="F13" s="116"/>
      <c r="G13" s="116"/>
      <c r="H13" s="116"/>
      <c r="I13" s="116"/>
      <c r="J13" s="115"/>
      <c r="L13" s="132" t="s">
        <v>22</v>
      </c>
      <c r="M13" s="130">
        <f>SUM(M8:M10)/SUM($P$8:$P$10)</f>
        <v>0.32</v>
      </c>
      <c r="N13" s="130">
        <f>SUM(N8:N9)/SUM($P$8:$P$9)</f>
        <v>0.23400000000000001</v>
      </c>
      <c r="O13" s="215">
        <f>SUM(O8)/SUM($P$8)</f>
        <v>0.15</v>
      </c>
      <c r="P13" s="130">
        <f>SUM(M13:O13)</f>
        <v>0.70400000000000007</v>
      </c>
    </row>
    <row r="14" spans="1:20" x14ac:dyDescent="0.2">
      <c r="A14" s="188"/>
      <c r="B14" s="119"/>
      <c r="C14" s="116" t="s">
        <v>325</v>
      </c>
      <c r="D14" s="116"/>
      <c r="E14" s="116"/>
      <c r="F14" s="116"/>
      <c r="G14" s="116"/>
      <c r="H14" s="116"/>
      <c r="I14" s="116"/>
      <c r="J14" s="115"/>
    </row>
    <row r="15" spans="1:20" x14ac:dyDescent="0.2">
      <c r="A15" s="188"/>
      <c r="B15" s="119"/>
      <c r="C15" s="116"/>
      <c r="D15" s="116"/>
      <c r="E15" s="116"/>
      <c r="F15" s="116"/>
      <c r="G15" s="116"/>
      <c r="H15" s="116"/>
      <c r="I15" s="116"/>
      <c r="J15" s="115"/>
      <c r="S15" s="284" t="s">
        <v>324</v>
      </c>
      <c r="T15" s="284"/>
    </row>
    <row r="16" spans="1:20" ht="20" x14ac:dyDescent="0.25">
      <c r="A16" s="188" t="s">
        <v>0</v>
      </c>
      <c r="B16" s="186" t="s">
        <v>261</v>
      </c>
      <c r="C16" s="116" t="s">
        <v>323</v>
      </c>
      <c r="D16" s="116"/>
      <c r="E16" s="116"/>
      <c r="F16" s="116"/>
      <c r="G16" s="116"/>
      <c r="H16" s="116"/>
      <c r="I16" s="116"/>
      <c r="J16" s="115"/>
      <c r="L16" s="135" t="s">
        <v>45</v>
      </c>
      <c r="M16" s="214" t="s">
        <v>39</v>
      </c>
      <c r="N16" s="133" t="s">
        <v>259</v>
      </c>
      <c r="O16" s="133" t="s">
        <v>258</v>
      </c>
      <c r="P16" s="133" t="s">
        <v>42</v>
      </c>
      <c r="Q16" s="133" t="s">
        <v>256</v>
      </c>
      <c r="R16" s="133" t="s">
        <v>255</v>
      </c>
      <c r="S16" s="214" t="s">
        <v>322</v>
      </c>
      <c r="T16" s="133" t="s">
        <v>321</v>
      </c>
    </row>
    <row r="17" spans="1:20" x14ac:dyDescent="0.2">
      <c r="A17" s="188"/>
      <c r="B17" s="119"/>
      <c r="C17" s="116" t="s">
        <v>320</v>
      </c>
      <c r="D17" s="116"/>
      <c r="E17" s="116"/>
      <c r="F17" s="116"/>
      <c r="G17" s="116"/>
      <c r="H17" s="116"/>
      <c r="I17" s="116"/>
      <c r="J17" s="115"/>
      <c r="L17" s="132">
        <v>2013</v>
      </c>
      <c r="M17" s="205">
        <f>P8</f>
        <v>5000</v>
      </c>
      <c r="N17" s="213">
        <f>SUM($M$13:$O$13)/$P$13</f>
        <v>1</v>
      </c>
      <c r="O17" s="212">
        <f>1-N17</f>
        <v>0</v>
      </c>
      <c r="P17" s="205">
        <f>SUM(M8:O8)</f>
        <v>3450</v>
      </c>
      <c r="Q17" s="205">
        <f>O17*P17/N17</f>
        <v>0</v>
      </c>
      <c r="R17" s="205">
        <f>M17*$P$13*O17</f>
        <v>0</v>
      </c>
      <c r="S17" s="234">
        <f>N17</f>
        <v>1</v>
      </c>
      <c r="T17" s="205">
        <f>S17*$Q17+(1-S17)*$R17</f>
        <v>0</v>
      </c>
    </row>
    <row r="18" spans="1:20" x14ac:dyDescent="0.2">
      <c r="A18" s="188"/>
      <c r="B18" s="119"/>
      <c r="C18" s="116"/>
      <c r="D18" s="116"/>
      <c r="E18" s="116"/>
      <c r="F18" s="116"/>
      <c r="G18" s="116"/>
      <c r="H18" s="116"/>
      <c r="I18" s="116"/>
      <c r="J18" s="115"/>
      <c r="L18" s="132">
        <v>2014</v>
      </c>
      <c r="M18" s="205">
        <f>P9</f>
        <v>5000</v>
      </c>
      <c r="N18" s="211">
        <f>SUM($M$13:$N$13)/$P$13</f>
        <v>0.78693181818181812</v>
      </c>
      <c r="O18" s="210">
        <f>1-N18</f>
        <v>0.21306818181818188</v>
      </c>
      <c r="P18" s="205">
        <f>SUM(M9:O9)</f>
        <v>2740</v>
      </c>
      <c r="Q18" s="205">
        <f>O18*P18/N18</f>
        <v>741.87725631768978</v>
      </c>
      <c r="R18" s="205">
        <f>M18*$P$13*O18</f>
        <v>750.00000000000034</v>
      </c>
      <c r="S18" s="234">
        <f>N18</f>
        <v>0.78693181818181812</v>
      </c>
      <c r="T18" s="205">
        <f>S18*$Q18+(1-S18)*$R18</f>
        <v>743.60795454545485</v>
      </c>
    </row>
    <row r="19" spans="1:20" x14ac:dyDescent="0.2">
      <c r="A19" s="188" t="s">
        <v>1</v>
      </c>
      <c r="B19" s="186" t="s">
        <v>254</v>
      </c>
      <c r="C19" s="116" t="s">
        <v>319</v>
      </c>
      <c r="D19" s="116"/>
      <c r="E19" s="116"/>
      <c r="F19" s="116"/>
      <c r="G19" s="116"/>
      <c r="H19" s="116"/>
      <c r="I19" s="116"/>
      <c r="J19" s="115"/>
      <c r="L19" s="135">
        <v>2015</v>
      </c>
      <c r="M19" s="207">
        <f>P10</f>
        <v>5000</v>
      </c>
      <c r="N19" s="209">
        <f>SUM($M$13)/$P$13</f>
        <v>0.45454545454545453</v>
      </c>
      <c r="O19" s="208">
        <f>1-N19</f>
        <v>0.54545454545454541</v>
      </c>
      <c r="P19" s="207">
        <f>SUM(M10:O10)</f>
        <v>1700</v>
      </c>
      <c r="Q19" s="207">
        <f>O19*P19/N19</f>
        <v>2040</v>
      </c>
      <c r="R19" s="207">
        <f>M19*$P$13*O19</f>
        <v>1920</v>
      </c>
      <c r="S19" s="233">
        <f>N19</f>
        <v>0.45454545454545453</v>
      </c>
      <c r="T19" s="207">
        <f>S19*$Q19+(1-S19)*$R19</f>
        <v>1974.5454545454545</v>
      </c>
    </row>
    <row r="20" spans="1:20" x14ac:dyDescent="0.2">
      <c r="A20" s="188"/>
      <c r="B20" s="119"/>
      <c r="C20" s="116"/>
      <c r="D20" s="116"/>
      <c r="E20" s="116"/>
      <c r="F20" s="116"/>
      <c r="G20" s="116"/>
      <c r="H20" s="116"/>
      <c r="I20" s="116"/>
      <c r="J20" s="115"/>
      <c r="L20" s="132" t="s">
        <v>73</v>
      </c>
      <c r="M20" s="129"/>
      <c r="N20" s="129"/>
      <c r="O20" s="129"/>
      <c r="P20" s="205">
        <f>SUM(P17:P19)</f>
        <v>7890</v>
      </c>
      <c r="Q20" s="205">
        <f>SUM(Q17:Q19)</f>
        <v>2781.8772563176899</v>
      </c>
      <c r="R20" s="232">
        <f>SUM(R17:R19)</f>
        <v>2670.0000000000005</v>
      </c>
      <c r="S20" s="205"/>
      <c r="T20" s="205">
        <f>SUM(T17:T19)</f>
        <v>2718.1534090909095</v>
      </c>
    </row>
    <row r="21" spans="1:20" x14ac:dyDescent="0.2">
      <c r="A21" s="188" t="s">
        <v>160</v>
      </c>
      <c r="B21" s="186" t="s">
        <v>254</v>
      </c>
      <c r="C21" s="116" t="s">
        <v>318</v>
      </c>
      <c r="D21" s="116"/>
      <c r="E21" s="116" t="s">
        <v>317</v>
      </c>
      <c r="F21" s="116"/>
      <c r="G21" s="116"/>
      <c r="H21" s="116"/>
      <c r="I21" s="116"/>
      <c r="J21" s="115"/>
    </row>
    <row r="22" spans="1:20" ht="19.5" customHeight="1" thickBot="1" x14ac:dyDescent="0.25">
      <c r="A22" s="188"/>
      <c r="B22" s="116"/>
      <c r="C22" s="116" t="s">
        <v>316</v>
      </c>
      <c r="D22" s="116"/>
      <c r="E22" s="116"/>
      <c r="F22" s="116"/>
      <c r="G22" s="116"/>
      <c r="H22" s="116"/>
      <c r="I22" s="116"/>
      <c r="J22" s="115"/>
      <c r="M22" s="103"/>
    </row>
    <row r="23" spans="1:20" ht="17" thickBot="1" x14ac:dyDescent="0.25">
      <c r="A23" s="188"/>
      <c r="B23" s="116"/>
      <c r="C23" s="120"/>
      <c r="D23" s="116"/>
      <c r="E23" s="116"/>
      <c r="F23" s="116"/>
      <c r="G23" s="116"/>
      <c r="H23" s="116"/>
      <c r="I23" s="116"/>
      <c r="J23" s="115"/>
      <c r="L23" s="109" t="s">
        <v>315</v>
      </c>
      <c r="M23" s="229">
        <f>T20</f>
        <v>2718.1534090909095</v>
      </c>
      <c r="N23" t="s">
        <v>314</v>
      </c>
    </row>
    <row r="24" spans="1:20" ht="17" thickBot="1" x14ac:dyDescent="0.25">
      <c r="A24" s="204" t="s">
        <v>76</v>
      </c>
      <c r="B24" s="111"/>
      <c r="C24" s="203"/>
      <c r="D24" s="111"/>
      <c r="E24" s="111"/>
      <c r="F24" s="111"/>
      <c r="G24" s="111"/>
      <c r="H24" s="111"/>
      <c r="I24" s="111"/>
      <c r="J24" s="110"/>
    </row>
    <row r="25" spans="1:20" x14ac:dyDescent="0.2">
      <c r="L25" s="136" t="s">
        <v>250</v>
      </c>
    </row>
    <row r="27" spans="1:20" x14ac:dyDescent="0.2">
      <c r="L27" t="s">
        <v>313</v>
      </c>
      <c r="M27" s="103"/>
    </row>
    <row r="28" spans="1:20" x14ac:dyDescent="0.2">
      <c r="M28" s="103"/>
    </row>
    <row r="29" spans="1:20" x14ac:dyDescent="0.2">
      <c r="L29" t="s">
        <v>312</v>
      </c>
      <c r="M29" s="205">
        <f>O19*(E11+T19)</f>
        <v>2004.2975206611568</v>
      </c>
      <c r="N29" t="s">
        <v>311</v>
      </c>
    </row>
    <row r="30" spans="1:20" ht="17" thickBot="1" x14ac:dyDescent="0.25">
      <c r="L30" t="s">
        <v>310</v>
      </c>
      <c r="M30" s="205">
        <f>O19*(M29+E11)</f>
        <v>2020.5259203606308</v>
      </c>
      <c r="N30" t="s">
        <v>309</v>
      </c>
    </row>
    <row r="31" spans="1:20" ht="17" thickBot="1" x14ac:dyDescent="0.25">
      <c r="L31" s="109" t="s">
        <v>308</v>
      </c>
      <c r="M31" s="229">
        <f>O19*(M30+E11)</f>
        <v>2029.3777747421623</v>
      </c>
      <c r="N31" t="s">
        <v>307</v>
      </c>
    </row>
    <row r="33" spans="12:18" x14ac:dyDescent="0.2">
      <c r="L33" s="136" t="s">
        <v>141</v>
      </c>
    </row>
    <row r="35" spans="12:18" ht="19" thickBot="1" x14ac:dyDescent="0.3">
      <c r="L35" s="129" t="s">
        <v>306</v>
      </c>
      <c r="M35" s="231">
        <f>N19/(N19+SQRT(N19))</f>
        <v>0.4026997478492772</v>
      </c>
      <c r="N35" t="s">
        <v>305</v>
      </c>
    </row>
    <row r="36" spans="12:18" ht="21" thickBot="1" x14ac:dyDescent="0.3">
      <c r="L36" s="230" t="s">
        <v>304</v>
      </c>
      <c r="M36" s="229">
        <f>M35*$Q19+(1-M35)*$R19</f>
        <v>1968.3239697419133</v>
      </c>
    </row>
    <row r="39" spans="12:18" ht="19" x14ac:dyDescent="0.25">
      <c r="L39" s="104" t="s">
        <v>57</v>
      </c>
    </row>
    <row r="40" spans="12:18" x14ac:dyDescent="0.2">
      <c r="L40" s="276" t="s">
        <v>303</v>
      </c>
      <c r="M40" s="276"/>
      <c r="N40" s="276"/>
      <c r="O40" s="276"/>
      <c r="P40" s="276"/>
      <c r="Q40" s="276"/>
      <c r="R40" s="276"/>
    </row>
    <row r="41" spans="12:18" x14ac:dyDescent="0.2">
      <c r="L41" s="276"/>
      <c r="M41" s="276"/>
      <c r="N41" s="276"/>
      <c r="O41" s="276"/>
      <c r="P41" s="276"/>
      <c r="Q41" s="276"/>
      <c r="R41" s="276"/>
    </row>
    <row r="42" spans="12:18" x14ac:dyDescent="0.2">
      <c r="L42" s="276"/>
      <c r="M42" s="276"/>
      <c r="N42" s="276"/>
      <c r="O42" s="276"/>
      <c r="P42" s="276"/>
      <c r="Q42" s="276"/>
      <c r="R42" s="276"/>
    </row>
    <row r="43" spans="12:18" x14ac:dyDescent="0.2">
      <c r="L43" s="276"/>
      <c r="M43" s="276"/>
      <c r="N43" s="276"/>
      <c r="O43" s="276"/>
      <c r="P43" s="276"/>
      <c r="Q43" s="276"/>
      <c r="R43" s="276"/>
    </row>
    <row r="44" spans="12:18" x14ac:dyDescent="0.2">
      <c r="L44" s="276"/>
      <c r="M44" s="276"/>
      <c r="N44" s="276"/>
      <c r="O44" s="276"/>
      <c r="P44" s="276"/>
      <c r="Q44" s="276"/>
      <c r="R44" s="276"/>
    </row>
    <row r="45" spans="12:18" x14ac:dyDescent="0.2">
      <c r="L45" s="276"/>
      <c r="M45" s="276"/>
      <c r="N45" s="276"/>
      <c r="O45" s="276"/>
      <c r="P45" s="276"/>
      <c r="Q45" s="276"/>
      <c r="R45" s="276"/>
    </row>
    <row r="46" spans="12:18" x14ac:dyDescent="0.2">
      <c r="L46" s="276"/>
      <c r="M46" s="276"/>
      <c r="N46" s="276"/>
      <c r="O46" s="276"/>
      <c r="P46" s="276"/>
      <c r="Q46" s="276"/>
      <c r="R46" s="276"/>
    </row>
    <row r="47" spans="12:18" x14ac:dyDescent="0.2">
      <c r="L47" s="276"/>
      <c r="M47" s="276"/>
      <c r="N47" s="276"/>
      <c r="O47" s="276"/>
      <c r="P47" s="276"/>
      <c r="Q47" s="276"/>
      <c r="R47" s="276"/>
    </row>
    <row r="48" spans="12:18" x14ac:dyDescent="0.2">
      <c r="L48" s="276"/>
      <c r="M48" s="276"/>
      <c r="N48" s="276"/>
      <c r="O48" s="276"/>
      <c r="P48" s="276"/>
      <c r="Q48" s="276"/>
      <c r="R48" s="276"/>
    </row>
    <row r="49" spans="12:18" x14ac:dyDescent="0.2">
      <c r="L49" s="276"/>
      <c r="M49" s="276"/>
      <c r="N49" s="276"/>
      <c r="O49" s="276"/>
      <c r="P49" s="276"/>
      <c r="Q49" s="276"/>
      <c r="R49" s="276"/>
    </row>
    <row r="50" spans="12:18" x14ac:dyDescent="0.2">
      <c r="L50" s="276"/>
      <c r="M50" s="276"/>
      <c r="N50" s="276"/>
      <c r="O50" s="276"/>
      <c r="P50" s="276"/>
      <c r="Q50" s="276"/>
      <c r="R50" s="276"/>
    </row>
    <row r="52" spans="12:18" ht="19" x14ac:dyDescent="0.25">
      <c r="L52" s="104" t="s">
        <v>93</v>
      </c>
    </row>
    <row r="53" spans="12:18" x14ac:dyDescent="0.2">
      <c r="L53" t="s">
        <v>302</v>
      </c>
    </row>
  </sheetData>
  <mergeCells count="3">
    <mergeCell ref="D6:G6"/>
    <mergeCell ref="S15:T15"/>
    <mergeCell ref="L40:R5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1DFA-D65D-4045-BA01-E2F7BEE280D9}">
  <dimension ref="A1:W31"/>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4" max="4" width="13" bestFit="1" customWidth="1"/>
    <col min="5" max="7" width="11.83203125" bestFit="1" customWidth="1"/>
    <col min="12" max="18" width="10.83203125" hidden="1" customWidth="1" outlineLevel="1"/>
    <col min="19" max="22" width="11" hidden="1" customWidth="1" outlineLevel="1"/>
    <col min="23" max="23" width="11" collapsed="1"/>
  </cols>
  <sheetData>
    <row r="1" spans="1:22" x14ac:dyDescent="0.2">
      <c r="A1" s="228"/>
      <c r="B1" s="126" t="s">
        <v>277</v>
      </c>
      <c r="C1" s="125" t="s">
        <v>351</v>
      </c>
      <c r="D1" s="125" t="s">
        <v>275</v>
      </c>
      <c r="E1" s="125" t="s">
        <v>300</v>
      </c>
      <c r="F1" s="124"/>
      <c r="G1" s="124"/>
      <c r="H1" s="124"/>
      <c r="I1" s="124"/>
      <c r="J1" s="123"/>
      <c r="K1" s="136" t="s">
        <v>77</v>
      </c>
      <c r="L1" s="136"/>
    </row>
    <row r="2" spans="1:22" x14ac:dyDescent="0.2">
      <c r="A2" s="188"/>
      <c r="B2" s="227" t="s">
        <v>273</v>
      </c>
      <c r="C2" s="226">
        <v>2</v>
      </c>
      <c r="D2" s="116"/>
      <c r="E2" s="116"/>
      <c r="F2" s="116"/>
      <c r="G2" s="116"/>
      <c r="H2" s="116"/>
      <c r="I2" s="116"/>
      <c r="J2" s="115"/>
    </row>
    <row r="3" spans="1:22" x14ac:dyDescent="0.2">
      <c r="A3" s="188"/>
      <c r="B3" s="116"/>
      <c r="C3" s="116"/>
      <c r="D3" s="116"/>
      <c r="E3" s="116"/>
      <c r="F3" s="116"/>
      <c r="G3" s="116"/>
      <c r="H3" s="116"/>
      <c r="I3" s="116"/>
      <c r="J3" s="115"/>
      <c r="L3" t="s">
        <v>271</v>
      </c>
    </row>
    <row r="4" spans="1:22" x14ac:dyDescent="0.2">
      <c r="A4" s="188"/>
      <c r="B4" s="116"/>
      <c r="C4" s="116" t="s">
        <v>350</v>
      </c>
      <c r="D4" s="116"/>
      <c r="E4" s="116"/>
      <c r="F4" s="116"/>
      <c r="G4" s="116"/>
      <c r="H4" s="116"/>
      <c r="I4" s="116"/>
      <c r="J4" s="115"/>
      <c r="L4" s="129"/>
      <c r="M4" s="205"/>
      <c r="N4" s="205"/>
      <c r="O4" s="205"/>
      <c r="P4" s="205" t="s">
        <v>175</v>
      </c>
    </row>
    <row r="5" spans="1:22" x14ac:dyDescent="0.2">
      <c r="A5" s="188"/>
      <c r="B5" s="116"/>
      <c r="C5" s="116"/>
      <c r="D5" s="116"/>
      <c r="E5" s="116"/>
      <c r="F5" s="116"/>
      <c r="G5" s="116"/>
      <c r="H5" s="116"/>
      <c r="I5" s="116"/>
      <c r="J5" s="115"/>
      <c r="L5" s="135" t="s">
        <v>45</v>
      </c>
      <c r="M5" s="207">
        <v>12</v>
      </c>
      <c r="N5" s="207">
        <v>24</v>
      </c>
      <c r="O5" s="133">
        <v>36</v>
      </c>
      <c r="P5" s="133" t="s">
        <v>268</v>
      </c>
    </row>
    <row r="6" spans="1:22" x14ac:dyDescent="0.2">
      <c r="A6" s="188"/>
      <c r="B6" s="116"/>
      <c r="C6" s="283" t="s">
        <v>349</v>
      </c>
      <c r="D6" s="283"/>
      <c r="E6" s="283"/>
      <c r="F6" s="283"/>
      <c r="G6" s="283"/>
      <c r="H6" s="116"/>
      <c r="I6" s="116"/>
      <c r="J6" s="115"/>
      <c r="L6" s="132">
        <f>C9</f>
        <v>2014</v>
      </c>
      <c r="M6" s="205">
        <f>E9</f>
        <v>450000</v>
      </c>
      <c r="N6" s="205">
        <f>F9-E9</f>
        <v>135000</v>
      </c>
      <c r="O6" s="205">
        <f>G9-F9</f>
        <v>29250</v>
      </c>
      <c r="P6" s="205">
        <f>D9</f>
        <v>1100000</v>
      </c>
    </row>
    <row r="7" spans="1:22" x14ac:dyDescent="0.2">
      <c r="A7" s="188"/>
      <c r="B7" s="116"/>
      <c r="C7" s="157" t="s">
        <v>328</v>
      </c>
      <c r="D7" s="157" t="s">
        <v>348</v>
      </c>
      <c r="E7" s="155">
        <v>12</v>
      </c>
      <c r="F7" s="155">
        <v>24</v>
      </c>
      <c r="G7" s="154">
        <v>36</v>
      </c>
      <c r="H7" s="116"/>
      <c r="I7" s="116"/>
      <c r="J7" s="115"/>
      <c r="L7" s="132">
        <f>C10</f>
        <v>2015</v>
      </c>
      <c r="M7" s="205">
        <f>E10</f>
        <v>600000</v>
      </c>
      <c r="N7" s="205">
        <f>F10-E10</f>
        <v>240000</v>
      </c>
      <c r="O7" s="205"/>
      <c r="P7" s="205">
        <f>D10</f>
        <v>1210000</v>
      </c>
    </row>
    <row r="8" spans="1:22" x14ac:dyDescent="0.2">
      <c r="A8" s="188"/>
      <c r="B8" s="116"/>
      <c r="C8" s="145" t="s">
        <v>297</v>
      </c>
      <c r="D8" s="145" t="s">
        <v>268</v>
      </c>
      <c r="E8" s="217" t="s">
        <v>296</v>
      </c>
      <c r="F8" s="217" t="s">
        <v>296</v>
      </c>
      <c r="G8" s="220" t="s">
        <v>296</v>
      </c>
      <c r="H8" s="116"/>
      <c r="I8" s="116"/>
      <c r="J8" s="115"/>
      <c r="L8" s="132">
        <f>C11</f>
        <v>2016</v>
      </c>
      <c r="M8" s="205">
        <f>E11</f>
        <v>850000</v>
      </c>
      <c r="N8" s="129"/>
      <c r="O8" s="129"/>
      <c r="P8" s="205">
        <f>D11</f>
        <v>1331000</v>
      </c>
    </row>
    <row r="9" spans="1:22" x14ac:dyDescent="0.2">
      <c r="A9" s="188"/>
      <c r="B9" s="116"/>
      <c r="C9" s="157">
        <v>2014</v>
      </c>
      <c r="D9" s="223">
        <v>1100000</v>
      </c>
      <c r="E9" s="152">
        <v>450000</v>
      </c>
      <c r="F9" s="152">
        <v>585000</v>
      </c>
      <c r="G9" s="151">
        <v>614250</v>
      </c>
      <c r="H9" s="116"/>
      <c r="I9" s="116"/>
      <c r="J9" s="115"/>
    </row>
    <row r="10" spans="1:22" x14ac:dyDescent="0.2">
      <c r="A10" s="188"/>
      <c r="B10" s="116"/>
      <c r="C10" s="149">
        <v>2015</v>
      </c>
      <c r="D10" s="221">
        <v>1210000</v>
      </c>
      <c r="E10" s="147">
        <v>600000</v>
      </c>
      <c r="F10" s="147">
        <v>840000</v>
      </c>
      <c r="G10" s="146"/>
      <c r="H10" s="116"/>
      <c r="I10" s="116"/>
      <c r="J10" s="115"/>
      <c r="L10" s="135"/>
      <c r="M10" s="133"/>
      <c r="N10" s="133"/>
      <c r="O10" s="135"/>
      <c r="P10" s="133" t="s">
        <v>37</v>
      </c>
    </row>
    <row r="11" spans="1:22" x14ac:dyDescent="0.2">
      <c r="A11" s="188"/>
      <c r="B11" s="116"/>
      <c r="C11" s="145">
        <v>2016</v>
      </c>
      <c r="D11" s="219">
        <v>1331000</v>
      </c>
      <c r="E11" s="143">
        <v>850000</v>
      </c>
      <c r="F11" s="143"/>
      <c r="G11" s="142"/>
      <c r="H11" s="116"/>
      <c r="I11" s="116"/>
      <c r="J11" s="115"/>
      <c r="L11" s="132" t="s">
        <v>22</v>
      </c>
      <c r="M11" s="130">
        <f>SUM(M6:M8)/SUM($P$6:$P$8)</f>
        <v>0.52183466080747043</v>
      </c>
      <c r="N11" s="130">
        <f>SUM(N6:N7)/SUM($P$6:$P$7)</f>
        <v>0.16233766233766234</v>
      </c>
      <c r="O11" s="215">
        <f>SUM(O6)/SUM($P$6)</f>
        <v>2.6590909090909092E-2</v>
      </c>
      <c r="P11" s="130">
        <f>SUM(M11:O11)</f>
        <v>0.71076323223604188</v>
      </c>
    </row>
    <row r="12" spans="1:22" x14ac:dyDescent="0.2">
      <c r="A12" s="188"/>
      <c r="B12" s="116"/>
      <c r="C12" s="116"/>
      <c r="D12" s="116"/>
      <c r="E12" s="116"/>
      <c r="F12" s="116"/>
      <c r="G12" s="116"/>
      <c r="H12" s="116"/>
      <c r="I12" s="116"/>
      <c r="J12" s="115"/>
    </row>
    <row r="13" spans="1:22" x14ac:dyDescent="0.2">
      <c r="A13" s="188"/>
      <c r="B13" s="119"/>
      <c r="C13" s="116" t="s">
        <v>347</v>
      </c>
      <c r="D13" s="116"/>
      <c r="E13" s="116"/>
      <c r="F13" s="116"/>
      <c r="G13" s="116"/>
      <c r="H13" s="116"/>
      <c r="I13" s="116"/>
      <c r="J13" s="115"/>
      <c r="P13" s="129" t="s">
        <v>262</v>
      </c>
      <c r="S13" s="114"/>
      <c r="T13" s="114"/>
    </row>
    <row r="14" spans="1:22" ht="20" x14ac:dyDescent="0.25">
      <c r="A14" s="188"/>
      <c r="B14" s="119"/>
      <c r="C14" s="116"/>
      <c r="D14" s="116"/>
      <c r="E14" s="116"/>
      <c r="F14" s="116"/>
      <c r="G14" s="116"/>
      <c r="H14" s="116"/>
      <c r="I14" s="116"/>
      <c r="J14" s="115"/>
      <c r="L14" s="135" t="s">
        <v>45</v>
      </c>
      <c r="M14" s="214" t="s">
        <v>39</v>
      </c>
      <c r="N14" s="133" t="s">
        <v>259</v>
      </c>
      <c r="O14" s="133" t="s">
        <v>258</v>
      </c>
      <c r="P14" s="133" t="s">
        <v>257</v>
      </c>
      <c r="Q14" s="133" t="s">
        <v>256</v>
      </c>
      <c r="R14" s="133" t="s">
        <v>255</v>
      </c>
      <c r="S14" s="214" t="s">
        <v>322</v>
      </c>
      <c r="T14" s="135" t="s">
        <v>346</v>
      </c>
      <c r="U14" s="133" t="s">
        <v>321</v>
      </c>
      <c r="V14" s="133" t="s">
        <v>345</v>
      </c>
    </row>
    <row r="15" spans="1:22" x14ac:dyDescent="0.2">
      <c r="A15" s="188"/>
      <c r="B15" s="119"/>
      <c r="C15" s="116" t="s">
        <v>344</v>
      </c>
      <c r="D15" s="116"/>
      <c r="E15" s="116"/>
      <c r="F15" s="116"/>
      <c r="G15" s="116"/>
      <c r="H15" s="116"/>
      <c r="I15" s="116"/>
      <c r="J15" s="115"/>
      <c r="L15" s="132">
        <f>L6</f>
        <v>2014</v>
      </c>
      <c r="M15" s="205">
        <f>P6</f>
        <v>1100000</v>
      </c>
      <c r="N15" s="213">
        <f>SUM($M$11:$O$11)/$P$11</f>
        <v>1</v>
      </c>
      <c r="O15" s="212">
        <f>1-N15</f>
        <v>0</v>
      </c>
      <c r="P15" s="205">
        <f>SUM(M6:O6)</f>
        <v>614250</v>
      </c>
      <c r="Q15" s="205">
        <f>O15*P15/N15</f>
        <v>0</v>
      </c>
      <c r="R15" s="205">
        <f>M15*$P$11*O15</f>
        <v>0</v>
      </c>
      <c r="S15" s="234">
        <f>N15</f>
        <v>1</v>
      </c>
      <c r="T15" s="241">
        <f>N15/(N15+SQRT(N15))</f>
        <v>0.5</v>
      </c>
      <c r="U15" s="205">
        <f t="shared" ref="U15:V17" si="0">S15*$Q15+(1-S15)*$R15</f>
        <v>0</v>
      </c>
      <c r="V15" s="205">
        <f t="shared" si="0"/>
        <v>0</v>
      </c>
    </row>
    <row r="16" spans="1:22" x14ac:dyDescent="0.2">
      <c r="A16" s="188"/>
      <c r="B16" s="119"/>
      <c r="C16" s="116"/>
      <c r="D16" s="116"/>
      <c r="E16" s="116"/>
      <c r="F16" s="116"/>
      <c r="G16" s="116"/>
      <c r="H16" s="116"/>
      <c r="I16" s="116"/>
      <c r="J16" s="115"/>
      <c r="L16" s="132">
        <f>L7</f>
        <v>2015</v>
      </c>
      <c r="M16" s="205">
        <f>P7</f>
        <v>1210000</v>
      </c>
      <c r="N16" s="211">
        <f>SUM($M$11:$N$11)/$P$11</f>
        <v>0.9625882320794017</v>
      </c>
      <c r="O16" s="210">
        <f>1-N16</f>
        <v>3.7411767920598304E-2</v>
      </c>
      <c r="P16" s="205">
        <f>SUM(M7:O7)</f>
        <v>840000</v>
      </c>
      <c r="Q16" s="205">
        <f>O16*P16/N16</f>
        <v>32647.277419354868</v>
      </c>
      <c r="R16" s="205">
        <f>M16*$P$11*O16</f>
        <v>32175.000000000029</v>
      </c>
      <c r="S16" s="234">
        <f>N16</f>
        <v>0.9625882320794017</v>
      </c>
      <c r="T16" s="241">
        <f>N16/(N16+SQRT(N16))</f>
        <v>0.49523395094093992</v>
      </c>
      <c r="U16" s="205">
        <f t="shared" si="0"/>
        <v>32629.608686147829</v>
      </c>
      <c r="V16" s="205">
        <f t="shared" si="0"/>
        <v>32408.887812327317</v>
      </c>
    </row>
    <row r="17" spans="1:22" x14ac:dyDescent="0.2">
      <c r="A17" s="188"/>
      <c r="B17" s="119"/>
      <c r="C17" s="116" t="s">
        <v>343</v>
      </c>
      <c r="D17" s="116"/>
      <c r="E17" s="116"/>
      <c r="F17" s="116"/>
      <c r="G17" s="116"/>
      <c r="H17" s="116"/>
      <c r="I17" s="116"/>
      <c r="J17" s="115"/>
      <c r="L17" s="135">
        <f>L8</f>
        <v>2016</v>
      </c>
      <c r="M17" s="207">
        <f>P8</f>
        <v>1331000</v>
      </c>
      <c r="N17" s="209">
        <f>SUM($M$11)/$P$11</f>
        <v>0.73418916052507766</v>
      </c>
      <c r="O17" s="208">
        <f>1-N17</f>
        <v>0.26581083947492234</v>
      </c>
      <c r="P17" s="207">
        <f>SUM(M8:O8)</f>
        <v>850000</v>
      </c>
      <c r="Q17" s="207">
        <f>O17*P17/N17</f>
        <v>307739.78383458662</v>
      </c>
      <c r="R17" s="207">
        <f>M17*$P$11*O17</f>
        <v>251463.92857142864</v>
      </c>
      <c r="S17" s="233">
        <f>N17</f>
        <v>0.73418916052507766</v>
      </c>
      <c r="T17" s="240">
        <f>N17/(N17+SQRT(N17))</f>
        <v>0.46145306945722053</v>
      </c>
      <c r="U17" s="207">
        <f t="shared" si="0"/>
        <v>292781.05150491738</v>
      </c>
      <c r="V17" s="207">
        <f t="shared" si="0"/>
        <v>277432.59471894318</v>
      </c>
    </row>
    <row r="18" spans="1:22" x14ac:dyDescent="0.2">
      <c r="A18" s="188"/>
      <c r="B18" s="119"/>
      <c r="C18" s="116" t="s">
        <v>342</v>
      </c>
      <c r="D18" s="116"/>
      <c r="E18" s="116"/>
      <c r="F18" s="116"/>
      <c r="G18" s="116"/>
      <c r="H18" s="116"/>
      <c r="I18" s="116"/>
      <c r="J18" s="115"/>
      <c r="L18" s="132" t="s">
        <v>73</v>
      </c>
      <c r="M18" s="129"/>
      <c r="N18" s="129"/>
      <c r="O18" s="129"/>
      <c r="P18" s="205">
        <f>SUM(P15:P17)</f>
        <v>2304250</v>
      </c>
      <c r="Q18" s="205">
        <f>SUM(Q15:Q17)</f>
        <v>340387.0612539415</v>
      </c>
      <c r="R18" s="232">
        <f>SUM(R15:R17)</f>
        <v>283638.92857142864</v>
      </c>
      <c r="S18" s="205"/>
      <c r="T18" s="239"/>
      <c r="U18" s="205">
        <f>SUM(U15:U17)</f>
        <v>325410.66019106522</v>
      </c>
      <c r="V18" s="205">
        <f>SUM(V15:V17)</f>
        <v>309841.48253127048</v>
      </c>
    </row>
    <row r="19" spans="1:22" x14ac:dyDescent="0.2">
      <c r="A19" s="188"/>
      <c r="B19" s="119"/>
      <c r="C19" s="116" t="s">
        <v>341</v>
      </c>
      <c r="D19" s="116"/>
      <c r="E19" s="116"/>
      <c r="F19" s="116"/>
      <c r="G19" s="116"/>
      <c r="H19" s="116"/>
      <c r="I19" s="116"/>
      <c r="J19" s="115"/>
    </row>
    <row r="20" spans="1:22" x14ac:dyDescent="0.2">
      <c r="A20" s="188"/>
      <c r="B20" s="119"/>
      <c r="C20" s="116" t="s">
        <v>340</v>
      </c>
      <c r="D20" s="116"/>
      <c r="E20" s="116"/>
      <c r="F20" s="116"/>
      <c r="G20" s="116"/>
      <c r="H20" s="116"/>
      <c r="I20" s="116"/>
      <c r="J20" s="115"/>
    </row>
    <row r="21" spans="1:22" ht="17" thickBot="1" x14ac:dyDescent="0.25">
      <c r="A21" s="183"/>
      <c r="B21" s="237"/>
      <c r="C21" s="238"/>
      <c r="D21" s="237"/>
      <c r="E21" s="237"/>
      <c r="F21" s="237"/>
      <c r="G21" s="237"/>
      <c r="H21" s="237"/>
      <c r="I21" s="237"/>
      <c r="J21" s="236"/>
      <c r="L21" t="s">
        <v>339</v>
      </c>
    </row>
    <row r="22" spans="1:22" ht="17" thickBot="1" x14ac:dyDescent="0.25">
      <c r="A22" s="204" t="s">
        <v>76</v>
      </c>
      <c r="B22" s="111"/>
      <c r="C22" s="203"/>
      <c r="D22" s="111"/>
      <c r="E22" s="111"/>
      <c r="F22" s="111"/>
      <c r="G22" s="111"/>
      <c r="H22" s="111"/>
      <c r="I22" s="111"/>
      <c r="J22" s="110"/>
    </row>
    <row r="23" spans="1:22" x14ac:dyDescent="0.2">
      <c r="M23" s="284" t="s">
        <v>338</v>
      </c>
      <c r="N23" s="284"/>
      <c r="O23" s="284"/>
      <c r="P23" s="284"/>
    </row>
    <row r="24" spans="1:22" x14ac:dyDescent="0.2">
      <c r="L24" s="135" t="s">
        <v>45</v>
      </c>
      <c r="M24" s="150" t="s">
        <v>337</v>
      </c>
      <c r="N24" s="150" t="s">
        <v>336</v>
      </c>
      <c r="O24" s="150" t="s">
        <v>335</v>
      </c>
      <c r="P24" s="150" t="s">
        <v>334</v>
      </c>
    </row>
    <row r="25" spans="1:22" x14ac:dyDescent="0.2">
      <c r="L25" s="132">
        <f>L6</f>
        <v>2014</v>
      </c>
      <c r="M25" s="103">
        <f>Q15+P15</f>
        <v>614250</v>
      </c>
      <c r="N25" s="103">
        <f>R15+P15</f>
        <v>614250</v>
      </c>
      <c r="O25" s="103">
        <f>U15+P15</f>
        <v>614250</v>
      </c>
      <c r="P25" s="103">
        <f>V15+P15</f>
        <v>614250</v>
      </c>
    </row>
    <row r="26" spans="1:22" x14ac:dyDescent="0.2">
      <c r="L26" s="132">
        <f>L7</f>
        <v>2015</v>
      </c>
      <c r="M26" s="103">
        <f>Q16+P16</f>
        <v>872647.27741935488</v>
      </c>
      <c r="N26" s="103">
        <f>R16+P16</f>
        <v>872175</v>
      </c>
      <c r="O26" s="103">
        <f>U16+P16</f>
        <v>872629.60868614784</v>
      </c>
      <c r="P26" s="103">
        <f>V16+P16</f>
        <v>872408.88781232736</v>
      </c>
    </row>
    <row r="27" spans="1:22" x14ac:dyDescent="0.2">
      <c r="L27" s="132">
        <f>L8</f>
        <v>2016</v>
      </c>
      <c r="M27" s="103">
        <f>Q17+P17</f>
        <v>1157739.7838345866</v>
      </c>
      <c r="N27" s="103">
        <f>R17+P17</f>
        <v>1101463.9285714286</v>
      </c>
      <c r="O27" s="103">
        <f>U17+P17</f>
        <v>1142781.0515049174</v>
      </c>
      <c r="P27" s="103">
        <f>V17+P17</f>
        <v>1127432.5947189431</v>
      </c>
    </row>
    <row r="29" spans="1:22" x14ac:dyDescent="0.2">
      <c r="R29" s="235"/>
    </row>
    <row r="30" spans="1:22" ht="19" x14ac:dyDescent="0.25">
      <c r="L30" s="104" t="s">
        <v>93</v>
      </c>
    </row>
    <row r="31" spans="1:22" x14ac:dyDescent="0.2">
      <c r="L31" t="s">
        <v>333</v>
      </c>
    </row>
  </sheetData>
  <mergeCells count="2">
    <mergeCell ref="C6:G6"/>
    <mergeCell ref="M23:P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553B-6F62-7D41-AF02-BE1378B9A887}">
  <dimension ref="A1:S48"/>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12" max="18" width="10.83203125" hidden="1" customWidth="1" outlineLevel="1"/>
    <col min="19" max="19" width="11" collapsed="1"/>
  </cols>
  <sheetData>
    <row r="1" spans="1:17" x14ac:dyDescent="0.2">
      <c r="A1" s="228"/>
      <c r="B1" s="126" t="s">
        <v>277</v>
      </c>
      <c r="C1" s="125" t="s">
        <v>377</v>
      </c>
      <c r="D1" s="125" t="s">
        <v>275</v>
      </c>
      <c r="E1" s="125" t="s">
        <v>376</v>
      </c>
      <c r="F1" s="124"/>
      <c r="G1" s="124"/>
      <c r="H1" s="124"/>
      <c r="I1" s="124"/>
      <c r="J1" s="123"/>
      <c r="K1" s="136" t="s">
        <v>77</v>
      </c>
      <c r="L1" s="136"/>
    </row>
    <row r="2" spans="1:17" x14ac:dyDescent="0.2">
      <c r="A2" s="188"/>
      <c r="B2" s="227" t="s">
        <v>273</v>
      </c>
      <c r="C2" s="226">
        <v>2</v>
      </c>
      <c r="D2" s="116"/>
      <c r="E2" s="116"/>
      <c r="F2" s="116"/>
      <c r="G2" s="116"/>
      <c r="H2" s="116"/>
      <c r="I2" s="116"/>
      <c r="J2" s="115"/>
    </row>
    <row r="3" spans="1:17" x14ac:dyDescent="0.2">
      <c r="A3" s="188"/>
      <c r="B3" s="116"/>
      <c r="C3" s="116"/>
      <c r="D3" s="116"/>
      <c r="E3" s="116"/>
      <c r="F3" s="116"/>
      <c r="G3" s="116"/>
      <c r="H3" s="116"/>
      <c r="I3" s="116"/>
      <c r="J3" s="115"/>
      <c r="L3" t="s">
        <v>375</v>
      </c>
    </row>
    <row r="4" spans="1:17" x14ac:dyDescent="0.2">
      <c r="A4" s="188"/>
      <c r="B4" s="116"/>
      <c r="C4" s="116" t="s">
        <v>374</v>
      </c>
      <c r="D4" s="116"/>
      <c r="E4" s="116"/>
      <c r="F4" s="116"/>
      <c r="G4" s="116"/>
      <c r="H4" s="116"/>
      <c r="I4" s="116"/>
      <c r="J4" s="115"/>
      <c r="L4" s="129"/>
      <c r="M4" s="205"/>
      <c r="N4" s="205"/>
      <c r="O4" s="205"/>
      <c r="P4" s="205"/>
    </row>
    <row r="5" spans="1:17" x14ac:dyDescent="0.2">
      <c r="A5" s="188"/>
      <c r="B5" s="116"/>
      <c r="C5" s="116"/>
      <c r="D5" s="116"/>
      <c r="E5" s="116"/>
      <c r="F5" s="116"/>
      <c r="G5" s="116"/>
      <c r="H5" s="116"/>
      <c r="I5" s="116"/>
      <c r="J5" s="115"/>
      <c r="L5" s="135" t="s">
        <v>45</v>
      </c>
      <c r="M5" s="207">
        <v>12</v>
      </c>
      <c r="N5" s="207">
        <v>24</v>
      </c>
      <c r="O5" s="133">
        <v>36</v>
      </c>
      <c r="P5" s="254">
        <v>48</v>
      </c>
      <c r="Q5" s="133" t="s">
        <v>268</v>
      </c>
    </row>
    <row r="6" spans="1:17" ht="15.75" customHeight="1" x14ac:dyDescent="0.2">
      <c r="A6" s="188"/>
      <c r="B6" s="116"/>
      <c r="C6" s="285" t="s">
        <v>373</v>
      </c>
      <c r="D6" s="288" t="s">
        <v>372</v>
      </c>
      <c r="E6" s="291" t="s">
        <v>371</v>
      </c>
      <c r="F6" s="292"/>
      <c r="G6" s="292"/>
      <c r="H6" s="293"/>
      <c r="I6" s="116"/>
      <c r="J6" s="115"/>
      <c r="L6" s="132">
        <f>C9</f>
        <v>2014</v>
      </c>
      <c r="M6" s="205">
        <f>E9</f>
        <v>2500</v>
      </c>
      <c r="N6" s="205">
        <f>F9-E9</f>
        <v>835</v>
      </c>
      <c r="O6" s="205">
        <f>G9-F9</f>
        <v>607</v>
      </c>
      <c r="P6" s="239">
        <f>H9-G9</f>
        <v>79</v>
      </c>
      <c r="Q6" s="205">
        <f>D9</f>
        <v>8000</v>
      </c>
    </row>
    <row r="7" spans="1:17" ht="16.5" customHeight="1" x14ac:dyDescent="0.2">
      <c r="A7" s="188"/>
      <c r="B7" s="116"/>
      <c r="C7" s="286"/>
      <c r="D7" s="289"/>
      <c r="E7" s="294"/>
      <c r="F7" s="295"/>
      <c r="G7" s="295"/>
      <c r="H7" s="296"/>
      <c r="I7" s="116"/>
      <c r="J7" s="115"/>
      <c r="L7" s="132">
        <f>C10</f>
        <v>2015</v>
      </c>
      <c r="M7" s="205">
        <f>E10</f>
        <v>2100</v>
      </c>
      <c r="N7" s="205">
        <f>F10-E10</f>
        <v>605</v>
      </c>
      <c r="O7" s="205">
        <f>G10-F10</f>
        <v>630</v>
      </c>
      <c r="P7" s="250"/>
      <c r="Q7" s="205">
        <f>D10</f>
        <v>8320</v>
      </c>
    </row>
    <row r="8" spans="1:17" x14ac:dyDescent="0.2">
      <c r="A8" s="188"/>
      <c r="B8" s="116"/>
      <c r="C8" s="287"/>
      <c r="D8" s="290"/>
      <c r="E8" s="253">
        <v>12</v>
      </c>
      <c r="F8" s="252">
        <v>24</v>
      </c>
      <c r="G8" s="252">
        <v>36</v>
      </c>
      <c r="H8" s="251">
        <v>48</v>
      </c>
      <c r="I8" s="116"/>
      <c r="J8" s="115"/>
      <c r="L8" s="132">
        <f>C11</f>
        <v>2016</v>
      </c>
      <c r="M8" s="205">
        <f>E11</f>
        <v>3000</v>
      </c>
      <c r="N8" s="205">
        <f>F11-E11</f>
        <v>1113</v>
      </c>
      <c r="O8" s="129"/>
      <c r="P8" s="250"/>
      <c r="Q8" s="205">
        <f>D11</f>
        <v>8650</v>
      </c>
    </row>
    <row r="9" spans="1:17" x14ac:dyDescent="0.2">
      <c r="A9" s="188"/>
      <c r="B9" s="116"/>
      <c r="C9" s="157">
        <v>2014</v>
      </c>
      <c r="D9" s="152">
        <v>8000</v>
      </c>
      <c r="E9" s="148">
        <v>2500</v>
      </c>
      <c r="F9" s="147">
        <v>3335</v>
      </c>
      <c r="G9" s="147">
        <v>3942</v>
      </c>
      <c r="H9" s="146">
        <v>4021</v>
      </c>
      <c r="I9" s="116"/>
      <c r="J9" s="115"/>
      <c r="L9" s="132">
        <f>C12</f>
        <v>2017</v>
      </c>
      <c r="M9" s="205">
        <f>E12</f>
        <v>3500</v>
      </c>
      <c r="P9" s="250"/>
      <c r="Q9" s="205">
        <f>D12</f>
        <v>9000</v>
      </c>
    </row>
    <row r="10" spans="1:17" x14ac:dyDescent="0.2">
      <c r="A10" s="188"/>
      <c r="B10" s="116"/>
      <c r="C10" s="149">
        <v>2015</v>
      </c>
      <c r="D10" s="147">
        <v>8320</v>
      </c>
      <c r="E10" s="148">
        <v>2100</v>
      </c>
      <c r="F10" s="147">
        <v>2705</v>
      </c>
      <c r="G10" s="147">
        <v>3335</v>
      </c>
      <c r="H10" s="249"/>
      <c r="I10" s="116"/>
      <c r="J10" s="115"/>
    </row>
    <row r="11" spans="1:17" x14ac:dyDescent="0.2">
      <c r="A11" s="188"/>
      <c r="B11" s="116"/>
      <c r="C11" s="149">
        <v>2016</v>
      </c>
      <c r="D11" s="147">
        <v>8650</v>
      </c>
      <c r="E11" s="148">
        <v>3000</v>
      </c>
      <c r="F11" s="147">
        <v>4113</v>
      </c>
      <c r="G11" s="147"/>
      <c r="H11" s="249"/>
      <c r="I11" s="116"/>
      <c r="J11" s="115"/>
      <c r="L11" s="135"/>
      <c r="M11" s="133"/>
      <c r="N11" s="133"/>
      <c r="O11" s="133"/>
      <c r="P11" s="135"/>
      <c r="Q11" s="133" t="s">
        <v>37</v>
      </c>
    </row>
    <row r="12" spans="1:17" x14ac:dyDescent="0.2">
      <c r="A12" s="188"/>
      <c r="B12" s="116"/>
      <c r="C12" s="145">
        <v>2017</v>
      </c>
      <c r="D12" s="143">
        <v>9000</v>
      </c>
      <c r="E12" s="144">
        <v>3500</v>
      </c>
      <c r="F12" s="143"/>
      <c r="G12" s="143"/>
      <c r="H12" s="248"/>
      <c r="I12" s="116"/>
      <c r="J12" s="115"/>
      <c r="L12" s="132" t="s">
        <v>22</v>
      </c>
      <c r="M12" s="130">
        <f>SUM(M6:M9)/SUM($Q$6:$Q$9)</f>
        <v>0.32675890491610243</v>
      </c>
      <c r="N12" s="130">
        <f>SUM(N6:N8)/SUM($Q$6:$Q$8)</f>
        <v>0.10224269122947537</v>
      </c>
      <c r="O12" s="130">
        <f>SUM(O6:O7)/SUM($Q$6:$Q$7)</f>
        <v>7.5796568627450975E-2</v>
      </c>
      <c r="P12" s="215">
        <f>SUM(P6)/SUM($Q$6)</f>
        <v>9.8750000000000001E-3</v>
      </c>
      <c r="Q12" s="130">
        <f>SUM(M12:P12)</f>
        <v>0.51467316477302871</v>
      </c>
    </row>
    <row r="13" spans="1:17" x14ac:dyDescent="0.2">
      <c r="A13" s="188"/>
      <c r="B13" s="116"/>
      <c r="C13" s="116"/>
      <c r="D13" s="116"/>
      <c r="E13" s="116"/>
      <c r="F13" s="116"/>
      <c r="G13" s="116"/>
      <c r="H13" s="116"/>
      <c r="I13" s="116"/>
      <c r="J13" s="115"/>
    </row>
    <row r="14" spans="1:17" x14ac:dyDescent="0.2">
      <c r="A14" s="188"/>
      <c r="B14" s="119"/>
      <c r="C14" s="116" t="s">
        <v>370</v>
      </c>
      <c r="D14" s="116"/>
      <c r="E14" s="116"/>
      <c r="F14" s="116"/>
      <c r="G14" s="116"/>
      <c r="H14" s="116"/>
      <c r="I14" s="116"/>
      <c r="J14" s="115"/>
    </row>
    <row r="15" spans="1:17" ht="19" customHeight="1" x14ac:dyDescent="0.2">
      <c r="A15" s="188"/>
      <c r="B15" s="119"/>
      <c r="C15" s="116" t="s">
        <v>369</v>
      </c>
      <c r="D15" s="116"/>
      <c r="E15" s="116"/>
      <c r="F15" s="116"/>
      <c r="G15" s="116"/>
      <c r="H15" s="116"/>
      <c r="I15" s="116"/>
      <c r="J15" s="115"/>
      <c r="L15" t="s">
        <v>368</v>
      </c>
    </row>
    <row r="16" spans="1:17" ht="19" customHeight="1" x14ac:dyDescent="0.2">
      <c r="A16" s="188"/>
      <c r="B16" s="119"/>
      <c r="C16" s="116" t="s">
        <v>367</v>
      </c>
      <c r="D16" s="147">
        <v>2000</v>
      </c>
      <c r="E16" s="116"/>
      <c r="F16" s="116"/>
      <c r="G16" s="116"/>
      <c r="H16" s="116"/>
      <c r="I16" s="116" t="s">
        <v>366</v>
      </c>
      <c r="J16" s="115"/>
    </row>
    <row r="17" spans="1:18" ht="18" x14ac:dyDescent="0.25">
      <c r="A17" s="188"/>
      <c r="B17" s="119"/>
      <c r="C17" s="116"/>
      <c r="D17" s="116"/>
      <c r="E17" s="116"/>
      <c r="F17" s="116"/>
      <c r="G17" s="116"/>
      <c r="H17" s="116"/>
      <c r="I17" s="116"/>
      <c r="J17" s="115"/>
      <c r="L17" s="129" t="s">
        <v>365</v>
      </c>
      <c r="M17" s="213">
        <f>SUM($M$12:$O$12)/$Q$12</f>
        <v>0.98081306608562957</v>
      </c>
    </row>
    <row r="18" spans="1:18" ht="18" x14ac:dyDescent="0.25">
      <c r="A18" s="188"/>
      <c r="B18" s="119"/>
      <c r="C18" s="116" t="s">
        <v>364</v>
      </c>
      <c r="D18" s="116"/>
      <c r="E18" s="116"/>
      <c r="F18" s="116"/>
      <c r="G18" s="116"/>
      <c r="H18" s="116"/>
      <c r="I18" s="116"/>
      <c r="J18" s="115"/>
      <c r="L18" s="129" t="s">
        <v>363</v>
      </c>
      <c r="M18" s="212">
        <f>1-M17</f>
        <v>1.918693391437043E-2</v>
      </c>
    </row>
    <row r="19" spans="1:18" ht="19" thickBot="1" x14ac:dyDescent="0.3">
      <c r="A19" s="188"/>
      <c r="B19" s="119"/>
      <c r="C19" s="116" t="s">
        <v>362</v>
      </c>
      <c r="D19" s="116"/>
      <c r="E19" s="116"/>
      <c r="F19" s="116"/>
      <c r="G19" s="116"/>
      <c r="H19" s="116"/>
      <c r="I19" s="116"/>
      <c r="J19" s="115"/>
    </row>
    <row r="20" spans="1:18" ht="20" thickBot="1" x14ac:dyDescent="0.25">
      <c r="A20" s="188"/>
      <c r="B20" s="119"/>
      <c r="C20" s="116"/>
      <c r="D20" s="116"/>
      <c r="E20" s="116"/>
      <c r="F20" s="116"/>
      <c r="G20" s="116"/>
      <c r="H20" s="116"/>
      <c r="I20" s="116"/>
      <c r="J20" s="115"/>
      <c r="L20" s="247" t="s">
        <v>361</v>
      </c>
      <c r="M20" s="246">
        <f>D16*M18/M17</f>
        <v>39.124547944583192</v>
      </c>
    </row>
    <row r="21" spans="1:18" ht="20" thickBot="1" x14ac:dyDescent="0.25">
      <c r="A21" s="204" t="s">
        <v>76</v>
      </c>
      <c r="B21" s="111"/>
      <c r="C21" s="203"/>
      <c r="D21" s="111"/>
      <c r="E21" s="111"/>
      <c r="F21" s="111"/>
      <c r="G21" s="111"/>
      <c r="H21" s="111"/>
      <c r="I21" s="111"/>
      <c r="J21" s="110"/>
      <c r="L21" s="245" t="s">
        <v>360</v>
      </c>
      <c r="M21" s="244">
        <f>D16*M18*(1+M18/SQRT(M17))</f>
        <v>39.117311439993642</v>
      </c>
    </row>
    <row r="23" spans="1:18" x14ac:dyDescent="0.2">
      <c r="L23" t="s">
        <v>359</v>
      </c>
    </row>
    <row r="26" spans="1:18" ht="19" x14ac:dyDescent="0.25">
      <c r="L26" s="104" t="s">
        <v>57</v>
      </c>
    </row>
    <row r="27" spans="1:18" x14ac:dyDescent="0.2">
      <c r="L27" s="276" t="s">
        <v>358</v>
      </c>
      <c r="M27" s="276"/>
      <c r="N27" s="276"/>
      <c r="O27" s="276"/>
      <c r="P27" s="276"/>
      <c r="Q27" s="276"/>
      <c r="R27" s="276"/>
    </row>
    <row r="28" spans="1:18" x14ac:dyDescent="0.2">
      <c r="L28" s="276"/>
      <c r="M28" s="276"/>
      <c r="N28" s="276"/>
      <c r="O28" s="276"/>
      <c r="P28" s="276"/>
      <c r="Q28" s="276"/>
      <c r="R28" s="276"/>
    </row>
    <row r="29" spans="1:18" x14ac:dyDescent="0.2">
      <c r="L29" s="276"/>
      <c r="M29" s="276"/>
      <c r="N29" s="276"/>
      <c r="O29" s="276"/>
      <c r="P29" s="276"/>
      <c r="Q29" s="276"/>
      <c r="R29" s="276"/>
    </row>
    <row r="30" spans="1:18" x14ac:dyDescent="0.2">
      <c r="L30" s="276"/>
      <c r="M30" s="276"/>
      <c r="N30" s="276"/>
      <c r="O30" s="276"/>
      <c r="P30" s="276"/>
      <c r="Q30" s="276"/>
      <c r="R30" s="276"/>
    </row>
    <row r="32" spans="1:18" ht="19" x14ac:dyDescent="0.25">
      <c r="L32" s="243" t="s">
        <v>357</v>
      </c>
    </row>
    <row r="33" spans="12:18" x14ac:dyDescent="0.2">
      <c r="L33" s="276" t="s">
        <v>356</v>
      </c>
      <c r="M33" s="276"/>
      <c r="N33" s="276"/>
      <c r="O33" s="276"/>
      <c r="P33" s="276"/>
      <c r="Q33" s="276"/>
      <c r="R33" s="276"/>
    </row>
    <row r="34" spans="12:18" x14ac:dyDescent="0.2">
      <c r="L34" s="276"/>
      <c r="M34" s="276"/>
      <c r="N34" s="276"/>
      <c r="O34" s="276"/>
      <c r="P34" s="276"/>
      <c r="Q34" s="276"/>
      <c r="R34" s="276"/>
    </row>
    <row r="35" spans="12:18" x14ac:dyDescent="0.2">
      <c r="L35" s="276"/>
      <c r="M35" s="276"/>
      <c r="N35" s="276"/>
      <c r="O35" s="276"/>
      <c r="P35" s="276"/>
      <c r="Q35" s="276"/>
      <c r="R35" s="276"/>
    </row>
    <row r="42" spans="12:18" x14ac:dyDescent="0.2">
      <c r="L42" s="135"/>
      <c r="M42" s="133" t="s">
        <v>355</v>
      </c>
      <c r="N42" s="133" t="s">
        <v>354</v>
      </c>
    </row>
    <row r="43" spans="12:18" ht="19" x14ac:dyDescent="0.2">
      <c r="L43" s="132" t="s">
        <v>256</v>
      </c>
      <c r="M43" s="242">
        <v>1</v>
      </c>
      <c r="N43" s="130">
        <f>$D$16*(M43^2/$M$17+1/$M$18+(1-M43)^2/SQRT($M$17))*$M$18^2</f>
        <v>39.124547944583192</v>
      </c>
    </row>
    <row r="44" spans="12:18" ht="19" x14ac:dyDescent="0.2">
      <c r="L44" s="132" t="s">
        <v>255</v>
      </c>
      <c r="M44" s="242">
        <v>0</v>
      </c>
      <c r="N44" s="130">
        <f>$D$16*(M44^2/$M$17+1/$M$18+(1-M44)^2/SQRT($M$17))*$M$18^2</f>
        <v>39.117311439993649</v>
      </c>
    </row>
    <row r="47" spans="12:18" ht="19" x14ac:dyDescent="0.25">
      <c r="L47" s="104" t="s">
        <v>353</v>
      </c>
    </row>
    <row r="48" spans="12:18" x14ac:dyDescent="0.2">
      <c r="L48" t="s">
        <v>352</v>
      </c>
    </row>
  </sheetData>
  <mergeCells count="5">
    <mergeCell ref="L33:R35"/>
    <mergeCell ref="C6:C8"/>
    <mergeCell ref="D6:D8"/>
    <mergeCell ref="E6:H7"/>
    <mergeCell ref="L27:R3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35CA-308A-2149-8AC5-0F0E3BF5B82C}">
  <dimension ref="A1:S39"/>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12" max="14" width="10.83203125" hidden="1" customWidth="1" outlineLevel="1"/>
    <col min="15" max="15" width="10.6640625" hidden="1" customWidth="1" outlineLevel="1"/>
    <col min="16" max="18" width="10.83203125" hidden="1" customWidth="1" outlineLevel="1"/>
    <col min="19" max="19" width="11" collapsed="1"/>
  </cols>
  <sheetData>
    <row r="1" spans="1:16" x14ac:dyDescent="0.2">
      <c r="A1" s="228"/>
      <c r="B1" s="126" t="s">
        <v>277</v>
      </c>
      <c r="C1" s="125" t="s">
        <v>408</v>
      </c>
      <c r="D1" s="125" t="s">
        <v>275</v>
      </c>
      <c r="E1" s="125" t="s">
        <v>274</v>
      </c>
      <c r="F1" s="124"/>
      <c r="G1" s="124"/>
      <c r="H1" s="124"/>
      <c r="I1" s="124"/>
      <c r="J1" s="123"/>
      <c r="K1" s="136" t="s">
        <v>77</v>
      </c>
      <c r="L1" s="136"/>
    </row>
    <row r="2" spans="1:16" x14ac:dyDescent="0.2">
      <c r="A2" s="188"/>
      <c r="B2" s="227" t="s">
        <v>273</v>
      </c>
      <c r="C2" s="226">
        <v>3</v>
      </c>
      <c r="D2" s="116"/>
      <c r="E2" s="116"/>
      <c r="F2" s="116"/>
      <c r="G2" s="116"/>
      <c r="H2" s="116"/>
      <c r="I2" s="116"/>
      <c r="J2" s="115"/>
    </row>
    <row r="3" spans="1:16" x14ac:dyDescent="0.2">
      <c r="A3" s="188"/>
      <c r="B3" s="116"/>
      <c r="C3" s="116"/>
      <c r="D3" s="116"/>
      <c r="E3" s="116"/>
      <c r="F3" s="116"/>
      <c r="G3" s="116"/>
      <c r="H3" s="116"/>
      <c r="I3" s="116"/>
      <c r="J3" s="115"/>
      <c r="L3" s="136" t="s">
        <v>272</v>
      </c>
      <c r="M3" s="258"/>
    </row>
    <row r="4" spans="1:16" x14ac:dyDescent="0.2">
      <c r="A4" s="188"/>
      <c r="B4" s="116"/>
      <c r="C4" s="116" t="s">
        <v>407</v>
      </c>
      <c r="D4" s="116"/>
      <c r="E4" s="116"/>
      <c r="F4" s="116"/>
      <c r="G4" s="116"/>
      <c r="H4" s="116"/>
      <c r="I4" s="116"/>
      <c r="J4" s="115"/>
      <c r="L4" t="s">
        <v>406</v>
      </c>
    </row>
    <row r="5" spans="1:16" x14ac:dyDescent="0.2">
      <c r="A5" s="188"/>
      <c r="B5" s="116"/>
      <c r="C5" s="116"/>
      <c r="D5" s="116"/>
      <c r="E5" s="116"/>
      <c r="F5" s="116"/>
      <c r="G5" s="116"/>
      <c r="H5" s="116"/>
      <c r="I5" s="116"/>
      <c r="J5" s="115"/>
    </row>
    <row r="6" spans="1:16" ht="16" customHeight="1" x14ac:dyDescent="0.2">
      <c r="A6" s="188"/>
      <c r="B6" s="116"/>
      <c r="C6" s="116"/>
      <c r="D6" s="285" t="s">
        <v>373</v>
      </c>
      <c r="E6" s="298" t="s">
        <v>372</v>
      </c>
      <c r="F6" s="292" t="s">
        <v>405</v>
      </c>
      <c r="G6" s="277"/>
      <c r="H6" s="278"/>
      <c r="I6" s="116"/>
      <c r="J6" s="115"/>
      <c r="L6" s="135"/>
      <c r="M6" s="133">
        <v>12</v>
      </c>
      <c r="N6" s="133">
        <v>24</v>
      </c>
      <c r="O6" s="135">
        <v>36</v>
      </c>
      <c r="P6" s="133" t="s">
        <v>37</v>
      </c>
    </row>
    <row r="7" spans="1:16" ht="18" x14ac:dyDescent="0.25">
      <c r="A7" s="188"/>
      <c r="B7" s="116"/>
      <c r="C7" s="116"/>
      <c r="D7" s="286"/>
      <c r="E7" s="299"/>
      <c r="F7" s="301"/>
      <c r="G7" s="301"/>
      <c r="H7" s="302"/>
      <c r="I7" s="116"/>
      <c r="J7" s="115"/>
      <c r="L7" s="132" t="s">
        <v>264</v>
      </c>
      <c r="M7" s="130">
        <f>SUM(F9:F11)/SUM($E$9:$E$11)</f>
        <v>0.31578947368421051</v>
      </c>
      <c r="N7" s="130">
        <f>SUM(G9:G10)/SUM($E$9:$E$10)</f>
        <v>0.13636363636363635</v>
      </c>
      <c r="O7" s="215">
        <f>SUM(H9)/SUM($E$9)</f>
        <v>0.1</v>
      </c>
      <c r="P7" s="130">
        <f>SUM(M7:O7)</f>
        <v>0.55215311004784684</v>
      </c>
    </row>
    <row r="8" spans="1:16" x14ac:dyDescent="0.2">
      <c r="A8" s="188"/>
      <c r="B8" s="116"/>
      <c r="C8" s="116"/>
      <c r="D8" s="287"/>
      <c r="E8" s="300"/>
      <c r="F8" s="217">
        <v>12</v>
      </c>
      <c r="G8" s="217">
        <v>24</v>
      </c>
      <c r="H8" s="220">
        <v>36</v>
      </c>
      <c r="I8" s="116"/>
      <c r="J8" s="115"/>
    </row>
    <row r="9" spans="1:16" x14ac:dyDescent="0.2">
      <c r="A9" s="188"/>
      <c r="B9" s="116"/>
      <c r="C9" s="116"/>
      <c r="D9" s="157">
        <v>2016</v>
      </c>
      <c r="E9" s="151">
        <v>5000</v>
      </c>
      <c r="F9" s="153">
        <v>1800</v>
      </c>
      <c r="G9" s="152">
        <v>700</v>
      </c>
      <c r="H9" s="151">
        <v>500</v>
      </c>
      <c r="I9" s="116"/>
      <c r="J9" s="115"/>
    </row>
    <row r="10" spans="1:16" ht="18" x14ac:dyDescent="0.25">
      <c r="A10" s="188"/>
      <c r="B10" s="116"/>
      <c r="C10" s="116"/>
      <c r="D10" s="149">
        <v>2017</v>
      </c>
      <c r="E10" s="146">
        <v>6000</v>
      </c>
      <c r="F10" s="148">
        <v>2000</v>
      </c>
      <c r="G10" s="147">
        <v>800</v>
      </c>
      <c r="H10" s="146"/>
      <c r="I10" s="116"/>
      <c r="J10" s="115"/>
      <c r="L10" t="s">
        <v>404</v>
      </c>
    </row>
    <row r="11" spans="1:16" x14ac:dyDescent="0.2">
      <c r="A11" s="188"/>
      <c r="B11" s="116"/>
      <c r="C11" s="116"/>
      <c r="D11" s="145">
        <v>2018</v>
      </c>
      <c r="E11" s="142">
        <v>8000</v>
      </c>
      <c r="F11" s="144">
        <v>2200</v>
      </c>
      <c r="G11" s="143"/>
      <c r="H11" s="142"/>
      <c r="I11" s="116"/>
      <c r="J11" s="115"/>
    </row>
    <row r="12" spans="1:16" ht="18" x14ac:dyDescent="0.25">
      <c r="A12" s="188"/>
      <c r="B12" s="116"/>
      <c r="C12" s="116"/>
      <c r="D12" s="116"/>
      <c r="E12" s="116"/>
      <c r="F12" s="116"/>
      <c r="G12" s="116"/>
      <c r="H12" s="116"/>
      <c r="I12" s="116"/>
      <c r="J12" s="115"/>
      <c r="L12" s="129" t="s">
        <v>403</v>
      </c>
      <c r="M12" s="255">
        <f>M7/P7</f>
        <v>0.57192374350086661</v>
      </c>
    </row>
    <row r="13" spans="1:16" ht="18" x14ac:dyDescent="0.25">
      <c r="A13" s="188"/>
      <c r="B13" s="116"/>
      <c r="C13" s="116" t="s">
        <v>402</v>
      </c>
      <c r="D13" s="116"/>
      <c r="E13" s="116"/>
      <c r="F13" s="116"/>
      <c r="G13" s="116"/>
      <c r="H13" s="116"/>
      <c r="I13" s="116"/>
      <c r="J13" s="115"/>
      <c r="L13" s="129" t="s">
        <v>401</v>
      </c>
      <c r="M13" s="255">
        <f>1-M12</f>
        <v>0.42807625649913339</v>
      </c>
    </row>
    <row r="14" spans="1:16" x14ac:dyDescent="0.2">
      <c r="A14" s="188"/>
      <c r="B14" s="119"/>
      <c r="C14" s="116" t="s">
        <v>369</v>
      </c>
      <c r="D14" s="116"/>
      <c r="E14" s="116"/>
      <c r="F14" s="116"/>
      <c r="G14" s="116"/>
      <c r="H14" s="116"/>
      <c r="I14" s="116"/>
      <c r="J14" s="115"/>
      <c r="M14" s="257"/>
    </row>
    <row r="15" spans="1:16" x14ac:dyDescent="0.2">
      <c r="A15" s="188"/>
      <c r="B15" s="119"/>
      <c r="C15" s="116"/>
      <c r="D15" s="116"/>
      <c r="E15" s="116"/>
      <c r="F15" s="116"/>
      <c r="G15" s="116"/>
      <c r="H15" s="116"/>
      <c r="I15" s="116"/>
      <c r="J15" s="115"/>
      <c r="L15" t="s">
        <v>400</v>
      </c>
      <c r="M15" s="257"/>
    </row>
    <row r="16" spans="1:16" ht="19" x14ac:dyDescent="0.2">
      <c r="A16" s="188" t="s">
        <v>0</v>
      </c>
      <c r="B16" s="186" t="s">
        <v>399</v>
      </c>
      <c r="C16" s="116" t="s">
        <v>398</v>
      </c>
      <c r="D16" s="116"/>
      <c r="E16" s="116"/>
      <c r="F16" s="116"/>
      <c r="G16" s="116"/>
      <c r="H16" s="116"/>
      <c r="I16" s="116"/>
      <c r="J16" s="115"/>
      <c r="M16" s="257"/>
    </row>
    <row r="17" spans="1:14" ht="19" x14ac:dyDescent="0.2">
      <c r="A17" s="188"/>
      <c r="B17" s="119"/>
      <c r="C17" s="116"/>
      <c r="D17" s="116"/>
      <c r="E17" s="116"/>
      <c r="F17" s="116"/>
      <c r="G17" s="116"/>
      <c r="H17" s="116"/>
      <c r="I17" s="116"/>
      <c r="J17" s="115"/>
      <c r="L17" s="129" t="s">
        <v>397</v>
      </c>
      <c r="M17" s="205">
        <f>M13/M12*F11</f>
        <v>1646.6666666666663</v>
      </c>
      <c r="N17" s="200" t="s">
        <v>396</v>
      </c>
    </row>
    <row r="18" spans="1:14" ht="20" x14ac:dyDescent="0.25">
      <c r="A18" s="188" t="s">
        <v>1</v>
      </c>
      <c r="B18" s="186" t="s">
        <v>291</v>
      </c>
      <c r="C18" s="116" t="s">
        <v>395</v>
      </c>
      <c r="D18" s="116"/>
      <c r="E18" s="116"/>
      <c r="F18" s="116"/>
      <c r="G18" s="116"/>
      <c r="H18" s="116"/>
      <c r="I18" s="116"/>
      <c r="J18" s="115"/>
      <c r="L18" s="129" t="s">
        <v>394</v>
      </c>
      <c r="M18" s="205">
        <f>M13*E11*P7</f>
        <v>1890.9090909090903</v>
      </c>
      <c r="N18" s="200" t="s">
        <v>393</v>
      </c>
    </row>
    <row r="19" spans="1:14" ht="19" x14ac:dyDescent="0.2">
      <c r="A19" s="188"/>
      <c r="B19" s="119"/>
      <c r="C19" s="116"/>
      <c r="D19" s="116"/>
      <c r="E19" s="116"/>
      <c r="F19" s="116"/>
      <c r="G19" s="116"/>
      <c r="H19" s="116"/>
      <c r="I19" s="116"/>
      <c r="J19" s="115"/>
      <c r="L19" s="129" t="s">
        <v>392</v>
      </c>
      <c r="M19" s="242">
        <f>M12</f>
        <v>0.57192374350086661</v>
      </c>
      <c r="N19" s="200"/>
    </row>
    <row r="20" spans="1:14" ht="21" thickBot="1" x14ac:dyDescent="0.3">
      <c r="A20" s="188" t="s">
        <v>160</v>
      </c>
      <c r="B20" s="186" t="s">
        <v>291</v>
      </c>
      <c r="C20" s="116" t="s">
        <v>391</v>
      </c>
      <c r="D20" s="116"/>
      <c r="E20" s="116"/>
      <c r="F20" s="116"/>
      <c r="G20" s="116"/>
      <c r="H20" s="116"/>
      <c r="I20" s="116"/>
      <c r="J20" s="115"/>
      <c r="L20" s="129"/>
      <c r="M20" s="205"/>
    </row>
    <row r="21" spans="1:14" ht="20" thickBot="1" x14ac:dyDescent="0.25">
      <c r="A21" s="188"/>
      <c r="B21" s="119"/>
      <c r="C21" s="116" t="s">
        <v>390</v>
      </c>
      <c r="D21" s="116"/>
      <c r="E21" s="116"/>
      <c r="F21" s="116"/>
      <c r="G21" s="116"/>
      <c r="H21" s="116"/>
      <c r="I21" s="116"/>
      <c r="J21" s="115"/>
      <c r="L21" s="230" t="s">
        <v>389</v>
      </c>
      <c r="M21" s="229">
        <f>M17*M19+(1-M19)*M18</f>
        <v>1751.2210493146363</v>
      </c>
      <c r="N21" s="193" t="s">
        <v>382</v>
      </c>
    </row>
    <row r="22" spans="1:14" x14ac:dyDescent="0.2">
      <c r="A22" s="188"/>
      <c r="B22" s="119"/>
      <c r="C22" s="116"/>
      <c r="D22" s="116"/>
      <c r="E22" s="116"/>
      <c r="F22" s="116"/>
      <c r="G22" s="116"/>
      <c r="H22" s="116"/>
      <c r="I22" s="116"/>
      <c r="J22" s="115"/>
    </row>
    <row r="23" spans="1:14" x14ac:dyDescent="0.2">
      <c r="A23" s="188" t="s">
        <v>155</v>
      </c>
      <c r="B23" s="186" t="s">
        <v>291</v>
      </c>
      <c r="C23" s="116" t="s">
        <v>388</v>
      </c>
      <c r="D23" s="116"/>
      <c r="E23" s="116"/>
      <c r="F23" s="116"/>
      <c r="G23" s="116"/>
      <c r="H23" s="116"/>
      <c r="I23" s="116"/>
      <c r="J23" s="115"/>
      <c r="L23" s="136" t="s">
        <v>250</v>
      </c>
    </row>
    <row r="24" spans="1:14" x14ac:dyDescent="0.2">
      <c r="A24" s="188"/>
      <c r="B24" s="116"/>
      <c r="C24" s="120" t="s">
        <v>387</v>
      </c>
      <c r="D24" s="116"/>
      <c r="E24" s="116"/>
      <c r="F24" s="116"/>
      <c r="G24" s="116"/>
      <c r="H24" s="116"/>
      <c r="I24" s="116"/>
      <c r="J24" s="115"/>
      <c r="L24" s="136"/>
      <c r="M24" s="256"/>
    </row>
    <row r="25" spans="1:14" ht="19" x14ac:dyDescent="0.2">
      <c r="A25" s="188"/>
      <c r="B25" s="116"/>
      <c r="C25" s="120" t="s">
        <v>386</v>
      </c>
      <c r="D25" s="116"/>
      <c r="E25" s="116"/>
      <c r="F25" s="116"/>
      <c r="G25" s="116"/>
      <c r="H25" s="116"/>
      <c r="I25" s="116"/>
      <c r="J25" s="115"/>
      <c r="L25" s="129" t="s">
        <v>385</v>
      </c>
      <c r="M25" s="255">
        <f>M12/(M12+SQRT(M12))</f>
        <v>0.43060705735299332</v>
      </c>
      <c r="N25" t="s">
        <v>384</v>
      </c>
    </row>
    <row r="26" spans="1:14" ht="17" thickBot="1" x14ac:dyDescent="0.25">
      <c r="A26" s="188"/>
      <c r="B26" s="116"/>
      <c r="C26" s="116"/>
      <c r="D26" s="116"/>
      <c r="E26" s="116"/>
      <c r="F26" s="116"/>
      <c r="G26" s="116"/>
      <c r="H26" s="116"/>
      <c r="I26" s="116"/>
      <c r="J26" s="115"/>
    </row>
    <row r="27" spans="1:14" ht="21" thickBot="1" x14ac:dyDescent="0.3">
      <c r="A27" s="204" t="s">
        <v>76</v>
      </c>
      <c r="B27" s="111"/>
      <c r="C27" s="203"/>
      <c r="D27" s="111"/>
      <c r="E27" s="111"/>
      <c r="F27" s="111"/>
      <c r="G27" s="111"/>
      <c r="H27" s="111"/>
      <c r="I27" s="111"/>
      <c r="J27" s="110"/>
      <c r="L27" s="230" t="s">
        <v>383</v>
      </c>
      <c r="M27" s="229">
        <f>M17*M25+(1-M25)*M18</f>
        <v>1785.7365793252989</v>
      </c>
      <c r="N27" s="193" t="s">
        <v>382</v>
      </c>
    </row>
    <row r="29" spans="1:14" x14ac:dyDescent="0.2">
      <c r="L29" s="136" t="s">
        <v>381</v>
      </c>
    </row>
    <row r="30" spans="1:14" ht="18" x14ac:dyDescent="0.25">
      <c r="L30" t="s">
        <v>380</v>
      </c>
    </row>
    <row r="32" spans="1:14" x14ac:dyDescent="0.2">
      <c r="L32" s="136" t="s">
        <v>379</v>
      </c>
    </row>
    <row r="33" spans="12:18" x14ac:dyDescent="0.2">
      <c r="L33" s="297" t="s">
        <v>378</v>
      </c>
      <c r="M33" s="297"/>
      <c r="N33" s="297"/>
      <c r="O33" s="297"/>
      <c r="P33" s="297"/>
      <c r="Q33" s="297"/>
      <c r="R33" s="297"/>
    </row>
    <row r="34" spans="12:18" x14ac:dyDescent="0.2">
      <c r="L34" s="297"/>
      <c r="M34" s="297"/>
      <c r="N34" s="297"/>
      <c r="O34" s="297"/>
      <c r="P34" s="297"/>
      <c r="Q34" s="297"/>
      <c r="R34" s="297"/>
    </row>
    <row r="35" spans="12:18" x14ac:dyDescent="0.2">
      <c r="L35" s="297"/>
      <c r="M35" s="297"/>
      <c r="N35" s="297"/>
      <c r="O35" s="297"/>
      <c r="P35" s="297"/>
      <c r="Q35" s="297"/>
      <c r="R35" s="297"/>
    </row>
    <row r="38" spans="12:18" ht="19" x14ac:dyDescent="0.25">
      <c r="L38" s="104" t="s">
        <v>93</v>
      </c>
    </row>
    <row r="39" spans="12:18" x14ac:dyDescent="0.2">
      <c r="L39" t="s">
        <v>333</v>
      </c>
    </row>
  </sheetData>
  <mergeCells count="4">
    <mergeCell ref="L33:R35"/>
    <mergeCell ref="D6:D8"/>
    <mergeCell ref="E6:E8"/>
    <mergeCell ref="F6:H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1390F-EF12-E744-A2FF-E423C5418533}">
  <dimension ref="A1:U28"/>
  <sheetViews>
    <sheetView workbookViewId="0">
      <selection activeCell="B1" sqref="B1"/>
    </sheetView>
  </sheetViews>
  <sheetFormatPr baseColWidth="10" defaultColWidth="11" defaultRowHeight="16" outlineLevelCol="1" x14ac:dyDescent="0.2"/>
  <cols>
    <col min="1" max="1" width="4" style="168" customWidth="1"/>
    <col min="2" max="2" width="11.5" customWidth="1"/>
    <col min="3" max="9" width="10.83203125" customWidth="1"/>
    <col min="12" max="14" width="10.83203125" hidden="1" customWidth="1" outlineLevel="1"/>
    <col min="15" max="15" width="10.6640625" hidden="1" customWidth="1" outlineLevel="1"/>
    <col min="16" max="18" width="10.83203125" hidden="1" customWidth="1" outlineLevel="1"/>
    <col min="19" max="20" width="0" hidden="1" customWidth="1" outlineLevel="1"/>
    <col min="21" max="21" width="11" collapsed="1"/>
  </cols>
  <sheetData>
    <row r="1" spans="1:20" x14ac:dyDescent="0.2">
      <c r="A1" s="228"/>
      <c r="B1" s="126" t="s">
        <v>277</v>
      </c>
      <c r="C1" s="125" t="s">
        <v>408</v>
      </c>
      <c r="D1" s="125" t="s">
        <v>275</v>
      </c>
      <c r="E1" s="125" t="s">
        <v>376</v>
      </c>
      <c r="F1" s="124"/>
      <c r="G1" s="124"/>
      <c r="H1" s="124"/>
      <c r="I1" s="124"/>
      <c r="J1" s="123"/>
      <c r="K1" s="136" t="s">
        <v>77</v>
      </c>
      <c r="L1" s="136"/>
    </row>
    <row r="2" spans="1:20" x14ac:dyDescent="0.2">
      <c r="A2" s="188"/>
      <c r="B2" s="227" t="s">
        <v>273</v>
      </c>
      <c r="C2" s="226">
        <v>2.5</v>
      </c>
      <c r="D2" s="116"/>
      <c r="E2" s="116"/>
      <c r="F2" s="116"/>
      <c r="G2" s="116"/>
      <c r="H2" s="116"/>
      <c r="I2" s="116"/>
      <c r="J2" s="115"/>
    </row>
    <row r="3" spans="1:20" x14ac:dyDescent="0.2">
      <c r="A3" s="188"/>
      <c r="B3" s="116"/>
      <c r="C3" s="116"/>
      <c r="D3" s="116"/>
      <c r="E3" s="116"/>
      <c r="F3" s="116"/>
      <c r="G3" s="116"/>
      <c r="H3" s="116"/>
      <c r="I3" s="116"/>
      <c r="J3" s="115"/>
      <c r="L3" s="136" t="s">
        <v>272</v>
      </c>
      <c r="M3" s="258"/>
    </row>
    <row r="4" spans="1:20" x14ac:dyDescent="0.2">
      <c r="A4" s="188"/>
      <c r="B4" s="116"/>
      <c r="C4" s="116" t="s">
        <v>407</v>
      </c>
      <c r="D4" s="116"/>
      <c r="E4" s="116"/>
      <c r="F4" s="116"/>
      <c r="G4" s="116"/>
      <c r="H4" s="116"/>
      <c r="I4" s="116"/>
      <c r="J4" s="115"/>
    </row>
    <row r="5" spans="1:20" x14ac:dyDescent="0.2">
      <c r="A5" s="188"/>
      <c r="B5" s="116"/>
      <c r="C5" s="116"/>
      <c r="D5" s="116"/>
      <c r="E5" s="116"/>
      <c r="F5" s="116"/>
      <c r="G5" s="116"/>
      <c r="H5" s="116"/>
      <c r="I5" s="116"/>
      <c r="J5" s="115"/>
      <c r="L5" t="s">
        <v>406</v>
      </c>
    </row>
    <row r="6" spans="1:20" ht="16" customHeight="1" x14ac:dyDescent="0.2">
      <c r="A6" s="188"/>
      <c r="B6" s="116"/>
      <c r="C6" s="116"/>
      <c r="D6" s="285" t="s">
        <v>373</v>
      </c>
      <c r="E6" s="298" t="s">
        <v>372</v>
      </c>
      <c r="F6" s="292" t="s">
        <v>405</v>
      </c>
      <c r="G6" s="277"/>
      <c r="H6" s="278"/>
      <c r="I6" s="116"/>
      <c r="J6" s="115"/>
    </row>
    <row r="7" spans="1:20" ht="15.75" customHeight="1" x14ac:dyDescent="0.2">
      <c r="A7" s="188"/>
      <c r="B7" s="116"/>
      <c r="C7" s="116"/>
      <c r="D7" s="286"/>
      <c r="E7" s="299"/>
      <c r="F7" s="301"/>
      <c r="G7" s="301"/>
      <c r="H7" s="302"/>
      <c r="I7" s="116"/>
      <c r="J7" s="115"/>
      <c r="L7" s="135"/>
      <c r="M7" s="207">
        <v>12</v>
      </c>
      <c r="N7" s="207">
        <v>24</v>
      </c>
      <c r="O7" s="135">
        <v>36</v>
      </c>
      <c r="P7" s="133" t="s">
        <v>37</v>
      </c>
    </row>
    <row r="8" spans="1:20" x14ac:dyDescent="0.2">
      <c r="A8" s="188"/>
      <c r="B8" s="116"/>
      <c r="C8" s="116"/>
      <c r="D8" s="287"/>
      <c r="E8" s="300"/>
      <c r="F8" s="217">
        <v>12</v>
      </c>
      <c r="G8" s="217">
        <v>24</v>
      </c>
      <c r="H8" s="220">
        <v>36</v>
      </c>
      <c r="I8" s="116"/>
      <c r="J8" s="115"/>
      <c r="L8" s="132" t="s">
        <v>22</v>
      </c>
      <c r="M8" s="130">
        <f>SUM(F9:F11)/SUM($E$9:$E$11)</f>
        <v>0.5</v>
      </c>
      <c r="N8" s="130">
        <f>SUM(G9:G10)/SUM($E$9:$E$10)</f>
        <v>0.3</v>
      </c>
      <c r="O8" s="215">
        <f>SUM(H9)/SUM($E$9)</f>
        <v>0.1</v>
      </c>
      <c r="P8" s="130">
        <f>SUM(M8:O8)</f>
        <v>0.9</v>
      </c>
    </row>
    <row r="9" spans="1:20" x14ac:dyDescent="0.2">
      <c r="A9" s="188"/>
      <c r="B9" s="116"/>
      <c r="C9" s="116"/>
      <c r="D9" s="157">
        <v>2016</v>
      </c>
      <c r="E9" s="151">
        <v>800</v>
      </c>
      <c r="F9" s="153">
        <v>320</v>
      </c>
      <c r="G9" s="152">
        <v>220</v>
      </c>
      <c r="H9" s="151">
        <v>80</v>
      </c>
      <c r="I9" s="116"/>
      <c r="J9" s="115"/>
    </row>
    <row r="10" spans="1:20" x14ac:dyDescent="0.2">
      <c r="A10" s="188"/>
      <c r="B10" s="116"/>
      <c r="C10" s="116"/>
      <c r="D10" s="149">
        <v>2017</v>
      </c>
      <c r="E10" s="146">
        <v>600</v>
      </c>
      <c r="F10" s="148">
        <v>300</v>
      </c>
      <c r="G10" s="147">
        <v>200</v>
      </c>
      <c r="H10" s="146"/>
      <c r="I10" s="116"/>
      <c r="J10" s="115"/>
      <c r="S10" s="284" t="s">
        <v>417</v>
      </c>
      <c r="T10" s="284"/>
    </row>
    <row r="11" spans="1:20" ht="20" x14ac:dyDescent="0.25">
      <c r="A11" s="188"/>
      <c r="B11" s="116"/>
      <c r="C11" s="116"/>
      <c r="D11" s="145">
        <v>2018</v>
      </c>
      <c r="E11" s="142">
        <v>400</v>
      </c>
      <c r="F11" s="144">
        <v>280</v>
      </c>
      <c r="G11" s="143"/>
      <c r="H11" s="142"/>
      <c r="I11" s="116"/>
      <c r="J11" s="115"/>
      <c r="L11" s="135" t="s">
        <v>45</v>
      </c>
      <c r="M11" s="214" t="s">
        <v>39</v>
      </c>
      <c r="N11" s="133" t="s">
        <v>259</v>
      </c>
      <c r="O11" s="133" t="s">
        <v>258</v>
      </c>
      <c r="P11" s="133" t="s">
        <v>42</v>
      </c>
      <c r="Q11" s="133" t="s">
        <v>256</v>
      </c>
      <c r="R11" s="133" t="s">
        <v>255</v>
      </c>
      <c r="S11" s="214" t="s">
        <v>416</v>
      </c>
      <c r="T11" s="133" t="s">
        <v>415</v>
      </c>
    </row>
    <row r="12" spans="1:20" x14ac:dyDescent="0.2">
      <c r="A12" s="188"/>
      <c r="B12" s="116"/>
      <c r="C12" s="116"/>
      <c r="D12" s="116"/>
      <c r="E12" s="116"/>
      <c r="F12" s="116"/>
      <c r="G12" s="116"/>
      <c r="H12" s="116"/>
      <c r="I12" s="116"/>
      <c r="J12" s="115"/>
      <c r="L12" s="132">
        <f t="shared" ref="L12:M14" si="0">D9</f>
        <v>2016</v>
      </c>
      <c r="M12" s="205">
        <f t="shared" si="0"/>
        <v>800</v>
      </c>
      <c r="N12" s="213">
        <f>SUM($M$8:$O$8)/$P$8</f>
        <v>1</v>
      </c>
      <c r="O12" s="212">
        <f>1-N12</f>
        <v>0</v>
      </c>
      <c r="P12" s="205">
        <f>SUM(F9:H9)</f>
        <v>620</v>
      </c>
      <c r="Q12" s="205">
        <f>O12*P12/N12</f>
        <v>0</v>
      </c>
      <c r="R12" s="205">
        <f>M12*$P$8*O12</f>
        <v>0</v>
      </c>
      <c r="S12" s="234">
        <f>N12*$P$8</f>
        <v>0.9</v>
      </c>
      <c r="T12" s="205">
        <f>S12*$Q12+(1-S12)*$R12</f>
        <v>0</v>
      </c>
    </row>
    <row r="13" spans="1:20" x14ac:dyDescent="0.2">
      <c r="A13" s="188"/>
      <c r="B13" s="119"/>
      <c r="C13" s="116" t="s">
        <v>414</v>
      </c>
      <c r="D13" s="116"/>
      <c r="E13" s="116"/>
      <c r="F13" s="116"/>
      <c r="G13" s="116"/>
      <c r="H13" s="116"/>
      <c r="I13" s="116"/>
      <c r="J13" s="115"/>
      <c r="L13" s="132">
        <f t="shared" si="0"/>
        <v>2017</v>
      </c>
      <c r="M13" s="205">
        <f t="shared" si="0"/>
        <v>600</v>
      </c>
      <c r="N13" s="213">
        <f>SUM($M$8:$N$8)/$P$8</f>
        <v>0.88888888888888895</v>
      </c>
      <c r="O13" s="212">
        <f>1-N13</f>
        <v>0.11111111111111105</v>
      </c>
      <c r="P13" s="205">
        <f>SUM(F10:H10)</f>
        <v>500</v>
      </c>
      <c r="Q13" s="205">
        <f>O13*P13/N13</f>
        <v>62.499999999999957</v>
      </c>
      <c r="R13" s="205">
        <f>M13*$P$8*O13</f>
        <v>59.999999999999964</v>
      </c>
      <c r="S13" s="234">
        <f>N13*$P$8</f>
        <v>0.8</v>
      </c>
      <c r="T13" s="205">
        <f>S13*$Q13+(1-S13)*$R13</f>
        <v>61.999999999999964</v>
      </c>
    </row>
    <row r="14" spans="1:20" x14ac:dyDescent="0.2">
      <c r="A14" s="188"/>
      <c r="B14" s="119"/>
      <c r="C14" s="116"/>
      <c r="D14" s="116"/>
      <c r="E14" s="116"/>
      <c r="F14" s="116"/>
      <c r="G14" s="116"/>
      <c r="H14" s="116"/>
      <c r="I14" s="116"/>
      <c r="J14" s="115"/>
      <c r="L14" s="135">
        <f t="shared" si="0"/>
        <v>2018</v>
      </c>
      <c r="M14" s="207">
        <f t="shared" si="0"/>
        <v>400</v>
      </c>
      <c r="N14" s="209">
        <f>SUM($M$8)/$P$8</f>
        <v>0.55555555555555558</v>
      </c>
      <c r="O14" s="208">
        <f>1-N14</f>
        <v>0.44444444444444442</v>
      </c>
      <c r="P14" s="207">
        <f>SUM(F11:H11)</f>
        <v>280</v>
      </c>
      <c r="Q14" s="207">
        <f>O14*P14/N14</f>
        <v>224</v>
      </c>
      <c r="R14" s="207">
        <f>M14*$P$8*O14</f>
        <v>160</v>
      </c>
      <c r="S14" s="233">
        <f>N14*$P$8</f>
        <v>0.5</v>
      </c>
      <c r="T14" s="207">
        <f>S14*$Q14+(1-S14)*$R14</f>
        <v>192</v>
      </c>
    </row>
    <row r="15" spans="1:20" x14ac:dyDescent="0.2">
      <c r="A15" s="188" t="s">
        <v>0</v>
      </c>
      <c r="B15" s="186" t="s">
        <v>261</v>
      </c>
      <c r="C15" s="116" t="s">
        <v>413</v>
      </c>
      <c r="D15" s="116"/>
      <c r="E15" s="116"/>
      <c r="F15" s="116"/>
      <c r="G15" s="116"/>
      <c r="H15" s="116"/>
      <c r="I15" s="116"/>
      <c r="J15" s="115"/>
      <c r="L15" s="132" t="s">
        <v>73</v>
      </c>
      <c r="M15" s="129"/>
      <c r="N15" s="129"/>
      <c r="O15" s="129"/>
      <c r="P15" s="205">
        <f>SUM(P12:P14)</f>
        <v>1400</v>
      </c>
      <c r="Q15" s="205">
        <f>SUM(Q12:Q14)</f>
        <v>286.49999999999994</v>
      </c>
      <c r="R15" s="232">
        <f>SUM(R12:R14)</f>
        <v>219.99999999999997</v>
      </c>
      <c r="S15" s="205"/>
      <c r="T15" s="205">
        <f>SUM(T12:T14)</f>
        <v>253.99999999999997</v>
      </c>
    </row>
    <row r="16" spans="1:20" x14ac:dyDescent="0.2">
      <c r="A16" s="188"/>
      <c r="B16" s="119"/>
      <c r="C16" s="116"/>
      <c r="D16" s="116"/>
      <c r="E16" s="116"/>
      <c r="F16" s="116"/>
      <c r="G16" s="116"/>
      <c r="H16" s="116"/>
      <c r="I16" s="116"/>
      <c r="J16" s="115"/>
    </row>
    <row r="17" spans="1:18" ht="17" thickBot="1" x14ac:dyDescent="0.25">
      <c r="A17" s="188" t="s">
        <v>1</v>
      </c>
      <c r="B17" s="186" t="s">
        <v>291</v>
      </c>
      <c r="C17" s="116" t="s">
        <v>412</v>
      </c>
      <c r="D17" s="116"/>
      <c r="E17" s="116"/>
      <c r="F17" s="116"/>
      <c r="G17" s="116"/>
      <c r="H17" s="116"/>
      <c r="I17" s="116"/>
      <c r="J17" s="115"/>
      <c r="M17" s="103"/>
    </row>
    <row r="18" spans="1:18" ht="17" thickBot="1" x14ac:dyDescent="0.25">
      <c r="A18" s="188"/>
      <c r="B18" s="119"/>
      <c r="C18" s="116"/>
      <c r="D18" s="116"/>
      <c r="E18" s="116"/>
      <c r="F18" s="116"/>
      <c r="G18" s="116"/>
      <c r="H18" s="116"/>
      <c r="I18" s="116"/>
      <c r="J18" s="115"/>
      <c r="L18" s="109" t="s">
        <v>411</v>
      </c>
      <c r="M18" s="259"/>
      <c r="N18" s="229">
        <f>T15</f>
        <v>253.99999999999997</v>
      </c>
      <c r="O18" t="s">
        <v>410</v>
      </c>
    </row>
    <row r="19" spans="1:18" ht="17" thickBot="1" x14ac:dyDescent="0.25">
      <c r="A19" s="204" t="s">
        <v>76</v>
      </c>
      <c r="B19" s="111"/>
      <c r="C19" s="203"/>
      <c r="D19" s="111"/>
      <c r="E19" s="111"/>
      <c r="F19" s="111"/>
      <c r="G19" s="111"/>
      <c r="H19" s="111"/>
      <c r="I19" s="111"/>
      <c r="J19" s="110"/>
    </row>
    <row r="21" spans="1:18" x14ac:dyDescent="0.2">
      <c r="L21" s="136" t="s">
        <v>250</v>
      </c>
    </row>
    <row r="22" spans="1:18" x14ac:dyDescent="0.2">
      <c r="L22" s="297" t="s">
        <v>409</v>
      </c>
      <c r="M22" s="297"/>
      <c r="N22" s="297"/>
      <c r="O22" s="297"/>
      <c r="P22" s="297"/>
      <c r="Q22" s="297"/>
      <c r="R22" s="297"/>
    </row>
    <row r="23" spans="1:18" x14ac:dyDescent="0.2">
      <c r="L23" s="297"/>
      <c r="M23" s="297"/>
      <c r="N23" s="297"/>
      <c r="O23" s="297"/>
      <c r="P23" s="297"/>
      <c r="Q23" s="297"/>
      <c r="R23" s="297"/>
    </row>
    <row r="24" spans="1:18" x14ac:dyDescent="0.2">
      <c r="L24" s="297"/>
      <c r="M24" s="297"/>
      <c r="N24" s="297"/>
      <c r="O24" s="297"/>
      <c r="P24" s="297"/>
      <c r="Q24" s="297"/>
      <c r="R24" s="297"/>
    </row>
    <row r="27" spans="1:18" ht="19" x14ac:dyDescent="0.25">
      <c r="L27" s="104" t="s">
        <v>93</v>
      </c>
    </row>
    <row r="28" spans="1:18" x14ac:dyDescent="0.2">
      <c r="L28" t="s">
        <v>333</v>
      </c>
    </row>
  </sheetData>
  <mergeCells count="5">
    <mergeCell ref="S10:T10"/>
    <mergeCell ref="L22:R24"/>
    <mergeCell ref="D6:D8"/>
    <mergeCell ref="E6:E8"/>
    <mergeCell ref="F6:H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351C-C7E9-984C-A234-989387C5BB08}">
  <dimension ref="A1:T51"/>
  <sheetViews>
    <sheetView workbookViewId="0"/>
  </sheetViews>
  <sheetFormatPr baseColWidth="10" defaultColWidth="10.83203125" defaultRowHeight="16" outlineLevelCol="1" x14ac:dyDescent="0.2"/>
  <cols>
    <col min="1" max="1" width="4.5" style="168" customWidth="1"/>
    <col min="2" max="2" width="10.83203125" style="168"/>
    <col min="3" max="3" width="13.83203125" style="168" bestFit="1" customWidth="1"/>
    <col min="4" max="7" width="10.83203125" style="168"/>
    <col min="8" max="11" width="11.5" style="168" customWidth="1"/>
    <col min="12" max="12" width="12" style="168" bestFit="1" customWidth="1"/>
    <col min="13" max="19" width="10.83203125" style="168" hidden="1" customWidth="1" outlineLevel="1"/>
    <col min="20" max="20" width="10.83203125" style="168" collapsed="1"/>
    <col min="21" max="16384" width="10.83203125" style="168"/>
  </cols>
  <sheetData>
    <row r="1" spans="1:19" ht="19" x14ac:dyDescent="0.25">
      <c r="A1" s="127" t="s">
        <v>246</v>
      </c>
      <c r="B1" s="126"/>
      <c r="C1" s="125"/>
      <c r="D1" s="125"/>
      <c r="E1" s="125"/>
      <c r="F1" s="197"/>
      <c r="G1" s="197"/>
      <c r="H1" s="197"/>
      <c r="I1" s="197"/>
      <c r="J1" s="196"/>
      <c r="L1" s="104" t="s">
        <v>245</v>
      </c>
    </row>
    <row r="2" spans="1:19" x14ac:dyDescent="0.2">
      <c r="A2" s="188"/>
      <c r="B2" s="186"/>
      <c r="C2" s="186"/>
      <c r="D2" s="186"/>
      <c r="E2" s="186"/>
      <c r="F2" s="186"/>
      <c r="G2" s="186"/>
      <c r="H2" s="186"/>
      <c r="I2" s="186"/>
      <c r="J2" s="185"/>
    </row>
    <row r="3" spans="1:19" x14ac:dyDescent="0.2">
      <c r="A3" s="188"/>
      <c r="B3" s="189" t="s">
        <v>244</v>
      </c>
      <c r="C3" s="186"/>
      <c r="D3" s="186"/>
      <c r="E3" s="186"/>
      <c r="F3" s="186"/>
      <c r="G3" s="186"/>
      <c r="H3" s="186"/>
      <c r="I3" s="186"/>
      <c r="J3" s="185"/>
      <c r="M3" s="184" t="s">
        <v>244</v>
      </c>
    </row>
    <row r="4" spans="1:19" x14ac:dyDescent="0.2">
      <c r="A4" s="188"/>
      <c r="B4" s="119"/>
      <c r="C4" s="186"/>
      <c r="D4" s="186"/>
      <c r="E4" s="186"/>
      <c r="F4" s="186"/>
      <c r="G4" s="186"/>
      <c r="H4" s="186"/>
      <c r="I4" s="186"/>
      <c r="J4" s="185"/>
      <c r="M4" s="193"/>
    </row>
    <row r="5" spans="1:19" x14ac:dyDescent="0.2">
      <c r="A5" s="188"/>
      <c r="B5" s="195" t="s">
        <v>0</v>
      </c>
      <c r="C5" s="186"/>
      <c r="D5" s="186"/>
      <c r="E5" s="186"/>
      <c r="F5" s="186"/>
      <c r="G5" s="186"/>
      <c r="H5" s="186"/>
      <c r="I5" s="186"/>
      <c r="J5" s="185"/>
      <c r="M5" s="179" t="s">
        <v>176</v>
      </c>
    </row>
    <row r="6" spans="1:19" x14ac:dyDescent="0.2">
      <c r="A6" s="188"/>
      <c r="B6" s="186" t="s">
        <v>243</v>
      </c>
      <c r="C6" s="186"/>
      <c r="D6" s="186"/>
      <c r="E6" s="186"/>
      <c r="F6" s="186"/>
      <c r="G6" s="186"/>
      <c r="H6" s="186"/>
      <c r="I6" s="186"/>
      <c r="J6" s="185"/>
      <c r="M6" s="194"/>
    </row>
    <row r="7" spans="1:19" x14ac:dyDescent="0.2">
      <c r="A7" s="188"/>
      <c r="B7" s="119"/>
      <c r="C7" s="186"/>
      <c r="D7" s="186"/>
      <c r="E7" s="186"/>
      <c r="F7" s="186"/>
      <c r="G7" s="186"/>
      <c r="H7" s="186"/>
      <c r="I7" s="186"/>
      <c r="J7" s="185"/>
      <c r="M7" s="193" t="s">
        <v>242</v>
      </c>
    </row>
    <row r="8" spans="1:19" x14ac:dyDescent="0.2">
      <c r="A8" s="188"/>
      <c r="B8" s="186" t="s">
        <v>1</v>
      </c>
      <c r="C8" s="186"/>
      <c r="D8" s="186"/>
      <c r="E8" s="186"/>
      <c r="F8" s="186"/>
      <c r="G8" s="186"/>
      <c r="H8" s="186"/>
      <c r="I8" s="186"/>
      <c r="J8" s="185"/>
      <c r="M8" s="193" t="s">
        <v>241</v>
      </c>
    </row>
    <row r="9" spans="1:19" x14ac:dyDescent="0.2">
      <c r="A9" s="188"/>
      <c r="B9" s="186" t="s">
        <v>240</v>
      </c>
      <c r="C9" s="186"/>
      <c r="D9" s="186"/>
      <c r="E9" s="186"/>
      <c r="F9" s="186"/>
      <c r="G9" s="186"/>
      <c r="H9" s="186"/>
      <c r="I9" s="186"/>
      <c r="J9" s="185"/>
    </row>
    <row r="10" spans="1:19" x14ac:dyDescent="0.2">
      <c r="A10" s="188"/>
      <c r="B10" s="186"/>
      <c r="C10" s="186"/>
      <c r="D10" s="186"/>
      <c r="E10" s="186"/>
      <c r="F10" s="186"/>
      <c r="G10" s="186"/>
      <c r="H10" s="186"/>
      <c r="I10" s="186"/>
      <c r="J10" s="185"/>
      <c r="M10" s="179" t="s">
        <v>148</v>
      </c>
    </row>
    <row r="11" spans="1:19" x14ac:dyDescent="0.2">
      <c r="A11" s="188"/>
      <c r="B11" s="189" t="s">
        <v>236</v>
      </c>
      <c r="C11" s="186"/>
      <c r="D11" s="186"/>
      <c r="E11" s="192"/>
      <c r="F11" s="191"/>
      <c r="G11" s="186"/>
      <c r="H11" s="186"/>
      <c r="I11" s="186"/>
      <c r="J11" s="185"/>
      <c r="M11" s="190"/>
    </row>
    <row r="12" spans="1:19" x14ac:dyDescent="0.2">
      <c r="A12" s="188"/>
      <c r="B12" s="186"/>
      <c r="C12" s="186"/>
      <c r="D12" s="186"/>
      <c r="E12" s="192"/>
      <c r="F12" s="191"/>
      <c r="G12" s="186"/>
      <c r="H12" s="186"/>
      <c r="I12" s="186"/>
      <c r="J12" s="185"/>
      <c r="M12" s="297" t="s">
        <v>238</v>
      </c>
      <c r="N12" s="297"/>
      <c r="O12" s="297"/>
      <c r="P12" s="297"/>
      <c r="Q12" s="297"/>
      <c r="R12" s="297"/>
      <c r="S12" s="297"/>
    </row>
    <row r="13" spans="1:19" x14ac:dyDescent="0.2">
      <c r="A13" s="188"/>
      <c r="B13" s="304" t="s">
        <v>239</v>
      </c>
      <c r="C13" s="304"/>
      <c r="D13" s="304"/>
      <c r="E13" s="304"/>
      <c r="F13" s="304"/>
      <c r="G13" s="304"/>
      <c r="H13" s="304"/>
      <c r="I13" s="186"/>
      <c r="J13" s="185"/>
      <c r="M13" s="297"/>
      <c r="N13" s="297"/>
      <c r="O13" s="297"/>
      <c r="P13" s="297"/>
      <c r="Q13" s="297"/>
      <c r="R13" s="297"/>
      <c r="S13" s="297"/>
    </row>
    <row r="14" spans="1:19" x14ac:dyDescent="0.2">
      <c r="A14" s="188"/>
      <c r="B14" s="304"/>
      <c r="C14" s="304"/>
      <c r="D14" s="304"/>
      <c r="E14" s="304"/>
      <c r="F14" s="304"/>
      <c r="G14" s="304"/>
      <c r="H14" s="304"/>
      <c r="I14" s="186"/>
      <c r="J14" s="185"/>
      <c r="M14" s="297"/>
      <c r="N14" s="297"/>
      <c r="O14" s="297"/>
      <c r="P14" s="297"/>
      <c r="Q14" s="297"/>
      <c r="R14" s="297"/>
      <c r="S14" s="297"/>
    </row>
    <row r="15" spans="1:19" x14ac:dyDescent="0.2">
      <c r="A15" s="188"/>
      <c r="B15" s="186"/>
      <c r="C15" s="186"/>
      <c r="D15" s="186"/>
      <c r="E15" s="186"/>
      <c r="F15" s="186"/>
      <c r="G15" s="186"/>
      <c r="H15" s="186"/>
      <c r="I15" s="186"/>
      <c r="J15" s="185"/>
    </row>
    <row r="16" spans="1:19" x14ac:dyDescent="0.2">
      <c r="A16" s="188"/>
      <c r="B16" s="189" t="s">
        <v>234</v>
      </c>
      <c r="C16" s="186"/>
      <c r="D16" s="186"/>
      <c r="E16" s="186"/>
      <c r="F16" s="186"/>
      <c r="G16" s="186"/>
      <c r="H16" s="186"/>
      <c r="I16" s="186"/>
      <c r="J16" s="185"/>
      <c r="M16" s="184" t="s">
        <v>236</v>
      </c>
    </row>
    <row r="17" spans="1:19" x14ac:dyDescent="0.2">
      <c r="A17" s="188"/>
      <c r="B17" s="186"/>
      <c r="C17" s="186"/>
      <c r="D17" s="186"/>
      <c r="E17" s="186"/>
      <c r="F17" s="186"/>
      <c r="G17" s="186"/>
      <c r="H17" s="186"/>
      <c r="I17" s="186"/>
      <c r="J17" s="185"/>
    </row>
    <row r="18" spans="1:19" x14ac:dyDescent="0.2">
      <c r="A18" s="188"/>
      <c r="B18" s="187" t="s">
        <v>237</v>
      </c>
      <c r="C18" s="186"/>
      <c r="D18" s="186"/>
      <c r="E18" s="186"/>
      <c r="F18" s="186"/>
      <c r="G18" s="186"/>
      <c r="H18" s="186"/>
      <c r="I18" s="186"/>
      <c r="J18" s="185"/>
      <c r="M18" s="297" t="s">
        <v>235</v>
      </c>
      <c r="N18" s="297"/>
      <c r="O18" s="297"/>
      <c r="P18" s="297"/>
      <c r="Q18" s="297"/>
      <c r="R18" s="297"/>
      <c r="S18" s="297"/>
    </row>
    <row r="19" spans="1:19" ht="17" thickBot="1" x14ac:dyDescent="0.25">
      <c r="A19" s="183"/>
      <c r="B19" s="182"/>
      <c r="C19" s="182"/>
      <c r="D19" s="182"/>
      <c r="E19" s="182"/>
      <c r="F19" s="182"/>
      <c r="G19" s="182"/>
      <c r="H19" s="182"/>
      <c r="I19" s="182"/>
      <c r="J19" s="181"/>
      <c r="M19" s="297"/>
      <c r="N19" s="297"/>
      <c r="O19" s="297"/>
      <c r="P19" s="297"/>
      <c r="Q19" s="297"/>
      <c r="R19" s="297"/>
      <c r="S19" s="297"/>
    </row>
    <row r="21" spans="1:19" x14ac:dyDescent="0.2">
      <c r="M21" s="180" t="s">
        <v>234</v>
      </c>
    </row>
    <row r="23" spans="1:19" x14ac:dyDescent="0.2">
      <c r="M23" s="276" t="s">
        <v>233</v>
      </c>
      <c r="N23" s="276"/>
      <c r="O23" s="276"/>
      <c r="P23" s="276"/>
      <c r="Q23" s="276"/>
      <c r="R23" s="276"/>
      <c r="S23" s="276"/>
    </row>
    <row r="24" spans="1:19" x14ac:dyDescent="0.2">
      <c r="M24" s="276"/>
      <c r="N24" s="276"/>
      <c r="O24" s="276"/>
      <c r="P24" s="276"/>
      <c r="Q24" s="276"/>
      <c r="R24" s="276"/>
      <c r="S24" s="276"/>
    </row>
    <row r="26" spans="1:19" x14ac:dyDescent="0.2">
      <c r="M26" s="303" t="s">
        <v>232</v>
      </c>
      <c r="N26" s="303"/>
      <c r="O26" s="303"/>
      <c r="P26" s="303"/>
      <c r="Q26" s="303"/>
      <c r="R26" s="303"/>
      <c r="S26" s="303"/>
    </row>
    <row r="27" spans="1:19" x14ac:dyDescent="0.2">
      <c r="M27" s="303"/>
      <c r="N27" s="303"/>
      <c r="O27" s="303"/>
      <c r="P27" s="303"/>
      <c r="Q27" s="303"/>
      <c r="R27" s="303"/>
      <c r="S27" s="303"/>
    </row>
    <row r="28" spans="1:19" x14ac:dyDescent="0.2">
      <c r="M28" s="303"/>
      <c r="N28" s="303"/>
      <c r="O28" s="303"/>
      <c r="P28" s="303"/>
      <c r="Q28" s="303"/>
      <c r="R28" s="303"/>
      <c r="S28" s="303"/>
    </row>
    <row r="29" spans="1:19" x14ac:dyDescent="0.2">
      <c r="M29" s="303"/>
      <c r="N29" s="303"/>
      <c r="O29" s="303"/>
      <c r="P29" s="303"/>
      <c r="Q29" s="303"/>
      <c r="R29" s="303"/>
      <c r="S29" s="303"/>
    </row>
    <row r="30" spans="1:19" x14ac:dyDescent="0.2">
      <c r="M30" s="178"/>
    </row>
    <row r="35" spans="13:13" x14ac:dyDescent="0.2">
      <c r="M35" s="178"/>
    </row>
    <row r="38" spans="13:13" x14ac:dyDescent="0.2">
      <c r="M38" s="178"/>
    </row>
    <row r="44" spans="13:13" x14ac:dyDescent="0.2">
      <c r="M44" s="179"/>
    </row>
    <row r="46" spans="13:13" x14ac:dyDescent="0.2">
      <c r="M46" s="178"/>
    </row>
    <row r="49" spans="13:13" x14ac:dyDescent="0.2">
      <c r="M49" s="179"/>
    </row>
    <row r="51" spans="13:13" x14ac:dyDescent="0.2">
      <c r="M51" s="178"/>
    </row>
  </sheetData>
  <mergeCells count="5">
    <mergeCell ref="M26:S29"/>
    <mergeCell ref="B13:H14"/>
    <mergeCell ref="M12:S14"/>
    <mergeCell ref="M18:S19"/>
    <mergeCell ref="M23:S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Q #1</vt:lpstr>
      <vt:lpstr>Q #2</vt:lpstr>
      <vt:lpstr>Q #3</vt:lpstr>
      <vt:lpstr>Q #4</vt:lpstr>
      <vt:lpstr>Q #5</vt:lpstr>
      <vt:lpstr>Q #6</vt:lpstr>
      <vt:lpstr>Q #7</vt:lpstr>
      <vt:lpstr>Q #8</vt:lpstr>
      <vt:lpstr>Q #9</vt:lpstr>
      <vt:lpstr>Q #10</vt:lpstr>
      <vt:lpstr>2013 #2</vt:lpstr>
      <vt:lpstr>2015 #1</vt:lpstr>
      <vt:lpstr>2016 #1</vt:lpstr>
      <vt:lpstr>2017 #1</vt:lpstr>
      <vt:lpstr>2018 #3</vt:lpstr>
      <vt:lpstr>2019 #2</vt:lpstr>
      <vt:lpstr>2019 #3</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2026-09-21T00:50:22Z</dcterms:modified>
</cp:coreProperties>
</file>