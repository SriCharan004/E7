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C7E75CF7-A4D5-4240-8887-C6FB8CFED478}" xr6:coauthVersionLast="47" xr6:coauthVersionMax="47" xr10:uidLastSave="{00000000-0000-0000-0000-000000000000}"/>
  <bookViews>
    <workbookView xWindow="3420" yWindow="660" windowWidth="30240" windowHeight="18980" xr2:uid="{B2F629C4-F532-0048-94B5-6129BC4B4200}"/>
  </bookViews>
  <sheets>
    <sheet name="Overview" sheetId="11" r:id="rId1"/>
    <sheet name="Q #1" sheetId="1" r:id="rId2"/>
    <sheet name="Q #2" sheetId="2" r:id="rId3"/>
    <sheet name="Q #3" sheetId="3" r:id="rId4"/>
    <sheet name="Q #4" sheetId="4" r:id="rId5"/>
    <sheet name="Q #5" sheetId="5" r:id="rId6"/>
    <sheet name="Q #6" sheetId="6" r:id="rId7"/>
    <sheet name="Q #7" sheetId="7" r:id="rId8"/>
    <sheet name="Q #8" sheetId="8" r:id="rId9"/>
    <sheet name="Q #9" sheetId="9" r:id="rId10"/>
    <sheet name="Q #10" sheetId="10" r:id="rId11"/>
    <sheet name="Q #11" sheetId="12" r:id="rId12"/>
    <sheet name="Q #12" sheetId="13" r:id="rId13"/>
    <sheet name="Q #13" sheetId="14" r:id="rId14"/>
    <sheet name="Q #14" sheetId="15" r:id="rId15"/>
    <sheet name="Q #15" sheetId="16" r:id="rId16"/>
    <sheet name="Q #16" sheetId="17" r:id="rId17"/>
    <sheet name="Q #17" sheetId="18" r:id="rId18"/>
    <sheet name="Q #18" sheetId="19" r:id="rId19"/>
    <sheet name="Q #19" sheetId="20" r:id="rId20"/>
    <sheet name="2013 #7" sheetId="23" r:id="rId21"/>
    <sheet name="2014 #7" sheetId="24" r:id="rId22"/>
    <sheet name="2014 #9" sheetId="25" r:id="rId23"/>
    <sheet name="2015 #10" sheetId="26" r:id="rId24"/>
    <sheet name="2015 #11" sheetId="27" r:id="rId25"/>
    <sheet name="2016 #12" sheetId="28" r:id="rId26"/>
    <sheet name="2016 #13" sheetId="29" r:id="rId27"/>
    <sheet name="2016 #14" sheetId="30" r:id="rId28"/>
    <sheet name="2017 #10" sheetId="31" r:id="rId29"/>
    <sheet name="2017 #12" sheetId="32" r:id="rId30"/>
    <sheet name="2018 #1" sheetId="33" r:id="rId31"/>
    <sheet name="2018 #11" sheetId="34" r:id="rId32"/>
    <sheet name="2018 #13" sheetId="35" r:id="rId33"/>
    <sheet name="2019 #10" sheetId="36" r:id="rId34"/>
    <sheet name="Essay Problems" sheetId="21" r:id="rId35"/>
  </sheets>
  <externalReferences>
    <externalReference r:id="rId36"/>
  </externalReferences>
  <definedNames>
    <definedName name="DesignMatrix">[1]Data!$B$39:$F$44</definedName>
    <definedName name="WeightMatrix">'Q #3'!$A$2:$F$7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16" i="35" l="1"/>
  <c r="U15" i="35"/>
  <c r="O15" i="35"/>
  <c r="T22" i="35" l="1"/>
  <c r="T17" i="35"/>
  <c r="T24" i="35" s="1"/>
  <c r="T16" i="35"/>
  <c r="V15" i="35"/>
  <c r="U22" i="35"/>
  <c r="T15" i="35"/>
  <c r="U23" i="35"/>
  <c r="T23" i="35"/>
  <c r="V22" i="35"/>
  <c r="P23" i="30"/>
  <c r="O23" i="30"/>
  <c r="M16" i="30"/>
  <c r="M15" i="30"/>
  <c r="M9" i="30"/>
  <c r="P11" i="36" l="1"/>
  <c r="P12" i="36"/>
  <c r="O17" i="36"/>
  <c r="P24" i="36" s="1"/>
  <c r="P40" i="36" s="1"/>
  <c r="P17" i="36"/>
  <c r="Q17" i="36"/>
  <c r="O25" i="36" s="1"/>
  <c r="O41" i="36" s="1"/>
  <c r="O48" i="36" s="1"/>
  <c r="O18" i="36"/>
  <c r="O24" i="36" s="1"/>
  <c r="O40" i="36" s="1"/>
  <c r="O47" i="36" s="1"/>
  <c r="P47" i="36" s="1"/>
  <c r="P18" i="36"/>
  <c r="P25" i="36" s="1"/>
  <c r="P41" i="36" s="1"/>
  <c r="O19" i="36"/>
  <c r="O26" i="36"/>
  <c r="O42" i="36" s="1"/>
  <c r="O49" i="36" s="1"/>
  <c r="O31" i="36"/>
  <c r="P31" i="36"/>
  <c r="Q31" i="36"/>
  <c r="O32" i="36"/>
  <c r="P32" i="36"/>
  <c r="O33" i="36"/>
  <c r="R55" i="36"/>
  <c r="O58" i="36"/>
  <c r="P58" i="36"/>
  <c r="Q58" i="36"/>
  <c r="Q59" i="36"/>
  <c r="P64" i="36" s="1"/>
  <c r="O64" i="36"/>
  <c r="Q64" i="36" s="1"/>
  <c r="O65" i="36"/>
  <c r="O66" i="36"/>
  <c r="R72" i="36"/>
  <c r="O81" i="36" s="1"/>
  <c r="Q81" i="36" s="1"/>
  <c r="Q75" i="36"/>
  <c r="Q76" i="36"/>
  <c r="P81" i="36" s="1"/>
  <c r="O82" i="36"/>
  <c r="O83" i="36"/>
  <c r="P15" i="35"/>
  <c r="Q15" i="35"/>
  <c r="Q22" i="35" s="1"/>
  <c r="O16" i="35"/>
  <c r="O23" i="35" s="1"/>
  <c r="P16" i="35"/>
  <c r="P23" i="35" s="1"/>
  <c r="O17" i="35"/>
  <c r="O24" i="35" s="1"/>
  <c r="O22" i="35"/>
  <c r="P22" i="35"/>
  <c r="O28" i="35"/>
  <c r="O29" i="35"/>
  <c r="O30" i="35"/>
  <c r="O31" i="35"/>
  <c r="O32" i="35"/>
  <c r="O33" i="35"/>
  <c r="O7" i="33"/>
  <c r="P7" i="33"/>
  <c r="Q7" i="33"/>
  <c r="O8" i="33"/>
  <c r="P8" i="33"/>
  <c r="O9" i="33"/>
  <c r="R14" i="33" s="1"/>
  <c r="O24" i="33" s="1"/>
  <c r="O11" i="33"/>
  <c r="O12" i="33"/>
  <c r="O22" i="33"/>
  <c r="M10" i="30"/>
  <c r="M24" i="30"/>
  <c r="P24" i="30" s="1"/>
  <c r="M17" i="30"/>
  <c r="M23" i="30"/>
  <c r="N23" i="30"/>
  <c r="N24" i="30"/>
  <c r="O24" i="30"/>
  <c r="M25" i="30"/>
  <c r="P25" i="30" s="1"/>
  <c r="N25" i="30"/>
  <c r="O25" i="30"/>
  <c r="N22" i="28"/>
  <c r="N23" i="28"/>
  <c r="N24" i="28"/>
  <c r="N25" i="28"/>
  <c r="M7" i="23"/>
  <c r="N7" i="23"/>
  <c r="O7" i="23"/>
  <c r="M8" i="23"/>
  <c r="N8" i="23"/>
  <c r="M9" i="23"/>
  <c r="M14" i="23"/>
  <c r="N14" i="23"/>
  <c r="O14" i="23"/>
  <c r="M15" i="23"/>
  <c r="N15" i="23"/>
  <c r="M16" i="23"/>
  <c r="P48" i="36" l="1"/>
  <c r="O75" i="36" s="1"/>
  <c r="P59" i="36"/>
  <c r="Q24" i="36"/>
  <c r="Q40" i="36" s="1"/>
  <c r="Q47" i="36" s="1"/>
  <c r="P75" i="36" s="1"/>
  <c r="P76" i="36" s="1"/>
  <c r="P82" i="36" s="1"/>
  <c r="Q82" i="36" s="1"/>
  <c r="M25" i="23"/>
  <c r="O76" i="36" l="1"/>
  <c r="P83" i="36" s="1"/>
  <c r="Q83" i="36" s="1"/>
  <c r="Q84" i="36" s="1"/>
  <c r="P65" i="36"/>
  <c r="Q65" i="36" s="1"/>
  <c r="Q67" i="36" s="1"/>
  <c r="O59" i="36"/>
  <c r="P66" i="36" s="1"/>
  <c r="Q66" i="36" s="1"/>
  <c r="M31" i="23"/>
  <c r="M37" i="23" s="1"/>
  <c r="O29" i="23"/>
  <c r="O35" i="23" s="1"/>
  <c r="M30" i="23"/>
  <c r="M36" i="23" s="1"/>
  <c r="N30" i="23"/>
  <c r="N36" i="23" s="1"/>
  <c r="M29" i="23"/>
  <c r="M35" i="23" s="1"/>
  <c r="N29" i="23"/>
  <c r="N35" i="23" s="1"/>
  <c r="N10" i="18" l="1"/>
  <c r="N11" i="18"/>
  <c r="N16" i="18" s="1"/>
  <c r="N50" i="18" s="1"/>
  <c r="N21" i="18"/>
  <c r="N23" i="18"/>
  <c r="N33" i="18" s="1"/>
  <c r="N38" i="18" s="1"/>
  <c r="N27" i="18"/>
  <c r="N28" i="18"/>
  <c r="N3" i="17"/>
  <c r="N8" i="17" s="1"/>
  <c r="N4" i="17"/>
  <c r="N5" i="17"/>
  <c r="N6" i="17"/>
  <c r="N6" i="16"/>
  <c r="N9" i="16" s="1"/>
  <c r="N7" i="16"/>
  <c r="N8" i="16"/>
  <c r="N7" i="15"/>
  <c r="O7" i="15"/>
  <c r="P7" i="15"/>
  <c r="Q7" i="15"/>
  <c r="N8" i="15"/>
  <c r="O8" i="15"/>
  <c r="P8" i="15"/>
  <c r="N9" i="15"/>
  <c r="O9" i="15"/>
  <c r="N10" i="15"/>
  <c r="N16" i="15"/>
  <c r="N17" i="15"/>
  <c r="N18" i="15"/>
  <c r="O24" i="15"/>
  <c r="N24" i="15" s="1"/>
  <c r="P24" i="15"/>
  <c r="Q24" i="15"/>
  <c r="P25" i="15"/>
  <c r="O25" i="15" s="1"/>
  <c r="N25" i="15" s="1"/>
  <c r="O26" i="15"/>
  <c r="N26" i="15" s="1"/>
  <c r="N27" i="15"/>
  <c r="N33" i="15"/>
  <c r="N43" i="15" s="1"/>
  <c r="N34" i="15"/>
  <c r="N35" i="15"/>
  <c r="Q41" i="15"/>
  <c r="P41" i="15" s="1"/>
  <c r="O41" i="15" s="1"/>
  <c r="N41" i="15" s="1"/>
  <c r="N42" i="15"/>
  <c r="O42" i="15"/>
  <c r="P42" i="15"/>
  <c r="O43" i="15"/>
  <c r="N44" i="15"/>
  <c r="N50" i="15"/>
  <c r="N51" i="15"/>
  <c r="N52" i="15"/>
  <c r="P58" i="15" s="1"/>
  <c r="O58" i="15" s="1"/>
  <c r="N58" i="15" s="1"/>
  <c r="Q58" i="15"/>
  <c r="P59" i="15"/>
  <c r="O59" i="15" s="1"/>
  <c r="N59" i="15" s="1"/>
  <c r="N60" i="15"/>
  <c r="O60" i="15"/>
  <c r="N61" i="15"/>
  <c r="N16" i="14"/>
  <c r="P16" i="14"/>
  <c r="N17" i="14"/>
  <c r="O17" i="14"/>
  <c r="N18" i="14"/>
  <c r="N30" i="14"/>
  <c r="O30" i="14"/>
  <c r="N34" i="14" s="1"/>
  <c r="N31" i="14"/>
  <c r="O31" i="14"/>
  <c r="N32" i="14"/>
  <c r="O42" i="14"/>
  <c r="N43" i="14"/>
  <c r="N50" i="14" s="1"/>
  <c r="N7" i="13"/>
  <c r="N9" i="13"/>
  <c r="N13" i="13"/>
  <c r="N10" i="12"/>
  <c r="O10" i="12"/>
  <c r="P10" i="12"/>
  <c r="N11" i="12"/>
  <c r="N18" i="12" s="1"/>
  <c r="O18" i="12" s="1"/>
  <c r="O11" i="12"/>
  <c r="N12" i="12"/>
  <c r="N19" i="12" s="1"/>
  <c r="N17" i="12"/>
  <c r="O17" i="12"/>
  <c r="P17" i="12" s="1"/>
  <c r="N23" i="12" s="1"/>
  <c r="N24" i="12" s="1"/>
  <c r="V31" i="10"/>
  <c r="P22" i="10"/>
  <c r="U31" i="10"/>
  <c r="T31" i="10"/>
  <c r="N9" i="10"/>
  <c r="S9" i="10" s="1"/>
  <c r="P17" i="10" s="1"/>
  <c r="P26" i="10" s="1"/>
  <c r="O9" i="10"/>
  <c r="T9" i="10" s="1"/>
  <c r="P9" i="10"/>
  <c r="U9" i="10" s="1"/>
  <c r="N10" i="10"/>
  <c r="S10" i="10" s="1"/>
  <c r="Q17" i="10" s="1"/>
  <c r="Q26" i="10" s="1"/>
  <c r="O10" i="10"/>
  <c r="T10" i="10" s="1"/>
  <c r="P10" i="10"/>
  <c r="U10" i="10" s="1"/>
  <c r="O8" i="10"/>
  <c r="T8" i="10" s="1"/>
  <c r="P8" i="10"/>
  <c r="U8" i="10" s="1"/>
  <c r="N8" i="10"/>
  <c r="S8" i="10" s="1"/>
  <c r="O17" i="10" s="1"/>
  <c r="P5" i="9"/>
  <c r="P15" i="9" s="1"/>
  <c r="O6" i="9"/>
  <c r="O16" i="9" s="1"/>
  <c r="O5" i="9"/>
  <c r="O15" i="9" s="1"/>
  <c r="N6" i="9"/>
  <c r="N16" i="9" s="1"/>
  <c r="S16" i="9" s="1"/>
  <c r="N7" i="9"/>
  <c r="N17" i="9" s="1"/>
  <c r="S17" i="9" s="1"/>
  <c r="N5" i="9"/>
  <c r="N15" i="9" s="1"/>
  <c r="S15" i="9" s="1"/>
  <c r="T15" i="9" s="1"/>
  <c r="M16" i="8"/>
  <c r="N16" i="8"/>
  <c r="O16" i="8"/>
  <c r="M17" i="8"/>
  <c r="N17" i="8"/>
  <c r="O17" i="8"/>
  <c r="N15" i="8"/>
  <c r="O15" i="8"/>
  <c r="M15" i="8"/>
  <c r="M6" i="8"/>
  <c r="O8" i="8"/>
  <c r="N8" i="8"/>
  <c r="M8" i="8"/>
  <c r="O7" i="8"/>
  <c r="N7" i="8"/>
  <c r="M7" i="8"/>
  <c r="O6" i="8"/>
  <c r="N6" i="8"/>
  <c r="N24" i="6"/>
  <c r="N25" i="6" s="1"/>
  <c r="O7" i="6"/>
  <c r="R14" i="6" s="1"/>
  <c r="N7" i="6"/>
  <c r="O14" i="6" s="1"/>
  <c r="P42" i="5"/>
  <c r="O43" i="5"/>
  <c r="N44" i="5"/>
  <c r="S44" i="5" s="1"/>
  <c r="S50" i="5" s="1"/>
  <c r="O38" i="5"/>
  <c r="O42" i="5" s="1"/>
  <c r="N38" i="5"/>
  <c r="N20" i="5"/>
  <c r="S20" i="5" s="1"/>
  <c r="N28" i="5" s="1"/>
  <c r="S28" i="5" s="1"/>
  <c r="N21" i="5"/>
  <c r="S21" i="5" s="1"/>
  <c r="N29" i="5" s="1"/>
  <c r="S29" i="5" s="1"/>
  <c r="N19" i="5"/>
  <c r="O19" i="5" s="1"/>
  <c r="N9" i="5"/>
  <c r="S9" i="5" s="1"/>
  <c r="N10" i="5"/>
  <c r="S10" i="5" s="1"/>
  <c r="O9" i="5"/>
  <c r="T9" i="5" s="1"/>
  <c r="P8" i="5"/>
  <c r="U8" i="5" s="1"/>
  <c r="O8" i="5"/>
  <c r="N8" i="5"/>
  <c r="S8" i="5" s="1"/>
  <c r="N32" i="18" l="1"/>
  <c r="N54" i="18" s="1"/>
  <c r="N42" i="14"/>
  <c r="P30" i="14"/>
  <c r="O27" i="10"/>
  <c r="O31" i="10"/>
  <c r="T16" i="9"/>
  <c r="S20" i="9" s="1"/>
  <c r="U15" i="9"/>
  <c r="P17" i="8"/>
  <c r="P15" i="8"/>
  <c r="P16" i="8"/>
  <c r="O20" i="5"/>
  <c r="T20" i="5" s="1"/>
  <c r="O28" i="5" s="1"/>
  <c r="T28" i="5" s="1"/>
  <c r="U42" i="5"/>
  <c r="U48" i="5" s="1"/>
  <c r="N42" i="5"/>
  <c r="S42" i="5" s="1"/>
  <c r="S48" i="5" s="1"/>
  <c r="N43" i="5"/>
  <c r="S43" i="5" s="1"/>
  <c r="S49" i="5" s="1"/>
  <c r="Q31" i="10"/>
  <c r="Q27" i="10"/>
  <c r="P31" i="10"/>
  <c r="O26" i="10"/>
  <c r="P27" i="10"/>
  <c r="T11" i="10"/>
  <c r="U11" i="10"/>
  <c r="S11" i="10"/>
  <c r="T20" i="9"/>
  <c r="T21" i="9" s="1"/>
  <c r="N14" i="6"/>
  <c r="N13" i="6"/>
  <c r="O16" i="6"/>
  <c r="O17" i="6"/>
  <c r="N18" i="6"/>
  <c r="P15" i="6"/>
  <c r="Q15" i="6"/>
  <c r="N15" i="6"/>
  <c r="P16" i="6"/>
  <c r="Q14" i="6"/>
  <c r="S13" i="6"/>
  <c r="N17" i="6"/>
  <c r="P13" i="6"/>
  <c r="O15" i="6"/>
  <c r="N32" i="6" s="1"/>
  <c r="P14" i="6"/>
  <c r="N16" i="6"/>
  <c r="O13" i="6"/>
  <c r="Q13" i="6"/>
  <c r="R13" i="6"/>
  <c r="T19" i="5"/>
  <c r="O27" i="5" s="1"/>
  <c r="T27" i="5" s="1"/>
  <c r="P19" i="5"/>
  <c r="U19" i="5" s="1"/>
  <c r="P27" i="5" s="1"/>
  <c r="U27" i="5" s="1"/>
  <c r="S19" i="5"/>
  <c r="N27" i="5" s="1"/>
  <c r="S27" i="5" s="1"/>
  <c r="T42" i="4"/>
  <c r="U42" i="4"/>
  <c r="U41" i="4"/>
  <c r="N8" i="4"/>
  <c r="N14" i="4" s="1"/>
  <c r="S14" i="4" s="1"/>
  <c r="O7" i="4"/>
  <c r="O13" i="4" s="1"/>
  <c r="N7" i="4"/>
  <c r="N13" i="4" s="1"/>
  <c r="S13" i="4" s="1"/>
  <c r="P6" i="4"/>
  <c r="P12" i="4" s="1"/>
  <c r="O6" i="4"/>
  <c r="O12" i="4" s="1"/>
  <c r="N6" i="4"/>
  <c r="N12" i="4" s="1"/>
  <c r="S12" i="4" s="1"/>
  <c r="T8" i="7"/>
  <c r="S8" i="7"/>
  <c r="T7" i="7"/>
  <c r="N8" i="7"/>
  <c r="O8" i="7"/>
  <c r="O7" i="7"/>
  <c r="N35" i="14" l="1"/>
  <c r="P41" i="14"/>
  <c r="N49" i="14"/>
  <c r="O49" i="14"/>
  <c r="M13" i="7"/>
  <c r="S21" i="9"/>
  <c r="N20" i="9" s="1"/>
  <c r="N13" i="7"/>
  <c r="T42" i="5"/>
  <c r="T48" i="5" s="1"/>
  <c r="T43" i="5"/>
  <c r="T49" i="5" s="1"/>
  <c r="T13" i="4"/>
  <c r="T12" i="4"/>
  <c r="O41" i="14" l="1"/>
  <c r="U12" i="4"/>
  <c r="T17" i="4" s="1"/>
  <c r="S17" i="4"/>
  <c r="O31" i="4" s="1"/>
  <c r="O55" i="3"/>
  <c r="O40" i="3"/>
  <c r="N41" i="3"/>
  <c r="N49" i="3" s="1"/>
  <c r="N40" i="3"/>
  <c r="N48" i="3" s="1"/>
  <c r="M42" i="3"/>
  <c r="M41" i="3"/>
  <c r="M49" i="3" s="1"/>
  <c r="M40" i="3"/>
  <c r="M48" i="3" s="1"/>
  <c r="O4" i="3"/>
  <c r="O14" i="3" s="1"/>
  <c r="N5" i="3"/>
  <c r="N15" i="3" s="1"/>
  <c r="N4" i="3"/>
  <c r="M5" i="3"/>
  <c r="M6" i="3"/>
  <c r="M16" i="3" s="1"/>
  <c r="M23" i="3" s="1"/>
  <c r="M31" i="3" s="1"/>
  <c r="M57" i="3" s="1"/>
  <c r="M4" i="3"/>
  <c r="N41" i="14" l="1"/>
  <c r="N48" i="14" s="1"/>
  <c r="P48" i="14"/>
  <c r="M9" i="3"/>
  <c r="M15" i="3"/>
  <c r="M22" i="3" s="1"/>
  <c r="M30" i="3" s="1"/>
  <c r="M56" i="3" s="1"/>
  <c r="N9" i="3"/>
  <c r="N14" i="3" s="1"/>
  <c r="T31" i="4"/>
  <c r="O42" i="4" s="1"/>
  <c r="P31" i="4"/>
  <c r="U31" i="4" s="1"/>
  <c r="P42" i="4" s="1"/>
  <c r="T18" i="4"/>
  <c r="P30" i="4"/>
  <c r="U30" i="4" s="1"/>
  <c r="P41" i="4" s="1"/>
  <c r="N49" i="4" s="1"/>
  <c r="P19" i="2"/>
  <c r="P11" i="2"/>
  <c r="O12" i="2"/>
  <c r="O20" i="2" s="1"/>
  <c r="O11" i="2"/>
  <c r="O19" i="2" s="1"/>
  <c r="N13" i="2"/>
  <c r="N21" i="2" s="1"/>
  <c r="N12" i="2"/>
  <c r="N20" i="2" s="1"/>
  <c r="N11" i="2"/>
  <c r="N19" i="2" s="1"/>
  <c r="T6" i="1"/>
  <c r="M22" i="1" s="1"/>
  <c r="S7" i="1"/>
  <c r="M20" i="1" s="1"/>
  <c r="P5" i="1"/>
  <c r="U5" i="1" s="1"/>
  <c r="M23" i="1" s="1"/>
  <c r="O6" i="1"/>
  <c r="O5" i="1"/>
  <c r="T5" i="1" s="1"/>
  <c r="M21" i="1" s="1"/>
  <c r="N6" i="1"/>
  <c r="S6" i="1" s="1"/>
  <c r="M19" i="1" s="1"/>
  <c r="N7" i="1"/>
  <c r="N5" i="1"/>
  <c r="S5" i="1" s="1"/>
  <c r="M18" i="1" s="1"/>
  <c r="O48" i="14" l="1"/>
  <c r="N54" i="14" s="1"/>
  <c r="M14" i="3"/>
  <c r="M21" i="3" s="1"/>
  <c r="M29" i="3" s="1"/>
  <c r="O21" i="3"/>
  <c r="N22" i="3"/>
  <c r="N30" i="3" s="1"/>
  <c r="N56" i="3" s="1"/>
  <c r="S18" i="4"/>
  <c r="N22" i="4" s="1"/>
  <c r="N21" i="4"/>
  <c r="N50" i="4"/>
  <c r="N51" i="4" s="1"/>
  <c r="N23" i="4" l="1"/>
  <c r="N21" i="3"/>
  <c r="N29" i="3" s="1"/>
  <c r="N55" i="3" s="1"/>
  <c r="M55" i="3"/>
  <c r="M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N35" authorId="0" shapeId="0" xr:uid="{3887BBCB-1BB3-724E-8F67-D1A7EE5A3E91}">
      <text>
        <r>
          <rPr>
            <b/>
            <sz val="10"/>
            <color rgb="FF000000"/>
            <rFont val="Tahoma"/>
            <family val="2"/>
          </rPr>
          <t>Rising Fellow:</t>
        </r>
        <r>
          <rPr>
            <sz val="10"/>
            <color rgb="FF000000"/>
            <rFont val="Tahoma"/>
            <family val="2"/>
          </rPr>
          <t xml:space="preserve">
</t>
        </r>
        <r>
          <rPr>
            <sz val="10"/>
            <color rgb="FF000000"/>
            <rFont val="Tahoma"/>
            <family val="2"/>
          </rPr>
          <t>Note that 2010 at 24 months is set at 0 since we can't take the natural log of 0.</t>
        </r>
      </text>
    </comment>
  </commentList>
</comments>
</file>

<file path=xl/sharedStrings.xml><?xml version="1.0" encoding="utf-8"?>
<sst xmlns="http://schemas.openxmlformats.org/spreadsheetml/2006/main" count="1817" uniqueCount="1055">
  <si>
    <t>a.</t>
  </si>
  <si>
    <t>b.</t>
  </si>
  <si>
    <t>c.</t>
  </si>
  <si>
    <t>Part a</t>
  </si>
  <si>
    <t>Part b</t>
  </si>
  <si>
    <t>Part c</t>
  </si>
  <si>
    <t>An actuary is using the GLM framework with a log-link function and an Over-Dispersed Poisson error</t>
  </si>
  <si>
    <t>distribution for a GLM bootstrap model. The actuary uses a common accident year level parameter for</t>
  </si>
  <si>
    <t>accident years 2015 and 2016.</t>
  </si>
  <si>
    <t>Accident Year</t>
  </si>
  <si>
    <t>12 Months</t>
  </si>
  <si>
    <t>24 Months</t>
  </si>
  <si>
    <t>36 Months</t>
  </si>
  <si>
    <t>Cumulative Paid Losses</t>
  </si>
  <si>
    <t>Specify the model in matrix notation and briefly discuss how the parameters are solved for.</t>
  </si>
  <si>
    <t>Discuss how a calendar year trend could be incorporated in the model.</t>
  </si>
  <si>
    <t>An actuary fit a GLM Bootstrap model with a log-link function and Over-Dispersed Poisson error</t>
  </si>
  <si>
    <t>distribution to a triangle of incremental losses. Below is the model specification using the GLM framework:</t>
  </si>
  <si>
    <t>The fitted model parameters are below:</t>
  </si>
  <si>
    <t>Model Parameters</t>
  </si>
  <si>
    <t>Parameter</t>
  </si>
  <si>
    <t>Coefficient</t>
  </si>
  <si>
    <t>⍺_1</t>
  </si>
  <si>
    <t>β_2</t>
  </si>
  <si>
    <t>β_3</t>
  </si>
  <si>
    <t>𝛾_2</t>
  </si>
  <si>
    <t>Calculate the expected incremental loss triangle.</t>
  </si>
  <si>
    <r>
      <rPr>
        <b/>
        <sz val="12"/>
        <color theme="1"/>
        <rFont val="Calibri"/>
        <family val="2"/>
      </rPr>
      <t xml:space="preserve">Advantage 
</t>
    </r>
    <r>
      <rPr>
        <sz val="12"/>
        <color theme="1"/>
        <rFont val="Calibri"/>
        <family val="2"/>
      </rPr>
      <t xml:space="preserve">Using fewer parameters helps avoid over-fitting the model and can improve the model performance for future losses.
</t>
    </r>
    <r>
      <rPr>
        <b/>
        <sz val="12"/>
        <color theme="1"/>
        <rFont val="Calibri"/>
        <family val="2"/>
      </rPr>
      <t xml:space="preserve">Disadvantage 
</t>
    </r>
    <r>
      <rPr>
        <sz val="12"/>
        <color theme="1"/>
        <rFont val="Calibri"/>
        <family val="2"/>
      </rPr>
      <t>Using one accident year parameter assumes all accident years are homogenous. This may not be a reasonable assumption and the model can’t directly reflect those differences and may fit the data worse.</t>
    </r>
  </si>
  <si>
    <t>Accident Year 1, development period 2:</t>
  </si>
  <si>
    <t>ln(E[IncLoss_1,2]) = η_1,2 = ⍺_1 + β_2 + 𝛾_2</t>
  </si>
  <si>
    <t xml:space="preserve">ln(E[IncLoss_w,d]) </t>
  </si>
  <si>
    <t>Given the following information from an Over-Dispersed Poisson bootstrap model:</t>
  </si>
  <si>
    <t>Incremental Losses</t>
  </si>
  <si>
    <t>Hat Matrix</t>
  </si>
  <si>
    <t>Calculate the scale parameter for the model and the standardized Pearson residuals.</t>
  </si>
  <si>
    <t>AY</t>
  </si>
  <si>
    <t>Incremental Loss:</t>
  </si>
  <si>
    <t>ln(IncLoss_AY,d):</t>
  </si>
  <si>
    <t>ln(m_w,d) = η_w,d = ⍺_w + sum(β_d)</t>
  </si>
  <si>
    <t>E[IncLoss_w,d] = m_w,d</t>
  </si>
  <si>
    <t>Var[IncLoss_w,d] = ɸ * m_w,d</t>
  </si>
  <si>
    <r>
      <t xml:space="preserve">Model Specification: </t>
    </r>
    <r>
      <rPr>
        <b/>
        <sz val="12"/>
        <color theme="1"/>
        <rFont val="Calibri"/>
        <family val="2"/>
      </rPr>
      <t>Y</t>
    </r>
    <r>
      <rPr>
        <sz val="12"/>
        <color theme="1"/>
        <rFont val="Calibri"/>
        <family val="2"/>
      </rPr>
      <t xml:space="preserve"> = </t>
    </r>
    <r>
      <rPr>
        <b/>
        <sz val="12"/>
        <color theme="1"/>
        <rFont val="Calibri"/>
        <family val="2"/>
      </rPr>
      <t>X</t>
    </r>
    <r>
      <rPr>
        <sz val="12"/>
        <color theme="1"/>
        <rFont val="Calibri"/>
        <family val="2"/>
      </rPr>
      <t xml:space="preserve"> x </t>
    </r>
    <r>
      <rPr>
        <b/>
        <sz val="12"/>
        <color theme="1"/>
        <rFont val="Calibri"/>
        <family val="2"/>
      </rPr>
      <t>A</t>
    </r>
  </si>
  <si>
    <t>=</t>
  </si>
  <si>
    <t>-</t>
  </si>
  <si>
    <t>x</t>
  </si>
  <si>
    <t>⍺_2</t>
  </si>
  <si>
    <t>Y</t>
  </si>
  <si>
    <t>X</t>
  </si>
  <si>
    <t>A</t>
  </si>
  <si>
    <t>Model with fitted parameters and solution matrix (W):</t>
  </si>
  <si>
    <t>W = X x A</t>
  </si>
  <si>
    <t xml:space="preserve">W = </t>
  </si>
  <si>
    <t xml:space="preserve">ln(m_1,1) </t>
  </si>
  <si>
    <t xml:space="preserve">ln(m_2,1) </t>
  </si>
  <si>
    <t xml:space="preserve">ln(m_3,1) </t>
  </si>
  <si>
    <t xml:space="preserve">ln(m_1,2) </t>
  </si>
  <si>
    <t xml:space="preserve">ln(m_2,2) </t>
  </si>
  <si>
    <t xml:space="preserve">ln(m_1,3) </t>
  </si>
  <si>
    <t>⍺_1 is the AY parameter for 2014 and ⍺_2 is the AY parameter for 2015-2016 combined.</t>
  </si>
  <si>
    <r>
      <t xml:space="preserve">Calculate the ln(E[IncLoss_w,d])  triangle using the parameters and design matrix </t>
    </r>
    <r>
      <rPr>
        <b/>
        <sz val="12"/>
        <color theme="1"/>
        <rFont val="Calibri"/>
        <family val="2"/>
      </rPr>
      <t>X</t>
    </r>
  </si>
  <si>
    <t>E[IncLoss_w,d]</t>
  </si>
  <si>
    <t>Calculate expected incremental losses, m_w,d, by exponentiating</t>
  </si>
  <si>
    <t>Unscaled Pearson Residuals</t>
  </si>
  <si>
    <t>Cumulative Losses</t>
  </si>
  <si>
    <t>1 - 2</t>
  </si>
  <si>
    <t>2 - 3</t>
  </si>
  <si>
    <t>LDF</t>
  </si>
  <si>
    <t>Fitted Incremental Losses</t>
  </si>
  <si>
    <t>r_w,d = (IncLoss_w,d - m_w,d) / sqrt((m_w,d)^z)</t>
  </si>
  <si>
    <t>phi = sum(r_w,d^2) / (N - p)</t>
  </si>
  <si>
    <t xml:space="preserve">phi = </t>
  </si>
  <si>
    <t>Calculate the scale parameter, phi:</t>
  </si>
  <si>
    <r>
      <t xml:space="preserve">Hat Matrix Triangle </t>
    </r>
    <r>
      <rPr>
        <sz val="12"/>
        <color theme="1"/>
        <rFont val="Calibri"/>
        <family val="2"/>
      </rPr>
      <t>(diagonal of the hat matrix)</t>
    </r>
  </si>
  <si>
    <r>
      <t xml:space="preserve">Hat Matrix adjustment factors, </t>
    </r>
    <r>
      <rPr>
        <sz val="12"/>
        <color theme="1"/>
        <rFont val="Calibri"/>
        <family val="2"/>
      </rPr>
      <t>f(H)_w,d</t>
    </r>
  </si>
  <si>
    <t>f(H)_w,d = sqrt(1 /(1 - H_w,d))</t>
  </si>
  <si>
    <r>
      <t>Standardized Pearson Residuals</t>
    </r>
    <r>
      <rPr>
        <sz val="12"/>
        <color theme="1"/>
        <rFont val="Calibri"/>
        <family val="2"/>
      </rPr>
      <t>, r(H)_w,d</t>
    </r>
  </si>
  <si>
    <t>r(H)_w,d = r_w,d * f(H)_w,d</t>
  </si>
  <si>
    <t>Back out LDFs to Calculate fitted cumulative losses:</t>
  </si>
  <si>
    <t>Given the following information for an Over-Dispersed Poisson bootstrap model:</t>
  </si>
  <si>
    <t>Demonstrate how process variance can be incorporated in the simulation of incremental losses.</t>
  </si>
  <si>
    <t>Standardized Pearson Residuals</t>
  </si>
  <si>
    <t>Standardized Pearson residuals are sampled with replacement for the bootstrap model. Below are the</t>
  </si>
  <si>
    <t>period of the sampled residual.</t>
  </si>
  <si>
    <t>Sampled Standardized</t>
  </si>
  <si>
    <t>Pearson Residual Locations</t>
  </si>
  <si>
    <r>
      <t>r</t>
    </r>
    <r>
      <rPr>
        <vertAlign val="subscript"/>
        <sz val="12"/>
        <color rgb="FF000000"/>
        <rFont val="Calibri"/>
        <family val="2"/>
      </rPr>
      <t>1,2</t>
    </r>
  </si>
  <si>
    <r>
      <t>r</t>
    </r>
    <r>
      <rPr>
        <vertAlign val="subscript"/>
        <sz val="12"/>
        <color rgb="FF000000"/>
        <rFont val="Calibri"/>
        <family val="2"/>
      </rPr>
      <t>2,1</t>
    </r>
  </si>
  <si>
    <r>
      <t>r</t>
    </r>
    <r>
      <rPr>
        <vertAlign val="subscript"/>
        <sz val="12"/>
        <color rgb="FF000000"/>
        <rFont val="Calibri"/>
        <family val="2"/>
      </rPr>
      <t>1,1</t>
    </r>
  </si>
  <si>
    <r>
      <t>r</t>
    </r>
    <r>
      <rPr>
        <vertAlign val="subscript"/>
        <sz val="12"/>
        <color rgb="FF000000"/>
        <rFont val="Calibri"/>
        <family val="2"/>
      </rPr>
      <t>2,2</t>
    </r>
  </si>
  <si>
    <t>A GLM bootstrap model with a log-link function and Over-Dispersed Poisson error distribution is being</t>
  </si>
  <si>
    <t>set up for the following triangle of incremental losses:</t>
  </si>
  <si>
    <t>d.</t>
  </si>
  <si>
    <t xml:space="preserve">Using the GLM bootstrap approach, calculate the log-link triangle that should be used in the GLM, </t>
  </si>
  <si>
    <t>including any necessary adjustments.</t>
  </si>
  <si>
    <t>Calculate the triangle of fitted incremental values for the GLM bootstrap and the unscaled Pearson</t>
  </si>
  <si>
    <t>⍺_2013</t>
  </si>
  <si>
    <t>⍺_2014</t>
  </si>
  <si>
    <t>⍺_2015</t>
  </si>
  <si>
    <t>β_24</t>
  </si>
  <si>
    <t>β_36</t>
  </si>
  <si>
    <t>Explain the differences between the answers from parts b and c.</t>
  </si>
  <si>
    <t>Calculate fitted incremental losses from the GLM model parameters:</t>
  </si>
  <si>
    <t>by starting with the latest diagonal of cumulative losses and backing out the LDFs.</t>
  </si>
  <si>
    <t>Part d</t>
  </si>
  <si>
    <t>Given the following information from a GLM bootstrap model:</t>
  </si>
  <si>
    <t>Briefly discuss two other ways the model could be adjusted for heteroscedasticity.</t>
  </si>
  <si>
    <r>
      <rPr>
        <u/>
        <sz val="12"/>
        <color theme="1"/>
        <rFont val="Calibri"/>
        <family val="2"/>
      </rPr>
      <t xml:space="preserve">Locations of Sampled Residuals </t>
    </r>
    <r>
      <rPr>
        <sz val="12"/>
        <color theme="1"/>
        <rFont val="Calibri"/>
        <family val="2"/>
      </rPr>
      <t>- r(iH)_sample</t>
    </r>
  </si>
  <si>
    <t>heteroscedasticity were sampled for accident year 2.</t>
  </si>
  <si>
    <t>For one iteration of the bootstrap model, the following standardized residuals adjusted for</t>
  </si>
  <si>
    <r>
      <rPr>
        <u/>
        <sz val="12"/>
        <color theme="1"/>
        <rFont val="Calibri"/>
        <family val="2"/>
      </rPr>
      <t>Standardized Pearson Residuals</t>
    </r>
    <r>
      <rPr>
        <sz val="12"/>
        <color theme="1"/>
        <rFont val="Calibri"/>
        <family val="2"/>
      </rPr>
      <t xml:space="preserve"> - r(H)</t>
    </r>
  </si>
  <si>
    <t>Heteroscedasticity Group (i)</t>
  </si>
  <si>
    <t>Std Dev (r(H))</t>
  </si>
  <si>
    <t>Group Std Dev (r(iH))</t>
  </si>
  <si>
    <t>Below are the  fitted model parameters from the GLM framework such that the model reproduces the</t>
  </si>
  <si>
    <t>chain ladder result:</t>
  </si>
  <si>
    <r>
      <t>α</t>
    </r>
    <r>
      <rPr>
        <vertAlign val="subscript"/>
        <sz val="12"/>
        <color rgb="FF000000"/>
        <rFont val="Calibri"/>
        <family val="2"/>
      </rPr>
      <t>1</t>
    </r>
  </si>
  <si>
    <r>
      <t>α</t>
    </r>
    <r>
      <rPr>
        <vertAlign val="subscript"/>
        <sz val="12"/>
        <color rgb="FF000000"/>
        <rFont val="Calibri"/>
        <family val="2"/>
      </rPr>
      <t>2</t>
    </r>
  </si>
  <si>
    <r>
      <t>α</t>
    </r>
    <r>
      <rPr>
        <vertAlign val="subscript"/>
        <sz val="12"/>
        <color rgb="FF000000"/>
        <rFont val="Calibri"/>
        <family val="2"/>
      </rPr>
      <t>3</t>
    </r>
  </si>
  <si>
    <r>
      <t>α</t>
    </r>
    <r>
      <rPr>
        <vertAlign val="subscript"/>
        <sz val="12"/>
        <color rgb="FF000000"/>
        <rFont val="Calibri"/>
        <family val="2"/>
      </rPr>
      <t>4</t>
    </r>
  </si>
  <si>
    <r>
      <t>α</t>
    </r>
    <r>
      <rPr>
        <vertAlign val="subscript"/>
        <sz val="12"/>
        <color rgb="FF000000"/>
        <rFont val="Calibri"/>
        <family val="2"/>
      </rPr>
      <t>5</t>
    </r>
  </si>
  <si>
    <r>
      <t>α</t>
    </r>
    <r>
      <rPr>
        <vertAlign val="subscript"/>
        <sz val="12"/>
        <color rgb="FF000000"/>
        <rFont val="Calibri"/>
        <family val="2"/>
      </rPr>
      <t>6</t>
    </r>
  </si>
  <si>
    <r>
      <t>β</t>
    </r>
    <r>
      <rPr>
        <vertAlign val="subscript"/>
        <sz val="12"/>
        <color rgb="FF000000"/>
        <rFont val="Calibri"/>
        <family val="2"/>
      </rPr>
      <t>2</t>
    </r>
  </si>
  <si>
    <r>
      <t>β</t>
    </r>
    <r>
      <rPr>
        <vertAlign val="subscript"/>
        <sz val="12"/>
        <color rgb="FF000000"/>
        <rFont val="Calibri"/>
        <family val="2"/>
      </rPr>
      <t>3</t>
    </r>
  </si>
  <si>
    <r>
      <t>β</t>
    </r>
    <r>
      <rPr>
        <vertAlign val="subscript"/>
        <sz val="12"/>
        <color rgb="FF000000"/>
        <rFont val="Calibri"/>
        <family val="2"/>
      </rPr>
      <t>4</t>
    </r>
  </si>
  <si>
    <r>
      <t>β</t>
    </r>
    <r>
      <rPr>
        <vertAlign val="subscript"/>
        <sz val="12"/>
        <color rgb="FF000000"/>
        <rFont val="Calibri"/>
        <family val="2"/>
      </rPr>
      <t>5</t>
    </r>
  </si>
  <si>
    <r>
      <t>β</t>
    </r>
    <r>
      <rPr>
        <vertAlign val="subscript"/>
        <sz val="12"/>
        <color rgb="FF000000"/>
        <rFont val="Calibri"/>
        <family val="2"/>
      </rPr>
      <t>6</t>
    </r>
  </si>
  <si>
    <t>r(iH)_1,3</t>
  </si>
  <si>
    <t>r(iH)_4,2</t>
  </si>
  <si>
    <t>r(iH)_3,4</t>
  </si>
  <si>
    <t>r(iH)_3,2</t>
  </si>
  <si>
    <t>r(iH)_5,2</t>
  </si>
  <si>
    <t>Two bootstrap models using the chain ladder and Bornhuetter-Ferguson methods were run to estimate</t>
  </si>
  <si>
    <t>unpaid losses. The actuary used the same random variables to simulate losses for each model.</t>
  </si>
  <si>
    <t>Below are the unpaid incremental losses ($000) from the first two iterations of the models.</t>
  </si>
  <si>
    <t>Chain</t>
  </si>
  <si>
    <t>Ladder</t>
  </si>
  <si>
    <t>Bornhuetter-</t>
  </si>
  <si>
    <t>Ferguson</t>
  </si>
  <si>
    <t>Chain Ladder</t>
  </si>
  <si>
    <t>Bornhuetter-Ferguson</t>
  </si>
  <si>
    <t>Model Weights by Accident Year</t>
  </si>
  <si>
    <t xml:space="preserve"> Iteration 1</t>
  </si>
  <si>
    <t xml:space="preserve"> Iteration 2</t>
  </si>
  <si>
    <t>Bornhuetter-Ferguson Model</t>
  </si>
  <si>
    <t>Chain Ladder Model</t>
  </si>
  <si>
    <t>Calculate the total unpaid loss for each iteration after weighting the chain ladder and Bornhuetter-Ferguson models.</t>
  </si>
  <si>
    <t xml:space="preserve">Total Unpaid </t>
  </si>
  <si>
    <t xml:space="preserve">Iteration Unpaid Losses ($000) </t>
  </si>
  <si>
    <t>IncLoss = sum(weight_model * IncLoss_model)</t>
  </si>
  <si>
    <t>Simulated Residuals</t>
  </si>
  <si>
    <t>sampled residual locations, r_w,d, for a simulation, where w is the accident year and d is the development</t>
  </si>
  <si>
    <t>Simulated Incremental Losses</t>
  </si>
  <si>
    <t>q*(w,d) = r* * sqrt((m_w,d)^z) + m_w,d</t>
  </si>
  <si>
    <t>CDF</t>
  </si>
  <si>
    <t>1-2</t>
  </si>
  <si>
    <t>2-3</t>
  </si>
  <si>
    <t>Unpaid Losses</t>
  </si>
  <si>
    <t>Total</t>
  </si>
  <si>
    <t>Projected Cumulative Losses</t>
  </si>
  <si>
    <t xml:space="preserve">Projected Incremental Losses (m_w,d) </t>
  </si>
  <si>
    <t>Simulate future incrementals from the Gamma distribution to add process variance:</t>
  </si>
  <si>
    <t>q(sim)_w,d ~ Gamma(mean = m_w,d, var = phi * m_w,d)</t>
  </si>
  <si>
    <t>Incremental Data w/ Process Variance</t>
  </si>
  <si>
    <t>Random Values</t>
  </si>
  <si>
    <t>Scale Parameter</t>
  </si>
  <si>
    <t xml:space="preserve">Adjusted Incremental Losses </t>
  </si>
  <si>
    <t>Adjusted Log-Link Triangle</t>
  </si>
  <si>
    <t>We can fit the GLM to the “Adjusted Log-Link Triangle” to calculate the best-fitting parameters.</t>
  </si>
  <si>
    <t>Log of Expected Incremental Loss</t>
  </si>
  <si>
    <t>Fitted Adjusted Incrementals</t>
  </si>
  <si>
    <t>Fitted Incrementals - m_w,d</t>
  </si>
  <si>
    <t>Unscaled Pearson Residuals - r_w,d</t>
  </si>
  <si>
    <t>Use absolute value for m_w,d &lt; 0</t>
  </si>
  <si>
    <t>Back out the adjustment factor and calculate the unscaled pearson residuals:</t>
  </si>
  <si>
    <t xml:space="preserve"> adjusted with ψ = -140.</t>
  </si>
  <si>
    <t>residuals given the parameters from the fitted GLM below. The GLM was fit on the log-link triangle</t>
  </si>
  <si>
    <t>Fitted Cumulative Losses</t>
  </si>
  <si>
    <t>12-24</t>
  </si>
  <si>
    <t>24-36</t>
  </si>
  <si>
    <t>Calculate the triangle of fitted incremental values and the unscaled Pearson residuals</t>
  </si>
  <si>
    <t>using the ODP Bootstrap (Simplified GLM) on the original loss triangle.</t>
  </si>
  <si>
    <t>Calculate hetero-adjustment factors:</t>
  </si>
  <si>
    <t>h_i = stdev(All r(H)_w,d) / stdev(Group i r(H)_w,d)</t>
  </si>
  <si>
    <t xml:space="preserve"> </t>
  </si>
  <si>
    <t>1-3</t>
  </si>
  <si>
    <t>4-5</t>
  </si>
  <si>
    <t>h_i</t>
  </si>
  <si>
    <t>Adjust residuals with hetero-factors:</t>
  </si>
  <si>
    <r>
      <rPr>
        <u/>
        <sz val="12"/>
        <color theme="1"/>
        <rFont val="Calibri"/>
        <family val="2"/>
      </rPr>
      <t>Adjusted Standardized Pearson Residuals</t>
    </r>
    <r>
      <rPr>
        <sz val="12"/>
        <color theme="1"/>
        <rFont val="Calibri"/>
        <family val="2"/>
      </rPr>
      <t xml:space="preserve"> - r(iH)</t>
    </r>
  </si>
  <si>
    <t>Calculate the fitted incremental loss for AY 2 at age 4:</t>
  </si>
  <si>
    <t>Calculate the standardized Pearson residuals, adjusting for heteroscedasticity.</t>
  </si>
  <si>
    <t xml:space="preserve">ln(m_2,4) = </t>
  </si>
  <si>
    <t>ln(m_2,4) = alpha_2 + Beta_2 + Beta_3 + Beta_4</t>
  </si>
  <si>
    <t>m_2,4 =</t>
  </si>
  <si>
    <t>Calculate the simulated loss with the sampled r_3,2 residual and back out the hetero-factor for the age 4 group:</t>
  </si>
  <si>
    <t>q*(w,d) = r* / h_i * sqrt(m^z_w,d) + m_w,d</t>
  </si>
  <si>
    <t>q*(2,4) =</t>
  </si>
  <si>
    <t>Stratified Sampling:</t>
  </si>
  <si>
    <t>Modified Scale Parameter:</t>
  </si>
  <si>
    <t>h_i = sqrt(phi_total) / sqrt(phi_i)</t>
  </si>
  <si>
    <t>An actuary created bootstrap models using the chain ladder and Bornhuetter-Ferguson methods.</t>
  </si>
  <si>
    <t>Independent random variables were used during simulation. The actuary believes both models are</t>
  </si>
  <si>
    <t>reasonable and is combining the results  to an actuarial best estimate of the distribution, using a weighted</t>
  </si>
  <si>
    <t>mixture of the models.</t>
  </si>
  <si>
    <t>Below are the total unpaid losses by accident year for the first three iterations of the two models.</t>
  </si>
  <si>
    <t>Bootstrap Model Unpaid Losses ($000)</t>
  </si>
  <si>
    <t>Below are random values from [0,1] for each accident year and iteration to mix the two models:</t>
  </si>
  <si>
    <t>Calculate the actuarial best estimate of the unpaid losses by accident year averaged over the three iterations.</t>
  </si>
  <si>
    <t>Use the random values to select which model estimate is used for each iteration/AY based on the selected weights:</t>
  </si>
  <si>
    <t>E.g.: AY 2013, iteration 1:</t>
  </si>
  <si>
    <t>.48 &lt; .60 therefore select CL estimate</t>
  </si>
  <si>
    <t>Selected Model output:</t>
  </si>
  <si>
    <t>Best Estimate Unpaid Losses ($000)</t>
  </si>
  <si>
    <t>Best Estimate (Avg)</t>
  </si>
  <si>
    <t>An actuary is using an Over-Dispersed Poisson bootstrap model to create a distribution of ultimate losses</t>
  </si>
  <si>
    <t>for a book of business.</t>
  </si>
  <si>
    <t>Below is the triangle of fitted cumulative losses from the GLM that was fit to the data:</t>
  </si>
  <si>
    <t>Fitted Cumulative Losses ($000)</t>
  </si>
  <si>
    <t xml:space="preserve">Scale parameter = </t>
  </si>
  <si>
    <t>Simulation #186 of the bootstrap model uses the following random sample of standardized Pearson residuals:</t>
  </si>
  <si>
    <t>Assume there is no loss development beyond 36 months.</t>
  </si>
  <si>
    <t>Sampled Residuals</t>
  </si>
  <si>
    <t>Calculate the expected ultimate loss for accident year 2015 for simulation #186.</t>
  </si>
  <si>
    <t>Calculate simulated incrementals:</t>
  </si>
  <si>
    <t xml:space="preserve">Fitted Incremental Losses </t>
  </si>
  <si>
    <t xml:space="preserve">Ult (2015) = </t>
  </si>
  <si>
    <t>Expected Ultimate for 2015 is $1,210,000.</t>
  </si>
  <si>
    <t xml:space="preserve">Simulated Incremental Losses </t>
  </si>
  <si>
    <t xml:space="preserve">Simulated Cumulative Losses </t>
  </si>
  <si>
    <t>If earlier periods have greater standardized Pearson residual variability than later periods (heteroscedasticity), then during simulation residuals could be sampled from later periods to simulate losses at 12 months. When this happens, there will be less variability in results than there should be for the earlier periods and the model is not appropriate.
One way to correct this problem is stratified sampling:
Group the development periods into groups with homogenous variances. To simulate incremental losses, sample residuals with replacement only from the residuals in the group.</t>
  </si>
  <si>
    <t>A bootstrap model was used on the following triangle of incremental losses with a log-link function and</t>
  </si>
  <si>
    <t>Over-Dispersed Poisson error distribution using the GLM framework.</t>
  </si>
  <si>
    <t>48 Months</t>
  </si>
  <si>
    <t>60 Months</t>
  </si>
  <si>
    <t>72 Months</t>
  </si>
  <si>
    <t>Paid Cumulative Loss</t>
  </si>
  <si>
    <r>
      <t xml:space="preserve">Note: </t>
    </r>
    <r>
      <rPr>
        <sz val="12"/>
        <color theme="1"/>
        <rFont val="Calibri"/>
        <family val="2"/>
      </rPr>
      <t>The scale parameter is extraneous information for this problem.</t>
    </r>
  </si>
  <si>
    <t xml:space="preserve">Scale Parameter = </t>
  </si>
  <si>
    <t>β_4</t>
  </si>
  <si>
    <t>β_5</t>
  </si>
  <si>
    <t>β_6</t>
  </si>
  <si>
    <t>A GLM with one accident year parameter and a development age parameter for each period was fit to the</t>
  </si>
  <si>
    <t>original 6x6 incremental loss triangle. Resampling the residuals was used to create 1,000 sample incremental</t>
  </si>
  <si>
    <t>loss triangles and a GLM with the same specification was fit to each one.</t>
  </si>
  <si>
    <t>Below are the fitted parameters for the first three iterations:</t>
  </si>
  <si>
    <t>Fitted Sample Data Parameters</t>
  </si>
  <si>
    <t>Iteration 1</t>
  </si>
  <si>
    <t>Iteration 2</t>
  </si>
  <si>
    <t>Iteration 3</t>
  </si>
  <si>
    <t>Demonstrate how to include process variance to the projected incremental loss for accident year 2014</t>
  </si>
  <si>
    <t>of iteration 1.</t>
  </si>
  <si>
    <t>Briefly discuss two advantages and disadvantages of using the GLM framework compared to the</t>
  </si>
  <si>
    <t>Point Estimate</t>
  </si>
  <si>
    <t>ln(m_w,d) = ⍺_w + sum(β_2 + …)</t>
  </si>
  <si>
    <t>Log of Projected Incremental Losses</t>
  </si>
  <si>
    <t>Projected Incremental Losses</t>
  </si>
  <si>
    <t>Advantage</t>
  </si>
  <si>
    <t>Disadvantage</t>
  </si>
  <si>
    <t>Iteration</t>
  </si>
  <si>
    <t>mean</t>
  </si>
  <si>
    <t>variance</t>
  </si>
  <si>
    <t>Gamma distribution Mean and Variance:</t>
  </si>
  <si>
    <t>Discussion</t>
  </si>
  <si>
    <r>
      <t xml:space="preserve">The GLM can’t predict negative fitted incremental losses with the log-link function. This is because m(w,d) = exp(η(w,d)) and for η(w,d) on (-inf, +inf), the GLM will only calculate fitted incremental losses on (0, +inf), which is why we need to make this adjustment.
</t>
    </r>
    <r>
      <rPr>
        <b/>
        <sz val="12"/>
        <color theme="1"/>
        <rFont val="Calibri"/>
        <family val="2"/>
      </rPr>
      <t>If Column is &gt; 0</t>
    </r>
    <r>
      <rPr>
        <sz val="12"/>
        <color theme="1"/>
        <rFont val="Calibri"/>
        <family val="2"/>
      </rPr>
      <t xml:space="preserve">
If the 24 month incremental loss was 520 (instead of 100), we could use the simpler adjustment for the GLM bootstrap. Below is the formula for the simpler adjustment:</t>
    </r>
  </si>
  <si>
    <t>For part b, the other correction to heteroscedasticity is to use hetero-adjustment factors. Shapland prefers this method over using stratified sampling because the model can still sample residuals from the entire triangle.
Note: The scale parameter wasn’t necessary to solve the problem. It’s an extraneous piece of information.</t>
  </si>
  <si>
    <t>Solution -&gt;</t>
  </si>
  <si>
    <t>SHOW ALL WORK.</t>
  </si>
  <si>
    <t>Solve for the parameters in A that minimize the squared difference between vectors Y (actual log-loss) and W (expected log-loss). Use iteratively weighted least squares to solve for A.</t>
  </si>
  <si>
    <t>process variance is added to the simulated losses.</t>
  </si>
  <si>
    <t>Calculate the unpaid loss estimate for accident years 2-3 from this bootstrap simulation before</t>
  </si>
  <si>
    <t>The sum of the second column is negative, so we need to shift all incremental losses up by the largest negative value (-140):</t>
  </si>
  <si>
    <t>of the bootstrap model.</t>
  </si>
  <si>
    <t>Calculate the simulated incremental loss for accident year 2 at age 4 that is used in this iteration</t>
  </si>
  <si>
    <t>Modify phi so that each hetero group has a different scale parameter when adding future process variance. Also, use the following hetero-factor to adjust the simulated losses, similar to the process above.</t>
  </si>
  <si>
    <t>Discuss how the problem of differing levels of variability of residuals at different development</t>
  </si>
  <si>
    <t>periods impacts the appropriateness of the model and describe a way to correct the problem.</t>
  </si>
  <si>
    <t>before process variance is added.</t>
  </si>
  <si>
    <t>For each iteration, calculate the point estimate of the projected unpaid loss for accident year 2014</t>
  </si>
  <si>
    <t xml:space="preserve"> diagonal, 1 for the second diagonal and 2 for the third diagonal. The fitted parameter will be a calendar-year trend.</t>
  </si>
  <si>
    <t>Include a calendar year parameter, 𝛾_k, in the model specification with a specification of 0 for the first</t>
  </si>
  <si>
    <t>• The scale parameter for the Over-Dispersed Poisson model is 0.53.</t>
  </si>
  <si>
    <t>• Assume losses are fully developed at development period 3.</t>
  </si>
  <si>
    <t>Group development periods with similar residual variances. For each simulated incremental loss,  only sample residuals from the same group.</t>
  </si>
  <si>
    <t>• The standard deviation for all standardized Pearson residuals is 9.79</t>
  </si>
  <si>
    <t>RF Shapland - 1</t>
  </si>
  <si>
    <t>RF Shapland - 2</t>
  </si>
  <si>
    <t>RF Shapland - 3</t>
  </si>
  <si>
    <t>RF Shapland - 4</t>
  </si>
  <si>
    <t>RF Shapland - 5</t>
  </si>
  <si>
    <t>RF Shapland - 6</t>
  </si>
  <si>
    <t>RF Shapland - 7</t>
  </si>
  <si>
    <t>RF Shapland - 8</t>
  </si>
  <si>
    <t>RF Shapland - 9</t>
  </si>
  <si>
    <t>RF Shapland - 10</t>
  </si>
  <si>
    <t>q*(w,d) = r* * sqrt(m^z_w,d) + m_w,d</t>
  </si>
  <si>
    <t>Shapland - Over-Dispersed Poisson GLM Setup</t>
  </si>
  <si>
    <t>Shapland - Expected Incremental Losses from GLM</t>
  </si>
  <si>
    <t>Shapland - Standardized Pearson Residuals</t>
  </si>
  <si>
    <t>Shapland - ODP Bootstrap Model</t>
  </si>
  <si>
    <t>Shapland - Negative Incremental Values</t>
  </si>
  <si>
    <t>Shapland - Heteroscedasticity Fix: Standard Deviation</t>
  </si>
  <si>
    <t>Shapland - Multiple Models: Same Random Variables</t>
  </si>
  <si>
    <t>Shapland - Multiple Models: Independent Variables</t>
  </si>
  <si>
    <t>Recipe</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</si>
  <si>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</si>
  <si>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</si>
  <si>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</si>
  <si>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</si>
  <si>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</si>
  <si>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</si>
  <si>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</si>
  <si>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</si>
  <si>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</si>
  <si>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AY 2011 reserves =</t>
  </si>
  <si>
    <t>24-36 LDF =</t>
  </si>
  <si>
    <t>Estimate the accident year 2011 reserves using the sample triangle.</t>
  </si>
  <si>
    <t>Part b:</t>
  </si>
  <si>
    <t>Create the sample triangle of cumulative values.</t>
  </si>
  <si>
    <t>The sample cumulative triangle is as follows:</t>
  </si>
  <si>
    <t>36 mo.</t>
  </si>
  <si>
    <t>24 mo.</t>
  </si>
  <si>
    <t>12 mo.</t>
  </si>
  <si>
    <t>Random Standardized Residuals (r*)</t>
  </si>
  <si>
    <t>Using formula above, sample incremental triangle is as follows:</t>
  </si>
  <si>
    <t>Fitted Incremental Paid Losses ($)</t>
  </si>
  <si>
    <t>q'(w,d) = r*sqrt(m_w,d) + m_w,d</t>
  </si>
  <si>
    <t>Part a:</t>
  </si>
  <si>
    <t>Given the following information for an Over-Dispersed Poisson bootstrap model for an insurer as of December 31, 2012:</t>
  </si>
  <si>
    <t>RF Shapland - 11</t>
  </si>
  <si>
    <t xml:space="preserve">The gamma parameter means there is a calendar year trend that compounds. Take a look at the setup on pg. 18 in the source text for more context. </t>
  </si>
  <si>
    <r>
      <t>Calculate the unscaled Pearson residual r</t>
    </r>
    <r>
      <rPr>
        <vertAlign val="subscript"/>
        <sz val="12"/>
        <color theme="1"/>
        <rFont val="Calibri (Body)"/>
      </rPr>
      <t>2,3</t>
    </r>
    <r>
      <rPr>
        <sz val="12"/>
        <color theme="1"/>
        <rFont val="Calibri"/>
        <family val="2"/>
        <scheme val="minor"/>
      </rPr>
      <t xml:space="preserve"> assuming an inverse Gaussian error structure.</t>
    </r>
  </si>
  <si>
    <t>since z = 3 for inverse gaussian</t>
  </si>
  <si>
    <r>
      <t>Calculate the fitted incremental value m</t>
    </r>
    <r>
      <rPr>
        <vertAlign val="subscript"/>
        <sz val="12"/>
        <color theme="1"/>
        <rFont val="Calibri (Body)"/>
      </rPr>
      <t>2,3</t>
    </r>
    <r>
      <rPr>
        <sz val="12"/>
        <color theme="1"/>
        <rFont val="Calibri"/>
        <family val="2"/>
        <scheme val="minor"/>
      </rPr>
      <t xml:space="preserve"> .</t>
    </r>
  </si>
  <si>
    <t>&lt;-(q(2,3)-m_2,3)/sqrt(m_2,3^3)</t>
  </si>
  <si>
    <t>r_2,3 =</t>
  </si>
  <si>
    <t>The ɣ parameter is a calendar year trend parameter.</t>
  </si>
  <si>
    <t>&lt;-exp(𝜂_2,3)</t>
  </si>
  <si>
    <t>m_2,3 =</t>
  </si>
  <si>
    <t>• q(2,3) =</t>
  </si>
  <si>
    <t>&lt;-α_2+β_2+β_3 + ɣ_2 + ɣ_3 + ɣ_4</t>
  </si>
  <si>
    <t>𝜂_2,3 =</t>
  </si>
  <si>
    <t>• ɣ =</t>
  </si>
  <si>
    <t>• β =</t>
  </si>
  <si>
    <t>In cell (2,3), we are in calendar year 4</t>
  </si>
  <si>
    <t>• ⍺ =</t>
  </si>
  <si>
    <t>Given the following:</t>
  </si>
  <si>
    <t>RF Shapland - 12</t>
  </si>
  <si>
    <t>Part a shows how to adjust for negative incremental values when the GLM bootstrap is used. This is necessary because a GLM with a log link function can't predict negative incremental values. This is because taking the natural log of a value on (-inf, inf) gives a value on (0, inf). 
Part b is instead looking at how to make the adjustment for the ODP Bootstrap, which is the simplified version that doesn't require fitting a GLM. See pg. 20 in the source and the corresponding Cookbook recipe for more on this topic.</t>
  </si>
  <si>
    <t>&lt;-(q_1,2 - m_1,2)/sqrt(abs(m_1,2))</t>
  </si>
  <si>
    <t>r_1,2 =</t>
  </si>
  <si>
    <t>Calculate the modified residual r_1,2:</t>
  </si>
  <si>
    <t>Calculate the fitted incremental values:</t>
  </si>
  <si>
    <t>and dividing backwards:</t>
  </si>
  <si>
    <t>Calculate the fitted cumulative values by starting with latest diagonal</t>
  </si>
  <si>
    <t>12-24 LDF =</t>
  </si>
  <si>
    <t>Create the cumulative paid loss triangle:</t>
  </si>
  <si>
    <t>Using the ODP Bootstrap model (or "simplified GLM"), we can run a bootstrap model using the LDFs without needing to fit a GLM. The only modification that's needed is to use the absolute value of the fitted incremental values (m_w,d):</t>
  </si>
  <si>
    <t>At this point, the GLM bootstrap model can be run.</t>
  </si>
  <si>
    <r>
      <t>Demonstrate how to calculate the modified unscaled Pearson residual r</t>
    </r>
    <r>
      <rPr>
        <vertAlign val="subscript"/>
        <sz val="12"/>
        <color theme="1"/>
        <rFont val="Calibri (Body)"/>
      </rPr>
      <t>1,2</t>
    </r>
    <r>
      <rPr>
        <sz val="12"/>
        <color theme="1"/>
        <rFont val="Calibri"/>
        <family val="2"/>
        <scheme val="minor"/>
      </rPr>
      <t xml:space="preserve"> using the ODP bootstrap model, without needing to fit a GLM.</t>
    </r>
  </si>
  <si>
    <t>Transform the data using the log link function, including any necessary modifications.</t>
  </si>
  <si>
    <t>After adjusting each value, we will take a the log of the adjusted data. Here is the incremental log link data after adjustment (any values that are equal to 0 after adjustment will be set to zero):</t>
  </si>
  <si>
    <t>In this case, the 24 mo. Column sum is -5. Thus, we will subtract the "largest negative in the triangle (i.e. -10)" to each value in the triangle</t>
  </si>
  <si>
    <t xml:space="preserve">When the sum of the incremental values in a column is negative, we must adjust the data using a constant. </t>
  </si>
  <si>
    <t>Incremental Paid Losses ($)</t>
  </si>
  <si>
    <t>An actuary wants to fit a GLM to the data below for a bootstrap model:</t>
  </si>
  <si>
    <t>RF Shapland - 13</t>
  </si>
  <si>
    <t>Section 4.5 (pg. 24-25) discusses the different ways to handle outliers.</t>
  </si>
  <si>
    <t>and working backwards:</t>
  </si>
  <si>
    <t>Build the fitted cumulative triangle by starting with the latest diagonal</t>
  </si>
  <si>
    <t>36-48 LDF =</t>
  </si>
  <si>
    <t>&lt;-(excluding outlier since its in denominator of the LDF)</t>
  </si>
  <si>
    <t>&lt;-(excluding outlier since its in numerator of the LDF)</t>
  </si>
  <si>
    <t>Calculate the LDFs using the cumulative triangle:</t>
  </si>
  <si>
    <t>Part c:</t>
  </si>
  <si>
    <t>Adjusting for outliers in the numerator and the denominator, create the fitted cumulative triangle using the ODP bootstrap model.</t>
  </si>
  <si>
    <t>Adjusting for outliers in the denominator, create the fitted cumulative triangle using the ODP bootstrap model.</t>
  </si>
  <si>
    <t>Adjusting for outliers in the numerator, create the fitted cumulative triangle using the ODP bootstrap model.</t>
  </si>
  <si>
    <t>The bolded 80 in the triangle above seems to be an outlier in the column.</t>
  </si>
  <si>
    <t>48 mo.</t>
  </si>
  <si>
    <t>Cumulative Paid Losses ($)</t>
  </si>
  <si>
    <t>Create the table of incremental paid losses and identify any outliers:</t>
  </si>
  <si>
    <t>Given the following cumulative paid losses:</t>
  </si>
  <si>
    <t>RF Shapland - 14</t>
  </si>
  <si>
    <t>Briefly describe an approach for estimating future cash flows.</t>
  </si>
  <si>
    <t>Using the model weights above, calculate the best estimate of total unpaid losses.</t>
  </si>
  <si>
    <t>Cape Cod Paid</t>
  </si>
  <si>
    <t>Bornhuetter/Ferguson Paid</t>
  </si>
  <si>
    <t>Chain-Ladder Paid</t>
  </si>
  <si>
    <t>Mean Estimated Unpaid ($000)</t>
  </si>
  <si>
    <t>To estimate future cash flows, model output should be reviewed by future calendar years (i.e. future diagonals)</t>
  </si>
  <si>
    <t>Unpaid</t>
  </si>
  <si>
    <t>A company would like to consolidate results from three bootstrap models. Each model iteration was run using the same set of random residuals. Given the following:</t>
  </si>
  <si>
    <t>RF Shapland - 15</t>
  </si>
  <si>
    <t>Using an Over-Dispersed Poisson bootstrap modelwith three-year weighted averages for the age-to-age factors, calculate E(q(3,1)].</t>
  </si>
  <si>
    <t>&lt;-Starting with latest diagonal and dividing backwards</t>
  </si>
  <si>
    <t>E(q(3,1)] =</t>
  </si>
  <si>
    <t>48-60 LDF =</t>
  </si>
  <si>
    <t>60 mo.</t>
  </si>
  <si>
    <t>Cumulative Paid Losses ($000</t>
  </si>
  <si>
    <t>Given the following for an insurer as of December 31, 2012:</t>
  </si>
  <si>
    <t>RF Shapland - 16</t>
  </si>
  <si>
    <t>Shapland - Heteroscedasticity Fix: Scale Parameter</t>
  </si>
  <si>
    <t>Shapland - Heteroscedasticity Fix: Standard Deviations</t>
  </si>
  <si>
    <t>&lt;-r*/h_1*sqrt(m_5,1)+m_5,1</t>
  </si>
  <si>
    <t>Sample Loss =</t>
  </si>
  <si>
    <t>Part d:</t>
  </si>
  <si>
    <t>Since 2016 at 12 months is in group 1, we must divide the sample hetero-adjusted residual by the hetero-adjustment factor for group 1 to remain consistent with the original distribution of the residuals</t>
  </si>
  <si>
    <t>Assume that the hetero-adjusted standardized residual for AY 2012 at 36 months is used to produce the sample incremental loss for AY 2016 at 12 months during the sampling process. Given a fitted loss of $175,000 for AY 2016 at 12 months, calculate the sample incremental loss using scale parameters.</t>
  </si>
  <si>
    <t>Assume that the hetero-adjusted standardized residual for AY 2012 at 36 months is used to produce the sample incremental loss for AY 2016 at 12 months during the sampling process. Given a fitted loss of $175,000 for AY 2016 at 12 months, calculate the sample incremental loss using variance parameters.</t>
  </si>
  <si>
    <t>Note that we could have used the shortcut formula for calculating the individual hetero-adjustment factors. But, I wanted to show the longer version to illustrate all calculations. See the shortcut formula in the example included in the outline</t>
  </si>
  <si>
    <t>Hetero-adj. resid =</t>
  </si>
  <si>
    <t>Calculate the hetero-adjusted standardized residual for AY 2012 at 36 months using scale parameters.</t>
  </si>
  <si>
    <t>Since 2012 at 36 months is in the second group, we apply h_2</t>
  </si>
  <si>
    <t>Calculate the hetero-adjusted standardized residual:</t>
  </si>
  <si>
    <t>Calculate the hetero-adjusted standardized residual for AY 2012 at 36 months using variance parameters.</t>
  </si>
  <si>
    <t>&lt;-sqrt(total scale)/sqrt(group 2 scale)</t>
  </si>
  <si>
    <t>h_2 =</t>
  </si>
  <si>
    <t>&lt;-sqrt(total scale)/sqrt(group 1 scale)</t>
  </si>
  <si>
    <t>h_1 =</t>
  </si>
  <si>
    <t>12-60</t>
  </si>
  <si>
    <t>36-60</t>
  </si>
  <si>
    <t>Calculate the hetero-adjustment factors:</t>
  </si>
  <si>
    <t>24-60</t>
  </si>
  <si>
    <t>12-36</t>
  </si>
  <si>
    <t>&lt;-(N/(N-p))*(sum(unscaled resids^2 for group 2))/number of data cells in group 2</t>
  </si>
  <si>
    <t>Group 2 Scale =</t>
  </si>
  <si>
    <t>&lt;-(N/(N-p))*(sum(unscaled resids^2 for group 1))/number of data cells in group 1</t>
  </si>
  <si>
    <t>Group 1 Scale =</t>
  </si>
  <si>
    <t>Calculate the scale parameters for each group:</t>
  </si>
  <si>
    <t>&lt;-sum(unscaled resids^2)/(N-p)</t>
  </si>
  <si>
    <t>Total scale param. =</t>
  </si>
  <si>
    <t>Standard Deviation of Standardized Residuals</t>
  </si>
  <si>
    <t>Development Period/Range</t>
  </si>
  <si>
    <t>&lt;-number of parameters (5 alphas, 4 betas, one hetero-adjustment factor)</t>
  </si>
  <si>
    <t>p =</t>
  </si>
  <si>
    <t>&lt;-number of data cells</t>
  </si>
  <si>
    <t>N =</t>
  </si>
  <si>
    <t>Standardized Residuals</t>
  </si>
  <si>
    <t>&lt;-stdev(total)/stdev(group 2)</t>
  </si>
  <si>
    <t>&lt;-stdev(total)/stdev(group 1)</t>
  </si>
  <si>
    <t>Based on the individual development period standard deviations, there are two reasonable groupings: 12 and 24-60</t>
  </si>
  <si>
    <t>Given the following information from a standard GLM with five accident year parameters and four development period parameters:</t>
  </si>
  <si>
    <t>RF Shapland - 17</t>
  </si>
  <si>
    <t>Explain why outliers cannot automatically be removed from the data.</t>
  </si>
  <si>
    <t>Briefly describe a plot that could be created to identify outliers.</t>
  </si>
  <si>
    <t>Briefly describe four other tests that could be run to test normality.</t>
  </si>
  <si>
    <t>Outliers cannot automatically be removed from the data because they may represents realistic extreme events. We should only remove points that are not expected to occur again</t>
  </si>
  <si>
    <t>Comment on the assumption that the residuals are normally distributed.</t>
  </si>
  <si>
    <r>
      <t xml:space="preserve">To identify outliers, a </t>
    </r>
    <r>
      <rPr>
        <b/>
        <sz val="12"/>
        <color theme="1"/>
        <rFont val="Calibri"/>
        <family val="2"/>
        <scheme val="minor"/>
      </rPr>
      <t>box-whisker plot</t>
    </r>
    <r>
      <rPr>
        <sz val="12"/>
        <color theme="1"/>
        <rFont val="Calibri"/>
        <family val="2"/>
        <scheme val="minor"/>
      </rPr>
      <t xml:space="preserve"> can be created. This plot shows the inter-quartile range and the median of the residuals. The whiskers extend to the largest values within three times the inter-quartile range. Values beyond the whiskers are considered outliers and are identified with a point</t>
    </r>
  </si>
  <si>
    <t>3) BIC: Penalizes a model for additional parameters. A low BIC value implies that the residuals are normally distributed</t>
  </si>
  <si>
    <t>3) AIC: Penalizes a model for additional parameters. A low AIC value implies that the residuals are normally distributed</t>
  </si>
  <si>
    <t>2) R^2: An R^2 value close to 1 implies that the residuals are normally distributed</t>
  </si>
  <si>
    <t>1) P-value: A p-value greater than 5% implies that the residuals are normally distributed</t>
  </si>
  <si>
    <t>Since the data points are tightly distributed around the diagonal line, we can assume that the residuals are normally distributed</t>
  </si>
  <si>
    <t>Given the following normality plot:</t>
  </si>
  <si>
    <t>RF Shapland - 18</t>
  </si>
  <si>
    <t>Newton-Raphson method</t>
  </si>
  <si>
    <t>beta_4</t>
  </si>
  <si>
    <t>beta_3</t>
  </si>
  <si>
    <t>beta_2</t>
  </si>
  <si>
    <t>alpha_4</t>
  </si>
  <si>
    <t>alpha_3</t>
  </si>
  <si>
    <t>alpha_2</t>
  </si>
  <si>
    <t>alpha_1</t>
  </si>
  <si>
    <t>ln[q(1,4)]</t>
  </si>
  <si>
    <t>ln[q(2,3)]</t>
  </si>
  <si>
    <t>ln[q(1,3)]</t>
  </si>
  <si>
    <t>ln[q(3,2)]</t>
  </si>
  <si>
    <t>ln[q(2,2)]</t>
  </si>
  <si>
    <t>ln[q(1,2)]</t>
  </si>
  <si>
    <t>ln[q(4,1)]</t>
  </si>
  <si>
    <t>ln[q(3,1)]</t>
  </si>
  <si>
    <t>ln[q(2,1)]</t>
  </si>
  <si>
    <t>ln[q(1,1)]</t>
  </si>
  <si>
    <t>Y = XA</t>
  </si>
  <si>
    <t>ln[q(1,4)] = alpha_1 + beta_2 + beta_3 + beta_4</t>
  </si>
  <si>
    <t>ln[q(2,3)] = alpha_2 + beta_2 + beta_3</t>
  </si>
  <si>
    <t>ln[q(1,3)] = alpha_1 + beta_2 + beta_3</t>
  </si>
  <si>
    <t>ln[q(3,2)] = alpha_3 + beta_2</t>
  </si>
  <si>
    <t>Identify a method for solving for the ⍺ and β parameters.</t>
  </si>
  <si>
    <t>ln[q(2,2)] = alpha_2 + beta_2</t>
  </si>
  <si>
    <t>ln[q(1,2)] = alpha_1 + beta_2</t>
  </si>
  <si>
    <t>ln[q(4,1)] = alpha_4</t>
  </si>
  <si>
    <t>Convert the system of equations into matrix notation.</t>
  </si>
  <si>
    <t>ln[q(3,1)] = alpha_3</t>
  </si>
  <si>
    <t>ln[q(2,1)] = alpha_2</t>
  </si>
  <si>
    <t>ln[q(1,1)] = alpha_1</t>
  </si>
  <si>
    <r>
      <t>A GLM is fit to a 4 x 4 incremental loss triangle. Specify the model using a system of equations with ⍺ and β parameters, where ⍺</t>
    </r>
    <r>
      <rPr>
        <vertAlign val="subscript"/>
        <sz val="12"/>
        <color theme="1"/>
        <rFont val="Calibri (Body)"/>
      </rPr>
      <t>1</t>
    </r>
    <r>
      <rPr>
        <sz val="12"/>
        <color theme="1"/>
        <rFont val="Calibri"/>
        <family val="2"/>
        <scheme val="minor"/>
      </rPr>
      <t xml:space="preserve"> &gt; 0 and β</t>
    </r>
    <r>
      <rPr>
        <vertAlign val="subscript"/>
        <sz val="12"/>
        <color theme="1"/>
        <rFont val="Calibri (Body)"/>
      </rPr>
      <t>1</t>
    </r>
    <r>
      <rPr>
        <sz val="12"/>
        <color theme="1"/>
        <rFont val="Calibri"/>
        <family val="2"/>
        <scheme val="minor"/>
      </rPr>
      <t xml:space="preserve"> = 0.</t>
    </r>
  </si>
  <si>
    <t>RF Shapland - 19</t>
  </si>
  <si>
    <t>2) Different correlation assumptions can be employed</t>
  </si>
  <si>
    <t>1) Works for residual triangles with different shapes/sizes</t>
  </si>
  <si>
    <t>Re-sorting</t>
  </si>
  <si>
    <t>2) Does not require a correlation matrix</t>
  </si>
  <si>
    <t>1) Can be easily implemented in a spreadsheet</t>
  </si>
  <si>
    <t>Location mapping</t>
  </si>
  <si>
    <t>Re-sorting - To induce correlation among business segments in a bootstrap model, re-sort the residuals for each business segment until the rank correlation between each segment matches the desired correlation</t>
  </si>
  <si>
    <t>Location mapping - Pick a business segment.  For each bootstrap iteration, sample a residual and then note where it belonged in the original residual triangle.  Then, sample each of the segments using the residuals at the same locations for their respective residual triangles.  This preserves the correlation of the original residuals in the sampling process</t>
  </si>
  <si>
    <t>Question #30</t>
  </si>
  <si>
    <t>We can create a total unpaid distribution histogram by dividing the range of all values generated from the simulation into 100 equally sized buckets, and then counting the number of simulations that fall within each bucket.  Since simulation results tend to appear jagged, a Kernel density function can be fit to the data to provide a smoothed distribution.  Each point of a Kernel density function is estimated by weighting all of the values near that point, with less weight given to points further away</t>
  </si>
  <si>
    <t>Question #29</t>
  </si>
  <si>
    <t>He can estimate the future variability in the loss ratio by using only the future simulated values to estimate the ultimate loss ratio (i.e. add the estimated unpaid losses to the actual cumulative losses to date)</t>
  </si>
  <si>
    <t>He can estimate the complete variability in the loss ratio by using all simulated values to estimate the ultimate loss ratio by accident year (rather than just using the values beyond the end of the historical triangle)</t>
  </si>
  <si>
    <t>Question #28</t>
  </si>
  <si>
    <t>4) Estimate TVaR</t>
  </si>
  <si>
    <t>3) Estimate extreme values</t>
  </si>
  <si>
    <t>2) Parameterize a DFA (dynamic financial analysis) model</t>
  </si>
  <si>
    <t>1) Assess the quality of the fit</t>
  </si>
  <si>
    <t>Question #27</t>
  </si>
  <si>
    <t>2) If the actuary believes that the shape of the distribution is appropriate but would like to  adjust the width, he/she can multiply the results by a factor to produce positive IBNR</t>
  </si>
  <si>
    <t>1) If the actuary believes that the shape and width of the distribution is appropriate, then he/she can add a fixed amount to the accident year to produce positive IBNR</t>
  </si>
  <si>
    <t>If negative IBNR is not reasonable for that particular LOB, then the weighted distributions can be "shifted."  The two approaches for shifting the results are as follows:</t>
  </si>
  <si>
    <t>Question #26</t>
  </si>
  <si>
    <t>Since the model iterations were run using different sets of random residuals, the actuary must use the weights to select a model for each simulated run.  For example, suppose 1000 iterations were run for the two models.  Since the AY 2013 weights are 25% and 75%, the actuary would sample 250 iterations from the chain-ladder model and 750 iterations from the BF model when developing the reserve distribution</t>
  </si>
  <si>
    <t>Question #25</t>
  </si>
  <si>
    <t>Run models with independent random variables - Each model is run with its own random variables. Once all of the models have been run, weights are used to select a model (for each iteration by accident year).The result is a weighted mixture of models</t>
  </si>
  <si>
    <t xml:space="preserve">Run models with the same random variables - Each model is run with the exact same random variables. Once all of the models have been run, the incremental values for each model are weighted together (for each iteration by accident year) </t>
  </si>
  <si>
    <t>Question #24</t>
  </si>
  <si>
    <t>2) The model may simply be overestimating the variability in the most recent years</t>
  </si>
  <si>
    <t>1) With an increasing number of parameters in the model, parameter uncertainty increases when moving from the oldest years to the most recent years.  This parameter uncertainty may overpower the process uncertainty, causing an increase in variability</t>
  </si>
  <si>
    <t>Question #23</t>
  </si>
  <si>
    <t>Simulated incremental mean table and simulated incremental standard deviation table</t>
  </si>
  <si>
    <t>Question #22</t>
  </si>
  <si>
    <t>4) The total standard error should be larger than any of the individual accident year standard errors</t>
  </si>
  <si>
    <t>3) The coefficients of variation for accident years 2011-2013 should be decreasing over time</t>
  </si>
  <si>
    <t>2) The estimates of unpaid claims for accident years 2011-2013 should be increasing over time</t>
  </si>
  <si>
    <t>1) The standard errors for accident years 2005-2008 should be increasing over time</t>
  </si>
  <si>
    <t>Question #21</t>
  </si>
  <si>
    <t>Question #20</t>
  </si>
  <si>
    <t>• If the diagnostics are comparable, then the model with less parameters is preferred  (principle of parsimony)</t>
  </si>
  <si>
    <t xml:space="preserve">• Run all of the standard diagnostics (normality plots, box-whisker plots, p-values,  implied development patterns, etc.) and compare them to the model with more parameters </t>
  </si>
  <si>
    <t>• Use trial and error to find a good fit to the data (i.e. add and remove parameters  until a good fit is found)</t>
  </si>
  <si>
    <t>• Start with the basic model which includes one parameter for accident, development  and calendar periods</t>
  </si>
  <si>
    <t>To test whether or not a model is over-parameterized, use the following steps:</t>
  </si>
  <si>
    <t>Question #19</t>
  </si>
  <si>
    <t>3) Guide the adjustment of the model parameters</t>
  </si>
  <si>
    <t>2) Gauge the quality of the model fit</t>
  </si>
  <si>
    <t>1) Test various assumptions in the model</t>
  </si>
  <si>
    <t>Question #18</t>
  </si>
  <si>
    <t>During the simulation process, we simply assume that the final development period parameter and/or calendar year parameter will continue to apply incrementally until its effect on the future incremental claims is negligible</t>
  </si>
  <si>
    <t>During the simulation process, a tail factor can be added to each sample triangle.  Since a single age-to-ultimate tail factor may not produce accurate future incremental values, the selected age-to-ultimate tail factor can be "extrapolated" using a decay model</t>
  </si>
  <si>
    <t>Question #17</t>
  </si>
  <si>
    <t>Partial last calendar period data -- occurs when the latest diagonal only has a six-month development period</t>
  </si>
  <si>
    <t>Partial first development period data -- occurs when the first development column has a different exposure period than the rest of the columns</t>
  </si>
  <si>
    <t>Heteroecthesious data refers to incomplete or uneven exposures at interim evaluation dates</t>
  </si>
  <si>
    <t>Question #16</t>
  </si>
  <si>
    <t>Since there are fewer residuals for older development periods, credibility decreases in the tail of the triangle.  It's important NOT to overreact to "apparent" heteroscedasticity in older development years</t>
  </si>
  <si>
    <t>We can fix this by dividing the resampled residuals by the corresponding hetero-adjustment factor when producing the sample triangles</t>
  </si>
  <si>
    <t>•  All groups now have the same standard deviation, and we can sample with replacement  from among ALL residuals</t>
  </si>
  <si>
    <t>•  Multiply all residuals in each group by the hetero-adjustment factor for that group</t>
  </si>
  <si>
    <t>•  Calculate the hetero-adjustment factor for each group as h_i = sqrt(total scale parameter)/scale parameter for group i</t>
  </si>
  <si>
    <t>•  Calculate scale parameters for each of the ``hetero" groups AND for all residuals combined</t>
  </si>
  <si>
    <t>•  Group development periods with homogeneous variances</t>
  </si>
  <si>
    <t>Scale parameters</t>
  </si>
  <si>
    <t>• All groups now have the same standard deviation, and we can sample with replacement  from among ALL residuals</t>
  </si>
  <si>
    <t>• Multiply all residuals in each group by the hetero-adjustment factor for that group</t>
  </si>
  <si>
    <t>• Calculate the hetero-adjustment factor for each group as h_i = stdev(all standardized resids)/ stdev(standardized resids for group i)</t>
  </si>
  <si>
    <t>• Calculate the standard deviation of the residuals in each of the ``hetero" groups AND the standard deviation of all residuals combined</t>
  </si>
  <si>
    <t>• Group development periods with homogeneous variances</t>
  </si>
  <si>
    <t>Variance parameters</t>
  </si>
  <si>
    <t>• Sample with replacement from the residuals in each group separately</t>
  </si>
  <si>
    <t>Stratified sampling</t>
  </si>
  <si>
    <t>For each method, identify two advantages.</t>
  </si>
  <si>
    <t>Heteroscedasticity -- residuals are independent, but NOT identically distributed</t>
  </si>
  <si>
    <t>Briefly describe two methods for including correlation between bootstrap distributions for different business segments.</t>
  </si>
  <si>
    <t>Homoscedasticity -- residuals are independent and identically distributed</t>
  </si>
  <si>
    <t>Question #15</t>
  </si>
  <si>
    <t>Describe the process for creating distribution graphs.  Include a discussion on kernel density functions.</t>
  </si>
  <si>
    <t>Briefly describe how the actuary can estimate the future variability in the loss ratio.</t>
  </si>
  <si>
    <t>When excluding the outlier, no corresponding residual will be calculated for the outlier.  Despite this, we must still sample for the entire triangle so that we can calculate cumulative values during the simulation process.  Unlike missing values, once the sample triangles are calculated, we should INCLUDE the cells corresponding to the outliers during the projection process (i.e. when calculating the age-to-age factors based on the sample triangles, the outlier cell should be included)</t>
  </si>
  <si>
    <t>Briefly describe how the actuary can estimate the complete variability in the loss ratio.</t>
  </si>
  <si>
    <t>Provide four reasons for fitting a curve to unpaid claim distributions.</t>
  </si>
  <si>
    <t>When excluding the missing value, no corresponding residual will be calculated for the missing value. Despite this, we must still sample for the entire triangle so that we can calculate cumulative values during the simulation process.  However, once the sample triangles are calculated, we should EXCLUDE the cells corresponding to the missing values from the projection process (i.e. when calculating the age-to-age factors based on the sample triangles, the missing value cell should be excluded)</t>
  </si>
  <si>
    <t>Weighting various model results may produce negative IBNR.  Describe two methods for adjusting the results for negative IBNR.</t>
  </si>
  <si>
    <t>Question #14</t>
  </si>
  <si>
    <t>Explain the process for developing a distribution of reserve outcomes for accident year 2013.</t>
  </si>
  <si>
    <t>2) Exclude the outliers when calculating the loss development factors</t>
  </si>
  <si>
    <t>1) Exclude the outliers completely</t>
  </si>
  <si>
    <t>Paid</t>
  </si>
  <si>
    <t>Year</t>
  </si>
  <si>
    <t>BF</t>
  </si>
  <si>
    <t>Chain-Ladder</t>
  </si>
  <si>
    <t>Accident</t>
  </si>
  <si>
    <t>3) If the missing value lies on the last diagonal, we can use the value in the second to last diagonal to construct the fitted triangle</t>
  </si>
  <si>
    <t xml:space="preserve">2) Exclude the missing value when calculating the loss development factors </t>
  </si>
  <si>
    <t>1) Estimate the missing value using surrounding values</t>
  </si>
  <si>
    <t>An actuary fit a chain-ladder model and a Bornhuetter/Ferguson model to paid loss data. Simulations were run using different sets of random residuals. He would like to combine the results using the following weights:</t>
  </si>
  <si>
    <t>Question #13</t>
  </si>
  <si>
    <t>Describe two methods for combining the results of multiple stochastic models.</t>
  </si>
  <si>
    <t>First, we calculate L-year average factors instead of all-year factors.  Then, we exclude the first few diagonals when calculating residuals.  However, when running the bootstrap simulations, we must still sample for the entire triangle so that we can calculate cumulative values.  We use L-year average factors for projecting the future expected values as well</t>
  </si>
  <si>
    <t>Provide two reasons why the coefficient of variation may rise in the most recent accident years.</t>
  </si>
  <si>
    <t>An actuary noticed a significant difference between historical incremental CoV's and projected incremental CoV's in his sample triangles.  Identify two diagnostic tables that may shed light  on the discrepancy.</t>
  </si>
  <si>
    <t>We use L years of data by excluding the first few diagonals in the triangle (which leaves us with L+1 included diagonals).  This changes the shape of the triangle to a trapezoid.  The excluded diagonals are given zero weight in the model and fewer calendar year parameters are required. When running the bootstrap simulations, we only need to resample residuals for the trapezoidal area underlying the original model. A GLM is fit to each sample trapezoid and the parameter sets are used to project future incremental losses (and hence, reserves)</t>
  </si>
  <si>
    <t>Identify three red flags in the table above.</t>
  </si>
  <si>
    <t>Question #12</t>
  </si>
  <si>
    <t>We can add a single constant to all residuals such that the sum of the shifted residuals is zero</t>
  </si>
  <si>
    <t>Argument against adjusting the residuals - The non-zero average of the residuals is a characteristic of the dataset</t>
  </si>
  <si>
    <t>of Variation</t>
  </si>
  <si>
    <t>Error</t>
  </si>
  <si>
    <t>Claims</t>
  </si>
  <si>
    <t>Claims to Date</t>
  </si>
  <si>
    <t>Standard</t>
  </si>
  <si>
    <t>Mean Unpaid</t>
  </si>
  <si>
    <t>Actual</t>
  </si>
  <si>
    <t>Argument for adjusting the residuals - If the average of the residuals is positive, then re-sampling from the residuals will add variability to the resampled incremental losses.  It may also cause 
the resampled incremental losses to have an average greater than the fitted loss</t>
  </si>
  <si>
    <t>Given the following output from a bootstrap model:</t>
  </si>
  <si>
    <t>Question #11</t>
  </si>
  <si>
    <t>This involves replacing negative incremental values with zeroes in the original triangles, zeroes in the sampled triangles OR zeroes in the projected future incremental losses.  We can also replace negative incremental losses with zeroes based on their development column</t>
  </si>
  <si>
    <t>3) Limit incremental losses to zero</t>
  </si>
  <si>
    <t>Describe the process for determining if a model is over-parameterized.</t>
  </si>
  <si>
    <t>Identify the source of the negative incremental losses and remove it if necessary. For example, if the first row has negative incremental values due to sparse data, remove it and reparameterize the model</t>
  </si>
  <si>
    <t>In order to assess the quality of a stochastic model, various diagnostic tests should be run. Identify three purposes of using diagnostic tools.</t>
  </si>
  <si>
    <t>2) Recalibrate the model</t>
  </si>
  <si>
    <t>Only remove unreasonable extreme iterations so that the probability of extreme outcomes is not understated</t>
  </si>
  <si>
    <t>Describe how tail factors can be included in the GLM bootstrap model during the simulation process.</t>
  </si>
  <si>
    <t>1) Identify the extreme iterations and remove them</t>
  </si>
  <si>
    <t>Describe how tail factors can be included in the ODP bootstrap model during the simulation process.</t>
  </si>
  <si>
    <t>Question #10</t>
  </si>
  <si>
    <t>To deal with this issue, we start with a model with one alpha parameter, one beta parameter and one gamma parameter.  We then add and remove parameters as needed</t>
  </si>
  <si>
    <t>Briefly describe two types of heteroecthesious data.</t>
  </si>
  <si>
    <t>Define heteroecthesious data.</t>
  </si>
  <si>
    <t>By including calendar year trends, the system of equations underlying the GLM no longer has a unique solution</t>
  </si>
  <si>
    <t>Question #9</t>
  </si>
  <si>
    <t>Briefly describe the interaction between heteroscedasticity and credibility.</t>
  </si>
  <si>
    <t>2) The model is no longer directly explainable to others using age-to-age factors</t>
  </si>
  <si>
    <t>1) The GLM must be solved for each iteration of the bootstrap model, which may slow down the simulation</t>
  </si>
  <si>
    <t>One problem with using hetero-adjustment factors is that they alter the original distribution of residuals.  Briefly describe how to overcome this.</t>
  </si>
  <si>
    <t>Describe three options when adjusting residuals for heteroscedasticity.</t>
  </si>
  <si>
    <t>4) Allows us to match the model parameters to the statistical features found in the data, and to extrapolate those features</t>
  </si>
  <si>
    <t>Explain the difference between homoscedastic residuals and heteroscedastic residuals.</t>
  </si>
  <si>
    <t>3) Gives us the ability to model data shapes other than triangles</t>
  </si>
  <si>
    <t>2) Gives us the ability to add parameters for calendar year trends</t>
  </si>
  <si>
    <t xml:space="preserve">1) Using fewer parameters helps avoid over-parameterizing the model  </t>
  </si>
  <si>
    <t>Question #8</t>
  </si>
  <si>
    <t>An actuary decides to exclude an outlier during the initial model fit.  Describe how the outlier is handled during the residual sampling process AND the sample triangle projection process assuming the data was fit using the ODP bootstrap model.</t>
  </si>
  <si>
    <t>In addition to specifying a priori loss ratios for the Bornhuetter/Ferguson method, we can add a vector of standard deviations to go with these means.  We can then assume a distribution
and simulate a different a priori loss ratio for every iteration of the model</t>
  </si>
  <si>
    <t>An actuary decides to exclude a missing value during the initial model fit.  Describe how the missing value is handled during the residual sampling process AND the sample triangle projection process assuming the data was fit using the ODP bootstrap model.</t>
  </si>
  <si>
    <t>Bornhuetter/Ferguson method</t>
  </si>
  <si>
    <t>Briefly describe two approaches to managing outliers in the loss triangle when constructing the initial fitted triangle assuming the data was fit using the ODP bootstrap model.</t>
  </si>
  <si>
    <t>Question #7</t>
  </si>
  <si>
    <t>Approach 2 -- Explicitly measures the correlation between paid and incurred losses</t>
  </si>
  <si>
    <t>Briefly describe three approaches to managing missing values in the loss triangle when constructing the initial fitted triangle assuming the data was fit using the ODP bootstrap model.</t>
  </si>
  <si>
    <t>Approach 1 -- Allows us to use the case reserves to help predict the ultimate losses, while still focusing on the payment stream for measuring risk</t>
  </si>
  <si>
    <t>ODP bootstrap model</t>
  </si>
  <si>
    <t>GLM bootstrap model</t>
  </si>
  <si>
    <t>Approach 2 - Apply the ODP bootstrap to the Munich chain-ladder (MCL) model.  The MCL uses the inherent relationship/correlation between paid and incurred losses to predict ultimate losses.  When paid losses are low relative to incurred losses, then future paid loss development tends to be higher than average.  When paid losses are high relative to incurred losses, then future paid loss development tends to be lower than average</t>
  </si>
  <si>
    <t>Describe the process for using an L-year weighted average of losses when bootstrapping under the following frameworks:</t>
  </si>
  <si>
    <t>If the decision is made to adjust the residuals to an overall mean of zero, explain the process for doing so.</t>
  </si>
  <si>
    <t>Approach 1 -- Run a paid data model in conjunction with the incurred data model.  Then, we use the random payment pattern from each iteration of the paid data model to convert the ultimate values from each corresponding incurred model iteration to develop paid losses by 
accident year</t>
  </si>
  <si>
    <t>Discuss the arguments for and against adjusting the residuals to an overall mean of zero.</t>
  </si>
  <si>
    <t>Bootstrapping paid data provides a distribution of possible outcomes for total unpaid claims. Bootstrapping incurred data provides a distribution of possible outcomes for IBNR</t>
  </si>
  <si>
    <t>zero.</t>
  </si>
  <si>
    <t>The over-dispersed Poisson model assumes that residuals are identically distributed with mean</t>
  </si>
  <si>
    <t>Question #6</t>
  </si>
  <si>
    <t>Negative incremental values can cause extreme outcomes in early development periods. In particular, they can cause large age-to-age factors. Describe three options for dealing with these extreme outcomes.</t>
  </si>
  <si>
    <t>The degrees of freedom bias correction does not create standardized residuals.  This is important because standardized residuals ensure that each residual has the same variance.  In order to calculate the standardized residuals, a hat matrix adjustment factor must be applied to the unscaled Pearson residuals</t>
  </si>
  <si>
    <t>Explain how this problem can be remedied.</t>
  </si>
  <si>
    <t>Provide a disadvantage to including calendar year trends in the over-dispersed Poisson model.</t>
  </si>
  <si>
    <t>2) The Pearson residuals could be multiplied by the degrees of freedom adjustment factor to correct for a bias in the residuals</t>
  </si>
  <si>
    <t>1) The distribution of reserve point estimates from the sample triangles could be multiplied by the degrees of freedom adjustment factor to allow for over-dispersion of the residuals in the sampling process</t>
  </si>
  <si>
    <t>Identify two disadvantages to generalizing the over-dispersed Poisson model.</t>
  </si>
  <si>
    <t>Question #5</t>
  </si>
  <si>
    <t>Identify four advantages to generalizing the over-dispersed Poisson model.</t>
  </si>
  <si>
    <t>This is an advantage since the distributional form of the residuals will flow through the simulation process</t>
  </si>
  <si>
    <t>The over-dispersed Poisson model can be generalized by specifying fewer parameters.</t>
  </si>
  <si>
    <t>Explain how this method can be made stochastic.</t>
  </si>
  <si>
    <t>The residual sampling process assumes that the residuals are independent and identically distributed. However, it does NOT require the residuals to be normally distributed</t>
  </si>
  <si>
    <t>Identify one deterministic method for reducing the variability in the extrapolation of future incremental values.</t>
  </si>
  <si>
    <t>Question #4</t>
  </si>
  <si>
    <t>Variance = phi*mean</t>
  </si>
  <si>
    <t>Mean = future incremental loss</t>
  </si>
  <si>
    <t>Provide one advantage for each of the approaches described in part b. above.</t>
  </si>
  <si>
    <t>Describe two approaches for modeling an unpaid loss distribution using incurred data.</t>
  </si>
  <si>
    <t>When simulating the future incremental values for each sample triangle, replace the incremental values with random values from a gamma distribution with the following mean and variance:</t>
  </si>
  <si>
    <t>Discuss the difference between bootstrapping paid data and bootstrapping incurred data.</t>
  </si>
  <si>
    <t>• Iterate through this process to create a distribution of reserves for each accident year</t>
  </si>
  <si>
    <t>• Calculate the reserve point estimate for each accident year using the projected data</t>
  </si>
  <si>
    <t>• Project the sample cumulative data to ultimate using the chain-ladder method</t>
  </si>
  <si>
    <t>• Accumulate the sample incremental triangle to create a sample cumulative triangle</t>
  </si>
  <si>
    <t>Identify a downfall of the degrees of freedom adjustment factor and state how the issue can remedied.</t>
  </si>
  <si>
    <t>• Create a sample incremental triangle using the random residual triangle</t>
  </si>
  <si>
    <t>• Create a triangle of random residuals by sampling with replacement from the set of non-zero residuals</t>
  </si>
  <si>
    <t>Briefly describe two uses of the degrees of freedom adjustment factor.</t>
  </si>
  <si>
    <t>• Calculate the residuals between the fitted incremental claims and the actual incremental claims</t>
  </si>
  <si>
    <t>• Calculate the fitted incremental claims using the GLM or ODP bootstrap models</t>
  </si>
  <si>
    <t>Explain why these assumptions are advantageous.</t>
  </si>
  <si>
    <t>Question #3</t>
  </si>
  <si>
    <t>Identify the assumptions underlying the residual sampling process.</t>
  </si>
  <si>
    <t>3) In general, the log link function does not work for negative incremental claims.  Using link ratios remedies this problem</t>
  </si>
  <si>
    <t>2) The use of the age-to-age factors serves as a bridge to the deterministic framework.  This allows the model to be more easily explained</t>
  </si>
  <si>
    <t>Briefly describe how process variance can be included in the simulation of of future values.</t>
  </si>
  <si>
    <t>1) A simple link ratio algorithm can be used in place of the more complicated GLM algorithm, while still maintaining an underlying GLM framework</t>
  </si>
  <si>
    <t>Fully describe the bootstrapping process. Assume the data not require any modifications AND that process variance is not included in the simulation of future values.</t>
  </si>
  <si>
    <t>If we start with the latest diagonal and divide backwards successively by each age-to-age factor, we obtain fitted cumulative claims.  Using subtraction, the fitted cumulative claims can be used to determine the fitted incremental claims.  These fitted incremental claims exactly match those obtained using the over-dispersed Poisson model</t>
  </si>
  <si>
    <t>Briefly describe three important outcomes from this relationship.</t>
  </si>
  <si>
    <t>Question #2</t>
  </si>
  <si>
    <t>Describe how using the over-dispersed Poisson model to model incremental claims relates a GLM to the standard chain-ladder method.</t>
  </si>
  <si>
    <t>They are more complex than other models and more time consuming to create</t>
  </si>
  <si>
    <t>2) They are able to reflect the general skewness of insurance losses</t>
  </si>
  <si>
    <t>Provide one disadvantage of bootstrapping.</t>
  </si>
  <si>
    <t>1) They allow us to calculate how likely it is that the ultimate value of the claims will exceed a certain amount</t>
  </si>
  <si>
    <t>Provide two advantages of bootstrapping.</t>
  </si>
  <si>
    <t>Question #1</t>
  </si>
  <si>
    <t>Solutions -&gt;</t>
  </si>
  <si>
    <t>RF Shapland - Essay Problems</t>
  </si>
  <si>
    <t>0.5 point</t>
  </si>
  <si>
    <t>0.75 point</t>
  </si>
  <si>
    <t>Part b.</t>
  </si>
  <si>
    <t>Part a.</t>
  </si>
  <si>
    <t>Points:</t>
  </si>
  <si>
    <t>Q #7</t>
  </si>
  <si>
    <t>Exam 7</t>
  </si>
  <si>
    <t>Source:</t>
  </si>
  <si>
    <t xml:space="preserve">Shapland – Negative Incremental Values </t>
  </si>
  <si>
    <t xml:space="preserve">Shapland – Over-Dispersed Poisson GLM Setup 
</t>
  </si>
  <si>
    <t>Log-Link Triangle</t>
  </si>
  <si>
    <t>Adjusted Incremental Loss</t>
  </si>
  <si>
    <t xml:space="preserve">Ψ = </t>
  </si>
  <si>
    <t>The greatest negative value is -30,000, so shift all the incremental losses up by 30,000:</t>
  </si>
  <si>
    <t>Part c.</t>
  </si>
  <si>
    <t>the GLM's fitted values.</t>
  </si>
  <si>
    <t>be used to solve for the parameters of the GLM and briefly describe how to then modify</t>
  </si>
  <si>
    <t>For the revised triangle described in part b. above, construct a log-link triangle that can</t>
  </si>
  <si>
    <t>The log-link function fails for negative incremental losses. The 24-mo column of development is negative (sums to -5,000), so we can’t simply use the –ln(abs(IncLoss)) as a work-around.</t>
  </si>
  <si>
    <t>the obstacles to setting up and solving a GLM bootstrap model for this revised triangle.</t>
  </si>
  <si>
    <t>instead of $225,000 and that all other cumulative values stay the same. Briefly explain</t>
  </si>
  <si>
    <t>Now assume that the 2010 cumulative reported loss value at 24 months is $170,000</t>
  </si>
  <si>
    <t>Construct a log-link triangle that can be used to solve for the GLM parameters.</t>
  </si>
  <si>
    <t>Incremental Loss</t>
  </si>
  <si>
    <t>Cumulative Reported Loss</t>
  </si>
  <si>
    <r>
      <t>ln(</t>
    </r>
    <r>
      <rPr>
        <u/>
        <sz val="11"/>
        <color theme="1"/>
        <rFont val="Arial"/>
        <family val="2"/>
      </rPr>
      <t>IncLoss)</t>
    </r>
  </si>
  <si>
    <t>building a generalized linear model (GLM) based on incremental loss.</t>
  </si>
  <si>
    <t>The following cumulative reported loss triangle is to be used in a bootstrap process, by</t>
  </si>
  <si>
    <t>Spring 2013</t>
  </si>
  <si>
    <t>This problem refers to the issues in section 4 from the Shapland and Leong paper. A number of different data issues could be used:
 • Negative incremental values (in the original data or during simulation)
 • Non-zero sum of residuals
 • Using an n-year weighted average
 • Missing values
 • Outliers
 • Heteroscedasticity
 • Heteroecthesious data (data at partial development or calendar periods)
 • Exposures changing significantly over the years
 • Lack of extreme residuals – need to parameterize a distribution of residuals
According to the Examiners’ Report, common errors include:
 • Providing multiple aspects of the same data issue 
 • Mismatching adjustments between different data issues
 • Incomplete responses – e.g. if you mention an adjustment that requires applying a factor, you need to also mention the removal of the factor after fitting or sampling the model.</t>
  </si>
  <si>
    <t>Identify four common data issues associated with applying an over-dispersed Poisson</t>
  </si>
  <si>
    <r>
      <rPr>
        <b/>
        <sz val="12"/>
        <color theme="1"/>
        <rFont val="Calibri"/>
        <family val="2"/>
        <scheme val="minor"/>
      </rPr>
      <t>Negative incremental values in the triangle</t>
    </r>
    <r>
      <rPr>
        <sz val="12"/>
        <color theme="1"/>
        <rFont val="Calibri"/>
        <family val="2"/>
        <scheme val="minor"/>
      </rPr>
      <t xml:space="preserve">
• If the sum of incremental losses in the development column is still positive, calculate the log link triangle using                                                           
</t>
    </r>
    <r>
      <rPr>
        <b/>
        <sz val="12"/>
        <color theme="1"/>
        <rFont val="Calibri"/>
        <family val="2"/>
        <scheme val="minor"/>
      </rPr>
      <t xml:space="preserve">
Heteroscedasticity
</t>
    </r>
    <r>
      <rPr>
        <sz val="12"/>
        <color theme="1"/>
        <rFont val="Calibri"/>
        <family val="2"/>
        <scheme val="minor"/>
      </rPr>
      <t xml:space="preserve">• Use stratified sampling by grouping development periods with similar variances of residuals and sampling with replacement residuals from within the appropriate group.
</t>
    </r>
    <r>
      <rPr>
        <b/>
        <sz val="12"/>
        <color theme="1"/>
        <rFont val="Calibri"/>
        <family val="2"/>
        <scheme val="minor"/>
      </rPr>
      <t xml:space="preserve">
Missing Values</t>
    </r>
    <r>
      <rPr>
        <sz val="12"/>
        <color theme="1"/>
        <rFont val="Calibri"/>
        <family val="2"/>
        <scheme val="minor"/>
      </rPr>
      <t xml:space="preserve">
• Estimate missing values from surrounding values or ignore the missing value when calculating LDFs.
</t>
    </r>
    <r>
      <rPr>
        <b/>
        <sz val="12"/>
        <color theme="1"/>
        <rFont val="Calibri"/>
        <family val="2"/>
        <scheme val="minor"/>
      </rPr>
      <t xml:space="preserve">
Exposures changing significantly over the years</t>
    </r>
    <r>
      <rPr>
        <sz val="12"/>
        <color theme="1"/>
        <rFont val="Calibri"/>
        <family val="2"/>
        <scheme val="minor"/>
      </rPr>
      <t xml:space="preserve">
• Divide the claim data by exposures for each exposure year and run the bootstrap model. After the process variance step, multiply the results by the exposures by year.</t>
    </r>
  </si>
  <si>
    <t>Spring 2014</t>
  </si>
  <si>
    <t>Also acceptable:
• The mean reserve should increase moving from older to more recent accident years. 
   ⇾ This is true in the results.
According to the Examiners’ Report, this answer wasn’t accepted:
• The total standard error should be less than the sum of the individual standard errors. 
   ⇾ This is true, but will also be true for an unreasonable model.
This problem is from section 5.5 of the Shapland paper.  The rest of section 5 discusses other diagnostics that you should be familiar with.</t>
  </si>
  <si>
    <t>Use four diagnostic tests to evaluate the model for reasonableness.</t>
  </si>
  <si>
    <t xml:space="preserve">Total </t>
  </si>
  <si>
    <t>Coefficient 
of Variation</t>
  </si>
  <si>
    <t>Standard 
Error</t>
  </si>
  <si>
    <t>Mean 
Unpaid</t>
  </si>
  <si>
    <t>Accident 
Year</t>
  </si>
  <si>
    <t>Given the following output ($000) from a paid chain-ladder generalized linear model:</t>
  </si>
  <si>
    <r>
      <t xml:space="preserve">• Standard error should increase from older to more recent accident years because the standard error should follow the size of the increasing unpaid loss reserve. 
   ⇾ </t>
    </r>
    <r>
      <rPr>
        <sz val="12"/>
        <color theme="1"/>
        <rFont val="Calibri (Body)"/>
      </rPr>
      <t>This is true for 2008 to 2012.</t>
    </r>
    <r>
      <rPr>
        <sz val="12"/>
        <color theme="1"/>
        <rFont val="Calibri"/>
        <family val="2"/>
        <scheme val="minor"/>
      </rPr>
      <t xml:space="preserve">
• The total, all-year standard error should be larger than the standard error for any individual year. 
   ⇾ This is true in the results.
• The CV should decrease moving from older to more recent accident years, with the possible exception of the most recent year (where parameter uncertainty might overpower process uncertainty). This is because older years have a smaller loss reserve and there are few claims payments remaining. 
   ⇾ This is true in the results.
• The CV of the total reserve should be less than any individual year because the model assumes accident years are independent. 
   ⇾ This fails in the results since the CV of 2011 is less than the total CV.</t>
    </r>
  </si>
  <si>
    <t>Q #9</t>
  </si>
  <si>
    <t>Describe two procedures for adjusting for heteroscedasticity.</t>
  </si>
  <si>
    <t>1 point</t>
  </si>
  <si>
    <t>model.</t>
  </si>
  <si>
    <t>Describe why it is important to adjust for heteroscedasticity when using a bootstrap</t>
  </si>
  <si>
    <t>presence or absence of heteroscedasticity.</t>
  </si>
  <si>
    <t>For each graph, briefly discuss whether the illustrated residuals demonstrate the</t>
  </si>
  <si>
    <r>
      <rPr>
        <sz val="12"/>
        <color rgb="FF000000"/>
        <rFont val="Calibri"/>
        <family val="2"/>
      </rPr>
      <t xml:space="preserve">• </t>
    </r>
    <r>
      <rPr>
        <b/>
        <sz val="12"/>
        <color rgb="FF000000"/>
        <rFont val="Calibri"/>
        <family val="2"/>
        <scheme val="minor"/>
      </rPr>
      <t>Hetero Adjustment</t>
    </r>
    <r>
      <rPr>
        <sz val="12"/>
        <color rgb="FF000000"/>
        <rFont val="Calibri"/>
        <family val="2"/>
        <scheme val="minor"/>
      </rPr>
      <t xml:space="preserve"> – Group residuals with similar variances. Divide the total residual standard deviation by the standard deviation for each group to get each group’s hetero-factor. Multiply residuals by the factor for each group to get all residuals to the same variance level. Then, sample residuals from the entire triangle and back out the adjustment.</t>
    </r>
  </si>
  <si>
    <r>
      <rPr>
        <sz val="12"/>
        <color rgb="FF000000"/>
        <rFont val="Calibri"/>
        <family val="2"/>
      </rPr>
      <t xml:space="preserve">• </t>
    </r>
    <r>
      <rPr>
        <b/>
        <sz val="12"/>
        <color rgb="FF000000"/>
        <rFont val="Calibri"/>
        <family val="2"/>
        <scheme val="minor"/>
      </rPr>
      <t>Stratified Sampling</t>
    </r>
    <r>
      <rPr>
        <sz val="12"/>
        <color rgb="FF000000"/>
        <rFont val="Calibri"/>
        <family val="2"/>
        <scheme val="minor"/>
      </rPr>
      <t xml:space="preserve"> – Group periods together with similar residual variance and only sample residuals from the corresponding group for the model.</t>
    </r>
  </si>
  <si>
    <t>The bootstrap model assumes residuals are iid so that residuals can be sampled from the entire triangle. Heteroscedasticity violates this since some areas in the triangle have more variance of residuals than others.</t>
  </si>
  <si>
    <r>
      <rPr>
        <sz val="12"/>
        <color rgb="FF000000"/>
        <rFont val="Calibri"/>
        <family val="2"/>
      </rPr>
      <t xml:space="preserve">• </t>
    </r>
    <r>
      <rPr>
        <sz val="12"/>
        <color rgb="FF000000"/>
        <rFont val="Calibri"/>
        <family val="2"/>
        <scheme val="minor"/>
      </rPr>
      <t>Heteroscedasticity in development period graph since residuals show less variance in later development periods.</t>
    </r>
  </si>
  <si>
    <r>
      <rPr>
        <sz val="12"/>
        <color rgb="FF000000"/>
        <rFont val="Calibri"/>
        <family val="2"/>
      </rPr>
      <t xml:space="preserve">• </t>
    </r>
    <r>
      <rPr>
        <sz val="12"/>
        <color rgb="FF000000"/>
        <rFont val="Calibri"/>
        <family val="2"/>
        <scheme val="minor"/>
      </rPr>
      <t>No heteroscedasticity in AY graph since residuals are random around zero with constant variance.</t>
    </r>
  </si>
  <si>
    <t>Given the following residual graphs from an over-dispersed Poisson (ODP) bootstrap model:</t>
  </si>
  <si>
    <t>Q #10</t>
  </si>
  <si>
    <t>Spring 2015</t>
  </si>
  <si>
    <t>•  Adjustment - Remove year 1 from the triangle</t>
  </si>
  <si>
    <t>There seems to be missing data (i.e. zeroes) for year 1 starting at age 3</t>
  </si>
  <si>
    <t>Other acceptable solutions:</t>
  </si>
  <si>
    <t>the data might be adjusted to improve modeling results.</t>
  </si>
  <si>
    <t>For each of the three issues identified in part a. and part b. above, briefly describe how</t>
  </si>
  <si>
    <t>Identify two additional issues with the data that may impact modeling results.</t>
  </si>
  <si>
    <t>Identify an issue with the data that would cause model failure if left unadjusted.</t>
  </si>
  <si>
    <t>0.25 point</t>
  </si>
  <si>
    <r>
      <t xml:space="preserve">•  </t>
    </r>
    <r>
      <rPr>
        <b/>
        <sz val="12"/>
        <color theme="1"/>
        <rFont val="Calibri"/>
        <family val="2"/>
        <scheme val="minor"/>
      </rPr>
      <t>Sum on incrementals is negative</t>
    </r>
    <r>
      <rPr>
        <sz val="12"/>
        <color theme="1"/>
        <rFont val="Calibri"/>
        <family val="2"/>
        <scheme val="minor"/>
      </rPr>
      <t xml:space="preserve"> - Add 50k to all incremental values, solve the GLM, then subtract 50k from the modeled result.
•  </t>
    </r>
    <r>
      <rPr>
        <b/>
        <sz val="12"/>
        <color theme="1"/>
        <rFont val="Calibri"/>
        <family val="2"/>
        <scheme val="minor"/>
      </rPr>
      <t>Increased exposures from 1 to 2 years</t>
    </r>
    <r>
      <rPr>
        <sz val="12"/>
        <color theme="1"/>
        <rFont val="Calibri"/>
        <family val="2"/>
        <scheme val="minor"/>
      </rPr>
      <t xml:space="preserve"> - If earned exposure data is available, divide the whole loss triangle by exposures and model pure premium instead of losses.
•  </t>
    </r>
    <r>
      <rPr>
        <b/>
        <sz val="12"/>
        <color theme="1"/>
        <rFont val="Calibri"/>
        <family val="2"/>
        <scheme val="minor"/>
      </rPr>
      <t>Outliers</t>
    </r>
    <r>
      <rPr>
        <sz val="12"/>
        <color theme="1"/>
        <rFont val="Calibri"/>
        <family val="2"/>
        <scheme val="minor"/>
      </rPr>
      <t xml:space="preserve"> - Could exclude the outlier from the model if we think it’s really an outlier. Or treat it as missing and estimate it from surrounding values.</t>
    </r>
  </si>
  <si>
    <r>
      <rPr>
        <sz val="12"/>
        <color rgb="FF000000"/>
        <rFont val="Calibri"/>
        <family val="2"/>
      </rPr>
      <t xml:space="preserve">•  </t>
    </r>
    <r>
      <rPr>
        <sz val="12"/>
        <color rgb="FF000000"/>
        <rFont val="Calibri"/>
        <family val="2"/>
        <scheme val="minor"/>
      </rPr>
      <t>Year 1 appears to have a different exposure level.
•  Year 4 age 2 appears to be an outlier.</t>
    </r>
  </si>
  <si>
    <t>Age 5</t>
  </si>
  <si>
    <t xml:space="preserve">Age 4 </t>
  </si>
  <si>
    <t xml:space="preserve"> Age 3 </t>
  </si>
  <si>
    <t>Age 2</t>
  </si>
  <si>
    <t xml:space="preserve">Age 1 </t>
  </si>
  <si>
    <t xml:space="preserve">Year </t>
  </si>
  <si>
    <t>Poisson error function on the following dataset of incremental reported loss values ($000).</t>
  </si>
  <si>
    <t>The sum of incremental values for Age 4 is negative.</t>
  </si>
  <si>
    <t>An insurer is doing bootstrapping using a GLM with a log-link function and an over dispersed</t>
  </si>
  <si>
    <t>Q #11</t>
  </si>
  <si>
    <t>Shapland – Negative Incremental Values</t>
  </si>
  <si>
    <t>Since the sum of the column is negative, we should use modification 2 above (otherwise, the GLM will fail because a negative variance would be calculated).</t>
  </si>
  <si>
    <t>Sum</t>
  </si>
  <si>
    <t>12-24mo</t>
  </si>
  <si>
    <t>method to use on this data set.</t>
  </si>
  <si>
    <t>Explain which of the two methods identified in part a. above is the more appropriate</t>
  </si>
  <si>
    <t>Subtract the largest negative from each incremental loss and fit the GLM using the modified triangle. Once fitted losses are produced, add the largest negative to each fitted incremental loss to put it on the same basis as the original triangle</t>
  </si>
  <si>
    <t>Months</t>
  </si>
  <si>
    <t xml:space="preserve">Months </t>
  </si>
  <si>
    <t>Modification 2 (column sum is negative):</t>
  </si>
  <si>
    <t>After adjusting the log-link triangle, proceed normally with the rest of the bootstrap model.</t>
  </si>
  <si>
    <t>GLM bootstrapping model:</t>
  </si>
  <si>
    <t>Given the following cumulative development triangle of reported losses to be used in a</t>
  </si>
  <si>
    <t>-ln(abs(q(w,d))) for q(w,d) &lt; 0</t>
  </si>
  <si>
    <t>0 for q(w,d) = 0</t>
  </si>
  <si>
    <t>model. Describe two modifications to the log-link function that address this issue.</t>
  </si>
  <si>
    <t>ln(q(w,d)) for q(w,d) &gt; 0</t>
  </si>
  <si>
    <t>function used in the GLM framework will fail to yield values usable to parameterize the</t>
  </si>
  <si>
    <t>When there are negative incremental values in loss development data, the log-link</t>
  </si>
  <si>
    <t>Modification 1 (column sum is positive):</t>
  </si>
  <si>
    <t>Q #12</t>
  </si>
  <si>
    <t>Spring 2016</t>
  </si>
  <si>
    <t>Assuming the residuals are weighted residuals, the reasoning is not sound.  Weighted residuals are found by dividing the raw residual by the square root of its variance. Assuming model assumptions are appropriate, the weighted residuals should not show varied dispersion of residuals (i.e. non-constant variance).</t>
  </si>
  <si>
    <t>Assess the validity of the actuary's reasoning.</t>
  </si>
  <si>
    <t>development periods and hence these incremental values should have a higher variance.</t>
  </si>
  <si>
    <t>•  Outliers in the residuals</t>
  </si>
  <si>
    <t>this is to be expected, because the incremental values are much larger in the earlier</t>
  </si>
  <si>
    <t>•  Non-constant variance (residuals become more dispersed as we move along periods)</t>
  </si>
  <si>
    <t>residuals appear to have larger absolute values at lower maturities. The actuary argues</t>
  </si>
  <si>
    <t>•  A non-random pattern in the residuals (such as a downward trend)</t>
  </si>
  <si>
    <t>In reviewing the plot of residuals vs. development periods, the actuary notices that the</t>
  </si>
  <si>
    <t>Any two of the following:</t>
  </si>
  <si>
    <t>to adjust the model.</t>
  </si>
  <si>
    <t>Briefly describe two features of residual plots that would suggest a need for the actuary</t>
  </si>
  <si>
    <t>•  Box and Whisker Plot</t>
  </si>
  <si>
    <t>•  Normality Plot</t>
  </si>
  <si>
    <t>Identify two other residual plots the actuary might choose to review.</t>
  </si>
  <si>
    <t>•  Residuals vs. Size of Loss (Prior Cumulative or Expected Incremental)</t>
  </si>
  <si>
    <t>•  Residuals vs. calendar year</t>
  </si>
  <si>
    <t>•  Residuals vs. accident year</t>
  </si>
  <si>
    <t>The actuary chooses to review a plot of the residuals vs. development periods.</t>
  </si>
  <si>
    <t>An actuary is reviewing residual plots from an over-dispersed Poisson bootstrapping model.</t>
  </si>
  <si>
    <t>Q #13</t>
  </si>
  <si>
    <t>technique to estimate variance of unpaid claim estimates.</t>
  </si>
  <si>
    <t>Explain why heteroscedastic residuals might cause issues when using a bootstrapping</t>
  </si>
  <si>
    <t>between 12 and 24 months for the sample under consideration.</t>
  </si>
  <si>
    <t>Calculate the actuary's sampled incremental losses for accident years 2012-2014</t>
  </si>
  <si>
    <t>2.25 points</t>
  </si>
  <si>
    <t>4, 3</t>
  </si>
  <si>
    <t>1, 3</t>
  </si>
  <si>
    <t>5, 1</t>
  </si>
  <si>
    <t>(row, column)</t>
  </si>
  <si>
    <t>Index</t>
  </si>
  <si>
    <t>Residual</t>
  </si>
  <si>
    <t>Sample</t>
  </si>
  <si>
    <t>Given the following residual index values from one iteration of the sampling algorithm:</t>
  </si>
  <si>
    <t>algorithm.</t>
  </si>
  <si>
    <r>
      <rPr>
        <b/>
        <sz val="12"/>
        <color theme="1"/>
        <rFont val="Calibri"/>
        <family val="2"/>
        <scheme val="minor"/>
      </rPr>
      <t xml:space="preserve">Part b </t>
    </r>
    <r>
      <rPr>
        <sz val="12"/>
        <color theme="1"/>
        <rFont val="Calibri"/>
        <family val="2"/>
        <scheme val="minor"/>
      </rPr>
      <t>- The bootstrap model assumes residuals are IID in order to sample from the whole triangle. If unadjusted, the bootstrap model might sample residuals from AY 2013-2014 (with low residual variance) to simulate incremental losses for AY 2010-2012 (where the data has high residual variance). This would cause the variance for 2010-2012 loss reserves to be too low.</t>
    </r>
  </si>
  <si>
    <t>decides to adjust for this by calculating variance parameters before running the sampling</t>
  </si>
  <si>
    <t>An actuary reviewing the output notices heteroscedasticity in the residuals. The actuary</t>
  </si>
  <si>
    <t>Bootstrapping requires the residuals to be i.i.d. so that we can sample from any portion of the triangle. Heteroscedastic residuals violate this requirement</t>
  </si>
  <si>
    <t>&lt;-Divide by Group 2 factor since 2014 is in group 2</t>
  </si>
  <si>
    <t>2010 to 2015</t>
  </si>
  <si>
    <t>&lt;-Divide by Group 2 factor since 2013 is in group 2</t>
  </si>
  <si>
    <t>2013 to 2015</t>
  </si>
  <si>
    <t>&lt;-Divide by Group 1 factor since 2012 is in group 1</t>
  </si>
  <si>
    <t>2010 to 2012</t>
  </si>
  <si>
    <t>m_w,d</t>
  </si>
  <si>
    <t>r*</t>
  </si>
  <si>
    <t>2014 to 2015</t>
  </si>
  <si>
    <t xml:space="preserve">Sampled IncLoss </t>
  </si>
  <si>
    <t>2012 to 2013</t>
  </si>
  <si>
    <t>2010 to 2011</t>
  </si>
  <si>
    <t>Determine the sampled incremental losses between 12 and 24 months:</t>
  </si>
  <si>
    <t>Deviation</t>
  </si>
  <si>
    <t>Year Range</t>
  </si>
  <si>
    <t xml:space="preserve">Deviation </t>
  </si>
  <si>
    <t xml:space="preserve"> Accident</t>
  </si>
  <si>
    <t>&lt;-4,3 corresponds to 2013 at 36 Months, which comes from hetero group 2</t>
  </si>
  <si>
    <t>Standard Deviations of Standardized Pearson Residuals</t>
  </si>
  <si>
    <t>&lt;-1,3 corresponds to 2010 at 36 Months, which comes from hetero group 1</t>
  </si>
  <si>
    <t>&lt;-5,1 corresponds to 2014 at 12, which comes from hetero group 2</t>
  </si>
  <si>
    <t>Determine the re-sampled hetero-adjusted residuals:</t>
  </si>
  <si>
    <t>2013-2015</t>
  </si>
  <si>
    <t>2010-2012</t>
  </si>
  <si>
    <t xml:space="preserve"> Months</t>
  </si>
  <si>
    <t>Grouping</t>
  </si>
  <si>
    <t xml:space="preserve">Accident </t>
  </si>
  <si>
    <t>development data:</t>
  </si>
  <si>
    <t>Group 2010-2012 and 2013-2015 due to similar variances:</t>
  </si>
  <si>
    <t>Given the following output from a generalized linear model fitted to a triangle of loss</t>
  </si>
  <si>
    <t>Q #14</t>
  </si>
  <si>
    <t>The plot shows heteroscedasticity because the variance is not constant across development periods. It is clearly higher for 12 &amp; 24 than it is for 36 &amp; 48.</t>
  </si>
  <si>
    <t>The model overstates losses for older CYs (negative residuals) and underestimates losses for recent CYs (positive residuals). This indicates a trend (i.e. inflation) not reflected in the model.</t>
  </si>
  <si>
    <t>As written, this question isn't testable in the Pearson Vue testing environment, but understanding how this problem would be solved is still useful.</t>
  </si>
  <si>
    <t>NOTE!</t>
  </si>
  <si>
    <t>how the residual pattern shows heteroscedasticity.</t>
  </si>
  <si>
    <t>development ages 36 and 48 compared to development ages 12 and 24, and describe</t>
  </si>
  <si>
    <t>Construct and label a plot of residuals that would indicate heteroscedasticity in</t>
  </si>
  <si>
    <t>shows inflation.</t>
  </si>
  <si>
    <t>inflation which is not reflected in the model, and describe how the residual pattern</t>
  </si>
  <si>
    <t>Construct and label a plot of residuals that would indicate a calendar year trend due to</t>
  </si>
  <si>
    <t>An actuary is reviewing the diagnostic results of a bootstrapping model.</t>
  </si>
  <si>
    <t>Spring 2017</t>
  </si>
  <si>
    <t>model to address the issue.</t>
  </si>
  <si>
    <t>4. Do not use the years with missing data when calculating the chain-ladder LDFs at the beginning of the bootstrap process</t>
  </si>
  <si>
    <t xml:space="preserve">For each data issue identified in part a. above, briefly describe an adjustment to the ODP bootstrap </t>
  </si>
  <si>
    <t>over-dispersed Poisson (ODP) bootstrap model.</t>
  </si>
  <si>
    <t>Briefly describe four issues in the data above that should be addressed when implementing the</t>
  </si>
  <si>
    <t>3. Calculate residuals and sample triangles as normal.  However, we must divide the latest accident year sample reserves by four to account for the fact that it is a partial year (only 3 months old)</t>
  </si>
  <si>
    <t>•  The most recent diagonal is as of March 31, 2016.</t>
  </si>
  <si>
    <t>2. Annualize the losses to fit the model and produce residuals.  Calculate LDF's for each sample triangle based on the annualized residuals and then adjust the latest diagonal of each sample triangle back to a three-month period before producing sample reserves (using interpolated LDFs)</t>
  </si>
  <si>
    <t>1. Divide losses by exposures and model loss ratios</t>
  </si>
  <si>
    <t>($000)</t>
  </si>
  <si>
    <t>4. There is missing data early in the triangle</t>
  </si>
  <si>
    <t>Exposure</t>
  </si>
  <si>
    <t>Cumulative Paid Claims ($000)</t>
  </si>
  <si>
    <t>2. The last diagonal is not a complete year</t>
  </si>
  <si>
    <t>1. Exposures are increasing</t>
  </si>
  <si>
    <t>Given the following data for a book of business:</t>
  </si>
  <si>
    <t>internal systemic risk correlation between Target X and ABC Insurance.</t>
  </si>
  <si>
    <t>Assume Target X's actuarial department will operate independently after the acquisition. Briefly describe the</t>
  </si>
  <si>
    <t>h.</t>
  </si>
  <si>
    <t>the process risk and parameter risk of Target X's unpaid claims model.</t>
  </si>
  <si>
    <t>Assume Target X's claims settlement rate will change after the acquisition. Briefly describe how this may impact</t>
  </si>
  <si>
    <t>g.</t>
  </si>
  <si>
    <t>months for the given random sample of standardized Pearson residuals.</t>
  </si>
  <si>
    <t>Describe how to incorporate process variance in the accident year 2017 incremental paid between 24 and 36</t>
  </si>
  <si>
    <t>f.</t>
  </si>
  <si>
    <t>Correlation should be fairly low since they are eliminating the same actuary effect by using different departments</t>
  </si>
  <si>
    <r>
      <rPr>
        <b/>
        <sz val="12"/>
        <color theme="1"/>
        <rFont val="Calibri"/>
        <family val="2"/>
        <scheme val="minor"/>
      </rPr>
      <t xml:space="preserve">Part h. </t>
    </r>
    <r>
      <rPr>
        <b/>
        <i/>
        <sz val="12"/>
        <color theme="1"/>
        <rFont val="Calibri"/>
        <family val="2"/>
        <scheme val="minor"/>
      </rPr>
      <t>(Marshall)</t>
    </r>
  </si>
  <si>
    <t>sample of standardized Pearson residuals.</t>
  </si>
  <si>
    <t>Calculate the variance of the accident year 2017 incremental paid between 24 and 36 months for the given random</t>
  </si>
  <si>
    <t>e.</t>
  </si>
  <si>
    <t>Process risk will not be impacted.  Since process risk relates to the pure randomness in the insurance process, a change in settlement rate shouldn't impact it as it doesn't  affect this pure randomness</t>
  </si>
  <si>
    <t>Calculate the mean of the accident year 2017 incremental paid between 24 and 36 months for the given random</t>
  </si>
  <si>
    <t>2 points</t>
  </si>
  <si>
    <t>NO LONGER ON SYLLABUS</t>
  </si>
  <si>
    <t>Parameter risk will increase as parameter estimates based on historical data do not reflect the current claims settlement pattern</t>
  </si>
  <si>
    <r>
      <rPr>
        <b/>
        <sz val="12"/>
        <color theme="1"/>
        <rFont val="Calibri"/>
        <family val="2"/>
        <scheme val="minor"/>
      </rPr>
      <t xml:space="preserve">Part g. </t>
    </r>
    <r>
      <rPr>
        <b/>
        <i/>
        <sz val="12"/>
        <color theme="1"/>
        <rFont val="Calibri"/>
        <family val="2"/>
        <scheme val="minor"/>
      </rPr>
      <t>(Marshall)</t>
    </r>
  </si>
  <si>
    <t>Instead of using the mean calculated in part c. above, simulate the value from a Gamma distribution with mean 1,356k and variance 6,088k.</t>
  </si>
  <si>
    <r>
      <t xml:space="preserve">Part f. </t>
    </r>
    <r>
      <rPr>
        <b/>
        <i/>
        <sz val="12"/>
        <color theme="1"/>
        <rFont val="Calibri"/>
        <family val="2"/>
        <scheme val="minor"/>
      </rPr>
      <t>(Shapland)</t>
    </r>
  </si>
  <si>
    <t>Variance =</t>
  </si>
  <si>
    <t>&lt;-sum(unscaled resids squared)/n-p</t>
  </si>
  <si>
    <t>phi =</t>
  </si>
  <si>
    <t>&lt;-number of parameters (3 alpha parameters and 2 beta parameters)</t>
  </si>
  <si>
    <t>n =</t>
  </si>
  <si>
    <t>Random Sample of Standardized 
Pearson Residuals as of (months)</t>
  </si>
  <si>
    <t>Standardized Pearson Residuals as of (months)</t>
  </si>
  <si>
    <t>Variance is phi*fitted</t>
  </si>
  <si>
    <r>
      <t xml:space="preserve">Part e. </t>
    </r>
    <r>
      <rPr>
        <b/>
        <i/>
        <sz val="12"/>
        <color theme="1"/>
        <rFont val="Calibri"/>
        <family val="2"/>
        <scheme val="minor"/>
      </rPr>
      <t>(Shapland)</t>
    </r>
  </si>
  <si>
    <t xml:space="preserve">Mean incremental paid between 24 and 36 mos = </t>
  </si>
  <si>
    <t>Unscaled Pearson Residuals as of (months)</t>
  </si>
  <si>
    <t>ODP Bootstrap Model Fitted 
Incremental Paid Claims ($000) as of (months)</t>
  </si>
  <si>
    <t>24-36 LDF</t>
  </si>
  <si>
    <t>12-24 LDF</t>
  </si>
  <si>
    <t>utilized an over-dispersed Poisson (ODP) bootstrap model with five parameters:</t>
  </si>
  <si>
    <t xml:space="preserve">Target X also provided ABC Insurance with the following data from its most recent unpaid claims analysis, which </t>
  </si>
  <si>
    <t>general liability and property policies from their cell phones without the aid of an agent/broker.</t>
  </si>
  <si>
    <t>Target X is an innovative mobile app based insurer that allows small business owners to customize and purchase</t>
  </si>
  <si>
    <t>Insurance is exploring the acquisition of Target X to increase its distribution flexibility.</t>
  </si>
  <si>
    <t>Create sample incremental claims triangle as random resid*sqrt(fitted) + fitted</t>
  </si>
  <si>
    <t>ABC Insurance is a commercial insurance company with complex agent/broker distribution channels. ABC</t>
  </si>
  <si>
    <r>
      <t xml:space="preserve">Part d. </t>
    </r>
    <r>
      <rPr>
        <b/>
        <i/>
        <sz val="12"/>
        <color theme="1"/>
        <rFont val="Calibri"/>
        <family val="2"/>
        <scheme val="minor"/>
      </rPr>
      <t>(Shapland)</t>
    </r>
  </si>
  <si>
    <t>Q #1 (modified)</t>
  </si>
  <si>
    <t>Spring 2018</t>
  </si>
  <si>
    <t>Describe a method to adjust for heteroscedasticity.</t>
  </si>
  <si>
    <t>Evaluate whether development period heteroscedasticity exists.</t>
  </si>
  <si>
    <t>bootstrap model.</t>
  </si>
  <si>
    <t>Briefly describe heteroscedasticity and identify an issue it may cause when using a GLM</t>
  </si>
  <si>
    <t>Stratified sampling: group residuals with similar variance and sample residuals from each group separately</t>
  </si>
  <si>
    <t>Heteroscedasticity appears to be present in the residuals.  Residuals in ages 12 and 24 range from 100 to -80 and -100 to 80, respectively.  This is a wider range than ages 36 and 48 which range from -50 to 0 and 0 to 10, respectively.  Hence, the spread (i.e. variance) does not appear to be the same across development period</t>
  </si>
  <si>
    <t xml:space="preserve"> Year</t>
  </si>
  <si>
    <t>Model Residuals as of (months)</t>
  </si>
  <si>
    <t>The model residuals by accident year and development period are:</t>
  </si>
  <si>
    <t>Heteroscedasticity means that residuals do not share a common variance.  This is an issue in a GLM bootstrap model because the model assumes residuals are independent and identically distributed.  This isn't the case if the residuals do not share a common variance</t>
  </si>
  <si>
    <t>An actuary is using a GLM bootstrap model to estimate the reserves for a line of business.</t>
  </si>
  <si>
    <t>AY 2017</t>
  </si>
  <si>
    <t>m_3,1</t>
  </si>
  <si>
    <t>m_2,2</t>
  </si>
  <si>
    <t>AY 2016</t>
  </si>
  <si>
    <t>m_2,1</t>
  </si>
  <si>
    <t>m_1,3</t>
  </si>
  <si>
    <r>
      <t xml:space="preserve">•   </t>
    </r>
    <r>
      <rPr>
        <sz val="12"/>
        <color theme="1"/>
        <rFont val="Calibri"/>
        <family val="2"/>
      </rPr>
      <t>β</t>
    </r>
    <r>
      <rPr>
        <vertAlign val="subscript"/>
        <sz val="12"/>
        <color theme="1"/>
        <rFont val="Calibri"/>
        <family val="2"/>
        <scheme val="minor"/>
      </rPr>
      <t>3</t>
    </r>
    <r>
      <rPr>
        <sz val="12"/>
        <color theme="1"/>
        <rFont val="Calibri"/>
        <family val="2"/>
        <scheme val="minor"/>
      </rPr>
      <t xml:space="preserve"> = </t>
    </r>
  </si>
  <si>
    <t>m_1,2</t>
  </si>
  <si>
    <r>
      <t>•   β</t>
    </r>
    <r>
      <rPr>
        <vertAlign val="subscript"/>
        <sz val="12"/>
        <color theme="1"/>
        <rFont val="Calibri"/>
        <family val="2"/>
        <scheme val="minor"/>
      </rPr>
      <t>2</t>
    </r>
    <r>
      <rPr>
        <sz val="12"/>
        <color theme="1"/>
        <rFont val="Calibri"/>
        <family val="2"/>
        <scheme val="minor"/>
      </rPr>
      <t xml:space="preserve"> =</t>
    </r>
  </si>
  <si>
    <t>AY 2015</t>
  </si>
  <si>
    <t>m_1,1</t>
  </si>
  <si>
    <r>
      <t>•   α</t>
    </r>
    <r>
      <rPr>
        <vertAlign val="subscript"/>
        <sz val="12"/>
        <color theme="1"/>
        <rFont val="Calibri"/>
        <family val="2"/>
        <scheme val="minor"/>
      </rPr>
      <t>3</t>
    </r>
    <r>
      <rPr>
        <sz val="12"/>
        <color theme="1"/>
        <rFont val="Calibri"/>
        <family val="2"/>
        <scheme val="minor"/>
      </rPr>
      <t xml:space="preserve"> = </t>
    </r>
  </si>
  <si>
    <r>
      <t>•   α</t>
    </r>
    <r>
      <rPr>
        <vertAlign val="subscript"/>
        <sz val="12"/>
        <color theme="1"/>
        <rFont val="Calibri"/>
        <family val="2"/>
        <scheme val="minor"/>
      </rPr>
      <t>2</t>
    </r>
    <r>
      <rPr>
        <sz val="12"/>
        <color theme="1"/>
        <rFont val="Calibri"/>
        <family val="2"/>
        <scheme val="minor"/>
      </rPr>
      <t xml:space="preserve"> = </t>
    </r>
  </si>
  <si>
    <r>
      <t>•   α</t>
    </r>
    <r>
      <rPr>
        <vertAlign val="subscript"/>
        <sz val="12"/>
        <color theme="1"/>
        <rFont val="Calibri"/>
        <family val="2"/>
        <scheme val="minor"/>
      </rPr>
      <t>1</t>
    </r>
    <r>
      <rPr>
        <sz val="12"/>
        <color theme="1"/>
        <rFont val="Calibri"/>
        <family val="2"/>
        <scheme val="minor"/>
      </rPr>
      <t xml:space="preserve"> = </t>
    </r>
  </si>
  <si>
    <t>Calculate the fitted incremental paid results of the GLM model using the following parameters:</t>
  </si>
  <si>
    <t>1.25 points</t>
  </si>
  <si>
    <t>Briefly describe two practical limitations of a log-link GLM bootstrap modeling framework.</t>
  </si>
  <si>
    <t>Take the natural log of the incremental paid loss triangle:</t>
  </si>
  <si>
    <t>per claim</t>
  </si>
  <si>
    <t>•  36 months =</t>
  </si>
  <si>
    <t>•  24 months =</t>
  </si>
  <si>
    <t xml:space="preserve">•  12 months = </t>
  </si>
  <si>
    <t>Case reserves are set based on the maturity of the claim:</t>
  </si>
  <si>
    <t>Create the cumulative paid loss triangle by subtracting the case reserves from the cumulative reported losses:</t>
  </si>
  <si>
    <t>as of (months)</t>
  </si>
  <si>
    <t>2. The GLM bootstrap must be solved at each iteration making it time consuming</t>
  </si>
  <si>
    <t>Open Claims</t>
  </si>
  <si>
    <t>Cumulative Reported Loss ($000)</t>
  </si>
  <si>
    <t>1. It cannot handle negative incremental values</t>
  </si>
  <si>
    <t>process by building a generalized linear model (GLM) based on incremental paid loss.</t>
  </si>
  <si>
    <t>An insurer uses the following information in an over-dispersed Poisson (ODP) bootstrap</t>
  </si>
  <si>
    <r>
      <rPr>
        <b/>
        <sz val="12"/>
        <color theme="1"/>
        <rFont val="Calibri"/>
        <family val="2"/>
        <scheme val="minor"/>
      </rPr>
      <t xml:space="preserve">Part a - </t>
    </r>
    <r>
      <rPr>
        <sz val="12"/>
        <color theme="1"/>
        <rFont val="Calibri"/>
        <family val="2"/>
        <scheme val="minor"/>
      </rPr>
      <t xml:space="preserve">We simply use the AY 2017 standard deviation for the 2017/2018 hetero-adjustment factor. The 2018 corner residual is forced to zero based on the parameters. It does have variance, but we don’t know how much.
</t>
    </r>
    <r>
      <rPr>
        <b/>
        <sz val="12"/>
        <color theme="1"/>
        <rFont val="Calibri"/>
        <family val="2"/>
        <scheme val="minor"/>
      </rPr>
      <t xml:space="preserve">
Part b </t>
    </r>
    <r>
      <rPr>
        <sz val="12"/>
        <color theme="1"/>
        <rFont val="Calibri"/>
        <family val="2"/>
        <scheme val="minor"/>
      </rPr>
      <t>- "Stochastically generated random seed" is a fancy way to say RAND().
Here's how you select the expected losses based on the CDF given:
RAND() &lt;= 20%                  -&gt; select 2,500
20% &lt; RAND() &lt;= 60%    -&gt; select 3,000
RAND() &gt; 60%                     -&gt; select 3,500</t>
    </r>
  </si>
  <si>
    <t>Range of BF Reserves is ($2,448k to $2,905k)</t>
  </si>
  <si>
    <t>Reserve</t>
  </si>
  <si>
    <t>% Reported</t>
  </si>
  <si>
    <t>Loss</t>
  </si>
  <si>
    <t>Expected</t>
  </si>
  <si>
    <t>36-Ult</t>
  </si>
  <si>
    <t>Random seed of 0.812 corresponds to expected loss of:</t>
  </si>
  <si>
    <r>
      <t xml:space="preserve">Second reserve estimate is based on the </t>
    </r>
    <r>
      <rPr>
        <i/>
        <u/>
        <sz val="12"/>
        <color theme="1"/>
        <rFont val="Calibri (Body)"/>
      </rPr>
      <t>sampled loss triangle</t>
    </r>
    <r>
      <rPr>
        <sz val="12"/>
        <color theme="1"/>
        <rFont val="Calibri (Body)"/>
      </rPr>
      <t xml:space="preserve"> and second random seed:</t>
    </r>
  </si>
  <si>
    <t>⇽ 0.458 is between 20% and 60%</t>
  </si>
  <si>
    <t>Random seed of 0.458 corresponds to expected loss of:</t>
  </si>
  <si>
    <r>
      <t xml:space="preserve">First reserve estimate is based on the </t>
    </r>
    <r>
      <rPr>
        <i/>
        <u/>
        <sz val="12"/>
        <color theme="1"/>
        <rFont val="Calibri (Body)"/>
      </rPr>
      <t>fitted loss triangle</t>
    </r>
    <r>
      <rPr>
        <sz val="12"/>
        <color theme="1"/>
        <rFont val="Calibri (Body)"/>
      </rPr>
      <t xml:space="preserve"> and first random seed:</t>
    </r>
  </si>
  <si>
    <t>Construct the cumulative loss triangle:</t>
  </si>
  <si>
    <t>Calculate the range of stochastic Bornhuetter-Ferguson reserve indications.</t>
  </si>
  <si>
    <t>1.75 points</t>
  </si>
  <si>
    <t xml:space="preserve">    and should be applied to the sampled loss triangle.</t>
  </si>
  <si>
    <t>•  The second stochastically generated random seed for the expected loss is:</t>
  </si>
  <si>
    <t xml:space="preserve">    and should be applied to the fitted loss triangle.</t>
  </si>
  <si>
    <t>•  The first stochastically generated random seed for the expected loss is:</t>
  </si>
  <si>
    <t>•  0% loss trend.</t>
  </si>
  <si>
    <t>Calculate the sampled incremental losses, making sure to back out the hetero-adjustment:</t>
  </si>
  <si>
    <t>•  The tail factor as of 36 months is</t>
  </si>
  <si>
    <t>Losses</t>
  </si>
  <si>
    <t>Function</t>
  </si>
  <si>
    <t xml:space="preserve">Distribution </t>
  </si>
  <si>
    <t>Calculate the fitted incremental losses, m_w,d:</t>
  </si>
  <si>
    <t>Cumulative</t>
  </si>
  <si>
    <t>Given the following additional information:</t>
  </si>
  <si>
    <t>and adjusting the residuals as necessary.</t>
  </si>
  <si>
    <t>Construct the triangle of sampled cumulative losses based on the above sampling algorithm</t>
  </si>
  <si>
    <t>Resample the hetero-adjusted residuals based on the sample residual indices:</t>
  </si>
  <si>
    <t>•  Assume the residuals in accident years 2017 and 2018 are homoscedastic.</t>
  </si>
  <si>
    <t>(1, 2)</t>
  </si>
  <si>
    <t>(2, 2)</t>
  </si>
  <si>
    <t>(1, 3)</t>
  </si>
  <si>
    <t>(2, 1)</t>
  </si>
  <si>
    <t>(1, 1)</t>
  </si>
  <si>
    <t>Calculate the hetero-adjusted residuals:</t>
  </si>
  <si>
    <t>Sample Residual index (row, column) as of (months)</t>
  </si>
  <si>
    <t>Fitted Cumulative Losses ($000) as of (months)</t>
  </si>
  <si>
    <t>2017/2018 Adj. Factor</t>
  </si>
  <si>
    <t>2016 Adj. Factor</t>
  </si>
  <si>
    <t>2016 clearly has a materially different standard deviation from 2017 so we need a heteroscedasticity adjustment</t>
  </si>
  <si>
    <t>Standard 
Deviation</t>
  </si>
  <si>
    <t>Standardized Pearson Residuals
 as of (months)</t>
  </si>
  <si>
    <t>Group 2017 and 2018 together since we're told they're homoscedastic.</t>
  </si>
  <si>
    <t>development data as of December 31, 2018:</t>
  </si>
  <si>
    <t>Calculate the residual adjustment factors:</t>
  </si>
  <si>
    <t>Spring 2019</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</si>
  <si>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</si>
  <si>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We then run the GLM and calculate the fitted incremental values, m_w,d. Lastly, we need to shift all the fitted losses down by 30,000 to back out the adjustment.</t>
  </si>
  <si>
    <t>With the ODP Bootstrap, we don’t need to adjust the triangle, just calculate the fitted incremental losses</t>
  </si>
  <si>
    <t>When we use a Poisson error distribution and a parameter for each accident year and development period for the GLM Bootstrap, the ODP Bootstrap will normally calculate the same expected incremental losses with volume-weighted LDFs. 
However, because of the adjustments to reflect the negative incremental values and make the GLM work in parts a and b, the fitted incremental losses and residuals from the two methods will be somewhat different.
Note: Shapland discusses this well on pg. 21, so take a look at that for more context.</t>
  </si>
  <si>
    <t>ODP Bootstrap.</t>
  </si>
  <si>
    <t xml:space="preserve">•	The GLM framework can use fewer parameter than the ODP Bootstrap to avoid over-parameterizing the model.
</t>
  </si>
  <si>
    <t>•	The GLM framework is more flexible and we can add different parameters, such as a calendar-year trend parameter.</t>
  </si>
  <si>
    <t>•	The GLM framework requires us to re-fit the GLM for each iteration of sampled data. This can slow down the simulation process.
•	The model isn’t directly explainable to others using LDFs like the ODP Bootstrap is.</t>
  </si>
  <si>
    <t>Natural log of incremental paid triangle:</t>
  </si>
  <si>
    <t>Alternative Solution (also accepted)</t>
  </si>
  <si>
    <t>For part b, you could've used either (000) or whole numbers for the incremental triangle.</t>
  </si>
  <si>
    <t xml:space="preserve">The actual incremental losses at age 24 are: </t>
  </si>
  <si>
    <t>An actuary uses implied development patterns to help determine the optimal mix of parameters for a GLM bootstrap model.  Describe how the implied development pattern underlying the optimal GLM bootstrap model would differ from the implied development pattern underlying the ODP bootstrap model.</t>
  </si>
  <si>
    <t>In the ODP bootstrap model, we have a different factor (parameter) for each development period.  This produces a jagged pattern in the incremental paid percentages.  In the optimal GLM model, we have a set of parameters that balances parsimony and goodness of fit.  In this case, the implied development pattern is a smoothed version of the ODP bootstrap development pattern that still achieves the overall shape.</t>
  </si>
  <si>
    <t>bootstrap model (either as a GLM or using chain-ladder factors) and provide one adjustment for each.</t>
  </si>
  <si>
    <t>3. The first evaluation period is not a complete year</t>
  </si>
  <si>
    <t>Discuss a potential advantage and disadvantage for using one ⍺ parameter in the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</si>
</sst>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8" formatCode="&quot;$&quot;#,##0.00_);[Red]\(&quot;$&quot;#,##0.00\)"/>
    <numFmt numFmtId="43" formatCode="_(* #,##0.00_);_(* \(#,##0.00\);_(* &quot;-&quot;??_);_(@_)"/>
    <numFmt numFmtId="164" formatCode="0.000"/>
    <numFmt numFmtId="165" formatCode="_(* #,##0.000_);_(* \(#,##0.000\);_(* &quot;-&quot;??_);_(@_)"/>
    <numFmt numFmtId="166" formatCode="_(* #,##0_);_(* \(#,##0\);_(* &quot;-&quot;??_);_(@_)"/>
    <numFmt numFmtId="167" formatCode="0.0"/>
    <numFmt numFmtId="168" formatCode="#,##0.0"/>
    <numFmt numFmtId="169" formatCode="#,##0.000"/>
    <numFmt numFmtId="170" formatCode="&quot;$&quot;#,##0"/>
    <numFmt numFmtId="171" formatCode="[$$-409]#,##0"/>
    <numFmt numFmtId="172" formatCode="0.0%"/>
  </numFmts>
  <fonts count="45"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b/>
      <u/>
      <sz val="12"/>
      <color theme="1"/>
      <name val="Calibri"/>
      <family val="2"/>
    </font>
    <font>
      <sz val="11"/>
      <color theme="1"/>
      <name val="Calibri"/>
      <family val="2"/>
    </font>
    <font>
      <u/>
      <sz val="12"/>
      <color theme="1"/>
      <name val="Calibri"/>
      <family val="2"/>
    </font>
    <font>
      <sz val="12"/>
      <color rgb="FF000000"/>
      <name val="Calibri"/>
      <family val="2"/>
    </font>
    <font>
      <b/>
      <sz val="12"/>
      <color theme="1"/>
      <name val="Calibri"/>
      <family val="2"/>
    </font>
    <font>
      <i/>
      <sz val="12"/>
      <color rgb="FF000000"/>
      <name val="Calibri"/>
      <family val="2"/>
    </font>
    <font>
      <vertAlign val="subscript"/>
      <sz val="12"/>
      <color rgb="FF000000"/>
      <name val="Calibri"/>
      <family val="2"/>
    </font>
    <font>
      <sz val="8"/>
      <name val="Calibri"/>
      <family val="2"/>
      <scheme val="minor"/>
    </font>
    <font>
      <sz val="12"/>
      <name val="Calibri"/>
      <family val="2"/>
    </font>
    <font>
      <b/>
      <sz val="12"/>
      <color rgb="FF000000"/>
      <name val="Calibri"/>
      <family val="2"/>
    </font>
    <font>
      <b/>
      <sz val="11"/>
      <name val="Calibri"/>
      <family val="2"/>
    </font>
    <font>
      <sz val="11"/>
      <name val="Calibri"/>
      <family val="2"/>
    </font>
    <font>
      <sz val="11"/>
      <color theme="0" tint="-0.499984740745262"/>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sz val="14"/>
      <color theme="1"/>
      <name val="Calibri"/>
      <family val="2"/>
      <scheme val="minor"/>
    </font>
    <font>
      <b/>
      <u/>
      <sz val="12"/>
      <color theme="1"/>
      <name val="Calibri (Body)"/>
    </font>
    <font>
      <b/>
      <sz val="12"/>
      <color theme="1"/>
      <name val="Calibri"/>
      <family val="2"/>
      <scheme val="minor"/>
    </font>
    <font>
      <vertAlign val="subscript"/>
      <sz val="12"/>
      <color theme="1"/>
      <name val="Calibri (Body)"/>
    </font>
    <font>
      <u/>
      <sz val="12"/>
      <color theme="1"/>
      <name val="Calibri"/>
      <family val="2"/>
      <scheme val="minor"/>
    </font>
    <font>
      <i/>
      <sz val="12"/>
      <color theme="1"/>
      <name val="Calibri"/>
      <family val="2"/>
      <scheme val="minor"/>
    </font>
    <font>
      <sz val="12"/>
      <color rgb="FF000000"/>
      <name val="Calibri"/>
      <family val="2"/>
      <scheme val="minor"/>
    </font>
    <font>
      <vertAlign val="subscript"/>
      <sz val="12"/>
      <color theme="1"/>
      <name val="Calibri"/>
      <family val="2"/>
      <scheme val="minor"/>
    </font>
    <font>
      <u/>
      <sz val="11"/>
      <color theme="1"/>
      <name val="Arial"/>
      <family val="2"/>
    </font>
    <font>
      <b/>
      <sz val="10"/>
      <color rgb="FF000000"/>
      <name val="Tahoma"/>
      <family val="2"/>
    </font>
    <font>
      <sz val="10"/>
      <color rgb="FF000000"/>
      <name val="Tahoma"/>
      <family val="2"/>
    </font>
    <font>
      <sz val="12"/>
      <color theme="1"/>
      <name val="Calibri (Body)"/>
    </font>
    <font>
      <b/>
      <sz val="12"/>
      <color rgb="FF000000"/>
      <name val="Calibri"/>
      <family val="2"/>
      <scheme val="minor"/>
    </font>
    <font>
      <sz val="11"/>
      <color rgb="FF000000"/>
      <name val="Symbol"/>
      <family val="1"/>
      <charset val="2"/>
    </font>
    <font>
      <i/>
      <u/>
      <sz val="12"/>
      <color theme="1"/>
      <name val="Calibri"/>
      <family val="2"/>
      <scheme val="minor"/>
    </font>
    <font>
      <b/>
      <i/>
      <sz val="12"/>
      <color theme="1"/>
      <name val="Calibri"/>
      <family val="2"/>
      <scheme val="minor"/>
    </font>
    <font>
      <i/>
      <u/>
      <sz val="12"/>
      <color theme="1"/>
      <name val="Calibri (Body)"/>
    </font>
  </fonts>
  <fills count="6">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theme="0" tint="-4.9989318521683403E-2"/>
        <bgColor rgb="FF000000"/>
      </patternFill>
    </fill>
    <fill>
      <patternFill patternType="solid">
        <fgColor theme="8" tint="0.59999389629810485"/>
        <bgColor indexed="64"/>
      </patternFill>
    </fill>
  </fills>
  <borders count="43">
    <border>
      <left/>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bottom style="mediumDashed">
        <color indexed="64"/>
      </bottom>
      <diagonal/>
    </border>
    <border>
      <left/>
      <right style="mediumDashed">
        <color indexed="64"/>
      </right>
      <top/>
      <bottom style="mediumDashed">
        <color indexed="64"/>
      </bottom>
      <diagonal/>
    </border>
    <border>
      <left/>
      <right style="mediumDashed">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Dashed">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s>
  <cellStyleXfs count="6">
    <xf numFmtId="0" fontId="0" fillId="0" borderId="0"/>
    <xf numFmtId="43" fontId="8" fillId="0" borderId="0" applyFont="0" applyFill="0" applyBorder="0" applyAlignment="0" applyProtection="0"/>
    <xf numFmtId="0" fontId="24" fillId="0" borderId="0"/>
    <xf numFmtId="0" fontId="5" fillId="0" borderId="0"/>
    <xf numFmtId="0" fontId="25" fillId="0" borderId="0" applyNumberFormat="0" applyFill="0" applyBorder="0" applyAlignment="0" applyProtection="0"/>
    <xf numFmtId="9" fontId="8" fillId="0" borderId="0" applyFont="0" applyFill="0" applyBorder="0" applyAlignment="0" applyProtection="0"/>
  </cellStyleXfs>
  <cellXfs count="470">
    <xf numFmtId="0" fontId="0" fillId="0" borderId="0" xfId="0"/>
    <xf numFmtId="0" fontId="9" fillId="2" borderId="1" xfId="0" applyFont="1" applyFill="1" applyBorder="1"/>
    <xf numFmtId="2" fontId="10" fillId="2" borderId="1" xfId="0" applyNumberFormat="1" applyFont="1" applyFill="1" applyBorder="1" applyAlignment="1">
      <alignment horizontal="left"/>
    </xf>
    <xf numFmtId="0" fontId="9" fillId="0" borderId="0" xfId="0" applyFont="1"/>
    <xf numFmtId="0" fontId="11" fillId="0" borderId="0" xfId="0" applyFont="1"/>
    <xf numFmtId="0" fontId="12" fillId="0" borderId="0" xfId="0" applyFont="1"/>
    <xf numFmtId="0" fontId="14" fillId="2" borderId="2" xfId="0" applyFont="1" applyFill="1" applyBorder="1" applyAlignment="1">
      <alignment horizontal="center" vertical="center" wrapText="1"/>
    </xf>
    <xf numFmtId="3" fontId="14" fillId="2" borderId="0" xfId="0" applyNumberFormat="1" applyFont="1" applyFill="1" applyAlignment="1">
      <alignment horizontal="center" vertical="center" wrapText="1"/>
    </xf>
    <xf numFmtId="0" fontId="14" fillId="2" borderId="0" xfId="0" applyFont="1" applyFill="1" applyAlignment="1">
      <alignment horizontal="center" vertical="center" wrapText="1"/>
    </xf>
    <xf numFmtId="0" fontId="15" fillId="2" borderId="0" xfId="0" applyFont="1" applyFill="1"/>
    <xf numFmtId="0" fontId="14" fillId="2" borderId="7"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3" fontId="14" fillId="0" borderId="0" xfId="0" applyNumberFormat="1" applyFont="1" applyAlignment="1">
      <alignment horizontal="center" vertical="center" wrapText="1"/>
    </xf>
    <xf numFmtId="0" fontId="14" fillId="0" borderId="0" xfId="0" applyFont="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5" xfId="0" applyFont="1" applyBorder="1" applyAlignment="1">
      <alignment horizontal="center" vertical="center" wrapText="1"/>
    </xf>
    <xf numFmtId="4" fontId="14" fillId="0" borderId="0" xfId="0" applyNumberFormat="1" applyFont="1" applyAlignment="1">
      <alignment horizontal="center" vertical="center" wrapText="1"/>
    </xf>
    <xf numFmtId="0" fontId="15" fillId="0" borderId="0" xfId="0" applyFont="1"/>
    <xf numFmtId="0" fontId="15" fillId="0" borderId="0" xfId="0" applyFont="1" applyAlignment="1">
      <alignment horizontal="center"/>
    </xf>
    <xf numFmtId="0" fontId="14" fillId="2" borderId="5" xfId="0" applyFont="1" applyFill="1" applyBorder="1" applyAlignment="1">
      <alignment horizontal="center" wrapText="1"/>
    </xf>
    <xf numFmtId="0" fontId="15" fillId="0" borderId="10" xfId="0" applyFont="1" applyBorder="1"/>
    <xf numFmtId="164" fontId="15" fillId="0" borderId="11" xfId="0" applyNumberFormat="1" applyFont="1" applyBorder="1"/>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167" fontId="14" fillId="0" borderId="0" xfId="0" applyNumberFormat="1" applyFont="1" applyAlignment="1">
      <alignment horizontal="center" vertical="center" wrapText="1"/>
    </xf>
    <xf numFmtId="2" fontId="14" fillId="0" borderId="0" xfId="0" applyNumberFormat="1" applyFont="1" applyAlignment="1">
      <alignment horizontal="center" vertical="center" wrapText="1"/>
    </xf>
    <xf numFmtId="168" fontId="14" fillId="0" borderId="0" xfId="0" applyNumberFormat="1" applyFont="1" applyAlignment="1">
      <alignment horizontal="center" vertical="center" wrapText="1"/>
    </xf>
    <xf numFmtId="0" fontId="15" fillId="0" borderId="20" xfId="0" applyFont="1" applyBorder="1"/>
    <xf numFmtId="167" fontId="15" fillId="0" borderId="0" xfId="0" applyNumberFormat="1" applyFont="1" applyAlignment="1">
      <alignment horizontal="center"/>
    </xf>
    <xf numFmtId="167" fontId="14" fillId="0" borderId="18" xfId="0" applyNumberFormat="1" applyFont="1" applyBorder="1" applyAlignment="1">
      <alignment horizontal="center" vertical="center" wrapText="1"/>
    </xf>
    <xf numFmtId="3" fontId="15" fillId="0" borderId="0" xfId="0" applyNumberFormat="1" applyFont="1" applyAlignment="1">
      <alignment horizontal="center"/>
    </xf>
    <xf numFmtId="16" fontId="14" fillId="0" borderId="5" xfId="0" quotePrefix="1" applyNumberFormat="1" applyFont="1" applyBorder="1" applyAlignment="1">
      <alignment horizontal="center" vertical="center" wrapText="1"/>
    </xf>
    <xf numFmtId="1" fontId="15" fillId="0" borderId="0" xfId="0" applyNumberFormat="1" applyFont="1"/>
    <xf numFmtId="3" fontId="14" fillId="0" borderId="6" xfId="0" applyNumberFormat="1" applyFont="1" applyBorder="1" applyAlignment="1">
      <alignment horizontal="center" vertical="center" wrapText="1"/>
    </xf>
    <xf numFmtId="0" fontId="15" fillId="0" borderId="5" xfId="0" applyFont="1" applyBorder="1"/>
    <xf numFmtId="3" fontId="15" fillId="0" borderId="0" xfId="0" applyNumberFormat="1" applyFont="1"/>
    <xf numFmtId="164" fontId="14" fillId="0" borderId="0" xfId="0" applyNumberFormat="1" applyFont="1" applyAlignment="1">
      <alignment horizontal="center" vertical="center" wrapText="1"/>
    </xf>
    <xf numFmtId="3" fontId="14" fillId="0" borderId="5" xfId="0" applyNumberFormat="1" applyFont="1" applyBorder="1" applyAlignment="1">
      <alignment horizontal="center" vertical="center" wrapText="1"/>
    </xf>
    <xf numFmtId="0" fontId="13" fillId="0" borderId="0" xfId="0" applyFont="1" applyAlignment="1">
      <alignment horizontal="center"/>
    </xf>
    <xf numFmtId="0" fontId="13" fillId="2" borderId="0" xfId="0" applyFont="1" applyFill="1" applyAlignment="1">
      <alignment horizontal="center"/>
    </xf>
    <xf numFmtId="0" fontId="15" fillId="2" borderId="22" xfId="0" applyFont="1" applyFill="1" applyBorder="1" applyAlignment="1">
      <alignment horizontal="center" vertical="center"/>
    </xf>
    <xf numFmtId="0" fontId="16" fillId="2" borderId="0" xfId="0" applyFont="1" applyFill="1" applyAlignment="1">
      <alignment horizontal="center" vertical="center" wrapText="1"/>
    </xf>
    <xf numFmtId="0" fontId="14" fillId="2" borderId="25" xfId="0" applyFont="1" applyFill="1" applyBorder="1" applyAlignment="1">
      <alignment horizontal="center" vertical="center" wrapText="1"/>
    </xf>
    <xf numFmtId="9" fontId="14" fillId="2" borderId="0" xfId="0" applyNumberFormat="1" applyFont="1" applyFill="1" applyAlignment="1">
      <alignment horizontal="center" vertical="center" wrapText="1"/>
    </xf>
    <xf numFmtId="3" fontId="14" fillId="2" borderId="2" xfId="0" applyNumberFormat="1" applyFont="1" applyFill="1" applyBorder="1" applyAlignment="1">
      <alignment horizontal="center" vertical="center" wrapText="1"/>
    </xf>
    <xf numFmtId="4" fontId="14" fillId="2" borderId="0" xfId="0" applyNumberFormat="1" applyFont="1" applyFill="1" applyAlignment="1">
      <alignment horizontal="center" vertical="center" wrapText="1"/>
    </xf>
    <xf numFmtId="0" fontId="13" fillId="0" borderId="0" xfId="0" applyFont="1" applyAlignment="1">
      <alignment horizontal="center" vertical="center"/>
    </xf>
    <xf numFmtId="3" fontId="15" fillId="0" borderId="0" xfId="0" applyNumberFormat="1" applyFont="1" applyAlignment="1">
      <alignment horizontal="center" vertical="center"/>
    </xf>
    <xf numFmtId="0" fontId="14" fillId="2" borderId="26" xfId="0" applyFont="1" applyFill="1" applyBorder="1" applyAlignment="1">
      <alignment horizontal="center" vertical="center" wrapText="1"/>
    </xf>
    <xf numFmtId="0" fontId="20" fillId="0" borderId="6" xfId="0" applyFont="1" applyBorder="1" applyAlignment="1">
      <alignment horizontal="right" vertical="center"/>
    </xf>
    <xf numFmtId="0" fontId="19" fillId="2" borderId="6" xfId="0" applyFont="1" applyFill="1" applyBorder="1" applyAlignment="1">
      <alignment horizontal="center" vertical="center" wrapText="1"/>
    </xf>
    <xf numFmtId="0" fontId="19" fillId="0" borderId="6" xfId="0" applyFont="1" applyBorder="1" applyAlignment="1">
      <alignment horizontal="right" vertical="center"/>
    </xf>
    <xf numFmtId="0" fontId="14" fillId="2" borderId="7" xfId="0" applyFont="1" applyFill="1" applyBorder="1" applyAlignment="1">
      <alignment horizontal="center" wrapText="1"/>
    </xf>
    <xf numFmtId="0" fontId="7" fillId="2" borderId="22" xfId="0" applyFont="1" applyFill="1" applyBorder="1" applyAlignment="1">
      <alignment horizontal="center" vertical="center"/>
    </xf>
    <xf numFmtId="0" fontId="7" fillId="2" borderId="0" xfId="0" applyFont="1" applyFill="1"/>
    <xf numFmtId="0" fontId="7" fillId="2" borderId="2" xfId="0" applyFont="1" applyFill="1" applyBorder="1"/>
    <xf numFmtId="0" fontId="7" fillId="0" borderId="0" xfId="0" applyFont="1"/>
    <xf numFmtId="164" fontId="7" fillId="0" borderId="0" xfId="0" applyNumberFormat="1" applyFont="1"/>
    <xf numFmtId="0" fontId="7" fillId="0" borderId="0" xfId="0" applyFont="1" applyAlignment="1">
      <alignment vertical="center"/>
    </xf>
    <xf numFmtId="0" fontId="7" fillId="0" borderId="0" xfId="0" applyFont="1" applyAlignment="1">
      <alignment horizontal="center"/>
    </xf>
    <xf numFmtId="4" fontId="7" fillId="0" borderId="9" xfId="0" applyNumberFormat="1" applyFont="1" applyBorder="1" applyAlignment="1">
      <alignment horizontal="center"/>
    </xf>
    <xf numFmtId="0" fontId="7" fillId="0" borderId="8" xfId="0" applyFont="1" applyBorder="1" applyAlignment="1">
      <alignment horizontal="center"/>
    </xf>
    <xf numFmtId="0" fontId="7" fillId="0" borderId="6" xfId="0" applyFont="1" applyBorder="1" applyAlignment="1">
      <alignment horizontal="center"/>
    </xf>
    <xf numFmtId="0" fontId="7" fillId="0" borderId="9" xfId="0" applyFont="1" applyBorder="1" applyAlignment="1">
      <alignment horizontal="center"/>
    </xf>
    <xf numFmtId="0" fontId="7" fillId="0" borderId="9" xfId="0" applyFont="1" applyBorder="1" applyAlignment="1">
      <alignment horizontal="left"/>
    </xf>
    <xf numFmtId="0" fontId="7" fillId="0" borderId="0" xfId="0" applyFont="1" applyAlignment="1">
      <alignment horizontal="left"/>
    </xf>
    <xf numFmtId="0" fontId="7" fillId="0" borderId="0" xfId="0" applyFont="1" applyAlignment="1">
      <alignment wrapText="1"/>
    </xf>
    <xf numFmtId="0" fontId="7" fillId="0" borderId="5" xfId="0" applyFont="1" applyBorder="1"/>
    <xf numFmtId="0" fontId="7" fillId="0" borderId="7" xfId="0" applyFont="1" applyBorder="1" applyAlignment="1">
      <alignment horizontal="center"/>
    </xf>
    <xf numFmtId="0" fontId="7" fillId="0" borderId="5" xfId="0" applyFont="1" applyBorder="1" applyAlignment="1">
      <alignment horizontal="center"/>
    </xf>
    <xf numFmtId="0" fontId="14" fillId="4" borderId="7" xfId="0" applyFont="1" applyFill="1" applyBorder="1" applyAlignment="1">
      <alignment horizontal="center" vertical="center" wrapText="1"/>
    </xf>
    <xf numFmtId="0" fontId="14" fillId="4" borderId="21" xfId="0" applyFont="1" applyFill="1" applyBorder="1" applyAlignment="1">
      <alignment horizontal="center" vertical="center" wrapText="1"/>
    </xf>
    <xf numFmtId="0" fontId="7" fillId="2" borderId="5" xfId="0" applyFont="1" applyFill="1" applyBorder="1"/>
    <xf numFmtId="0" fontId="14" fillId="4" borderId="6" xfId="0" applyFont="1" applyFill="1" applyBorder="1" applyAlignment="1">
      <alignment horizontal="center" vertical="center" wrapText="1"/>
    </xf>
    <xf numFmtId="0" fontId="14" fillId="4" borderId="0" xfId="0" applyFont="1" applyFill="1" applyAlignment="1">
      <alignment horizontal="center" vertical="center" wrapText="1"/>
    </xf>
    <xf numFmtId="164" fontId="7" fillId="2" borderId="0" xfId="0" applyNumberFormat="1" applyFont="1" applyFill="1" applyAlignment="1">
      <alignment horizontal="center"/>
    </xf>
    <xf numFmtId="0" fontId="7" fillId="2" borderId="0" xfId="0" applyFont="1" applyFill="1" applyAlignment="1">
      <alignment horizontal="center"/>
    </xf>
    <xf numFmtId="0" fontId="7" fillId="0" borderId="6" xfId="0" applyFont="1" applyBorder="1"/>
    <xf numFmtId="3" fontId="7" fillId="0" borderId="0" xfId="0" applyNumberFormat="1" applyFont="1"/>
    <xf numFmtId="0" fontId="21" fillId="0" borderId="0" xfId="0" applyFont="1"/>
    <xf numFmtId="0" fontId="22" fillId="0" borderId="0" xfId="0" applyFont="1"/>
    <xf numFmtId="0" fontId="7" fillId="2" borderId="0" xfId="0" applyFont="1" applyFill="1" applyAlignment="1">
      <alignment horizontal="left"/>
    </xf>
    <xf numFmtId="0" fontId="21" fillId="0" borderId="0" xfId="0" applyFont="1" applyAlignment="1">
      <alignment horizontal="center" vertical="center" wrapText="1"/>
    </xf>
    <xf numFmtId="2" fontId="22" fillId="0" borderId="0" xfId="0" applyNumberFormat="1" applyFont="1" applyAlignment="1">
      <alignment horizontal="center" vertical="center" wrapText="1"/>
    </xf>
    <xf numFmtId="0" fontId="7" fillId="0" borderId="0" xfId="0" applyFont="1" applyAlignment="1">
      <alignment vertical="center" wrapText="1"/>
    </xf>
    <xf numFmtId="0" fontId="7" fillId="2" borderId="22" xfId="0" applyFont="1" applyFill="1" applyBorder="1"/>
    <xf numFmtId="0" fontId="7" fillId="2" borderId="24" xfId="0" applyFont="1" applyFill="1" applyBorder="1"/>
    <xf numFmtId="3" fontId="7" fillId="0" borderId="0" xfId="0" applyNumberFormat="1" applyFont="1" applyAlignment="1">
      <alignment horizontal="center"/>
    </xf>
    <xf numFmtId="0" fontId="7" fillId="0" borderId="7" xfId="0" applyFont="1" applyBorder="1"/>
    <xf numFmtId="16" fontId="7" fillId="0" borderId="5" xfId="0" quotePrefix="1" applyNumberFormat="1" applyFont="1" applyBorder="1" applyAlignment="1">
      <alignment horizontal="center"/>
    </xf>
    <xf numFmtId="0" fontId="7" fillId="0" borderId="5" xfId="0" quotePrefix="1" applyFont="1" applyBorder="1" applyAlignment="1">
      <alignment horizontal="center"/>
    </xf>
    <xf numFmtId="166" fontId="7" fillId="0" borderId="0" xfId="1" applyNumberFormat="1" applyFont="1"/>
    <xf numFmtId="0" fontId="7" fillId="2" borderId="1" xfId="0" applyFont="1" applyFill="1" applyBorder="1"/>
    <xf numFmtId="0" fontId="7" fillId="0" borderId="0" xfId="0" quotePrefix="1" applyFont="1"/>
    <xf numFmtId="0" fontId="7" fillId="2" borderId="6" xfId="0" applyFont="1" applyFill="1" applyBorder="1" applyAlignment="1">
      <alignment horizontal="right"/>
    </xf>
    <xf numFmtId="0" fontId="7" fillId="2" borderId="0" xfId="0" quotePrefix="1" applyFont="1" applyFill="1"/>
    <xf numFmtId="2" fontId="7" fillId="0" borderId="0" xfId="0" applyNumberFormat="1" applyFont="1"/>
    <xf numFmtId="0" fontId="14" fillId="3" borderId="0" xfId="0" applyFont="1" applyFill="1" applyAlignment="1">
      <alignment horizontal="center" vertical="center" wrapText="1"/>
    </xf>
    <xf numFmtId="0" fontId="7" fillId="0" borderId="6" xfId="0" applyFont="1" applyBorder="1" applyAlignment="1">
      <alignment horizontal="center" vertical="center"/>
    </xf>
    <xf numFmtId="3" fontId="7" fillId="0" borderId="0" xfId="0" applyNumberFormat="1" applyFont="1" applyAlignment="1">
      <alignment horizontal="center" vertical="center"/>
    </xf>
    <xf numFmtId="164" fontId="7" fillId="0" borderId="0" xfId="0" applyNumberFormat="1" applyFont="1" applyAlignment="1">
      <alignment horizontal="center" vertical="center"/>
    </xf>
    <xf numFmtId="164" fontId="7" fillId="0" borderId="0" xfId="0" applyNumberFormat="1" applyFont="1" applyAlignment="1">
      <alignment horizontal="center"/>
    </xf>
    <xf numFmtId="4" fontId="7" fillId="0" borderId="0" xfId="0" applyNumberFormat="1" applyFont="1" applyAlignment="1">
      <alignment horizontal="center"/>
    </xf>
    <xf numFmtId="167" fontId="7" fillId="0" borderId="0" xfId="0" applyNumberFormat="1" applyFont="1" applyAlignment="1">
      <alignment horizontal="center"/>
    </xf>
    <xf numFmtId="167" fontId="7" fillId="0" borderId="5" xfId="0" applyNumberFormat="1" applyFont="1" applyBorder="1" applyAlignment="1">
      <alignment horizontal="center"/>
    </xf>
    <xf numFmtId="2" fontId="23" fillId="0" borderId="0" xfId="0" applyNumberFormat="1" applyFont="1" applyAlignment="1">
      <alignment horizontal="center" vertical="center" wrapText="1"/>
    </xf>
    <xf numFmtId="165" fontId="7" fillId="2" borderId="8" xfId="1" applyNumberFormat="1" applyFont="1" applyFill="1" applyBorder="1"/>
    <xf numFmtId="165" fontId="7" fillId="2" borderId="0" xfId="1" applyNumberFormat="1" applyFont="1" applyFill="1"/>
    <xf numFmtId="165" fontId="7" fillId="2" borderId="6" xfId="1" applyNumberFormat="1" applyFont="1" applyFill="1" applyBorder="1"/>
    <xf numFmtId="165" fontId="7" fillId="0" borderId="0" xfId="0" applyNumberFormat="1" applyFont="1" applyAlignment="1">
      <alignment horizontal="center"/>
    </xf>
    <xf numFmtId="2" fontId="7" fillId="0" borderId="0" xfId="0" applyNumberFormat="1" applyFont="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7" fillId="0" borderId="15" xfId="0" applyFont="1" applyBorder="1" applyAlignment="1">
      <alignment horizontal="center"/>
    </xf>
    <xf numFmtId="0" fontId="7" fillId="0" borderId="2" xfId="0" applyFont="1" applyBorder="1" applyAlignment="1">
      <alignment horizontal="center"/>
    </xf>
    <xf numFmtId="0" fontId="7" fillId="0" borderId="16"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0" xfId="0" applyFont="1"/>
    <xf numFmtId="164" fontId="6" fillId="0" borderId="0" xfId="0" applyNumberFormat="1" applyFont="1"/>
    <xf numFmtId="0" fontId="5" fillId="0" borderId="27" xfId="2" applyFont="1" applyBorder="1" applyAlignment="1">
      <alignment horizontal="center" vertical="center"/>
    </xf>
    <xf numFmtId="0" fontId="5" fillId="0" borderId="22" xfId="2" applyFont="1" applyBorder="1" applyAlignment="1">
      <alignment vertical="center" wrapText="1"/>
    </xf>
    <xf numFmtId="0" fontId="15" fillId="0" borderId="22" xfId="2" applyFont="1" applyBorder="1" applyAlignment="1">
      <alignment horizontal="center" vertical="center"/>
    </xf>
    <xf numFmtId="0" fontId="5" fillId="0" borderId="24" xfId="2" applyFont="1" applyBorder="1" applyAlignment="1">
      <alignment horizontal="center" vertical="center"/>
    </xf>
    <xf numFmtId="0" fontId="5" fillId="0" borderId="0" xfId="2" applyFont="1" applyAlignment="1">
      <alignment horizontal="center" vertical="center"/>
    </xf>
    <xf numFmtId="0" fontId="5" fillId="0" borderId="1" xfId="3" applyBorder="1"/>
    <xf numFmtId="0" fontId="5" fillId="0" borderId="0" xfId="3"/>
    <xf numFmtId="0" fontId="5" fillId="0" borderId="2" xfId="3" applyBorder="1"/>
    <xf numFmtId="0" fontId="25" fillId="0" borderId="0" xfId="4" applyBorder="1"/>
    <xf numFmtId="0" fontId="26" fillId="0" borderId="0" xfId="3" applyFont="1"/>
    <xf numFmtId="0" fontId="5" fillId="0" borderId="0" xfId="3" applyAlignment="1">
      <alignment horizontal="left" vertical="top"/>
    </xf>
    <xf numFmtId="0" fontId="27" fillId="0" borderId="0" xfId="3" applyFont="1"/>
    <xf numFmtId="0" fontId="10" fillId="0" borderId="0" xfId="3" applyFont="1" applyAlignment="1">
      <alignment horizontal="left" vertical="top"/>
    </xf>
    <xf numFmtId="0" fontId="5" fillId="0" borderId="28" xfId="2" applyFont="1" applyBorder="1" applyAlignment="1">
      <alignment horizontal="center" vertical="center"/>
    </xf>
    <xf numFmtId="0" fontId="5" fillId="0" borderId="3" xfId="2" applyFont="1" applyBorder="1" applyAlignment="1">
      <alignment horizontal="center" vertical="center"/>
    </xf>
    <xf numFmtId="0" fontId="5" fillId="0" borderId="4" xfId="2" applyFont="1" applyBorder="1" applyAlignment="1">
      <alignment horizontal="center" vertical="center"/>
    </xf>
    <xf numFmtId="165" fontId="0" fillId="0" borderId="0" xfId="0" applyNumberFormat="1"/>
    <xf numFmtId="43" fontId="0" fillId="0" borderId="0" xfId="0" applyNumberFormat="1"/>
    <xf numFmtId="165" fontId="0" fillId="0" borderId="0" xfId="1" applyNumberFormat="1" applyFont="1"/>
    <xf numFmtId="169" fontId="0" fillId="0" borderId="0" xfId="0" applyNumberFormat="1"/>
    <xf numFmtId="165" fontId="0" fillId="0" borderId="0" xfId="1" applyNumberFormat="1" applyFont="1" applyAlignment="1">
      <alignment horizontal="center"/>
    </xf>
    <xf numFmtId="0" fontId="0" fillId="0" borderId="0" xfId="0" applyAlignment="1">
      <alignment horizontal="center"/>
    </xf>
    <xf numFmtId="0" fontId="0" fillId="0" borderId="0" xfId="0" applyAlignment="1">
      <alignment horizontal="left"/>
    </xf>
    <xf numFmtId="0" fontId="28" fillId="0" borderId="0" xfId="0" applyFont="1" applyAlignment="1">
      <alignment horizontal="left"/>
    </xf>
    <xf numFmtId="165" fontId="0" fillId="0" borderId="11" xfId="0" applyNumberFormat="1" applyBorder="1"/>
    <xf numFmtId="0" fontId="0" fillId="0" borderId="10" xfId="0" applyBorder="1"/>
    <xf numFmtId="0" fontId="0" fillId="2" borderId="11" xfId="0" applyFill="1" applyBorder="1"/>
    <xf numFmtId="0" fontId="0" fillId="2" borderId="23" xfId="0" applyFill="1" applyBorder="1"/>
    <xf numFmtId="0" fontId="0" fillId="2" borderId="10" xfId="0" applyFill="1" applyBorder="1"/>
    <xf numFmtId="0" fontId="0" fillId="2" borderId="2" xfId="0" applyFill="1" applyBorder="1"/>
    <xf numFmtId="0" fontId="0" fillId="2" borderId="0" xfId="0" applyFill="1"/>
    <xf numFmtId="0" fontId="29" fillId="2" borderId="0" xfId="0" applyFont="1" applyFill="1"/>
    <xf numFmtId="0" fontId="0" fillId="2" borderId="1" xfId="0" applyFill="1" applyBorder="1"/>
    <xf numFmtId="6" fontId="0" fillId="2" borderId="0" xfId="0" applyNumberFormat="1" applyFill="1"/>
    <xf numFmtId="0" fontId="30" fillId="0" borderId="0" xfId="0" applyFont="1" applyAlignment="1">
      <alignment horizontal="left"/>
    </xf>
    <xf numFmtId="0" fontId="0" fillId="2" borderId="0" xfId="0" quotePrefix="1" applyFill="1" applyAlignment="1">
      <alignment horizontal="left"/>
    </xf>
    <xf numFmtId="0" fontId="0" fillId="2" borderId="0" xfId="0" quotePrefix="1" applyFill="1" applyAlignment="1">
      <alignment horizontal="center"/>
    </xf>
    <xf numFmtId="2" fontId="0" fillId="0" borderId="4" xfId="0" applyNumberFormat="1" applyBorder="1" applyAlignment="1">
      <alignment horizontal="center"/>
    </xf>
    <xf numFmtId="2" fontId="0" fillId="0" borderId="3" xfId="0" applyNumberFormat="1" applyBorder="1" applyAlignment="1">
      <alignment horizontal="center"/>
    </xf>
    <xf numFmtId="0" fontId="0" fillId="0" borderId="16" xfId="0" applyBorder="1" applyAlignment="1">
      <alignment horizontal="center"/>
    </xf>
    <xf numFmtId="2" fontId="0" fillId="0" borderId="2" xfId="0" applyNumberFormat="1" applyBorder="1" applyAlignment="1">
      <alignment horizontal="center"/>
    </xf>
    <xf numFmtId="2" fontId="0" fillId="0" borderId="0" xfId="0" applyNumberFormat="1" applyAlignment="1">
      <alignment horizontal="center"/>
    </xf>
    <xf numFmtId="0" fontId="0" fillId="0" borderId="15" xfId="0" applyBorder="1" applyAlignment="1">
      <alignment horizontal="center"/>
    </xf>
    <xf numFmtId="4" fontId="0" fillId="2" borderId="0" xfId="0" applyNumberFormat="1" applyFill="1" applyAlignment="1">
      <alignment horizontal="center"/>
    </xf>
    <xf numFmtId="0" fontId="0" fillId="2" borderId="0" xfId="0" applyFill="1" applyAlignment="1">
      <alignment horizontal="center"/>
    </xf>
    <xf numFmtId="0" fontId="0" fillId="0" borderId="14" xfId="0" applyBorder="1" applyAlignment="1">
      <alignment horizontal="center"/>
    </xf>
    <xf numFmtId="0" fontId="0" fillId="0" borderId="13" xfId="0" applyBorder="1" applyAlignment="1">
      <alignment horizontal="center"/>
    </xf>
    <xf numFmtId="1" fontId="0" fillId="0" borderId="13" xfId="0" applyNumberFormat="1" applyBorder="1" applyAlignment="1">
      <alignment horizontal="center"/>
    </xf>
    <xf numFmtId="0" fontId="0" fillId="0" borderId="12" xfId="0" applyBorder="1" applyAlignment="1">
      <alignment horizontal="center"/>
    </xf>
    <xf numFmtId="4" fontId="0" fillId="2" borderId="7" xfId="0" applyNumberFormat="1" applyFill="1" applyBorder="1" applyAlignment="1">
      <alignment horizontal="center"/>
    </xf>
    <xf numFmtId="4" fontId="0" fillId="2" borderId="5" xfId="0" applyNumberFormat="1" applyFill="1" applyBorder="1" applyAlignment="1">
      <alignment horizontal="center"/>
    </xf>
    <xf numFmtId="4" fontId="0" fillId="2" borderId="21" xfId="0" applyNumberFormat="1" applyFill="1" applyBorder="1" applyAlignment="1">
      <alignment horizontal="center"/>
    </xf>
    <xf numFmtId="0" fontId="0" fillId="2" borderId="29" xfId="0" applyFill="1" applyBorder="1" applyAlignment="1">
      <alignment horizontal="center"/>
    </xf>
    <xf numFmtId="0" fontId="30" fillId="0" borderId="0" xfId="0" applyFont="1"/>
    <xf numFmtId="4" fontId="0" fillId="2" borderId="6" xfId="0" applyNumberFormat="1" applyFill="1" applyBorder="1" applyAlignment="1">
      <alignment horizontal="center"/>
    </xf>
    <xf numFmtId="4" fontId="0" fillId="2" borderId="8" xfId="0" applyNumberFormat="1" applyFill="1" applyBorder="1" applyAlignment="1">
      <alignment horizontal="center"/>
    </xf>
    <xf numFmtId="0" fontId="0" fillId="2" borderId="9" xfId="0" applyFill="1" applyBorder="1" applyAlignment="1">
      <alignment horizontal="center"/>
    </xf>
    <xf numFmtId="0" fontId="0" fillId="2" borderId="30" xfId="0" applyFill="1" applyBorder="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0" fontId="0" fillId="2" borderId="21" xfId="0" applyFill="1" applyBorder="1" applyAlignment="1">
      <alignment horizontal="center"/>
    </xf>
    <xf numFmtId="0" fontId="0" fillId="0" borderId="6" xfId="0" applyBorder="1" applyAlignment="1">
      <alignment horizontal="center"/>
    </xf>
    <xf numFmtId="0" fontId="0" fillId="2" borderId="31" xfId="0" applyFill="1" applyBorder="1" applyAlignment="1">
      <alignment horizontal="center"/>
    </xf>
    <xf numFmtId="0" fontId="0" fillId="2" borderId="32" xfId="0" applyFill="1" applyBorder="1" applyAlignment="1">
      <alignment horizontal="center"/>
    </xf>
    <xf numFmtId="0" fontId="0" fillId="0" borderId="5" xfId="0" applyBorder="1" applyAlignment="1">
      <alignment horizontal="center"/>
    </xf>
    <xf numFmtId="1" fontId="0" fillId="0" borderId="5" xfId="0" applyNumberFormat="1" applyBorder="1" applyAlignment="1">
      <alignment horizontal="center"/>
    </xf>
    <xf numFmtId="0" fontId="0" fillId="0" borderId="7" xfId="0" applyBorder="1" applyAlignment="1">
      <alignment horizontal="center"/>
    </xf>
    <xf numFmtId="167" fontId="0" fillId="0" borderId="0" xfId="0" applyNumberFormat="1"/>
    <xf numFmtId="6" fontId="0" fillId="0" borderId="0" xfId="0" applyNumberFormat="1"/>
    <xf numFmtId="3" fontId="0" fillId="0" borderId="0" xfId="0" applyNumberFormat="1"/>
    <xf numFmtId="0" fontId="28" fillId="0" borderId="0" xfId="0" applyFont="1"/>
    <xf numFmtId="0" fontId="0" fillId="2" borderId="24" xfId="0" applyFill="1" applyBorder="1"/>
    <xf numFmtId="0" fontId="0" fillId="2" borderId="22" xfId="0" applyFill="1" applyBorder="1"/>
    <xf numFmtId="0" fontId="0" fillId="2" borderId="22" xfId="0" applyFill="1" applyBorder="1" applyAlignment="1">
      <alignment horizontal="center"/>
    </xf>
    <xf numFmtId="0" fontId="30" fillId="2" borderId="22" xfId="0" applyFont="1" applyFill="1" applyBorder="1"/>
    <xf numFmtId="0" fontId="28" fillId="2" borderId="27" xfId="0" applyFont="1" applyFill="1" applyBorder="1"/>
    <xf numFmtId="0" fontId="0" fillId="0" borderId="0" xfId="0" applyAlignment="1">
      <alignment horizontal="left" vertical="top" wrapText="1"/>
    </xf>
    <xf numFmtId="0" fontId="29" fillId="2" borderId="23" xfId="0" applyFont="1" applyFill="1" applyBorder="1"/>
    <xf numFmtId="0" fontId="0" fillId="2" borderId="0" xfId="0" quotePrefix="1" applyFill="1"/>
    <xf numFmtId="0" fontId="0" fillId="2" borderId="0" xfId="0" applyFill="1" applyAlignment="1">
      <alignment horizontal="left"/>
    </xf>
    <xf numFmtId="9" fontId="0" fillId="0" borderId="0" xfId="0" applyNumberFormat="1"/>
    <xf numFmtId="169" fontId="0" fillId="0" borderId="11" xfId="1" applyNumberFormat="1" applyFont="1" applyBorder="1" applyAlignment="1">
      <alignment horizontal="center"/>
    </xf>
    <xf numFmtId="0" fontId="0" fillId="0" borderId="10" xfId="0" applyBorder="1" applyAlignment="1">
      <alignment horizontal="center"/>
    </xf>
    <xf numFmtId="43" fontId="8" fillId="0" borderId="11" xfId="1" applyFont="1" applyBorder="1" applyAlignment="1">
      <alignment horizontal="center"/>
    </xf>
    <xf numFmtId="43" fontId="0" fillId="0" borderId="0" xfId="1" applyFont="1" applyAlignment="1">
      <alignment horizontal="center"/>
    </xf>
    <xf numFmtId="2" fontId="0" fillId="2" borderId="0" xfId="0" applyNumberFormat="1" applyFill="1" applyAlignment="1">
      <alignment horizontal="center"/>
    </xf>
    <xf numFmtId="169" fontId="8" fillId="0" borderId="11" xfId="1" applyNumberFormat="1" applyFont="1" applyBorder="1" applyAlignment="1">
      <alignment horizontal="center"/>
    </xf>
    <xf numFmtId="0" fontId="0" fillId="0" borderId="10" xfId="0" applyBorder="1" applyAlignment="1">
      <alignment horizontal="left"/>
    </xf>
    <xf numFmtId="0" fontId="32" fillId="0" borderId="0" xfId="0" applyFont="1"/>
    <xf numFmtId="166" fontId="8" fillId="0" borderId="0" xfId="1" applyNumberFormat="1" applyFont="1" applyAlignment="1">
      <alignment horizontal="center"/>
    </xf>
    <xf numFmtId="166" fontId="8" fillId="0" borderId="5" xfId="1" applyNumberFormat="1" applyFont="1" applyBorder="1" applyAlignment="1">
      <alignment horizontal="center"/>
    </xf>
    <xf numFmtId="165" fontId="8" fillId="0" borderId="0" xfId="1" applyNumberFormat="1" applyFont="1" applyAlignment="1">
      <alignment horizontal="center"/>
    </xf>
    <xf numFmtId="0" fontId="32" fillId="0" borderId="0" xfId="0" applyFont="1" applyAlignment="1">
      <alignment horizontal="left"/>
    </xf>
    <xf numFmtId="164" fontId="0" fillId="0" borderId="0" xfId="0" applyNumberFormat="1"/>
    <xf numFmtId="165" fontId="8" fillId="0" borderId="0" xfId="1" applyNumberFormat="1" applyFont="1" applyBorder="1" applyAlignment="1">
      <alignment horizontal="center"/>
    </xf>
    <xf numFmtId="165" fontId="8" fillId="0" borderId="4" xfId="1" applyNumberFormat="1" applyFont="1" applyBorder="1" applyAlignment="1">
      <alignment horizontal="center"/>
    </xf>
    <xf numFmtId="165" fontId="8" fillId="0" borderId="3" xfId="1" applyNumberFormat="1" applyFont="1" applyBorder="1" applyAlignment="1">
      <alignment horizontal="center"/>
    </xf>
    <xf numFmtId="165" fontId="8" fillId="0" borderId="2" xfId="1" applyNumberFormat="1" applyFont="1" applyBorder="1" applyAlignment="1">
      <alignment horizontal="center"/>
    </xf>
    <xf numFmtId="166" fontId="8" fillId="0" borderId="14" xfId="1" applyNumberFormat="1" applyFont="1" applyBorder="1" applyAlignment="1">
      <alignment horizontal="center"/>
    </xf>
    <xf numFmtId="166" fontId="8" fillId="0" borderId="13" xfId="1" applyNumberFormat="1" applyFont="1" applyBorder="1" applyAlignment="1">
      <alignment horizontal="center"/>
    </xf>
    <xf numFmtId="0" fontId="0" fillId="0" borderId="0" xfId="0" applyAlignment="1">
      <alignment horizontal="left" wrapText="1"/>
    </xf>
    <xf numFmtId="0" fontId="0" fillId="2" borderId="6" xfId="0" applyFill="1" applyBorder="1" applyAlignment="1">
      <alignment horizontal="center"/>
    </xf>
    <xf numFmtId="43" fontId="0" fillId="0" borderId="4" xfId="0" applyNumberFormat="1" applyBorder="1"/>
    <xf numFmtId="43" fontId="0" fillId="0" borderId="3" xfId="0" applyNumberFormat="1" applyBorder="1"/>
    <xf numFmtId="43" fontId="0" fillId="0" borderId="2" xfId="0" applyNumberFormat="1" applyBorder="1"/>
    <xf numFmtId="166" fontId="8" fillId="0" borderId="14" xfId="1" applyNumberFormat="1" applyFont="1" applyBorder="1"/>
    <xf numFmtId="166" fontId="8" fillId="0" borderId="13" xfId="1" applyNumberFormat="1" applyFont="1" applyBorder="1"/>
    <xf numFmtId="43" fontId="0" fillId="0" borderId="4" xfId="0" applyNumberFormat="1" applyBorder="1" applyAlignment="1">
      <alignment horizontal="center"/>
    </xf>
    <xf numFmtId="43" fontId="0" fillId="0" borderId="3" xfId="0" applyNumberFormat="1" applyBorder="1" applyAlignment="1">
      <alignment horizontal="center"/>
    </xf>
    <xf numFmtId="43" fontId="0" fillId="0" borderId="2" xfId="0" applyNumberFormat="1" applyBorder="1" applyAlignment="1">
      <alignment horizontal="center"/>
    </xf>
    <xf numFmtId="43" fontId="0" fillId="0" borderId="0" xfId="0" applyNumberFormat="1" applyAlignment="1">
      <alignment horizontal="center"/>
    </xf>
    <xf numFmtId="0" fontId="30" fillId="5" borderId="0" xfId="0" applyFont="1" applyFill="1"/>
    <xf numFmtId="166" fontId="0" fillId="0" borderId="5" xfId="1" applyNumberFormat="1" applyFont="1" applyBorder="1"/>
    <xf numFmtId="165" fontId="8" fillId="0" borderId="0" xfId="1" applyNumberFormat="1" applyFont="1"/>
    <xf numFmtId="3" fontId="0" fillId="2" borderId="0" xfId="0" applyNumberFormat="1" applyFill="1" applyAlignment="1">
      <alignment horizontal="left"/>
    </xf>
    <xf numFmtId="3" fontId="0" fillId="2" borderId="0" xfId="0" applyNumberFormat="1" applyFill="1" applyAlignment="1">
      <alignment horizontal="center"/>
    </xf>
    <xf numFmtId="3" fontId="0" fillId="2" borderId="7" xfId="0" applyNumberFormat="1" applyFill="1" applyBorder="1" applyAlignment="1">
      <alignment horizontal="center"/>
    </xf>
    <xf numFmtId="3" fontId="0" fillId="2" borderId="5" xfId="0" applyNumberFormat="1" applyFill="1" applyBorder="1" applyAlignment="1">
      <alignment horizontal="center"/>
    </xf>
    <xf numFmtId="3" fontId="0" fillId="2" borderId="6" xfId="0" applyNumberFormat="1" applyFill="1" applyBorder="1" applyAlignment="1">
      <alignment horizontal="center"/>
    </xf>
    <xf numFmtId="10" fontId="0" fillId="2" borderId="0" xfId="0" applyNumberFormat="1" applyFill="1" applyAlignment="1">
      <alignment horizontal="center"/>
    </xf>
    <xf numFmtId="10" fontId="0" fillId="2" borderId="7" xfId="0" applyNumberFormat="1" applyFill="1" applyBorder="1" applyAlignment="1">
      <alignment horizontal="center"/>
    </xf>
    <xf numFmtId="10" fontId="0" fillId="2" borderId="5" xfId="0" applyNumberFormat="1" applyFill="1" applyBorder="1" applyAlignment="1">
      <alignment horizontal="center"/>
    </xf>
    <xf numFmtId="10" fontId="0" fillId="2" borderId="6" xfId="0" applyNumberFormat="1" applyFill="1" applyBorder="1" applyAlignment="1">
      <alignment horizontal="center"/>
    </xf>
    <xf numFmtId="0" fontId="0" fillId="0" borderId="0" xfId="0" applyAlignment="1">
      <alignment wrapText="1"/>
    </xf>
    <xf numFmtId="6" fontId="0" fillId="0" borderId="0" xfId="0" applyNumberFormat="1" applyAlignment="1">
      <alignment wrapText="1"/>
    </xf>
    <xf numFmtId="4" fontId="0" fillId="0" borderId="11" xfId="0" applyNumberFormat="1" applyBorder="1" applyAlignment="1">
      <alignment horizontal="center"/>
    </xf>
    <xf numFmtId="0" fontId="0" fillId="0" borderId="36" xfId="0" applyBorder="1" applyAlignment="1">
      <alignment horizontal="center"/>
    </xf>
    <xf numFmtId="0" fontId="0" fillId="2" borderId="2" xfId="0" applyFill="1" applyBorder="1" applyAlignment="1">
      <alignment wrapText="1"/>
    </xf>
    <xf numFmtId="0" fontId="0" fillId="2" borderId="0" xfId="0" applyFill="1" applyAlignment="1">
      <alignment wrapText="1"/>
    </xf>
    <xf numFmtId="0" fontId="0" fillId="2" borderId="1" xfId="0" applyFill="1" applyBorder="1" applyAlignment="1">
      <alignment wrapText="1"/>
    </xf>
    <xf numFmtId="4" fontId="0" fillId="0" borderId="0" xfId="0" applyNumberFormat="1" applyAlignment="1">
      <alignment horizontal="center"/>
    </xf>
    <xf numFmtId="4" fontId="0" fillId="0" borderId="5" xfId="0" applyNumberFormat="1" applyBorder="1" applyAlignment="1">
      <alignment horizontal="center"/>
    </xf>
    <xf numFmtId="8" fontId="0" fillId="0" borderId="0" xfId="0" applyNumberFormat="1"/>
    <xf numFmtId="0" fontId="29" fillId="0" borderId="0" xfId="0" applyFont="1"/>
    <xf numFmtId="0" fontId="0" fillId="2" borderId="23" xfId="0" quotePrefix="1" applyFill="1" applyBorder="1"/>
    <xf numFmtId="8" fontId="0" fillId="0" borderId="11" xfId="0" applyNumberFormat="1" applyBorder="1"/>
    <xf numFmtId="3" fontId="0" fillId="0" borderId="11" xfId="0" applyNumberFormat="1" applyBorder="1"/>
    <xf numFmtId="2" fontId="0" fillId="0" borderId="11" xfId="0" applyNumberFormat="1" applyBorder="1" applyAlignment="1">
      <alignment horizontal="center"/>
    </xf>
    <xf numFmtId="3" fontId="0" fillId="0" borderId="0" xfId="1" applyNumberFormat="1" applyFont="1"/>
    <xf numFmtId="0" fontId="0" fillId="2" borderId="8" xfId="0" applyFill="1" applyBorder="1" applyAlignment="1">
      <alignment horizontal="center"/>
    </xf>
    <xf numFmtId="166" fontId="0" fillId="0" borderId="0" xfId="1" applyNumberFormat="1" applyFont="1"/>
    <xf numFmtId="0" fontId="0" fillId="2" borderId="37" xfId="0" applyFill="1" applyBorder="1" applyAlignment="1">
      <alignment horizontal="center"/>
    </xf>
    <xf numFmtId="0" fontId="33" fillId="0" borderId="0" xfId="0" applyFont="1"/>
    <xf numFmtId="0" fontId="0" fillId="0" borderId="29" xfId="0" applyBorder="1" applyAlignment="1">
      <alignment horizontal="center"/>
    </xf>
    <xf numFmtId="0" fontId="0" fillId="0" borderId="9" xfId="0" applyBorder="1" applyAlignment="1">
      <alignment horizontal="center"/>
    </xf>
    <xf numFmtId="0" fontId="0" fillId="0" borderId="30" xfId="0" applyBorder="1" applyAlignment="1">
      <alignment horizontal="center"/>
    </xf>
    <xf numFmtId="165" fontId="0" fillId="0" borderId="0" xfId="1" applyNumberFormat="1" applyFont="1" applyFill="1" applyBorder="1" applyAlignment="1">
      <alignment horizontal="center"/>
    </xf>
    <xf numFmtId="0" fontId="0" fillId="0" borderId="21" xfId="0" applyBorder="1" applyAlignment="1">
      <alignment horizontal="center"/>
    </xf>
    <xf numFmtId="0" fontId="0" fillId="0" borderId="8" xfId="0" applyBorder="1" applyAlignment="1">
      <alignment horizontal="center"/>
    </xf>
    <xf numFmtId="0" fontId="0" fillId="0" borderId="20"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30" fillId="0" borderId="0" xfId="0" quotePrefix="1" applyFont="1" applyAlignment="1">
      <alignment horizontal="left"/>
    </xf>
    <xf numFmtId="0" fontId="0" fillId="0" borderId="0" xfId="0" quotePrefix="1" applyAlignment="1">
      <alignment horizontal="left"/>
    </xf>
    <xf numFmtId="0" fontId="0" fillId="2" borderId="4" xfId="0" applyFill="1" applyBorder="1" applyAlignment="1">
      <alignment horizontal="left"/>
    </xf>
    <xf numFmtId="0" fontId="0" fillId="2" borderId="3" xfId="0" applyFill="1" applyBorder="1" applyAlignment="1">
      <alignment horizontal="left"/>
    </xf>
    <xf numFmtId="0" fontId="0" fillId="2" borderId="28" xfId="0" applyFill="1" applyBorder="1" applyAlignment="1">
      <alignment horizontal="left"/>
    </xf>
    <xf numFmtId="0" fontId="0" fillId="2" borderId="2" xfId="0" applyFill="1" applyBorder="1" applyAlignment="1">
      <alignment horizontal="left"/>
    </xf>
    <xf numFmtId="0" fontId="0" fillId="2" borderId="1" xfId="0" applyFill="1" applyBorder="1" applyAlignment="1">
      <alignment horizontal="left"/>
    </xf>
    <xf numFmtId="0" fontId="30" fillId="2" borderId="0" xfId="0" applyFont="1" applyFill="1" applyAlignment="1">
      <alignment horizontal="left"/>
    </xf>
    <xf numFmtId="9" fontId="0" fillId="2" borderId="7" xfId="0" applyNumberFormat="1" applyFill="1" applyBorder="1" applyAlignment="1">
      <alignment horizontal="center"/>
    </xf>
    <xf numFmtId="9" fontId="0" fillId="2" borderId="5" xfId="0" applyNumberFormat="1" applyFill="1" applyBorder="1" applyAlignment="1">
      <alignment horizontal="center"/>
    </xf>
    <xf numFmtId="9" fontId="0" fillId="2" borderId="6" xfId="0" applyNumberFormat="1" applyFill="1" applyBorder="1" applyAlignment="1">
      <alignment horizontal="center"/>
    </xf>
    <xf numFmtId="9" fontId="0" fillId="2" borderId="0" xfId="0" applyNumberFormat="1" applyFill="1" applyAlignment="1">
      <alignment horizontal="center"/>
    </xf>
    <xf numFmtId="0" fontId="0" fillId="2" borderId="20" xfId="0" applyFill="1" applyBorder="1" applyAlignment="1">
      <alignment horizontal="center"/>
    </xf>
    <xf numFmtId="0" fontId="0" fillId="2" borderId="34" xfId="0" applyFill="1" applyBorder="1" applyAlignment="1">
      <alignment horizontal="center"/>
    </xf>
    <xf numFmtId="0" fontId="0" fillId="2" borderId="37" xfId="0" applyFill="1" applyBorder="1" applyAlignment="1">
      <alignment horizontal="left"/>
    </xf>
    <xf numFmtId="9" fontId="0" fillId="2" borderId="31" xfId="0" applyNumberFormat="1" applyFill="1" applyBorder="1" applyAlignment="1">
      <alignment horizontal="center"/>
    </xf>
    <xf numFmtId="170" fontId="0" fillId="2" borderId="32" xfId="0" applyNumberFormat="1" applyFill="1" applyBorder="1" applyAlignment="1">
      <alignment horizontal="center"/>
    </xf>
    <xf numFmtId="170" fontId="0" fillId="2" borderId="5" xfId="0" applyNumberFormat="1" applyFill="1" applyBorder="1" applyAlignment="1">
      <alignment horizontal="center"/>
    </xf>
    <xf numFmtId="170" fontId="0" fillId="2" borderId="0" xfId="0" applyNumberFormat="1" applyFill="1" applyAlignment="1">
      <alignment horizontal="center"/>
    </xf>
    <xf numFmtId="170" fontId="0" fillId="2" borderId="34" xfId="0" applyNumberFormat="1" applyFill="1" applyBorder="1" applyAlignment="1">
      <alignment horizontal="center"/>
    </xf>
    <xf numFmtId="0" fontId="34" fillId="0" borderId="0" xfId="0" applyFont="1"/>
    <xf numFmtId="0" fontId="32" fillId="0" borderId="0" xfId="0" quotePrefix="1" applyFont="1" applyAlignment="1">
      <alignment horizontal="left"/>
    </xf>
    <xf numFmtId="0" fontId="0" fillId="2" borderId="24" xfId="0" applyFill="1" applyBorder="1" applyAlignment="1">
      <alignment horizontal="left"/>
    </xf>
    <xf numFmtId="0" fontId="0" fillId="2" borderId="22" xfId="0" applyFill="1" applyBorder="1" applyAlignment="1">
      <alignment horizontal="left"/>
    </xf>
    <xf numFmtId="0" fontId="28" fillId="2" borderId="27" xfId="0" applyFont="1" applyFill="1" applyBorder="1" applyAlignment="1">
      <alignment horizontal="left"/>
    </xf>
    <xf numFmtId="43" fontId="30" fillId="0" borderId="0" xfId="0" applyNumberFormat="1" applyFont="1"/>
    <xf numFmtId="0" fontId="0" fillId="2" borderId="10" xfId="0" applyFill="1" applyBorder="1" applyAlignment="1">
      <alignment horizontal="left"/>
    </xf>
    <xf numFmtId="43" fontId="0" fillId="0" borderId="0" xfId="1" applyFont="1"/>
    <xf numFmtId="0" fontId="0" fillId="0" borderId="0" xfId="0" applyAlignment="1">
      <alignment vertical="center"/>
    </xf>
    <xf numFmtId="0" fontId="28" fillId="0" borderId="0" xfId="0" applyFont="1" applyAlignment="1">
      <alignment vertical="center"/>
    </xf>
    <xf numFmtId="0" fontId="0" fillId="0" borderId="23" xfId="0" applyBorder="1"/>
    <xf numFmtId="3" fontId="0" fillId="0" borderId="0" xfId="0" applyNumberFormat="1" applyAlignment="1">
      <alignment horizontal="center" vertical="center"/>
    </xf>
    <xf numFmtId="2" fontId="30" fillId="2" borderId="0" xfId="0" applyNumberFormat="1" applyFont="1" applyFill="1" applyAlignment="1">
      <alignment horizontal="center"/>
    </xf>
    <xf numFmtId="0" fontId="30" fillId="2" borderId="0" xfId="0" applyFont="1" applyFill="1"/>
    <xf numFmtId="0" fontId="0" fillId="2" borderId="27" xfId="0" applyFill="1" applyBorder="1" applyAlignment="1">
      <alignment horizontal="left"/>
    </xf>
    <xf numFmtId="0" fontId="0" fillId="0" borderId="0" xfId="0" applyAlignment="1">
      <alignment vertical="center" wrapText="1"/>
    </xf>
    <xf numFmtId="2" fontId="0" fillId="0" borderId="0" xfId="0" applyNumberFormat="1" applyAlignment="1">
      <alignment horizontal="center" vertical="center"/>
    </xf>
    <xf numFmtId="0" fontId="0" fillId="0" borderId="6" xfId="0" applyBorder="1" applyAlignment="1">
      <alignment horizontal="center" vertical="center"/>
    </xf>
    <xf numFmtId="2" fontId="0" fillId="5" borderId="0" xfId="0" applyNumberFormat="1" applyFill="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3" fontId="0" fillId="5" borderId="0" xfId="0" applyNumberFormat="1" applyFill="1" applyAlignment="1">
      <alignment horizontal="center" vertical="center"/>
    </xf>
    <xf numFmtId="3" fontId="30" fillId="5" borderId="0" xfId="0" applyNumberFormat="1" applyFont="1" applyFill="1" applyAlignment="1">
      <alignment horizontal="center" vertical="center"/>
    </xf>
    <xf numFmtId="3" fontId="0" fillId="2" borderId="20" xfId="0" applyNumberFormat="1" applyFill="1" applyBorder="1" applyAlignment="1">
      <alignment horizontal="center"/>
    </xf>
    <xf numFmtId="3" fontId="0" fillId="2" borderId="34" xfId="0" applyNumberFormat="1" applyFill="1" applyBorder="1" applyAlignment="1">
      <alignment horizontal="center"/>
    </xf>
    <xf numFmtId="3" fontId="0" fillId="2" borderId="32" xfId="0" applyNumberFormat="1" applyFill="1" applyBorder="1" applyAlignment="1">
      <alignment horizontal="center"/>
    </xf>
    <xf numFmtId="0" fontId="40" fillId="0" borderId="0" xfId="0" applyFont="1" applyAlignment="1">
      <alignment horizontal="justify" vertical="center"/>
    </xf>
    <xf numFmtId="0" fontId="0" fillId="0" borderId="0" xfId="0" applyAlignment="1">
      <alignment vertical="top"/>
    </xf>
    <xf numFmtId="0" fontId="41" fillId="0" borderId="0" xfId="0" applyFont="1" applyAlignment="1">
      <alignment vertical="center" wrapText="1"/>
    </xf>
    <xf numFmtId="0" fontId="34" fillId="0" borderId="0" xfId="0" applyFont="1" applyAlignment="1">
      <alignment vertical="center"/>
    </xf>
    <xf numFmtId="3" fontId="0" fillId="0" borderId="0" xfId="0" applyNumberFormat="1" applyAlignment="1">
      <alignment horizontal="center"/>
    </xf>
    <xf numFmtId="0" fontId="0" fillId="0" borderId="5" xfId="0" applyBorder="1" applyAlignment="1">
      <alignment horizontal="center" wrapText="1"/>
    </xf>
    <xf numFmtId="0" fontId="0" fillId="0" borderId="7"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3" fontId="0" fillId="0" borderId="0" xfId="0" applyNumberFormat="1" applyAlignment="1">
      <alignment horizontal="center" wrapText="1"/>
    </xf>
    <xf numFmtId="3" fontId="0" fillId="2" borderId="21" xfId="0" applyNumberFormat="1" applyFill="1" applyBorder="1" applyAlignment="1">
      <alignment horizontal="center"/>
    </xf>
    <xf numFmtId="3" fontId="0" fillId="2" borderId="8" xfId="0" applyNumberFormat="1" applyFill="1" applyBorder="1" applyAlignment="1">
      <alignment horizontal="center"/>
    </xf>
    <xf numFmtId="3" fontId="0" fillId="2" borderId="35" xfId="0" applyNumberFormat="1" applyFill="1" applyBorder="1" applyAlignment="1">
      <alignment horizontal="center"/>
    </xf>
    <xf numFmtId="0" fontId="0" fillId="2" borderId="35" xfId="0" applyFill="1" applyBorder="1" applyAlignment="1">
      <alignment horizontal="center"/>
    </xf>
    <xf numFmtId="0" fontId="0" fillId="0" borderId="0" xfId="0" quotePrefix="1"/>
    <xf numFmtId="0" fontId="42" fillId="0" borderId="0" xfId="0" applyFont="1"/>
    <xf numFmtId="2" fontId="0" fillId="0" borderId="0" xfId="0" applyNumberFormat="1"/>
    <xf numFmtId="3" fontId="0" fillId="2" borderId="29" xfId="0" applyNumberFormat="1" applyFill="1" applyBorder="1" applyAlignment="1">
      <alignment horizontal="center"/>
    </xf>
    <xf numFmtId="1" fontId="0" fillId="2" borderId="29" xfId="0" applyNumberFormat="1" applyFill="1" applyBorder="1" applyAlignment="1">
      <alignment horizontal="center"/>
    </xf>
    <xf numFmtId="3" fontId="0" fillId="2" borderId="9" xfId="0" applyNumberFormat="1" applyFill="1" applyBorder="1" applyAlignment="1">
      <alignment horizontal="center"/>
    </xf>
    <xf numFmtId="1" fontId="0" fillId="2" borderId="9" xfId="0" applyNumberFormat="1" applyFill="1" applyBorder="1" applyAlignment="1">
      <alignment horizontal="center"/>
    </xf>
    <xf numFmtId="3" fontId="0" fillId="2" borderId="30" xfId="0" applyNumberFormat="1" applyFill="1" applyBorder="1" applyAlignment="1">
      <alignment horizontal="center"/>
    </xf>
    <xf numFmtId="1" fontId="0" fillId="2" borderId="30" xfId="0" applyNumberFormat="1" applyFill="1" applyBorder="1" applyAlignment="1">
      <alignment horizontal="center"/>
    </xf>
    <xf numFmtId="3" fontId="0" fillId="0" borderId="38" xfId="0" applyNumberFormat="1" applyBorder="1" applyAlignment="1">
      <alignment horizontal="center"/>
    </xf>
    <xf numFmtId="164" fontId="0" fillId="0" borderId="0" xfId="0" applyNumberFormat="1" applyAlignment="1">
      <alignment horizontal="center"/>
    </xf>
    <xf numFmtId="3" fontId="0" fillId="0" borderId="39" xfId="0" applyNumberFormat="1" applyBorder="1" applyAlignment="1">
      <alignment horizontal="center"/>
    </xf>
    <xf numFmtId="0" fontId="0" fillId="0" borderId="5" xfId="0" applyBorder="1"/>
    <xf numFmtId="2" fontId="0" fillId="2" borderId="7" xfId="0" applyNumberFormat="1" applyFill="1" applyBorder="1" applyAlignment="1">
      <alignment horizontal="center"/>
    </xf>
    <xf numFmtId="2" fontId="0" fillId="2" borderId="5" xfId="0" applyNumberFormat="1" applyFill="1" applyBorder="1" applyAlignment="1">
      <alignment horizontal="center"/>
    </xf>
    <xf numFmtId="2" fontId="0" fillId="2" borderId="21" xfId="0" applyNumberFormat="1" applyFill="1" applyBorder="1" applyAlignment="1">
      <alignment horizontal="center"/>
    </xf>
    <xf numFmtId="2" fontId="0" fillId="2" borderId="6" xfId="0" applyNumberFormat="1" applyFill="1" applyBorder="1" applyAlignment="1">
      <alignment horizontal="center"/>
    </xf>
    <xf numFmtId="2" fontId="0" fillId="2" borderId="8" xfId="0" applyNumberFormat="1" applyFill="1" applyBorder="1" applyAlignment="1">
      <alignment horizontal="center"/>
    </xf>
    <xf numFmtId="2" fontId="0" fillId="2" borderId="20" xfId="0" applyNumberFormat="1" applyFill="1" applyBorder="1" applyAlignment="1">
      <alignment horizontal="center"/>
    </xf>
    <xf numFmtId="2" fontId="0" fillId="2" borderId="34" xfId="0" applyNumberFormat="1" applyFill="1" applyBorder="1" applyAlignment="1">
      <alignment horizontal="center"/>
    </xf>
    <xf numFmtId="2" fontId="0" fillId="2" borderId="35" xfId="0" applyNumberFormat="1" applyFill="1" applyBorder="1" applyAlignment="1">
      <alignment horizontal="center"/>
    </xf>
    <xf numFmtId="43" fontId="0" fillId="0" borderId="5" xfId="0" applyNumberFormat="1" applyBorder="1" applyAlignment="1">
      <alignment horizontal="center"/>
    </xf>
    <xf numFmtId="3" fontId="0" fillId="0" borderId="11" xfId="0" applyNumberFormat="1" applyBorder="1" applyAlignment="1">
      <alignment horizontal="center"/>
    </xf>
    <xf numFmtId="169" fontId="0" fillId="0" borderId="0" xfId="0" applyNumberFormat="1" applyAlignment="1">
      <alignment horizontal="center"/>
    </xf>
    <xf numFmtId="0" fontId="0" fillId="0" borderId="28" xfId="0" applyBorder="1"/>
    <xf numFmtId="2" fontId="0" fillId="0" borderId="26" xfId="0" applyNumberFormat="1" applyBorder="1" applyAlignment="1">
      <alignment horizontal="center"/>
    </xf>
    <xf numFmtId="0" fontId="0" fillId="0" borderId="42" xfId="0" applyBorder="1"/>
    <xf numFmtId="0" fontId="0" fillId="0" borderId="1" xfId="0" applyBorder="1"/>
    <xf numFmtId="0" fontId="0" fillId="2" borderId="0" xfId="0" applyFill="1" applyAlignment="1">
      <alignment horizontal="left" indent="1"/>
    </xf>
    <xf numFmtId="2" fontId="0" fillId="0" borderId="24" xfId="0" applyNumberFormat="1" applyBorder="1" applyAlignment="1">
      <alignment horizontal="center"/>
    </xf>
    <xf numFmtId="0" fontId="0" fillId="0" borderId="27" xfId="0" applyBorder="1"/>
    <xf numFmtId="164" fontId="8" fillId="0" borderId="4" xfId="1" applyNumberFormat="1" applyFont="1" applyBorder="1" applyAlignment="1">
      <alignment horizontal="center"/>
    </xf>
    <xf numFmtId="164" fontId="8" fillId="0" borderId="3" xfId="1" applyNumberFormat="1" applyFont="1" applyBorder="1" applyAlignment="1">
      <alignment horizontal="center"/>
    </xf>
    <xf numFmtId="0" fontId="0" fillId="0" borderId="28" xfId="0" applyBorder="1" applyAlignment="1">
      <alignment horizontal="center"/>
    </xf>
    <xf numFmtId="164" fontId="8" fillId="0" borderId="2" xfId="1" applyNumberFormat="1" applyFont="1" applyBorder="1" applyAlignment="1">
      <alignment horizontal="center"/>
    </xf>
    <xf numFmtId="164" fontId="8" fillId="0" borderId="0" xfId="1" applyNumberFormat="1" applyFont="1" applyBorder="1" applyAlignment="1">
      <alignment horizontal="center"/>
    </xf>
    <xf numFmtId="0" fontId="0" fillId="0" borderId="1" xfId="0" applyBorder="1" applyAlignment="1">
      <alignment horizontal="center"/>
    </xf>
    <xf numFmtId="0" fontId="0" fillId="0" borderId="24" xfId="0" applyBorder="1" applyAlignment="1">
      <alignment horizontal="center"/>
    </xf>
    <xf numFmtId="0" fontId="0" fillId="0" borderId="22" xfId="0" applyBorder="1" applyAlignment="1">
      <alignment horizontal="center"/>
    </xf>
    <xf numFmtId="0" fontId="0" fillId="0" borderId="27" xfId="0" applyBorder="1" applyAlignment="1">
      <alignment horizontal="center"/>
    </xf>
    <xf numFmtId="171" fontId="0" fillId="2" borderId="0" xfId="0" applyNumberFormat="1" applyFill="1"/>
    <xf numFmtId="1" fontId="0" fillId="0" borderId="0" xfId="0" applyNumberFormat="1" applyAlignment="1">
      <alignment horizontal="center"/>
    </xf>
    <xf numFmtId="0" fontId="0" fillId="0" borderId="6" xfId="0" applyBorder="1"/>
    <xf numFmtId="3" fontId="0" fillId="0" borderId="5" xfId="0" applyNumberFormat="1" applyBorder="1" applyAlignment="1">
      <alignment horizontal="center"/>
    </xf>
    <xf numFmtId="172" fontId="0" fillId="0" borderId="7" xfId="5" applyNumberFormat="1" applyFont="1" applyBorder="1" applyAlignment="1">
      <alignment horizontal="center"/>
    </xf>
    <xf numFmtId="172" fontId="0" fillId="0" borderId="6" xfId="5" applyNumberFormat="1" applyFont="1" applyBorder="1" applyAlignment="1">
      <alignment horizontal="center"/>
    </xf>
    <xf numFmtId="6" fontId="0" fillId="0" borderId="5" xfId="0" applyNumberFormat="1" applyBorder="1" applyAlignment="1">
      <alignment horizontal="center"/>
    </xf>
    <xf numFmtId="16" fontId="0" fillId="0" borderId="5" xfId="0" quotePrefix="1" applyNumberFormat="1" applyBorder="1" applyAlignment="1">
      <alignment horizontal="center"/>
    </xf>
    <xf numFmtId="0" fontId="0" fillId="0" borderId="4" xfId="0" applyBorder="1" applyAlignment="1">
      <alignment horizontal="center"/>
    </xf>
    <xf numFmtId="0" fontId="0" fillId="0" borderId="3" xfId="0" applyBorder="1" applyAlignment="1">
      <alignment horizontal="center"/>
    </xf>
    <xf numFmtId="3" fontId="0" fillId="0" borderId="28" xfId="0" applyNumberFormat="1" applyBorder="1" applyAlignment="1">
      <alignment horizontal="center"/>
    </xf>
    <xf numFmtId="0" fontId="0" fillId="0" borderId="2" xfId="0" applyBorder="1" applyAlignment="1">
      <alignment horizontal="center"/>
    </xf>
    <xf numFmtId="3" fontId="0" fillId="0" borderId="1" xfId="0" applyNumberFormat="1" applyBorder="1" applyAlignment="1">
      <alignment horizontal="center"/>
    </xf>
    <xf numFmtId="3" fontId="0" fillId="0" borderId="24" xfId="0" applyNumberFormat="1" applyBorder="1" applyAlignment="1">
      <alignment horizontal="center"/>
    </xf>
    <xf numFmtId="3" fontId="0" fillId="0" borderId="22" xfId="0" applyNumberFormat="1" applyBorder="1" applyAlignment="1">
      <alignment horizontal="center"/>
    </xf>
    <xf numFmtId="3" fontId="0" fillId="0" borderId="27" xfId="0" applyNumberFormat="1" applyBorder="1" applyAlignment="1">
      <alignment horizontal="center"/>
    </xf>
    <xf numFmtId="0" fontId="4" fillId="0" borderId="0" xfId="0" applyFont="1"/>
    <xf numFmtId="9" fontId="0" fillId="2" borderId="29" xfId="0" applyNumberFormat="1" applyFill="1" applyBorder="1" applyAlignment="1">
      <alignment horizontal="center"/>
    </xf>
    <xf numFmtId="9" fontId="0" fillId="2" borderId="9" xfId="0" applyNumberFormat="1" applyFill="1" applyBorder="1" applyAlignment="1">
      <alignment horizontal="center"/>
    </xf>
    <xf numFmtId="9" fontId="0" fillId="2" borderId="30" xfId="0" applyNumberFormat="1" applyFill="1" applyBorder="1" applyAlignment="1">
      <alignment horizontal="center"/>
    </xf>
    <xf numFmtId="164" fontId="0" fillId="2" borderId="31" xfId="0" applyNumberFormat="1" applyFill="1" applyBorder="1" applyAlignment="1">
      <alignment horizontal="center"/>
    </xf>
    <xf numFmtId="164" fontId="0" fillId="2" borderId="6" xfId="0" applyNumberFormat="1" applyFill="1" applyBorder="1" applyAlignment="1">
      <alignment horizontal="center"/>
    </xf>
    <xf numFmtId="0" fontId="2" fillId="0" borderId="0" xfId="0" applyFont="1"/>
    <xf numFmtId="0" fontId="2" fillId="2" borderId="0" xfId="0" applyFont="1" applyFill="1"/>
    <xf numFmtId="0" fontId="2" fillId="0" borderId="0" xfId="0" applyFont="1" applyAlignment="1">
      <alignment vertical="center"/>
    </xf>
    <xf numFmtId="0" fontId="1" fillId="2" borderId="0" xfId="0" applyFont="1" applyFill="1"/>
    <xf numFmtId="0" fontId="5" fillId="0" borderId="0" xfId="3" applyAlignment="1">
      <alignment horizontal="left" vertical="top" wrapText="1"/>
    </xf>
    <xf numFmtId="0" fontId="5" fillId="0" borderId="0" xfId="3" applyAlignment="1">
      <alignment horizontal="left" vertical="top"/>
    </xf>
    <xf numFmtId="0" fontId="3" fillId="0" borderId="0" xfId="3" applyFont="1" applyAlignment="1">
      <alignment horizontal="left" vertical="top" wrapText="1"/>
    </xf>
    <xf numFmtId="0" fontId="13" fillId="2" borderId="0" xfId="0" applyFont="1" applyFill="1" applyAlignment="1">
      <alignment horizontal="center"/>
    </xf>
    <xf numFmtId="0" fontId="15" fillId="0" borderId="0" xfId="0" applyFont="1" applyAlignment="1">
      <alignment horizontal="center"/>
    </xf>
    <xf numFmtId="0" fontId="15" fillId="2" borderId="10" xfId="0" applyFont="1" applyFill="1" applyBorder="1" applyAlignment="1">
      <alignment horizontal="left"/>
    </xf>
    <xf numFmtId="0" fontId="15" fillId="2" borderId="23" xfId="0" applyFont="1" applyFill="1" applyBorder="1" applyAlignment="1">
      <alignment horizontal="left"/>
    </xf>
    <xf numFmtId="0" fontId="15" fillId="2" borderId="11" xfId="0" applyFont="1" applyFill="1" applyBorder="1" applyAlignment="1">
      <alignment horizontal="left"/>
    </xf>
    <xf numFmtId="0" fontId="7" fillId="0" borderId="0" xfId="0" applyFont="1" applyAlignment="1">
      <alignment horizontal="left" wrapText="1"/>
    </xf>
    <xf numFmtId="0" fontId="6" fillId="0" borderId="0" xfId="0" applyFont="1" applyAlignment="1">
      <alignment horizontal="left" wrapText="1"/>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7" fillId="0" borderId="0" xfId="0" applyFont="1" applyAlignment="1">
      <alignment horizontal="center"/>
    </xf>
    <xf numFmtId="0" fontId="7" fillId="2" borderId="0" xfId="0" applyFont="1" applyFill="1" applyAlignment="1">
      <alignment horizontal="center"/>
    </xf>
    <xf numFmtId="0" fontId="13" fillId="2" borderId="2" xfId="0" applyFont="1" applyFill="1" applyBorder="1" applyAlignment="1">
      <alignment horizontal="center"/>
    </xf>
    <xf numFmtId="0" fontId="7" fillId="0" borderId="0" xfId="0" applyFont="1" applyAlignment="1">
      <alignment horizontal="left" vertical="center" wrapText="1"/>
    </xf>
    <xf numFmtId="0" fontId="2" fillId="0" borderId="0" xfId="0" applyFont="1" applyAlignment="1">
      <alignment horizontal="left" vertical="center" wrapText="1"/>
    </xf>
    <xf numFmtId="0" fontId="7" fillId="0" borderId="0" xfId="0" applyFont="1" applyAlignment="1">
      <alignment wrapText="1"/>
    </xf>
    <xf numFmtId="0" fontId="13" fillId="0" borderId="0" xfId="0" applyFont="1" applyAlignment="1">
      <alignment horizontal="center"/>
    </xf>
    <xf numFmtId="0" fontId="14" fillId="2" borderId="0" xfId="0" applyFont="1" applyFill="1" applyAlignment="1">
      <alignment horizontal="center" vertical="center" wrapText="1"/>
    </xf>
    <xf numFmtId="0" fontId="14" fillId="2" borderId="5" xfId="0" applyFont="1" applyFill="1" applyBorder="1" applyAlignment="1">
      <alignment horizontal="center" vertical="center" wrapText="1"/>
    </xf>
    <xf numFmtId="0" fontId="13" fillId="0" borderId="0" xfId="0" applyFont="1" applyAlignment="1">
      <alignment horizontal="center" vertical="center"/>
    </xf>
    <xf numFmtId="0" fontId="0" fillId="2" borderId="33" xfId="0" applyFill="1" applyBorder="1" applyAlignment="1">
      <alignment horizontal="center"/>
    </xf>
    <xf numFmtId="0" fontId="0" fillId="2" borderId="32" xfId="0" applyFill="1" applyBorder="1" applyAlignment="1">
      <alignment horizontal="center"/>
    </xf>
    <xf numFmtId="0" fontId="0" fillId="2" borderId="31" xfId="0" applyFill="1" applyBorder="1" applyAlignment="1">
      <alignment horizontal="center"/>
    </xf>
    <xf numFmtId="0" fontId="0" fillId="2" borderId="30" xfId="0" applyFill="1" applyBorder="1" applyAlignment="1">
      <alignment horizontal="center"/>
    </xf>
    <xf numFmtId="0" fontId="0" fillId="2" borderId="29" xfId="0" applyFill="1" applyBorder="1" applyAlignment="1">
      <alignment horizontal="center"/>
    </xf>
    <xf numFmtId="0" fontId="0" fillId="2" borderId="0" xfId="0" applyFill="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0" fillId="2" borderId="0" xfId="0" applyFill="1" applyAlignment="1">
      <alignment horizontal="left" wrapText="1"/>
    </xf>
    <xf numFmtId="0" fontId="0" fillId="2" borderId="20" xfId="0" applyFill="1" applyBorder="1" applyAlignment="1">
      <alignment horizontal="center" wrapText="1"/>
    </xf>
    <xf numFmtId="0" fontId="0" fillId="2" borderId="6" xfId="0" applyFill="1" applyBorder="1" applyAlignment="1">
      <alignment horizontal="center" wrapText="1"/>
    </xf>
    <xf numFmtId="0" fontId="0" fillId="2" borderId="7" xfId="0" applyFill="1" applyBorder="1" applyAlignment="1">
      <alignment horizontal="center" wrapText="1"/>
    </xf>
    <xf numFmtId="0" fontId="0" fillId="2" borderId="34" xfId="0" applyFill="1" applyBorder="1" applyAlignment="1">
      <alignment horizontal="center" wrapText="1"/>
    </xf>
    <xf numFmtId="0" fontId="0" fillId="2" borderId="0" xfId="0" applyFill="1" applyAlignment="1">
      <alignment horizontal="center" wrapText="1"/>
    </xf>
    <xf numFmtId="0" fontId="0" fillId="2" borderId="5" xfId="0" applyFill="1" applyBorder="1" applyAlignment="1">
      <alignment horizontal="center" wrapText="1"/>
    </xf>
    <xf numFmtId="0" fontId="0" fillId="2" borderId="35" xfId="0" applyFill="1" applyBorder="1" applyAlignment="1">
      <alignment horizontal="center" wrapText="1"/>
    </xf>
    <xf numFmtId="0" fontId="0" fillId="2" borderId="8" xfId="0" applyFill="1" applyBorder="1" applyAlignment="1">
      <alignment horizontal="center" wrapText="1"/>
    </xf>
    <xf numFmtId="0" fontId="0" fillId="2" borderId="21" xfId="0" applyFill="1" applyBorder="1" applyAlignment="1">
      <alignment horizontal="center" wrapText="1"/>
    </xf>
    <xf numFmtId="0" fontId="0" fillId="2" borderId="30" xfId="0" applyFill="1" applyBorder="1" applyAlignment="1">
      <alignment horizontal="center" wrapText="1"/>
    </xf>
    <xf numFmtId="0" fontId="0" fillId="2" borderId="9" xfId="0" applyFill="1" applyBorder="1" applyAlignment="1">
      <alignment horizontal="center" wrapText="1"/>
    </xf>
    <xf numFmtId="0" fontId="0" fillId="2" borderId="29" xfId="0" applyFill="1" applyBorder="1" applyAlignment="1">
      <alignment horizontal="center" wrapText="1"/>
    </xf>
    <xf numFmtId="0" fontId="33" fillId="0" borderId="0" xfId="0" applyFont="1" applyAlignment="1">
      <alignment horizontal="left" wrapText="1"/>
    </xf>
    <xf numFmtId="0" fontId="0" fillId="2" borderId="0" xfId="0" applyFill="1" applyAlignment="1">
      <alignment horizontal="center"/>
    </xf>
    <xf numFmtId="0" fontId="0" fillId="2" borderId="6" xfId="0" applyFill="1" applyBorder="1" applyAlignment="1">
      <alignment horizontal="center"/>
    </xf>
    <xf numFmtId="0" fontId="0" fillId="2" borderId="8" xfId="0" applyFill="1" applyBorder="1" applyAlignment="1">
      <alignment horizontal="center"/>
    </xf>
    <xf numFmtId="0" fontId="0" fillId="2" borderId="8" xfId="0" quotePrefix="1" applyFill="1" applyBorder="1" applyAlignment="1">
      <alignment horizontal="center"/>
    </xf>
    <xf numFmtId="0" fontId="0" fillId="2" borderId="21" xfId="0" quotePrefix="1" applyFill="1" applyBorder="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0" fontId="0" fillId="0" borderId="5" xfId="0" applyBorder="1" applyAlignment="1">
      <alignment horizontal="center"/>
    </xf>
    <xf numFmtId="0" fontId="0" fillId="0" borderId="0" xfId="0" applyAlignment="1">
      <alignment horizontal="left" vertical="center" wrapText="1"/>
    </xf>
    <xf numFmtId="0" fontId="32" fillId="0" borderId="0" xfId="0" applyFont="1" applyAlignment="1">
      <alignment horizontal="center" vertical="center" wrapText="1"/>
    </xf>
    <xf numFmtId="0" fontId="0" fillId="0" borderId="0" xfId="0" applyAlignment="1">
      <alignment horizontal="center" vertical="center" wrapText="1"/>
    </xf>
    <xf numFmtId="0" fontId="34" fillId="0" borderId="0" xfId="0" applyFont="1" applyAlignment="1">
      <alignment horizontal="left" vertical="center" wrapText="1"/>
    </xf>
    <xf numFmtId="0" fontId="34" fillId="0" borderId="0" xfId="0" applyFont="1" applyAlignment="1">
      <alignment horizontal="left" vertical="top" wrapText="1"/>
    </xf>
    <xf numFmtId="0" fontId="0" fillId="0" borderId="41" xfId="0" applyBorder="1" applyAlignment="1">
      <alignment horizontal="center" wrapText="1"/>
    </xf>
    <xf numFmtId="0" fontId="0" fillId="0" borderId="40" xfId="0" applyBorder="1" applyAlignment="1">
      <alignment horizontal="center" wrapText="1"/>
    </xf>
    <xf numFmtId="0" fontId="0" fillId="2" borderId="21" xfId="0" applyFill="1" applyBorder="1" applyAlignment="1">
      <alignment horizontal="center"/>
    </xf>
    <xf numFmtId="0" fontId="0" fillId="2" borderId="35" xfId="0" applyFill="1" applyBorder="1" applyAlignment="1">
      <alignment horizontal="center"/>
    </xf>
    <xf numFmtId="0" fontId="0" fillId="2" borderId="34" xfId="0" applyFill="1" applyBorder="1" applyAlignment="1">
      <alignment horizontal="center"/>
    </xf>
    <xf numFmtId="0" fontId="0" fillId="2" borderId="20" xfId="0" applyFill="1" applyBorder="1" applyAlignment="1">
      <alignment horizontal="center"/>
    </xf>
    <xf numFmtId="0" fontId="0" fillId="2" borderId="9" xfId="0" applyFill="1" applyBorder="1" applyAlignment="1">
      <alignment horizontal="center"/>
    </xf>
    <xf numFmtId="0" fontId="0" fillId="0" borderId="0" xfId="0" quotePrefix="1" applyAlignment="1">
      <alignment horizontal="left" wrapText="1"/>
    </xf>
  </cellXfs>
  <cellStyles count="6">
    <cellStyle name="Comma" xfId="1" builtinId="3"/>
    <cellStyle name="Hyperlink 2" xfId="4" xr:uid="{E198571E-83A9-044B-86C5-10AE30E74AA6}"/>
    <cellStyle name="Normal" xfId="0" builtinId="0"/>
    <cellStyle name="Normal 2 2" xfId="2" xr:uid="{C3FE464E-5668-4F41-9005-29C15877C7AF}"/>
    <cellStyle name="Normal 4" xfId="3" xr:uid="{13E6634C-F490-C24E-BC45-71505E945F72}"/>
    <cellStyle name="Percent 2" xfId="5" xr:uid="{CB7F06CA-460D-C245-9663-1D644B31E9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emf"/></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CE605B2E-3EBA-EC42-9C2D-897CB4C6D66F}"/>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761999</xdr:colOff>
      <xdr:row>4</xdr:row>
      <xdr:rowOff>111845</xdr:rowOff>
    </xdr:from>
    <xdr:to>
      <xdr:col>7</xdr:col>
      <xdr:colOff>293077</xdr:colOff>
      <xdr:row>13</xdr:row>
      <xdr:rowOff>127696</xdr:rowOff>
    </xdr:to>
    <xdr:pic>
      <xdr:nvPicPr>
        <xdr:cNvPr id="2049" name="Picture 1">
          <a:extLst>
            <a:ext uri="{FF2B5EF4-FFF2-40B4-BE49-F238E27FC236}">
              <a16:creationId xmlns:a16="http://schemas.microsoft.com/office/drawing/2014/main" id="{00000000-0008-0000-0100-000001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2384" y="971537"/>
          <a:ext cx="4337539" cy="1862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38100</xdr:colOff>
          <xdr:row>71</xdr:row>
          <xdr:rowOff>38100</xdr:rowOff>
        </xdr:from>
        <xdr:to>
          <xdr:col>21</xdr:col>
          <xdr:colOff>38100</xdr:colOff>
          <xdr:row>76</xdr:row>
          <xdr:rowOff>38100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500-0000012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12</xdr:col>
      <xdr:colOff>0</xdr:colOff>
      <xdr:row>6</xdr:row>
      <xdr:rowOff>0</xdr:rowOff>
    </xdr:from>
    <xdr:to>
      <xdr:col>12</xdr:col>
      <xdr:colOff>165100</xdr:colOff>
      <xdr:row>6</xdr:row>
      <xdr:rowOff>190500</xdr:rowOff>
    </xdr:to>
    <xdr:pic>
      <xdr:nvPicPr>
        <xdr:cNvPr id="7169" name="Picture 1">
          <a:extLst>
            <a:ext uri="{FF2B5EF4-FFF2-40B4-BE49-F238E27FC236}">
              <a16:creationId xmlns:a16="http://schemas.microsoft.com/office/drawing/2014/main" id="{00000000-0008-0000-0500-0000011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9800" y="10998200"/>
          <a:ext cx="1651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177800</xdr:colOff>
      <xdr:row>3</xdr:row>
      <xdr:rowOff>101600</xdr:rowOff>
    </xdr:from>
    <xdr:ext cx="5219701" cy="3797300"/>
    <xdr:pic>
      <xdr:nvPicPr>
        <xdr:cNvPr id="2" name="Picture 1">
          <a:extLst>
            <a:ext uri="{FF2B5EF4-FFF2-40B4-BE49-F238E27FC236}">
              <a16:creationId xmlns:a16="http://schemas.microsoft.com/office/drawing/2014/main" id="{8310C49B-C133-CC44-B55E-A872E935C5CC}"/>
            </a:ext>
          </a:extLst>
        </xdr:cNvPr>
        <xdr:cNvPicPr>
          <a:picLocks noChangeAspect="1"/>
        </xdr:cNvPicPr>
      </xdr:nvPicPr>
      <xdr:blipFill rotWithShape="1">
        <a:blip xmlns:r="http://schemas.openxmlformats.org/officeDocument/2006/relationships" r:embed="rId1"/>
        <a:srcRect l="3256" t="2216" r="2325" b="3164"/>
        <a:stretch/>
      </xdr:blipFill>
      <xdr:spPr>
        <a:xfrm>
          <a:off x="1016000" y="711200"/>
          <a:ext cx="5219701" cy="3797300"/>
        </a:xfrm>
        <a:prstGeom prst="rect">
          <a:avLst/>
        </a:prstGeom>
        <a:ln>
          <a:solidFill>
            <a:schemeClr val="tx1"/>
          </a:solidFill>
        </a:ln>
      </xdr:spPr>
    </xdr:pic>
    <xdr:clientData/>
  </xdr:oneCellAnchor>
</xdr:wsDr>
</file>

<file path=xl/drawings/drawing6.xml><?xml version="1.0" encoding="utf-8"?>
<xdr:wsDr xmlns:xdr="http://schemas.openxmlformats.org/drawingml/2006/spreadsheetDrawing" xmlns:a="http://schemas.openxmlformats.org/drawingml/2006/main">
  <xdr:twoCellAnchor>
    <xdr:from>
      <xdr:col>12</xdr:col>
      <xdr:colOff>603250</xdr:colOff>
      <xdr:row>4</xdr:row>
      <xdr:rowOff>50800</xdr:rowOff>
    </xdr:from>
    <xdr:to>
      <xdr:col>15</xdr:col>
      <xdr:colOff>111125</xdr:colOff>
      <xdr:row>5</xdr:row>
      <xdr:rowOff>98425</xdr:rowOff>
    </xdr:to>
    <xdr:pic>
      <xdr:nvPicPr>
        <xdr:cNvPr id="2" name="Picture 1">
          <a:extLst>
            <a:ext uri="{FF2B5EF4-FFF2-40B4-BE49-F238E27FC236}">
              <a16:creationId xmlns:a16="http://schemas.microsoft.com/office/drawing/2014/main" id="{EBAA0EE3-C061-B249-A07C-85145B9BC7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1650" y="863600"/>
          <a:ext cx="2022475" cy="25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2</xdr:col>
      <xdr:colOff>0</xdr:colOff>
      <xdr:row>5</xdr:row>
      <xdr:rowOff>0</xdr:rowOff>
    </xdr:from>
    <xdr:ext cx="4229690" cy="2559398"/>
    <xdr:pic>
      <xdr:nvPicPr>
        <xdr:cNvPr id="2" name="Picture 1">
          <a:extLst>
            <a:ext uri="{FF2B5EF4-FFF2-40B4-BE49-F238E27FC236}">
              <a16:creationId xmlns:a16="http://schemas.microsoft.com/office/drawing/2014/main" id="{E3157ED1-63D0-A540-86BD-CECC22CC9BCC}"/>
            </a:ext>
          </a:extLst>
        </xdr:cNvPr>
        <xdr:cNvPicPr>
          <a:picLocks noChangeAspect="1"/>
        </xdr:cNvPicPr>
      </xdr:nvPicPr>
      <xdr:blipFill>
        <a:blip xmlns:r="http://schemas.openxmlformats.org/officeDocument/2006/relationships" r:embed="rId1"/>
        <a:stretch>
          <a:fillRect/>
        </a:stretch>
      </xdr:blipFill>
      <xdr:spPr>
        <a:xfrm>
          <a:off x="1676400" y="1016000"/>
          <a:ext cx="4229690" cy="2559398"/>
        </a:xfrm>
        <a:prstGeom prst="rect">
          <a:avLst/>
        </a:prstGeom>
      </xdr:spPr>
    </xdr:pic>
    <xdr:clientData/>
  </xdr:oneCellAnchor>
  <xdr:oneCellAnchor>
    <xdr:from>
      <xdr:col>2</xdr:col>
      <xdr:colOff>0</xdr:colOff>
      <xdr:row>18</xdr:row>
      <xdr:rowOff>0</xdr:rowOff>
    </xdr:from>
    <xdr:ext cx="4238625" cy="2553051"/>
    <xdr:pic>
      <xdr:nvPicPr>
        <xdr:cNvPr id="3" name="Picture 2">
          <a:extLst>
            <a:ext uri="{FF2B5EF4-FFF2-40B4-BE49-F238E27FC236}">
              <a16:creationId xmlns:a16="http://schemas.microsoft.com/office/drawing/2014/main" id="{0E31A1CE-A6F7-944A-B971-8E622999A31B}"/>
            </a:ext>
          </a:extLst>
        </xdr:cNvPr>
        <xdr:cNvPicPr>
          <a:picLocks noChangeAspect="1"/>
        </xdr:cNvPicPr>
      </xdr:nvPicPr>
      <xdr:blipFill>
        <a:blip xmlns:r="http://schemas.openxmlformats.org/officeDocument/2006/relationships" r:embed="rId2"/>
        <a:stretch>
          <a:fillRect/>
        </a:stretch>
      </xdr:blipFill>
      <xdr:spPr>
        <a:xfrm>
          <a:off x="1676400" y="3657600"/>
          <a:ext cx="4238625" cy="2553051"/>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11</xdr:col>
      <xdr:colOff>139700</xdr:colOff>
      <xdr:row>24</xdr:row>
      <xdr:rowOff>21712</xdr:rowOff>
    </xdr:from>
    <xdr:to>
      <xdr:col>17</xdr:col>
      <xdr:colOff>622300</xdr:colOff>
      <xdr:row>39</xdr:row>
      <xdr:rowOff>139699</xdr:rowOff>
    </xdr:to>
    <xdr:pic>
      <xdr:nvPicPr>
        <xdr:cNvPr id="2" name="Picture 1">
          <a:extLst>
            <a:ext uri="{FF2B5EF4-FFF2-40B4-BE49-F238E27FC236}">
              <a16:creationId xmlns:a16="http://schemas.microsoft.com/office/drawing/2014/main" id="{5D4F399E-36E7-3A45-ACF5-789AEAB2D27B}"/>
            </a:ext>
          </a:extLst>
        </xdr:cNvPr>
        <xdr:cNvPicPr>
          <a:picLocks noChangeAspect="1"/>
        </xdr:cNvPicPr>
      </xdr:nvPicPr>
      <xdr:blipFill>
        <a:blip xmlns:r="http://schemas.openxmlformats.org/officeDocument/2006/relationships" r:embed="rId1"/>
        <a:stretch>
          <a:fillRect/>
        </a:stretch>
      </xdr:blipFill>
      <xdr:spPr>
        <a:xfrm>
          <a:off x="9359900" y="4898512"/>
          <a:ext cx="5511800" cy="3165987"/>
        </a:xfrm>
        <a:prstGeom prst="rect">
          <a:avLst/>
        </a:prstGeom>
      </xdr:spPr>
    </xdr:pic>
    <xdr:clientData/>
  </xdr:twoCellAnchor>
  <xdr:twoCellAnchor>
    <xdr:from>
      <xdr:col>11</xdr:col>
      <xdr:colOff>190500</xdr:colOff>
      <xdr:row>3</xdr:row>
      <xdr:rowOff>146371</xdr:rowOff>
    </xdr:from>
    <xdr:to>
      <xdr:col>17</xdr:col>
      <xdr:colOff>1066800</xdr:colOff>
      <xdr:row>18</xdr:row>
      <xdr:rowOff>25400</xdr:rowOff>
    </xdr:to>
    <xdr:pic>
      <xdr:nvPicPr>
        <xdr:cNvPr id="3" name="Picture 2">
          <a:extLst>
            <a:ext uri="{FF2B5EF4-FFF2-40B4-BE49-F238E27FC236}">
              <a16:creationId xmlns:a16="http://schemas.microsoft.com/office/drawing/2014/main" id="{4187CCB9-06A8-FF4F-9128-3EA276C3145F}"/>
            </a:ext>
          </a:extLst>
        </xdr:cNvPr>
        <xdr:cNvPicPr>
          <a:picLocks noChangeAspect="1"/>
        </xdr:cNvPicPr>
      </xdr:nvPicPr>
      <xdr:blipFill>
        <a:blip xmlns:r="http://schemas.openxmlformats.org/officeDocument/2006/relationships" r:embed="rId2"/>
        <a:stretch>
          <a:fillRect/>
        </a:stretch>
      </xdr:blipFill>
      <xdr:spPr>
        <a:xfrm>
          <a:off x="9410700" y="755971"/>
          <a:ext cx="5676900" cy="292702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pple/Dropbox/Rising%20Fellow/_Products/Exam%207/_Problem%20Pack/Support%20Excel%20Files/RF%20Shapland_3%20Sup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image" Target="../media/image3.emf"/></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83A47-0C70-5F4B-9CD9-933058873016}">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131" customWidth="1"/>
    <col min="6" max="12" width="10.83203125" style="131" customWidth="1"/>
    <col min="13" max="13" width="10.6640625" style="131" customWidth="1"/>
    <col min="14" max="16" width="10" style="131" customWidth="1"/>
    <col min="17" max="16384" width="8.5" style="131"/>
  </cols>
  <sheetData>
    <row r="1" spans="1:13" ht="14.5" customHeight="1" x14ac:dyDescent="0.2">
      <c r="A1" s="127"/>
      <c r="B1" s="128"/>
      <c r="C1" s="128"/>
      <c r="D1" s="128"/>
      <c r="E1" s="128"/>
      <c r="F1" s="128"/>
      <c r="G1" s="128"/>
      <c r="H1" s="128"/>
      <c r="I1" s="128"/>
      <c r="J1" s="128"/>
      <c r="K1" s="128"/>
      <c r="L1" s="129" t="s">
        <v>304</v>
      </c>
      <c r="M1" s="130"/>
    </row>
    <row r="2" spans="1:13" s="133" customFormat="1" x14ac:dyDescent="0.2">
      <c r="A2" s="132"/>
      <c r="M2" s="134"/>
    </row>
    <row r="3" spans="1:13" s="133" customFormat="1" ht="16" customHeight="1" x14ac:dyDescent="0.2">
      <c r="A3" s="132"/>
      <c r="M3" s="134"/>
    </row>
    <row r="4" spans="1:13" s="133" customFormat="1" ht="16" customHeight="1" x14ac:dyDescent="0.2">
      <c r="A4" s="132"/>
      <c r="M4" s="134"/>
    </row>
    <row r="5" spans="1:13" s="133" customFormat="1" ht="16" customHeight="1" x14ac:dyDescent="0.2">
      <c r="A5" s="132"/>
      <c r="M5" s="134"/>
    </row>
    <row r="6" spans="1:13" s="133" customFormat="1" ht="16" customHeight="1" x14ac:dyDescent="0.2">
      <c r="A6" s="132"/>
      <c r="B6" s="135" t="s">
        <v>305</v>
      </c>
      <c r="M6" s="134"/>
    </row>
    <row r="7" spans="1:13" s="133" customFormat="1" ht="16" customHeight="1" x14ac:dyDescent="0.2">
      <c r="A7" s="132"/>
      <c r="M7" s="134"/>
    </row>
    <row r="8" spans="1:13" s="133" customFormat="1" ht="16" customHeight="1" x14ac:dyDescent="0.25">
      <c r="A8" s="132"/>
      <c r="B8" s="136" t="s">
        <v>306</v>
      </c>
      <c r="M8" s="134"/>
    </row>
    <row r="9" spans="1:13" s="133" customFormat="1" ht="17" customHeight="1" x14ac:dyDescent="0.2">
      <c r="A9" s="132"/>
      <c r="C9" s="405" t="s">
        <v>307</v>
      </c>
      <c r="D9" s="406"/>
      <c r="E9" s="406"/>
      <c r="F9" s="406"/>
      <c r="G9" s="406"/>
      <c r="H9" s="406"/>
      <c r="I9" s="406"/>
      <c r="J9" s="406"/>
      <c r="K9" s="406"/>
      <c r="M9" s="134"/>
    </row>
    <row r="10" spans="1:13" s="133" customFormat="1" x14ac:dyDescent="0.2">
      <c r="A10" s="132"/>
      <c r="C10" s="406"/>
      <c r="D10" s="406"/>
      <c r="E10" s="406"/>
      <c r="F10" s="406"/>
      <c r="G10" s="406"/>
      <c r="H10" s="406"/>
      <c r="I10" s="406"/>
      <c r="J10" s="406"/>
      <c r="K10" s="406"/>
      <c r="M10" s="134"/>
    </row>
    <row r="11" spans="1:13" s="133" customFormat="1" ht="16" customHeight="1" x14ac:dyDescent="0.2">
      <c r="A11" s="132"/>
      <c r="C11" s="406"/>
      <c r="D11" s="406"/>
      <c r="E11" s="406"/>
      <c r="F11" s="406"/>
      <c r="G11" s="406"/>
      <c r="H11" s="406"/>
      <c r="I11" s="406"/>
      <c r="J11" s="406"/>
      <c r="K11" s="406"/>
      <c r="M11" s="134"/>
    </row>
    <row r="12" spans="1:13" s="133" customFormat="1" ht="16" customHeight="1" x14ac:dyDescent="0.2">
      <c r="A12" s="132"/>
      <c r="C12" s="406"/>
      <c r="D12" s="406"/>
      <c r="E12" s="406"/>
      <c r="F12" s="406"/>
      <c r="G12" s="406"/>
      <c r="H12" s="406"/>
      <c r="I12" s="406"/>
      <c r="J12" s="406"/>
      <c r="K12" s="406"/>
      <c r="M12" s="134"/>
    </row>
    <row r="13" spans="1:13" s="133" customFormat="1" ht="16" customHeight="1" x14ac:dyDescent="0.2">
      <c r="A13" s="132"/>
      <c r="C13" s="406"/>
      <c r="D13" s="406"/>
      <c r="E13" s="406"/>
      <c r="F13" s="406"/>
      <c r="G13" s="406"/>
      <c r="H13" s="406"/>
      <c r="I13" s="406"/>
      <c r="J13" s="406"/>
      <c r="K13" s="406"/>
      <c r="M13" s="134"/>
    </row>
    <row r="14" spans="1:13" s="133" customFormat="1" ht="16" customHeight="1" x14ac:dyDescent="0.2">
      <c r="A14" s="132"/>
      <c r="C14" s="406"/>
      <c r="D14" s="406"/>
      <c r="E14" s="406"/>
      <c r="F14" s="406"/>
      <c r="G14" s="406"/>
      <c r="H14" s="406"/>
      <c r="I14" s="406"/>
      <c r="J14" s="406"/>
      <c r="K14" s="406"/>
      <c r="M14" s="134"/>
    </row>
    <row r="15" spans="1:13" s="133" customFormat="1" ht="16" customHeight="1" x14ac:dyDescent="0.2">
      <c r="A15" s="132"/>
      <c r="C15" s="406"/>
      <c r="D15" s="406"/>
      <c r="E15" s="406"/>
      <c r="F15" s="406"/>
      <c r="G15" s="406"/>
      <c r="H15" s="406"/>
      <c r="I15" s="406"/>
      <c r="J15" s="406"/>
      <c r="K15" s="406"/>
      <c r="M15" s="134"/>
    </row>
    <row r="16" spans="1:13" s="133" customFormat="1" ht="16" customHeight="1" x14ac:dyDescent="0.2">
      <c r="A16" s="132"/>
      <c r="C16" s="406"/>
      <c r="D16" s="406"/>
      <c r="E16" s="406"/>
      <c r="F16" s="406"/>
      <c r="G16" s="406"/>
      <c r="H16" s="406"/>
      <c r="I16" s="406"/>
      <c r="J16" s="406"/>
      <c r="K16" s="406"/>
      <c r="M16" s="134"/>
    </row>
    <row r="17" spans="1:13" s="133" customFormat="1" ht="16" customHeight="1" x14ac:dyDescent="0.2">
      <c r="A17" s="132"/>
      <c r="M17" s="134"/>
    </row>
    <row r="18" spans="1:13" s="133" customFormat="1" ht="16" customHeight="1" x14ac:dyDescent="0.25">
      <c r="A18" s="132"/>
      <c r="B18" s="136" t="s">
        <v>308</v>
      </c>
      <c r="M18" s="134"/>
    </row>
    <row r="19" spans="1:13" s="133" customFormat="1" ht="17" customHeight="1" x14ac:dyDescent="0.2">
      <c r="A19" s="132"/>
      <c r="C19" s="405" t="s">
        <v>309</v>
      </c>
      <c r="D19" s="406"/>
      <c r="E19" s="406"/>
      <c r="F19" s="406"/>
      <c r="G19" s="406"/>
      <c r="H19" s="406"/>
      <c r="I19" s="406"/>
      <c r="J19" s="406"/>
      <c r="K19" s="406"/>
      <c r="M19" s="134"/>
    </row>
    <row r="20" spans="1:13" s="133" customFormat="1" x14ac:dyDescent="0.2">
      <c r="A20" s="132"/>
      <c r="C20" s="406"/>
      <c r="D20" s="406"/>
      <c r="E20" s="406"/>
      <c r="F20" s="406"/>
      <c r="G20" s="406"/>
      <c r="H20" s="406"/>
      <c r="I20" s="406"/>
      <c r="J20" s="406"/>
      <c r="K20" s="406"/>
      <c r="M20" s="134"/>
    </row>
    <row r="21" spans="1:13" s="133" customFormat="1" x14ac:dyDescent="0.2">
      <c r="A21" s="132"/>
      <c r="C21" s="406"/>
      <c r="D21" s="406"/>
      <c r="E21" s="406"/>
      <c r="F21" s="406"/>
      <c r="G21" s="406"/>
      <c r="H21" s="406"/>
      <c r="I21" s="406"/>
      <c r="J21" s="406"/>
      <c r="K21" s="406"/>
      <c r="M21" s="134"/>
    </row>
    <row r="22" spans="1:13" s="133" customFormat="1" x14ac:dyDescent="0.2">
      <c r="A22" s="132"/>
      <c r="C22" s="406"/>
      <c r="D22" s="406"/>
      <c r="E22" s="406"/>
      <c r="F22" s="406"/>
      <c r="G22" s="406"/>
      <c r="H22" s="406"/>
      <c r="I22" s="406"/>
      <c r="J22" s="406"/>
      <c r="K22" s="406"/>
      <c r="M22" s="134"/>
    </row>
    <row r="23" spans="1:13" s="133" customFormat="1" x14ac:dyDescent="0.2">
      <c r="A23" s="132"/>
      <c r="C23" s="406"/>
      <c r="D23" s="406"/>
      <c r="E23" s="406"/>
      <c r="F23" s="406"/>
      <c r="G23" s="406"/>
      <c r="H23" s="406"/>
      <c r="I23" s="406"/>
      <c r="J23" s="406"/>
      <c r="K23" s="406"/>
      <c r="M23" s="134"/>
    </row>
    <row r="24" spans="1:13" s="133" customFormat="1" x14ac:dyDescent="0.2">
      <c r="A24" s="132"/>
      <c r="C24" s="406"/>
      <c r="D24" s="406"/>
      <c r="E24" s="406"/>
      <c r="F24" s="406"/>
      <c r="G24" s="406"/>
      <c r="H24" s="406"/>
      <c r="I24" s="406"/>
      <c r="J24" s="406"/>
      <c r="K24" s="406"/>
      <c r="M24" s="134"/>
    </row>
    <row r="25" spans="1:13" s="133" customFormat="1" x14ac:dyDescent="0.2">
      <c r="A25" s="132"/>
      <c r="C25" s="406"/>
      <c r="D25" s="406"/>
      <c r="E25" s="406"/>
      <c r="F25" s="406"/>
      <c r="G25" s="406"/>
      <c r="H25" s="406"/>
      <c r="I25" s="406"/>
      <c r="J25" s="406"/>
      <c r="K25" s="406"/>
      <c r="M25" s="134"/>
    </row>
    <row r="26" spans="1:13" s="133" customFormat="1" x14ac:dyDescent="0.2">
      <c r="A26" s="132"/>
      <c r="C26" s="406"/>
      <c r="D26" s="406"/>
      <c r="E26" s="406"/>
      <c r="F26" s="406"/>
      <c r="G26" s="406"/>
      <c r="H26" s="406"/>
      <c r="I26" s="406"/>
      <c r="J26" s="406"/>
      <c r="K26" s="406"/>
      <c r="M26" s="134"/>
    </row>
    <row r="27" spans="1:13" s="133" customFormat="1" x14ac:dyDescent="0.2">
      <c r="A27" s="132"/>
      <c r="C27" s="406"/>
      <c r="D27" s="406"/>
      <c r="E27" s="406"/>
      <c r="F27" s="406"/>
      <c r="G27" s="406"/>
      <c r="H27" s="406"/>
      <c r="I27" s="406"/>
      <c r="J27" s="406"/>
      <c r="K27" s="406"/>
      <c r="M27" s="134"/>
    </row>
    <row r="28" spans="1:13" s="133" customFormat="1" x14ac:dyDescent="0.2">
      <c r="A28" s="132"/>
      <c r="C28" s="406"/>
      <c r="D28" s="406"/>
      <c r="E28" s="406"/>
      <c r="F28" s="406"/>
      <c r="G28" s="406"/>
      <c r="H28" s="406"/>
      <c r="I28" s="406"/>
      <c r="J28" s="406"/>
      <c r="K28" s="406"/>
      <c r="M28" s="134"/>
    </row>
    <row r="29" spans="1:13" s="133" customFormat="1" x14ac:dyDescent="0.2">
      <c r="A29" s="132"/>
      <c r="C29" s="137"/>
      <c r="D29" s="137"/>
      <c r="E29" s="137"/>
      <c r="F29" s="137"/>
      <c r="G29" s="137"/>
      <c r="H29" s="137"/>
      <c r="I29" s="137"/>
      <c r="J29" s="137"/>
      <c r="K29" s="137"/>
      <c r="M29" s="134"/>
    </row>
    <row r="30" spans="1:13" s="133" customFormat="1" ht="19" x14ac:dyDescent="0.25">
      <c r="A30" s="132"/>
      <c r="C30" s="138" t="s">
        <v>310</v>
      </c>
      <c r="D30" s="137"/>
      <c r="E30" s="137"/>
      <c r="F30" s="137"/>
      <c r="G30" s="137"/>
      <c r="H30" s="137"/>
      <c r="I30" s="137"/>
      <c r="J30" s="137"/>
      <c r="K30" s="137"/>
      <c r="M30" s="134"/>
    </row>
    <row r="31" spans="1:13" s="133" customFormat="1" x14ac:dyDescent="0.2">
      <c r="A31" s="132"/>
      <c r="C31" s="405" t="s">
        <v>311</v>
      </c>
      <c r="D31" s="405"/>
      <c r="E31" s="405"/>
      <c r="F31" s="405"/>
      <c r="G31" s="405"/>
      <c r="H31" s="405"/>
      <c r="I31" s="405"/>
      <c r="J31" s="405"/>
      <c r="K31" s="405"/>
      <c r="M31" s="134"/>
    </row>
    <row r="32" spans="1:13" s="133" customFormat="1" x14ac:dyDescent="0.2">
      <c r="A32" s="132"/>
      <c r="C32" s="405"/>
      <c r="D32" s="405"/>
      <c r="E32" s="405"/>
      <c r="F32" s="405"/>
      <c r="G32" s="405"/>
      <c r="H32" s="405"/>
      <c r="I32" s="405"/>
      <c r="J32" s="405"/>
      <c r="K32" s="405"/>
      <c r="M32" s="134"/>
    </row>
    <row r="33" spans="1:13" s="133" customFormat="1" x14ac:dyDescent="0.2">
      <c r="A33" s="132"/>
      <c r="C33" s="405"/>
      <c r="D33" s="405"/>
      <c r="E33" s="405"/>
      <c r="F33" s="405"/>
      <c r="G33" s="405"/>
      <c r="H33" s="405"/>
      <c r="I33" s="405"/>
      <c r="J33" s="405"/>
      <c r="K33" s="405"/>
      <c r="M33" s="134"/>
    </row>
    <row r="34" spans="1:13" s="133" customFormat="1" x14ac:dyDescent="0.2">
      <c r="A34" s="132"/>
      <c r="C34" s="405"/>
      <c r="D34" s="405"/>
      <c r="E34" s="405"/>
      <c r="F34" s="405"/>
      <c r="G34" s="405"/>
      <c r="H34" s="405"/>
      <c r="I34" s="405"/>
      <c r="J34" s="405"/>
      <c r="K34" s="405"/>
      <c r="M34" s="134"/>
    </row>
    <row r="35" spans="1:13" s="133" customFormat="1" x14ac:dyDescent="0.2">
      <c r="A35" s="132"/>
      <c r="C35" s="405"/>
      <c r="D35" s="405"/>
      <c r="E35" s="405"/>
      <c r="F35" s="405"/>
      <c r="G35" s="405"/>
      <c r="H35" s="405"/>
      <c r="I35" s="405"/>
      <c r="J35" s="405"/>
      <c r="K35" s="405"/>
      <c r="M35" s="134"/>
    </row>
    <row r="36" spans="1:13" s="133" customFormat="1" x14ac:dyDescent="0.2">
      <c r="A36" s="132"/>
      <c r="C36" s="405"/>
      <c r="D36" s="405"/>
      <c r="E36" s="405"/>
      <c r="F36" s="405"/>
      <c r="G36" s="405"/>
      <c r="H36" s="405"/>
      <c r="I36" s="405"/>
      <c r="J36" s="405"/>
      <c r="K36" s="405"/>
      <c r="M36" s="134"/>
    </row>
    <row r="37" spans="1:13" s="133" customFormat="1" x14ac:dyDescent="0.2">
      <c r="A37" s="132"/>
      <c r="C37" s="405"/>
      <c r="D37" s="405"/>
      <c r="E37" s="405"/>
      <c r="F37" s="405"/>
      <c r="G37" s="405"/>
      <c r="H37" s="405"/>
      <c r="I37" s="405"/>
      <c r="J37" s="405"/>
      <c r="K37" s="405"/>
      <c r="M37" s="134"/>
    </row>
    <row r="38" spans="1:13" s="133" customFormat="1" x14ac:dyDescent="0.2">
      <c r="A38" s="132"/>
      <c r="C38" s="405"/>
      <c r="D38" s="405"/>
      <c r="E38" s="405"/>
      <c r="F38" s="405"/>
      <c r="G38" s="405"/>
      <c r="H38" s="405"/>
      <c r="I38" s="405"/>
      <c r="J38" s="405"/>
      <c r="K38" s="405"/>
      <c r="M38" s="134"/>
    </row>
    <row r="39" spans="1:13" s="133" customFormat="1" x14ac:dyDescent="0.2">
      <c r="A39" s="132"/>
      <c r="C39" s="405"/>
      <c r="D39" s="405"/>
      <c r="E39" s="405"/>
      <c r="F39" s="405"/>
      <c r="G39" s="405"/>
      <c r="H39" s="405"/>
      <c r="I39" s="405"/>
      <c r="J39" s="405"/>
      <c r="K39" s="405"/>
      <c r="M39" s="134"/>
    </row>
    <row r="40" spans="1:13" s="133" customFormat="1" x14ac:dyDescent="0.2">
      <c r="A40" s="132"/>
      <c r="C40" s="139"/>
      <c r="D40" s="139"/>
      <c r="E40" s="139"/>
      <c r="F40" s="139"/>
      <c r="G40" s="139"/>
      <c r="H40" s="139"/>
      <c r="I40" s="139"/>
      <c r="J40" s="139"/>
      <c r="K40" s="139"/>
      <c r="M40" s="134"/>
    </row>
    <row r="41" spans="1:13" s="133" customFormat="1" ht="21" x14ac:dyDescent="0.25">
      <c r="A41" s="132"/>
      <c r="B41" s="136" t="s">
        <v>312</v>
      </c>
      <c r="M41" s="134"/>
    </row>
    <row r="42" spans="1:13" s="133" customFormat="1" x14ac:dyDescent="0.2">
      <c r="A42" s="132"/>
      <c r="C42" s="407" t="s">
        <v>1038</v>
      </c>
      <c r="D42" s="406"/>
      <c r="E42" s="406"/>
      <c r="F42" s="406"/>
      <c r="G42" s="406"/>
      <c r="H42" s="406"/>
      <c r="I42" s="406"/>
      <c r="J42" s="406"/>
      <c r="K42" s="406"/>
      <c r="M42" s="134"/>
    </row>
    <row r="43" spans="1:13" s="133" customFormat="1" x14ac:dyDescent="0.2">
      <c r="A43" s="132"/>
      <c r="C43" s="406"/>
      <c r="D43" s="406"/>
      <c r="E43" s="406"/>
      <c r="F43" s="406"/>
      <c r="G43" s="406"/>
      <c r="H43" s="406"/>
      <c r="I43" s="406"/>
      <c r="J43" s="406"/>
      <c r="K43" s="406"/>
      <c r="M43" s="134"/>
    </row>
    <row r="44" spans="1:13" s="133" customFormat="1" x14ac:dyDescent="0.2">
      <c r="A44" s="132"/>
      <c r="C44" s="406"/>
      <c r="D44" s="406"/>
      <c r="E44" s="406"/>
      <c r="F44" s="406"/>
      <c r="G44" s="406"/>
      <c r="H44" s="406"/>
      <c r="I44" s="406"/>
      <c r="J44" s="406"/>
      <c r="K44" s="406"/>
      <c r="M44" s="134"/>
    </row>
    <row r="45" spans="1:13" s="133" customFormat="1" x14ac:dyDescent="0.2">
      <c r="A45" s="132"/>
      <c r="C45" s="406"/>
      <c r="D45" s="406"/>
      <c r="E45" s="406"/>
      <c r="F45" s="406"/>
      <c r="G45" s="406"/>
      <c r="H45" s="406"/>
      <c r="I45" s="406"/>
      <c r="J45" s="406"/>
      <c r="K45" s="406"/>
      <c r="M45" s="134"/>
    </row>
    <row r="46" spans="1:13" s="133" customFormat="1" x14ac:dyDescent="0.2">
      <c r="A46" s="132"/>
      <c r="C46" s="406"/>
      <c r="D46" s="406"/>
      <c r="E46" s="406"/>
      <c r="F46" s="406"/>
      <c r="G46" s="406"/>
      <c r="H46" s="406"/>
      <c r="I46" s="406"/>
      <c r="J46" s="406"/>
      <c r="K46" s="406"/>
      <c r="M46" s="134"/>
    </row>
    <row r="47" spans="1:13" s="133" customFormat="1" x14ac:dyDescent="0.2">
      <c r="A47" s="132"/>
      <c r="C47" s="406"/>
      <c r="D47" s="406"/>
      <c r="E47" s="406"/>
      <c r="F47" s="406"/>
      <c r="G47" s="406"/>
      <c r="H47" s="406"/>
      <c r="I47" s="406"/>
      <c r="J47" s="406"/>
      <c r="K47" s="406"/>
      <c r="M47" s="134"/>
    </row>
    <row r="48" spans="1:13" s="133" customFormat="1" x14ac:dyDescent="0.2">
      <c r="A48" s="132"/>
      <c r="C48" s="406"/>
      <c r="D48" s="406"/>
      <c r="E48" s="406"/>
      <c r="F48" s="406"/>
      <c r="G48" s="406"/>
      <c r="H48" s="406"/>
      <c r="I48" s="406"/>
      <c r="J48" s="406"/>
      <c r="K48" s="406"/>
      <c r="M48" s="134"/>
    </row>
    <row r="49" spans="1:13" s="133" customFormat="1" x14ac:dyDescent="0.2">
      <c r="A49" s="132"/>
      <c r="C49" s="406"/>
      <c r="D49" s="406"/>
      <c r="E49" s="406"/>
      <c r="F49" s="406"/>
      <c r="G49" s="406"/>
      <c r="H49" s="406"/>
      <c r="I49" s="406"/>
      <c r="J49" s="406"/>
      <c r="K49" s="406"/>
      <c r="M49" s="134"/>
    </row>
    <row r="50" spans="1:13" s="133" customFormat="1" x14ac:dyDescent="0.2">
      <c r="A50" s="132"/>
      <c r="C50" s="406"/>
      <c r="D50" s="406"/>
      <c r="E50" s="406"/>
      <c r="F50" s="406"/>
      <c r="G50" s="406"/>
      <c r="H50" s="406"/>
      <c r="I50" s="406"/>
      <c r="J50" s="406"/>
      <c r="K50" s="406"/>
      <c r="M50" s="134"/>
    </row>
    <row r="51" spans="1:13" s="133" customFormat="1" x14ac:dyDescent="0.2">
      <c r="A51" s="132"/>
      <c r="C51" s="139"/>
      <c r="D51" s="139"/>
      <c r="E51" s="139"/>
      <c r="F51" s="139"/>
      <c r="G51" s="139"/>
      <c r="H51" s="139"/>
      <c r="I51" s="139"/>
      <c r="J51" s="139"/>
      <c r="K51" s="139"/>
      <c r="M51" s="134"/>
    </row>
    <row r="52" spans="1:13" ht="17" thickBot="1" x14ac:dyDescent="0.25">
      <c r="A52" s="140"/>
      <c r="B52" s="141"/>
      <c r="C52" s="141"/>
      <c r="D52" s="141"/>
      <c r="E52" s="141"/>
      <c r="F52" s="141"/>
      <c r="G52" s="141"/>
      <c r="H52" s="141"/>
      <c r="I52" s="141"/>
      <c r="J52" s="141"/>
      <c r="K52" s="141"/>
      <c r="L52" s="141"/>
      <c r="M52" s="142"/>
    </row>
  </sheetData>
  <mergeCells count="4">
    <mergeCell ref="C9:K16"/>
    <mergeCell ref="C19:K28"/>
    <mergeCell ref="C31:K39"/>
    <mergeCell ref="C42:K50"/>
  </mergeCells>
  <hyperlinks>
    <hyperlink ref="B6" r:id="rId1" xr:uid="{AA2444A5-2A0B-2A4C-BCD8-49FD8A13F9B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M205"/>
  <sheetViews>
    <sheetView zoomScaleNormal="100" workbookViewId="0"/>
  </sheetViews>
  <sheetFormatPr baseColWidth="10" defaultColWidth="10.83203125" defaultRowHeight="16" outlineLevelCol="1" x14ac:dyDescent="0.2"/>
  <cols>
    <col min="1" max="1" width="4.6640625" style="62" customWidth="1"/>
    <col min="2" max="10" width="10.83203125" style="62" customWidth="1"/>
    <col min="11" max="11" width="11.5" style="62" bestFit="1" customWidth="1"/>
    <col min="12" max="21" width="10.83203125" style="62" hidden="1" customWidth="1" outlineLevel="1"/>
    <col min="22" max="22" width="10.83203125" style="62" collapsed="1"/>
    <col min="23" max="16384" width="10.83203125" style="62"/>
  </cols>
  <sheetData>
    <row r="1" spans="1:21" ht="19" x14ac:dyDescent="0.25">
      <c r="A1" s="1" t="s">
        <v>284</v>
      </c>
      <c r="B1" s="46"/>
      <c r="C1" s="59"/>
      <c r="D1" s="59"/>
      <c r="E1" s="59"/>
      <c r="F1" s="60"/>
      <c r="G1" s="60"/>
      <c r="H1" s="60"/>
      <c r="I1" s="60"/>
      <c r="J1" s="61"/>
      <c r="K1" s="3" t="s">
        <v>265</v>
      </c>
    </row>
    <row r="2" spans="1:21" x14ac:dyDescent="0.2">
      <c r="A2" s="2"/>
      <c r="B2" s="60"/>
      <c r="C2" s="60"/>
      <c r="D2" s="60"/>
      <c r="E2" s="60"/>
      <c r="F2" s="60"/>
      <c r="G2" s="60"/>
      <c r="H2" s="60"/>
      <c r="I2" s="60"/>
      <c r="J2" s="61"/>
      <c r="L2" s="19" t="s">
        <v>3</v>
      </c>
      <c r="N2" s="63"/>
    </row>
    <row r="3" spans="1:21" x14ac:dyDescent="0.2">
      <c r="A3" s="2"/>
      <c r="B3" s="60" t="s">
        <v>6</v>
      </c>
      <c r="C3" s="60"/>
      <c r="D3" s="60"/>
      <c r="E3" s="60"/>
      <c r="F3" s="60"/>
      <c r="G3" s="60"/>
      <c r="H3" s="60"/>
      <c r="I3" s="60"/>
      <c r="J3" s="61"/>
      <c r="M3" s="62" t="s">
        <v>36</v>
      </c>
      <c r="R3" s="62" t="s">
        <v>37</v>
      </c>
    </row>
    <row r="4" spans="1:21" ht="17" x14ac:dyDescent="0.2">
      <c r="A4" s="2"/>
      <c r="B4" s="60" t="s">
        <v>7</v>
      </c>
      <c r="C4" s="60"/>
      <c r="D4" s="60"/>
      <c r="E4" s="60"/>
      <c r="F4" s="60"/>
      <c r="G4" s="60"/>
      <c r="H4" s="60"/>
      <c r="I4" s="60"/>
      <c r="J4" s="61"/>
      <c r="M4" s="16" t="s">
        <v>35</v>
      </c>
      <c r="N4" s="17">
        <v>12</v>
      </c>
      <c r="O4" s="17">
        <v>24</v>
      </c>
      <c r="P4" s="17">
        <v>36</v>
      </c>
      <c r="R4" s="16" t="s">
        <v>35</v>
      </c>
      <c r="S4" s="17">
        <v>12</v>
      </c>
      <c r="T4" s="17">
        <v>24</v>
      </c>
      <c r="U4" s="17">
        <v>36</v>
      </c>
    </row>
    <row r="5" spans="1:21" x14ac:dyDescent="0.2">
      <c r="A5" s="2"/>
      <c r="B5" s="60" t="s">
        <v>8</v>
      </c>
      <c r="C5" s="60"/>
      <c r="D5" s="60"/>
      <c r="E5" s="60"/>
      <c r="F5" s="60"/>
      <c r="G5" s="60"/>
      <c r="H5" s="60"/>
      <c r="I5" s="60"/>
      <c r="J5" s="61"/>
      <c r="M5" s="15">
        <v>2014</v>
      </c>
      <c r="N5" s="13">
        <f>D10</f>
        <v>6300</v>
      </c>
      <c r="O5" s="13">
        <f>E10-D10</f>
        <v>6500</v>
      </c>
      <c r="P5" s="13">
        <f>F10-E10</f>
        <v>1500</v>
      </c>
      <c r="R5" s="15">
        <v>2014</v>
      </c>
      <c r="S5" s="18">
        <f>LN(N5)</f>
        <v>8.7483049123796235</v>
      </c>
      <c r="T5" s="18">
        <f>LN(O5)</f>
        <v>8.7795574558837277</v>
      </c>
      <c r="U5" s="18">
        <f>LN(P5)</f>
        <v>7.3132203870903014</v>
      </c>
    </row>
    <row r="6" spans="1:21" x14ac:dyDescent="0.2">
      <c r="A6" s="2"/>
      <c r="B6" s="60"/>
      <c r="C6" s="60"/>
      <c r="D6" s="60"/>
      <c r="E6" s="60"/>
      <c r="F6" s="60"/>
      <c r="G6" s="60"/>
      <c r="H6" s="60"/>
      <c r="I6" s="60"/>
      <c r="J6" s="61"/>
      <c r="M6" s="15">
        <v>2015</v>
      </c>
      <c r="N6" s="13">
        <f>D11</f>
        <v>7900</v>
      </c>
      <c r="O6" s="13">
        <f>E11-D11</f>
        <v>5600</v>
      </c>
      <c r="P6" s="14"/>
      <c r="R6" s="15">
        <v>2015</v>
      </c>
      <c r="S6" s="18">
        <f>LN(N6)</f>
        <v>8.9746180384551124</v>
      </c>
      <c r="T6" s="18">
        <f>LN(O6)</f>
        <v>8.6305218767232414</v>
      </c>
      <c r="U6" s="18"/>
    </row>
    <row r="7" spans="1:21" x14ac:dyDescent="0.2">
      <c r="A7" s="2"/>
      <c r="B7" s="60"/>
      <c r="C7" s="408" t="s">
        <v>13</v>
      </c>
      <c r="D7" s="408"/>
      <c r="E7" s="408"/>
      <c r="F7" s="408"/>
      <c r="G7" s="60"/>
      <c r="H7" s="60"/>
      <c r="I7" s="60"/>
      <c r="J7" s="61"/>
      <c r="M7" s="15">
        <v>2016</v>
      </c>
      <c r="N7" s="13">
        <f>D12</f>
        <v>8100</v>
      </c>
      <c r="O7" s="14"/>
      <c r="P7" s="14"/>
      <c r="R7" s="15">
        <v>2016</v>
      </c>
      <c r="S7" s="18">
        <f>LN(N7)</f>
        <v>8.99961934066053</v>
      </c>
      <c r="T7" s="18"/>
      <c r="U7" s="18"/>
    </row>
    <row r="8" spans="1:21" x14ac:dyDescent="0.2">
      <c r="A8" s="2"/>
      <c r="B8" s="60"/>
      <c r="C8" s="415" t="s">
        <v>9</v>
      </c>
      <c r="D8" s="45"/>
      <c r="E8" s="45"/>
      <c r="F8" s="45"/>
      <c r="G8" s="60"/>
      <c r="H8" s="60"/>
      <c r="I8" s="60"/>
      <c r="J8" s="61"/>
    </row>
    <row r="9" spans="1:21" ht="17" x14ac:dyDescent="0.2">
      <c r="A9" s="2"/>
      <c r="B9" s="60"/>
      <c r="C9" s="416"/>
      <c r="D9" s="11" t="s">
        <v>10</v>
      </c>
      <c r="E9" s="11" t="s">
        <v>11</v>
      </c>
      <c r="F9" s="11" t="s">
        <v>12</v>
      </c>
      <c r="G9" s="60"/>
      <c r="H9" s="60"/>
      <c r="I9" s="60"/>
      <c r="J9" s="61"/>
      <c r="M9" s="64" t="s">
        <v>39</v>
      </c>
    </row>
    <row r="10" spans="1:21" x14ac:dyDescent="0.2">
      <c r="A10" s="2"/>
      <c r="B10" s="60"/>
      <c r="C10" s="12">
        <v>2014</v>
      </c>
      <c r="D10" s="7">
        <v>6300</v>
      </c>
      <c r="E10" s="7">
        <v>12800</v>
      </c>
      <c r="F10" s="7">
        <v>14300</v>
      </c>
      <c r="G10" s="60"/>
      <c r="H10" s="60"/>
      <c r="I10" s="60"/>
      <c r="J10" s="61"/>
    </row>
    <row r="11" spans="1:21" x14ac:dyDescent="0.2">
      <c r="A11" s="2"/>
      <c r="B11" s="60"/>
      <c r="C11" s="12">
        <v>2015</v>
      </c>
      <c r="D11" s="7">
        <v>7900</v>
      </c>
      <c r="E11" s="7">
        <v>13500</v>
      </c>
      <c r="F11" s="8"/>
      <c r="G11" s="60"/>
      <c r="H11" s="60"/>
      <c r="I11" s="60"/>
      <c r="J11" s="61"/>
      <c r="M11" s="62" t="s">
        <v>38</v>
      </c>
    </row>
    <row r="12" spans="1:21" x14ac:dyDescent="0.2">
      <c r="A12" s="2"/>
      <c r="B12" s="60"/>
      <c r="C12" s="12">
        <v>2016</v>
      </c>
      <c r="D12" s="7">
        <v>8100</v>
      </c>
      <c r="E12" s="8"/>
      <c r="F12" s="8"/>
      <c r="G12" s="60"/>
      <c r="H12" s="60"/>
      <c r="I12" s="60"/>
      <c r="J12" s="61"/>
    </row>
    <row r="13" spans="1:21" x14ac:dyDescent="0.2">
      <c r="A13" s="2"/>
      <c r="B13" s="60"/>
      <c r="C13" s="60"/>
      <c r="D13" s="60"/>
      <c r="E13" s="60"/>
      <c r="F13" s="60"/>
      <c r="G13" s="60"/>
      <c r="H13" s="60"/>
      <c r="I13" s="60"/>
      <c r="J13" s="61"/>
      <c r="M13" s="62" t="s">
        <v>40</v>
      </c>
      <c r="N13" s="63"/>
    </row>
    <row r="14" spans="1:21" x14ac:dyDescent="0.2">
      <c r="A14" s="2"/>
      <c r="B14" s="60"/>
      <c r="C14" s="60"/>
      <c r="D14" s="60"/>
      <c r="E14" s="60"/>
      <c r="F14" s="60"/>
      <c r="G14" s="60"/>
      <c r="H14" s="60"/>
      <c r="I14" s="60"/>
      <c r="J14" s="61"/>
    </row>
    <row r="15" spans="1:21" x14ac:dyDescent="0.2">
      <c r="A15" s="60" t="s">
        <v>0</v>
      </c>
      <c r="B15" s="60" t="s">
        <v>14</v>
      </c>
      <c r="C15" s="60"/>
      <c r="D15" s="60"/>
      <c r="E15" s="60"/>
      <c r="F15" s="60"/>
      <c r="G15" s="60"/>
      <c r="H15" s="60"/>
      <c r="I15" s="60"/>
      <c r="J15" s="61"/>
      <c r="M15" s="62" t="s">
        <v>41</v>
      </c>
    </row>
    <row r="16" spans="1:21" x14ac:dyDescent="0.2">
      <c r="A16" s="2"/>
      <c r="B16" s="60"/>
      <c r="C16" s="60"/>
      <c r="D16" s="60"/>
      <c r="E16" s="60"/>
      <c r="F16" s="60"/>
      <c r="G16" s="60"/>
      <c r="H16" s="60"/>
      <c r="I16" s="60"/>
      <c r="J16" s="61"/>
    </row>
    <row r="17" spans="1:20" x14ac:dyDescent="0.2">
      <c r="A17" s="60" t="s">
        <v>1</v>
      </c>
      <c r="B17" s="60" t="s">
        <v>15</v>
      </c>
      <c r="C17" s="60"/>
      <c r="D17" s="60"/>
      <c r="E17" s="60"/>
      <c r="F17" s="60"/>
      <c r="G17" s="60"/>
      <c r="H17" s="60"/>
      <c r="I17" s="60"/>
      <c r="J17" s="61"/>
      <c r="M17" s="20" t="s">
        <v>46</v>
      </c>
      <c r="N17" s="65" t="s">
        <v>42</v>
      </c>
      <c r="O17" s="409" t="s">
        <v>47</v>
      </c>
      <c r="P17" s="409"/>
      <c r="Q17" s="409"/>
      <c r="R17" s="409"/>
      <c r="S17" s="65" t="s">
        <v>44</v>
      </c>
      <c r="T17" s="20" t="s">
        <v>48</v>
      </c>
    </row>
    <row r="18" spans="1:20" x14ac:dyDescent="0.2">
      <c r="A18" s="2"/>
      <c r="B18" s="60"/>
      <c r="C18" s="60"/>
      <c r="D18" s="60"/>
      <c r="E18" s="60"/>
      <c r="F18" s="60"/>
      <c r="G18" s="60"/>
      <c r="H18" s="60"/>
      <c r="I18" s="60"/>
      <c r="J18" s="61"/>
      <c r="M18" s="66">
        <f>S5</f>
        <v>8.7483049123796235</v>
      </c>
      <c r="O18" s="67">
        <v>1</v>
      </c>
      <c r="P18" s="65" t="s">
        <v>43</v>
      </c>
      <c r="Q18" s="65" t="s">
        <v>43</v>
      </c>
      <c r="R18" s="68" t="s">
        <v>43</v>
      </c>
      <c r="T18" s="69" t="s">
        <v>22</v>
      </c>
    </row>
    <row r="19" spans="1:20" ht="17" thickBot="1" x14ac:dyDescent="0.25">
      <c r="A19" s="2"/>
      <c r="B19" s="60"/>
      <c r="C19" s="60"/>
      <c r="D19" s="60"/>
      <c r="E19" s="60"/>
      <c r="F19" s="60"/>
      <c r="G19" s="60"/>
      <c r="H19" s="60"/>
      <c r="I19" s="60"/>
      <c r="J19" s="61"/>
      <c r="M19" s="66">
        <f t="shared" ref="M19:M20" si="0">S6</f>
        <v>8.9746180384551124</v>
      </c>
      <c r="O19" s="67" t="s">
        <v>43</v>
      </c>
      <c r="P19" s="65">
        <v>1</v>
      </c>
      <c r="Q19" s="65" t="s">
        <v>43</v>
      </c>
      <c r="R19" s="68" t="s">
        <v>43</v>
      </c>
      <c r="T19" s="69" t="s">
        <v>45</v>
      </c>
    </row>
    <row r="20" spans="1:20" ht="17" thickBot="1" x14ac:dyDescent="0.25">
      <c r="A20" s="410" t="s">
        <v>266</v>
      </c>
      <c r="B20" s="411"/>
      <c r="C20" s="411"/>
      <c r="D20" s="411"/>
      <c r="E20" s="411"/>
      <c r="F20" s="411"/>
      <c r="G20" s="411"/>
      <c r="H20" s="411"/>
      <c r="I20" s="411"/>
      <c r="J20" s="412"/>
      <c r="M20" s="66">
        <f t="shared" si="0"/>
        <v>8.99961934066053</v>
      </c>
      <c r="N20" s="65" t="s">
        <v>42</v>
      </c>
      <c r="O20" s="67" t="s">
        <v>43</v>
      </c>
      <c r="P20" s="65">
        <v>1</v>
      </c>
      <c r="Q20" s="65" t="s">
        <v>43</v>
      </c>
      <c r="R20" s="68" t="s">
        <v>43</v>
      </c>
      <c r="S20" s="65" t="s">
        <v>44</v>
      </c>
      <c r="T20" s="69" t="s">
        <v>23</v>
      </c>
    </row>
    <row r="21" spans="1:20" x14ac:dyDescent="0.2">
      <c r="M21" s="66">
        <f>T5</f>
        <v>8.7795574558837277</v>
      </c>
      <c r="O21" s="67">
        <v>1</v>
      </c>
      <c r="P21" s="65" t="s">
        <v>43</v>
      </c>
      <c r="Q21" s="65">
        <v>1</v>
      </c>
      <c r="R21" s="68" t="s">
        <v>43</v>
      </c>
      <c r="T21" s="69" t="s">
        <v>24</v>
      </c>
    </row>
    <row r="22" spans="1:20" ht="19" x14ac:dyDescent="0.25">
      <c r="A22" s="3"/>
      <c r="M22" s="66">
        <f>T6</f>
        <v>8.6305218767232414</v>
      </c>
      <c r="O22" s="67" t="s">
        <v>43</v>
      </c>
      <c r="P22" s="65">
        <v>1</v>
      </c>
      <c r="Q22" s="65">
        <v>1</v>
      </c>
      <c r="R22" s="68" t="s">
        <v>43</v>
      </c>
    </row>
    <row r="23" spans="1:20" x14ac:dyDescent="0.2">
      <c r="M23" s="66">
        <f>U5</f>
        <v>7.3132203870903014</v>
      </c>
      <c r="O23" s="67">
        <v>1</v>
      </c>
      <c r="P23" s="65" t="s">
        <v>43</v>
      </c>
      <c r="Q23" s="65">
        <v>1</v>
      </c>
      <c r="R23" s="68">
        <v>1</v>
      </c>
    </row>
    <row r="25" spans="1:20" x14ac:dyDescent="0.2">
      <c r="M25" s="62" t="s">
        <v>49</v>
      </c>
    </row>
    <row r="26" spans="1:20" x14ac:dyDescent="0.2">
      <c r="M26" s="19" t="s">
        <v>50</v>
      </c>
    </row>
    <row r="27" spans="1:20" x14ac:dyDescent="0.2">
      <c r="N27" s="66" t="s">
        <v>52</v>
      </c>
    </row>
    <row r="28" spans="1:20" x14ac:dyDescent="0.2">
      <c r="N28" s="66" t="s">
        <v>53</v>
      </c>
    </row>
    <row r="29" spans="1:20" x14ac:dyDescent="0.2">
      <c r="N29" s="66" t="s">
        <v>54</v>
      </c>
    </row>
    <row r="30" spans="1:20" x14ac:dyDescent="0.2">
      <c r="M30" s="20" t="s">
        <v>51</v>
      </c>
      <c r="N30" s="66" t="s">
        <v>55</v>
      </c>
    </row>
    <row r="31" spans="1:20" x14ac:dyDescent="0.2">
      <c r="N31" s="66" t="s">
        <v>56</v>
      </c>
    </row>
    <row r="32" spans="1:20" x14ac:dyDescent="0.2">
      <c r="N32" s="66" t="s">
        <v>57</v>
      </c>
    </row>
    <row r="34" spans="12:20" x14ac:dyDescent="0.2">
      <c r="M34" s="70" t="s">
        <v>58</v>
      </c>
    </row>
    <row r="36" spans="12:20" x14ac:dyDescent="0.2">
      <c r="M36" s="413" t="s">
        <v>267</v>
      </c>
      <c r="N36" s="413"/>
      <c r="O36" s="413"/>
      <c r="P36" s="413"/>
      <c r="Q36" s="413"/>
      <c r="R36" s="413"/>
      <c r="S36" s="413"/>
      <c r="T36" s="413"/>
    </row>
    <row r="37" spans="12:20" x14ac:dyDescent="0.2">
      <c r="M37" s="413"/>
      <c r="N37" s="413"/>
      <c r="O37" s="413"/>
      <c r="P37" s="413"/>
      <c r="Q37" s="413"/>
      <c r="R37" s="413"/>
      <c r="S37" s="413"/>
      <c r="T37" s="413"/>
    </row>
    <row r="40" spans="12:20" x14ac:dyDescent="0.2">
      <c r="L40" s="19" t="s">
        <v>4</v>
      </c>
      <c r="N40" s="63"/>
    </row>
    <row r="41" spans="12:20" ht="16" customHeight="1" x14ac:dyDescent="0.2">
      <c r="M41" s="71" t="s">
        <v>279</v>
      </c>
      <c r="N41" s="72"/>
      <c r="O41" s="72"/>
      <c r="P41" s="72"/>
      <c r="Q41" s="72"/>
      <c r="R41" s="72"/>
      <c r="S41" s="72"/>
      <c r="T41" s="72"/>
    </row>
    <row r="42" spans="12:20" x14ac:dyDescent="0.2">
      <c r="M42" s="414" t="s">
        <v>278</v>
      </c>
      <c r="N42" s="413"/>
      <c r="O42" s="413"/>
      <c r="P42" s="413"/>
      <c r="Q42" s="413"/>
      <c r="R42" s="413"/>
      <c r="S42" s="413"/>
      <c r="T42" s="413"/>
    </row>
    <row r="43" spans="12:20" ht="16" customHeight="1" x14ac:dyDescent="0.2">
      <c r="M43" s="413"/>
      <c r="N43" s="413"/>
      <c r="O43" s="413"/>
      <c r="P43" s="413"/>
      <c r="Q43" s="413"/>
      <c r="R43" s="413"/>
      <c r="S43" s="413"/>
      <c r="T43" s="413"/>
    </row>
    <row r="46" spans="12:20" ht="19" x14ac:dyDescent="0.25">
      <c r="L46" s="3" t="s">
        <v>303</v>
      </c>
    </row>
    <row r="47" spans="12:20" x14ac:dyDescent="0.2">
      <c r="L47" s="125" t="s">
        <v>295</v>
      </c>
    </row>
    <row r="63" spans="12:14" x14ac:dyDescent="0.2">
      <c r="M63" s="63"/>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M73" s="63"/>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2:14" x14ac:dyDescent="0.2">
      <c r="L81" s="5"/>
      <c r="M81" s="5"/>
      <c r="N81" s="5"/>
    </row>
    <row r="82" spans="12:14" x14ac:dyDescent="0.2">
      <c r="L82" s="5"/>
      <c r="M82" s="5"/>
      <c r="N82" s="5"/>
    </row>
    <row r="83" spans="12:14" x14ac:dyDescent="0.2">
      <c r="M83" s="63"/>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L89" s="5"/>
      <c r="M89" s="5"/>
      <c r="N89" s="5"/>
    </row>
    <row r="90" spans="12:14" x14ac:dyDescent="0.2">
      <c r="L90" s="5"/>
      <c r="M90" s="5"/>
      <c r="N90" s="5"/>
    </row>
    <row r="91" spans="12:14" x14ac:dyDescent="0.2">
      <c r="L91" s="5"/>
      <c r="M91" s="5"/>
      <c r="N91" s="5"/>
    </row>
    <row r="92" spans="12:14" x14ac:dyDescent="0.2">
      <c r="L92" s="5"/>
      <c r="M92" s="5"/>
      <c r="N92" s="5"/>
    </row>
    <row r="93" spans="12:14" x14ac:dyDescent="0.2">
      <c r="M93" s="63"/>
    </row>
    <row r="94" spans="12:14" x14ac:dyDescent="0.2">
      <c r="L94" s="5"/>
      <c r="M94" s="5"/>
      <c r="N94" s="5"/>
    </row>
    <row r="95" spans="12:14" x14ac:dyDescent="0.2">
      <c r="L95" s="5"/>
      <c r="M95" s="5"/>
      <c r="N95" s="5"/>
    </row>
    <row r="96" spans="12:14" x14ac:dyDescent="0.2">
      <c r="L96" s="5"/>
      <c r="M96" s="5"/>
      <c r="N96" s="5"/>
    </row>
    <row r="97" spans="1:65" x14ac:dyDescent="0.2">
      <c r="L97" s="5"/>
      <c r="M97" s="5"/>
      <c r="N97" s="5"/>
    </row>
    <row r="98" spans="1:65" x14ac:dyDescent="0.2">
      <c r="L98" s="5"/>
      <c r="M98" s="5"/>
      <c r="N98" s="5"/>
    </row>
    <row r="99" spans="1:65" x14ac:dyDescent="0.2">
      <c r="L99" s="5"/>
      <c r="M99" s="5"/>
      <c r="N99" s="5"/>
    </row>
    <row r="100" spans="1:65" x14ac:dyDescent="0.2">
      <c r="L100" s="5"/>
      <c r="M100" s="5"/>
      <c r="N100" s="5"/>
    </row>
    <row r="101" spans="1:65" x14ac:dyDescent="0.2">
      <c r="L101" s="5"/>
      <c r="M101" s="5"/>
      <c r="N101" s="5"/>
    </row>
    <row r="102" spans="1:65" x14ac:dyDescent="0.2">
      <c r="L102" s="5"/>
      <c r="M102" s="5"/>
      <c r="N102" s="5"/>
    </row>
    <row r="103" spans="1:65" x14ac:dyDescent="0.2">
      <c r="A103" s="5"/>
      <c r="B103" s="5"/>
      <c r="C103" s="5"/>
      <c r="D103" s="5"/>
      <c r="E103" s="5"/>
      <c r="F103" s="5"/>
      <c r="G103" s="5"/>
      <c r="H103" s="5"/>
      <c r="I103" s="5"/>
      <c r="J103" s="5"/>
      <c r="M103" s="63"/>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sheetData>
  <mergeCells count="6">
    <mergeCell ref="C7:F7"/>
    <mergeCell ref="O17:R17"/>
    <mergeCell ref="A20:J20"/>
    <mergeCell ref="M36:T37"/>
    <mergeCell ref="M42:T43"/>
    <mergeCell ref="C8:C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211"/>
  <sheetViews>
    <sheetView zoomScaleNormal="100" workbookViewId="0">
      <selection activeCell="B27" sqref="B27"/>
    </sheetView>
  </sheetViews>
  <sheetFormatPr baseColWidth="10" defaultColWidth="10.83203125" defaultRowHeight="16" outlineLevelCol="1" x14ac:dyDescent="0.2"/>
  <cols>
    <col min="1" max="1" width="4.6640625" style="62" customWidth="1"/>
    <col min="2" max="10" width="10.83203125" style="62" customWidth="1"/>
    <col min="11" max="11" width="11.5" style="62" bestFit="1" customWidth="1"/>
    <col min="12" max="19" width="10.83203125" style="62" hidden="1" customWidth="1" outlineLevel="1"/>
    <col min="20" max="20" width="10.83203125" style="62" collapsed="1"/>
    <col min="21" max="16384" width="10.83203125" style="62"/>
  </cols>
  <sheetData>
    <row r="1" spans="1:16" ht="19" x14ac:dyDescent="0.25">
      <c r="A1" s="1" t="s">
        <v>285</v>
      </c>
      <c r="B1" s="46"/>
      <c r="C1" s="59"/>
      <c r="D1" s="59"/>
      <c r="E1" s="59"/>
      <c r="F1" s="60"/>
      <c r="G1" s="60"/>
      <c r="H1" s="60"/>
      <c r="I1" s="60"/>
      <c r="J1" s="61"/>
      <c r="K1" s="3" t="s">
        <v>265</v>
      </c>
    </row>
    <row r="2" spans="1:16" x14ac:dyDescent="0.2">
      <c r="A2" s="2"/>
      <c r="B2" s="60"/>
      <c r="C2" s="60"/>
      <c r="D2" s="60"/>
      <c r="E2" s="60"/>
      <c r="F2" s="60"/>
      <c r="G2" s="60"/>
      <c r="H2" s="60"/>
      <c r="I2" s="60"/>
      <c r="J2" s="61"/>
      <c r="L2" s="19" t="s">
        <v>3</v>
      </c>
      <c r="N2" s="63"/>
    </row>
    <row r="3" spans="1:16" x14ac:dyDescent="0.2">
      <c r="A3" s="2"/>
      <c r="B3" s="60" t="s">
        <v>16</v>
      </c>
      <c r="C3" s="60"/>
      <c r="D3" s="60"/>
      <c r="E3" s="60"/>
      <c r="F3" s="60"/>
      <c r="G3" s="60"/>
      <c r="H3" s="60"/>
      <c r="I3" s="60"/>
      <c r="J3" s="61"/>
      <c r="L3" s="19"/>
      <c r="M3" s="62" t="s">
        <v>59</v>
      </c>
      <c r="N3" s="63"/>
    </row>
    <row r="4" spans="1:16" x14ac:dyDescent="0.2">
      <c r="A4" s="2"/>
      <c r="B4" s="60" t="s">
        <v>17</v>
      </c>
      <c r="C4" s="60"/>
      <c r="D4" s="60"/>
      <c r="E4" s="60"/>
      <c r="F4" s="60"/>
      <c r="G4" s="60"/>
      <c r="H4" s="60"/>
      <c r="I4" s="60"/>
      <c r="J4" s="61"/>
      <c r="L4" s="19"/>
      <c r="N4" s="63"/>
    </row>
    <row r="5" spans="1:16" x14ac:dyDescent="0.2">
      <c r="A5" s="2"/>
      <c r="B5" s="60"/>
      <c r="C5" s="60"/>
      <c r="D5" s="60"/>
      <c r="E5" s="60"/>
      <c r="F5" s="60"/>
      <c r="G5" s="60"/>
      <c r="H5" s="60"/>
      <c r="I5" s="60"/>
      <c r="J5" s="61"/>
      <c r="M5" s="62" t="s">
        <v>28</v>
      </c>
    </row>
    <row r="6" spans="1:16" x14ac:dyDescent="0.2">
      <c r="A6" s="2"/>
      <c r="B6" s="9"/>
      <c r="C6" s="60"/>
      <c r="D6" s="60"/>
      <c r="E6" s="60"/>
      <c r="F6" s="60"/>
      <c r="G6" s="60"/>
      <c r="H6" s="60"/>
      <c r="I6" s="60"/>
      <c r="J6" s="61"/>
      <c r="M6" s="62" t="s">
        <v>29</v>
      </c>
    </row>
    <row r="7" spans="1:16" x14ac:dyDescent="0.2">
      <c r="A7" s="2"/>
      <c r="B7" s="60"/>
      <c r="C7" s="60"/>
      <c r="D7" s="60"/>
      <c r="E7" s="60"/>
      <c r="F7" s="60"/>
      <c r="G7" s="60"/>
      <c r="H7" s="60"/>
      <c r="I7" s="60"/>
      <c r="J7" s="61"/>
    </row>
    <row r="8" spans="1:16" x14ac:dyDescent="0.2">
      <c r="A8" s="2"/>
      <c r="B8" s="60"/>
      <c r="C8" s="60"/>
      <c r="D8" s="60"/>
      <c r="E8" s="60"/>
      <c r="F8" s="60"/>
      <c r="G8" s="60"/>
      <c r="H8" s="60"/>
      <c r="I8" s="60"/>
      <c r="J8" s="61"/>
    </row>
    <row r="9" spans="1:16" x14ac:dyDescent="0.2">
      <c r="A9" s="2"/>
      <c r="B9" s="60"/>
      <c r="C9" s="60"/>
      <c r="D9" s="60"/>
      <c r="E9" s="60"/>
      <c r="F9" s="60"/>
      <c r="G9" s="60"/>
      <c r="H9" s="60"/>
      <c r="I9" s="60"/>
      <c r="J9" s="61"/>
      <c r="M9" s="417" t="s">
        <v>30</v>
      </c>
      <c r="N9" s="417"/>
      <c r="O9" s="417"/>
      <c r="P9" s="417"/>
    </row>
    <row r="10" spans="1:16" x14ac:dyDescent="0.2">
      <c r="A10" s="2"/>
      <c r="B10" s="60"/>
      <c r="C10" s="60"/>
      <c r="D10" s="60"/>
      <c r="E10" s="60"/>
      <c r="F10" s="60"/>
      <c r="G10" s="60"/>
      <c r="H10" s="60"/>
      <c r="I10" s="60"/>
      <c r="J10" s="61"/>
      <c r="M10" s="94"/>
      <c r="N10" s="73">
        <v>1</v>
      </c>
      <c r="O10" s="73">
        <v>2</v>
      </c>
      <c r="P10" s="73">
        <v>3</v>
      </c>
    </row>
    <row r="11" spans="1:16" x14ac:dyDescent="0.2">
      <c r="A11" s="2"/>
      <c r="B11" s="60"/>
      <c r="C11" s="60"/>
      <c r="D11" s="60"/>
      <c r="E11" s="60"/>
      <c r="F11" s="60"/>
      <c r="G11" s="60"/>
      <c r="H11" s="60"/>
      <c r="I11" s="60"/>
      <c r="J11" s="61"/>
      <c r="M11" s="83">
        <v>1</v>
      </c>
      <c r="N11" s="62">
        <f>$E$20</f>
        <v>9.1419999999999995</v>
      </c>
      <c r="O11" s="62">
        <f>$E$20+$E$21+$E$23</f>
        <v>8.0309999999999988</v>
      </c>
      <c r="P11" s="62">
        <f>$E$20+E21+$E$22+2*$E$23</f>
        <v>6.956999999999999</v>
      </c>
    </row>
    <row r="12" spans="1:16" x14ac:dyDescent="0.2">
      <c r="A12" s="2"/>
      <c r="B12" s="60"/>
      <c r="C12" s="60"/>
      <c r="D12" s="60"/>
      <c r="E12" s="60"/>
      <c r="F12" s="60"/>
      <c r="G12" s="60"/>
      <c r="H12" s="60"/>
      <c r="I12" s="60"/>
      <c r="J12" s="61"/>
      <c r="M12" s="83">
        <v>2</v>
      </c>
      <c r="N12" s="62">
        <f>$E$20+$E$23</f>
        <v>9.2519999999999989</v>
      </c>
      <c r="O12" s="62">
        <f>$E$20+$E$21+2*$E$23</f>
        <v>8.141</v>
      </c>
    </row>
    <row r="13" spans="1:16" x14ac:dyDescent="0.2">
      <c r="A13" s="2"/>
      <c r="B13" s="60"/>
      <c r="C13" s="60"/>
      <c r="D13" s="60"/>
      <c r="E13" s="60"/>
      <c r="F13" s="60"/>
      <c r="G13" s="60"/>
      <c r="H13" s="60"/>
      <c r="I13" s="60"/>
      <c r="J13" s="61"/>
      <c r="M13" s="83">
        <v>3</v>
      </c>
      <c r="N13" s="62">
        <f>$E$20+2*$E$23</f>
        <v>9.3620000000000001</v>
      </c>
    </row>
    <row r="14" spans="1:16" x14ac:dyDescent="0.2">
      <c r="A14" s="2"/>
      <c r="B14" s="60"/>
      <c r="C14" s="60"/>
      <c r="D14" s="60"/>
      <c r="E14" s="60"/>
      <c r="F14" s="60"/>
      <c r="G14" s="60"/>
      <c r="H14" s="60"/>
      <c r="I14" s="60"/>
      <c r="J14" s="61"/>
    </row>
    <row r="15" spans="1:16" x14ac:dyDescent="0.2">
      <c r="A15" s="2"/>
      <c r="B15" s="60"/>
      <c r="C15" s="60"/>
      <c r="D15" s="60"/>
      <c r="E15" s="60"/>
      <c r="F15" s="60"/>
      <c r="G15" s="60"/>
      <c r="H15" s="60"/>
      <c r="I15" s="60"/>
      <c r="J15" s="61"/>
      <c r="M15" s="62" t="s">
        <v>61</v>
      </c>
    </row>
    <row r="16" spans="1:16" x14ac:dyDescent="0.2">
      <c r="A16" s="2"/>
      <c r="B16" s="60" t="s">
        <v>18</v>
      </c>
      <c r="C16" s="60"/>
      <c r="D16" s="60"/>
      <c r="E16" s="60"/>
      <c r="F16" s="60"/>
      <c r="G16" s="60"/>
      <c r="H16" s="60"/>
      <c r="I16" s="60"/>
      <c r="J16" s="61"/>
    </row>
    <row r="17" spans="1:21" x14ac:dyDescent="0.2">
      <c r="A17" s="2"/>
      <c r="B17" s="60"/>
      <c r="C17" s="60"/>
      <c r="D17" s="60"/>
      <c r="E17" s="60"/>
      <c r="F17" s="60"/>
      <c r="G17" s="60"/>
      <c r="H17" s="60"/>
      <c r="I17" s="60"/>
      <c r="J17" s="61"/>
      <c r="M17" s="417" t="s">
        <v>60</v>
      </c>
      <c r="N17" s="417"/>
      <c r="O17" s="417"/>
      <c r="P17" s="417"/>
    </row>
    <row r="18" spans="1:21" x14ac:dyDescent="0.2">
      <c r="A18" s="2"/>
      <c r="B18" s="60"/>
      <c r="C18" s="60"/>
      <c r="D18" s="408" t="s">
        <v>19</v>
      </c>
      <c r="E18" s="408"/>
      <c r="F18" s="60"/>
      <c r="G18" s="60"/>
      <c r="H18" s="60"/>
      <c r="I18" s="60"/>
      <c r="J18" s="61"/>
      <c r="M18" s="94"/>
      <c r="N18" s="73">
        <v>1</v>
      </c>
      <c r="O18" s="73">
        <v>2</v>
      </c>
      <c r="P18" s="73">
        <v>3</v>
      </c>
    </row>
    <row r="19" spans="1:21" ht="17" x14ac:dyDescent="0.2">
      <c r="A19" s="2"/>
      <c r="B19" s="60"/>
      <c r="C19" s="60"/>
      <c r="D19" s="10" t="s">
        <v>20</v>
      </c>
      <c r="E19" s="11" t="s">
        <v>21</v>
      </c>
      <c r="F19" s="60"/>
      <c r="G19" s="60"/>
      <c r="H19" s="60"/>
      <c r="I19" s="60"/>
      <c r="J19" s="61"/>
      <c r="M19" s="83">
        <v>1</v>
      </c>
      <c r="N19" s="97">
        <f>EXP(N11)</f>
        <v>9339.4253160589014</v>
      </c>
      <c r="O19" s="97">
        <f>EXP(O11)</f>
        <v>3074.8149513282879</v>
      </c>
      <c r="P19" s="97">
        <f>EXP(P11)</f>
        <v>1050.477393183802</v>
      </c>
    </row>
    <row r="20" spans="1:21" ht="17" x14ac:dyDescent="0.2">
      <c r="A20" s="2"/>
      <c r="B20" s="60"/>
      <c r="C20" s="60"/>
      <c r="D20" s="12" t="s">
        <v>22</v>
      </c>
      <c r="E20" s="8">
        <v>9.1419999999999995</v>
      </c>
      <c r="F20" s="60"/>
      <c r="G20" s="60"/>
      <c r="H20" s="60"/>
      <c r="I20" s="60"/>
      <c r="J20" s="61"/>
      <c r="M20" s="83">
        <v>2</v>
      </c>
      <c r="N20" s="97">
        <f>EXP(N12)</f>
        <v>10425.395671004961</v>
      </c>
      <c r="O20" s="97">
        <f>EXP(O12)</f>
        <v>3432.3485008868338</v>
      </c>
      <c r="P20" s="97"/>
    </row>
    <row r="21" spans="1:21" ht="17" x14ac:dyDescent="0.2">
      <c r="A21" s="2"/>
      <c r="B21" s="60"/>
      <c r="C21" s="60"/>
      <c r="D21" s="12" t="s">
        <v>23</v>
      </c>
      <c r="E21" s="8">
        <v>-1.2210000000000001</v>
      </c>
      <c r="F21" s="60"/>
      <c r="G21" s="60"/>
      <c r="H21" s="60"/>
      <c r="I21" s="60"/>
      <c r="J21" s="61"/>
      <c r="M21" s="83">
        <v>3</v>
      </c>
      <c r="N21" s="97">
        <f>EXP(N13)</f>
        <v>11637.6405633997</v>
      </c>
      <c r="O21" s="97"/>
      <c r="P21" s="97"/>
    </row>
    <row r="22" spans="1:21" ht="17" x14ac:dyDescent="0.2">
      <c r="A22" s="2"/>
      <c r="B22" s="60"/>
      <c r="C22" s="60"/>
      <c r="D22" s="12" t="s">
        <v>24</v>
      </c>
      <c r="E22" s="8">
        <v>-1.1839999999999999</v>
      </c>
      <c r="F22" s="60"/>
      <c r="G22" s="60"/>
      <c r="H22" s="60"/>
      <c r="I22" s="60"/>
      <c r="J22" s="61"/>
    </row>
    <row r="23" spans="1:21" ht="17" x14ac:dyDescent="0.2">
      <c r="A23" s="2"/>
      <c r="B23" s="60"/>
      <c r="C23" s="60"/>
      <c r="D23" s="12" t="s">
        <v>25</v>
      </c>
      <c r="E23" s="8">
        <v>0.11</v>
      </c>
      <c r="F23" s="60"/>
      <c r="G23" s="60"/>
      <c r="H23" s="60"/>
      <c r="I23" s="60"/>
      <c r="J23" s="61"/>
    </row>
    <row r="24" spans="1:21" x14ac:dyDescent="0.2">
      <c r="A24" s="2"/>
      <c r="B24" s="60"/>
      <c r="C24" s="60"/>
      <c r="D24" s="60"/>
      <c r="E24" s="60"/>
      <c r="F24" s="60"/>
      <c r="G24" s="60"/>
      <c r="H24" s="60"/>
      <c r="I24" s="60"/>
      <c r="J24" s="61"/>
      <c r="L24" s="19" t="s">
        <v>4</v>
      </c>
      <c r="N24" s="63"/>
    </row>
    <row r="25" spans="1:21" ht="16" customHeight="1" x14ac:dyDescent="0.2">
      <c r="A25" s="60" t="s">
        <v>0</v>
      </c>
      <c r="B25" s="60" t="s">
        <v>26</v>
      </c>
      <c r="C25" s="60"/>
      <c r="D25" s="60"/>
      <c r="E25" s="60"/>
      <c r="F25" s="60"/>
      <c r="G25" s="60"/>
      <c r="H25" s="60"/>
      <c r="I25" s="60"/>
      <c r="J25" s="61"/>
      <c r="M25" s="413" t="s">
        <v>27</v>
      </c>
      <c r="N25" s="413"/>
      <c r="O25" s="413"/>
      <c r="P25" s="413"/>
      <c r="Q25" s="413"/>
      <c r="R25" s="413"/>
      <c r="S25" s="413"/>
      <c r="T25" s="72"/>
      <c r="U25" s="72"/>
    </row>
    <row r="26" spans="1:21" x14ac:dyDescent="0.2">
      <c r="A26" s="2"/>
      <c r="B26" s="60"/>
      <c r="C26" s="60"/>
      <c r="D26" s="60"/>
      <c r="E26" s="60"/>
      <c r="F26" s="60"/>
      <c r="G26" s="60"/>
      <c r="H26" s="60"/>
      <c r="I26" s="60"/>
      <c r="J26" s="61"/>
      <c r="M26" s="413"/>
      <c r="N26" s="413"/>
      <c r="O26" s="413"/>
      <c r="P26" s="413"/>
      <c r="Q26" s="413"/>
      <c r="R26" s="413"/>
      <c r="S26" s="413"/>
    </row>
    <row r="27" spans="1:21" x14ac:dyDescent="0.2">
      <c r="A27" s="60" t="s">
        <v>1</v>
      </c>
      <c r="B27" s="404" t="s">
        <v>1054</v>
      </c>
      <c r="C27" s="60"/>
      <c r="D27" s="60"/>
      <c r="E27" s="60"/>
      <c r="F27" s="60"/>
      <c r="G27" s="60"/>
      <c r="H27" s="60"/>
      <c r="I27" s="60"/>
      <c r="J27" s="61"/>
      <c r="M27" s="413"/>
      <c r="N27" s="413"/>
      <c r="O27" s="413"/>
      <c r="P27" s="413"/>
      <c r="Q27" s="413"/>
      <c r="R27" s="413"/>
      <c r="S27" s="413"/>
    </row>
    <row r="28" spans="1:21" x14ac:dyDescent="0.2">
      <c r="A28" s="2"/>
      <c r="B28" s="60"/>
      <c r="C28" s="60"/>
      <c r="D28" s="60"/>
      <c r="E28" s="60"/>
      <c r="F28" s="60"/>
      <c r="G28" s="60"/>
      <c r="H28" s="60"/>
      <c r="I28" s="60"/>
      <c r="J28" s="61"/>
      <c r="M28" s="413"/>
      <c r="N28" s="413"/>
      <c r="O28" s="413"/>
      <c r="P28" s="413"/>
      <c r="Q28" s="413"/>
      <c r="R28" s="413"/>
      <c r="S28" s="413"/>
    </row>
    <row r="29" spans="1:21" ht="17" thickBot="1" x14ac:dyDescent="0.25">
      <c r="A29" s="2"/>
      <c r="B29" s="60"/>
      <c r="C29" s="60"/>
      <c r="D29" s="60"/>
      <c r="E29" s="60"/>
      <c r="F29" s="60"/>
      <c r="G29" s="60"/>
      <c r="H29" s="60"/>
      <c r="I29" s="60"/>
      <c r="J29" s="61"/>
      <c r="M29" s="413"/>
      <c r="N29" s="413"/>
      <c r="O29" s="413"/>
      <c r="P29" s="413"/>
      <c r="Q29" s="413"/>
      <c r="R29" s="413"/>
      <c r="S29" s="413"/>
    </row>
    <row r="30" spans="1:21" ht="17" thickBot="1" x14ac:dyDescent="0.25">
      <c r="A30" s="410" t="s">
        <v>266</v>
      </c>
      <c r="B30" s="411"/>
      <c r="C30" s="411"/>
      <c r="D30" s="411"/>
      <c r="E30" s="411"/>
      <c r="F30" s="411"/>
      <c r="G30" s="411"/>
      <c r="H30" s="411"/>
      <c r="I30" s="411"/>
      <c r="J30" s="412"/>
      <c r="M30" s="413"/>
      <c r="N30" s="413"/>
      <c r="O30" s="413"/>
      <c r="P30" s="413"/>
      <c r="Q30" s="413"/>
      <c r="R30" s="413"/>
      <c r="S30" s="413"/>
    </row>
    <row r="31" spans="1:21" x14ac:dyDescent="0.2">
      <c r="M31" s="413"/>
      <c r="N31" s="413"/>
      <c r="O31" s="413"/>
      <c r="P31" s="413"/>
      <c r="Q31" s="413"/>
      <c r="R31" s="413"/>
      <c r="S31" s="413"/>
    </row>
    <row r="32" spans="1:21" ht="19" x14ac:dyDescent="0.25">
      <c r="A32" s="3"/>
      <c r="M32" s="413"/>
      <c r="N32" s="413"/>
      <c r="O32" s="413"/>
      <c r="P32" s="413"/>
      <c r="Q32" s="413"/>
      <c r="R32" s="413"/>
      <c r="S32" s="413"/>
    </row>
    <row r="33" spans="12:19" x14ac:dyDescent="0.2">
      <c r="M33" s="72"/>
      <c r="N33" s="72"/>
      <c r="O33" s="72"/>
      <c r="P33" s="72"/>
      <c r="Q33" s="72"/>
      <c r="R33" s="72"/>
      <c r="S33" s="72"/>
    </row>
    <row r="35" spans="12:19" ht="19" x14ac:dyDescent="0.25">
      <c r="L35" s="3" t="s">
        <v>303</v>
      </c>
    </row>
    <row r="36" spans="12:19" x14ac:dyDescent="0.2">
      <c r="L36" s="125" t="s">
        <v>296</v>
      </c>
    </row>
    <row r="39" spans="12:19" x14ac:dyDescent="0.2">
      <c r="L39" s="5"/>
    </row>
    <row r="40" spans="12:19" x14ac:dyDescent="0.2">
      <c r="L40" s="5"/>
    </row>
    <row r="41" spans="12:19" x14ac:dyDescent="0.2">
      <c r="L41" s="5"/>
    </row>
    <row r="42" spans="12:19" x14ac:dyDescent="0.2">
      <c r="L42" s="5"/>
    </row>
    <row r="43" spans="12:19" x14ac:dyDescent="0.2">
      <c r="L43" s="5"/>
    </row>
    <row r="44" spans="12:19" x14ac:dyDescent="0.2">
      <c r="L44" s="5"/>
    </row>
    <row r="45" spans="12:19" x14ac:dyDescent="0.2">
      <c r="L45" s="5"/>
    </row>
    <row r="46" spans="12:19" x14ac:dyDescent="0.2">
      <c r="L46" s="5"/>
    </row>
    <row r="47" spans="12:19" x14ac:dyDescent="0.2">
      <c r="L47" s="5"/>
    </row>
    <row r="48" spans="12:19" x14ac:dyDescent="0.2">
      <c r="L48" s="5"/>
    </row>
    <row r="49" spans="12:12" x14ac:dyDescent="0.2">
      <c r="L49" s="5"/>
    </row>
    <row r="50" spans="12:12" x14ac:dyDescent="0.2">
      <c r="L50" s="5"/>
    </row>
    <row r="51" spans="12:12" x14ac:dyDescent="0.2">
      <c r="L51" s="5"/>
    </row>
    <row r="52" spans="12:12" x14ac:dyDescent="0.2">
      <c r="L52" s="5"/>
    </row>
    <row r="53" spans="12:12" x14ac:dyDescent="0.2">
      <c r="L53" s="5"/>
    </row>
    <row r="54" spans="12:12" x14ac:dyDescent="0.2">
      <c r="L54" s="5"/>
    </row>
    <row r="55" spans="12:12" x14ac:dyDescent="0.2">
      <c r="L55" s="5"/>
    </row>
    <row r="56" spans="12:12" x14ac:dyDescent="0.2">
      <c r="L56" s="5"/>
    </row>
    <row r="66" spans="1:14" x14ac:dyDescent="0.2">
      <c r="A66" s="4"/>
      <c r="C66" s="63"/>
    </row>
    <row r="69" spans="1:14" x14ac:dyDescent="0.2">
      <c r="M69" s="63"/>
    </row>
    <row r="70" spans="1:14" x14ac:dyDescent="0.2">
      <c r="L70" s="5"/>
      <c r="M70" s="5"/>
      <c r="N70" s="5"/>
    </row>
    <row r="71" spans="1:14" x14ac:dyDescent="0.2">
      <c r="L71" s="5"/>
      <c r="M71" s="5"/>
      <c r="N71" s="5"/>
    </row>
    <row r="72" spans="1:14" x14ac:dyDescent="0.2">
      <c r="L72" s="5"/>
      <c r="M72" s="5"/>
      <c r="N72" s="5"/>
    </row>
    <row r="73" spans="1:14" x14ac:dyDescent="0.2">
      <c r="L73" s="5"/>
      <c r="M73" s="5"/>
      <c r="N73" s="5"/>
    </row>
    <row r="74" spans="1:14" x14ac:dyDescent="0.2">
      <c r="L74" s="5"/>
      <c r="M74" s="5"/>
      <c r="N74" s="5"/>
    </row>
    <row r="75" spans="1:14" x14ac:dyDescent="0.2">
      <c r="L75" s="5"/>
      <c r="M75" s="5"/>
      <c r="N75" s="5"/>
    </row>
    <row r="76" spans="1:14" x14ac:dyDescent="0.2">
      <c r="L76" s="5"/>
      <c r="M76" s="5"/>
      <c r="N76" s="5"/>
    </row>
    <row r="77" spans="1:14" x14ac:dyDescent="0.2">
      <c r="L77" s="5"/>
      <c r="M77" s="5"/>
      <c r="N77" s="5"/>
    </row>
    <row r="78" spans="1:14" x14ac:dyDescent="0.2">
      <c r="L78" s="5"/>
      <c r="M78" s="5"/>
      <c r="N78" s="5"/>
    </row>
    <row r="79" spans="1:14" x14ac:dyDescent="0.2">
      <c r="M79" s="63"/>
    </row>
    <row r="80" spans="1:14" x14ac:dyDescent="0.2">
      <c r="L80" s="5"/>
      <c r="M80" s="5"/>
      <c r="N80" s="5"/>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M89" s="63"/>
    </row>
    <row r="90" spans="12:14" x14ac:dyDescent="0.2">
      <c r="L90" s="5"/>
      <c r="M90" s="5"/>
      <c r="N90" s="5"/>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5" x14ac:dyDescent="0.2">
      <c r="L97" s="5"/>
      <c r="M97" s="5"/>
      <c r="N97" s="5"/>
    </row>
    <row r="98" spans="1:65" x14ac:dyDescent="0.2">
      <c r="L98" s="5"/>
      <c r="M98" s="5"/>
      <c r="N98" s="5"/>
    </row>
    <row r="99" spans="1:65" x14ac:dyDescent="0.2">
      <c r="M99" s="63"/>
    </row>
    <row r="100" spans="1:65" x14ac:dyDescent="0.2">
      <c r="L100" s="5"/>
      <c r="M100" s="5"/>
      <c r="N100" s="5"/>
    </row>
    <row r="101" spans="1:65" x14ac:dyDescent="0.2">
      <c r="L101" s="5"/>
      <c r="M101" s="5"/>
      <c r="N101" s="5"/>
    </row>
    <row r="102" spans="1:65" x14ac:dyDescent="0.2">
      <c r="L102" s="5"/>
      <c r="M102" s="5"/>
      <c r="N102" s="5"/>
    </row>
    <row r="103" spans="1:65" x14ac:dyDescent="0.2">
      <c r="L103" s="5"/>
      <c r="M103" s="5"/>
      <c r="N103" s="5"/>
    </row>
    <row r="104" spans="1:65" x14ac:dyDescent="0.2">
      <c r="L104" s="5"/>
      <c r="M104" s="5"/>
      <c r="N104" s="5"/>
    </row>
    <row r="105" spans="1:65" x14ac:dyDescent="0.2">
      <c r="L105" s="5"/>
      <c r="M105" s="5"/>
      <c r="N105" s="5"/>
    </row>
    <row r="106" spans="1:65" x14ac:dyDescent="0.2">
      <c r="L106" s="5"/>
      <c r="M106" s="5"/>
      <c r="N106" s="5"/>
    </row>
    <row r="107" spans="1:65" x14ac:dyDescent="0.2">
      <c r="L107" s="5"/>
      <c r="M107" s="5"/>
      <c r="N107" s="5"/>
    </row>
    <row r="108" spans="1:65" x14ac:dyDescent="0.2">
      <c r="A108" s="5"/>
      <c r="B108" s="5"/>
      <c r="C108" s="5"/>
      <c r="D108" s="5"/>
      <c r="E108" s="5"/>
      <c r="F108" s="5"/>
      <c r="G108" s="5"/>
      <c r="H108" s="5"/>
      <c r="I108" s="5"/>
      <c r="J108" s="5"/>
      <c r="L108" s="5"/>
      <c r="M108" s="5"/>
      <c r="N108" s="5"/>
    </row>
    <row r="109" spans="1:65" x14ac:dyDescent="0.2">
      <c r="A109" s="5"/>
      <c r="B109" s="5"/>
      <c r="C109" s="5"/>
      <c r="D109" s="5"/>
      <c r="E109" s="5"/>
      <c r="F109" s="5"/>
      <c r="G109" s="5"/>
      <c r="H109" s="5"/>
      <c r="I109" s="5"/>
      <c r="J109" s="5"/>
      <c r="M109" s="63"/>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row r="206" spans="1:6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row>
    <row r="207" spans="1:6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row>
    <row r="208" spans="1:6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row>
    <row r="209" spans="1:6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row>
    <row r="210" spans="1:65" x14ac:dyDescent="0.2">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row>
    <row r="211" spans="1:65" x14ac:dyDescent="0.2">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row>
  </sheetData>
  <mergeCells count="5">
    <mergeCell ref="D18:E18"/>
    <mergeCell ref="M9:P9"/>
    <mergeCell ref="M17:P17"/>
    <mergeCell ref="A30:J30"/>
    <mergeCell ref="M25:S3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140"/>
  <sheetViews>
    <sheetView zoomScaleNormal="100" workbookViewId="0"/>
  </sheetViews>
  <sheetFormatPr baseColWidth="10" defaultColWidth="10.83203125" defaultRowHeight="16" outlineLevelCol="1" x14ac:dyDescent="0.2"/>
  <cols>
    <col min="1" max="1" width="4.6640625" style="62" customWidth="1"/>
    <col min="2" max="10" width="10.83203125" style="62" customWidth="1"/>
    <col min="11" max="11" width="11.5" style="62" bestFit="1" customWidth="1"/>
    <col min="12" max="16" width="10.83203125" style="62" hidden="1" customWidth="1" outlineLevel="1"/>
    <col min="17" max="17" width="10.83203125" style="62" collapsed="1"/>
    <col min="18" max="16384" width="10.83203125" style="62"/>
  </cols>
  <sheetData>
    <row r="1" spans="1:15" ht="19" x14ac:dyDescent="0.25">
      <c r="A1" s="1" t="s">
        <v>286</v>
      </c>
      <c r="B1" s="46"/>
      <c r="C1" s="59"/>
      <c r="D1" s="59"/>
      <c r="E1" s="59"/>
      <c r="F1" s="60"/>
      <c r="G1" s="60"/>
      <c r="H1" s="60"/>
      <c r="I1" s="60"/>
      <c r="J1" s="61"/>
      <c r="K1" s="3" t="s">
        <v>265</v>
      </c>
    </row>
    <row r="2" spans="1:15" x14ac:dyDescent="0.2">
      <c r="A2" s="2"/>
      <c r="B2" s="60"/>
      <c r="C2" s="60"/>
      <c r="D2" s="60"/>
      <c r="E2" s="60"/>
      <c r="F2" s="60"/>
      <c r="G2" s="60"/>
      <c r="H2" s="60"/>
      <c r="I2" s="60"/>
      <c r="J2" s="61"/>
      <c r="L2" s="19" t="s">
        <v>63</v>
      </c>
    </row>
    <row r="3" spans="1:15" x14ac:dyDescent="0.2">
      <c r="A3" s="2"/>
      <c r="B3" s="60" t="s">
        <v>31</v>
      </c>
      <c r="C3" s="60"/>
      <c r="D3" s="60"/>
      <c r="E3" s="60"/>
      <c r="F3" s="60"/>
      <c r="G3" s="60"/>
      <c r="H3" s="60"/>
      <c r="I3" s="60"/>
      <c r="J3" s="61"/>
      <c r="L3" s="74" t="s">
        <v>35</v>
      </c>
      <c r="M3" s="75">
        <v>1</v>
      </c>
      <c r="N3" s="75">
        <v>2</v>
      </c>
      <c r="O3" s="75">
        <v>3</v>
      </c>
    </row>
    <row r="4" spans="1:15" x14ac:dyDescent="0.2">
      <c r="A4" s="60"/>
      <c r="B4" s="60"/>
      <c r="C4" s="60"/>
      <c r="D4" s="60"/>
      <c r="E4" s="60"/>
      <c r="F4" s="60"/>
      <c r="G4" s="60"/>
      <c r="H4" s="60"/>
      <c r="I4" s="60"/>
      <c r="J4" s="61"/>
      <c r="L4" s="68">
        <v>1</v>
      </c>
      <c r="M4" s="65">
        <f>D7</f>
        <v>640</v>
      </c>
      <c r="N4" s="65">
        <f>SUM(D7:E7)</f>
        <v>990</v>
      </c>
      <c r="O4" s="65">
        <f>SUM(D7:F7)</f>
        <v>1130</v>
      </c>
    </row>
    <row r="5" spans="1:15" x14ac:dyDescent="0.2">
      <c r="A5" s="60"/>
      <c r="B5" s="60"/>
      <c r="C5" s="408" t="s">
        <v>32</v>
      </c>
      <c r="D5" s="408"/>
      <c r="E5" s="408"/>
      <c r="F5" s="408"/>
      <c r="G5" s="60"/>
      <c r="H5" s="60"/>
      <c r="I5" s="60"/>
      <c r="J5" s="61"/>
      <c r="L5" s="68">
        <v>2</v>
      </c>
      <c r="M5" s="65">
        <f>D8</f>
        <v>580</v>
      </c>
      <c r="N5" s="65">
        <f>SUM(D8:E8)</f>
        <v>920</v>
      </c>
      <c r="O5" s="65"/>
    </row>
    <row r="6" spans="1:15" ht="34" x14ac:dyDescent="0.2">
      <c r="A6" s="60"/>
      <c r="B6" s="60"/>
      <c r="C6" s="10" t="s">
        <v>9</v>
      </c>
      <c r="D6" s="21" t="s">
        <v>10</v>
      </c>
      <c r="E6" s="21" t="s">
        <v>11</v>
      </c>
      <c r="F6" s="21" t="s">
        <v>12</v>
      </c>
      <c r="G6" s="60"/>
      <c r="H6" s="60"/>
      <c r="I6" s="60"/>
      <c r="J6" s="61"/>
      <c r="L6" s="68">
        <v>3</v>
      </c>
      <c r="M6" s="65">
        <f>D9</f>
        <v>670</v>
      </c>
      <c r="N6" s="65"/>
      <c r="O6" s="65"/>
    </row>
    <row r="7" spans="1:15" x14ac:dyDescent="0.2">
      <c r="A7" s="60"/>
      <c r="B7" s="60"/>
      <c r="C7" s="12">
        <v>2014</v>
      </c>
      <c r="D7" s="8">
        <v>640</v>
      </c>
      <c r="E7" s="8">
        <v>350</v>
      </c>
      <c r="F7" s="8">
        <v>140</v>
      </c>
      <c r="G7" s="60"/>
      <c r="H7" s="60"/>
      <c r="I7" s="60"/>
      <c r="J7" s="61"/>
    </row>
    <row r="8" spans="1:15" x14ac:dyDescent="0.2">
      <c r="A8" s="60"/>
      <c r="B8" s="60"/>
      <c r="C8" s="12">
        <v>2015</v>
      </c>
      <c r="D8" s="8">
        <v>580</v>
      </c>
      <c r="E8" s="8">
        <v>340</v>
      </c>
      <c r="F8" s="8"/>
      <c r="G8" s="60"/>
      <c r="H8" s="60"/>
      <c r="I8" s="60"/>
      <c r="J8" s="61"/>
      <c r="L8" s="74"/>
      <c r="M8" s="95" t="s">
        <v>64</v>
      </c>
      <c r="N8" s="95" t="s">
        <v>65</v>
      </c>
    </row>
    <row r="9" spans="1:15" x14ac:dyDescent="0.2">
      <c r="A9" s="60"/>
      <c r="B9" s="60"/>
      <c r="C9" s="12">
        <v>2016</v>
      </c>
      <c r="D9" s="8">
        <v>670</v>
      </c>
      <c r="E9" s="8"/>
      <c r="F9" s="8"/>
      <c r="G9" s="60"/>
      <c r="H9" s="60"/>
      <c r="I9" s="60"/>
      <c r="J9" s="61"/>
      <c r="L9" s="68" t="s">
        <v>66</v>
      </c>
      <c r="M9" s="107">
        <f>SUM(N4:N5)/SUM(M4:M5)</f>
        <v>1.5655737704918034</v>
      </c>
      <c r="N9" s="107">
        <f>O4/N4</f>
        <v>1.1414141414141414</v>
      </c>
    </row>
    <row r="10" spans="1:15" x14ac:dyDescent="0.2">
      <c r="A10" s="60"/>
      <c r="B10" s="60"/>
      <c r="C10" s="60"/>
      <c r="D10" s="60"/>
      <c r="E10" s="60"/>
      <c r="F10" s="60"/>
      <c r="G10" s="60"/>
      <c r="H10" s="60"/>
      <c r="I10" s="60"/>
      <c r="J10" s="61"/>
    </row>
    <row r="11" spans="1:15" x14ac:dyDescent="0.2">
      <c r="A11" s="60"/>
      <c r="B11" s="60"/>
      <c r="C11" s="408" t="s">
        <v>33</v>
      </c>
      <c r="D11" s="408"/>
      <c r="E11" s="408"/>
      <c r="F11" s="408"/>
      <c r="G11" s="408"/>
      <c r="H11" s="408"/>
      <c r="I11" s="60"/>
      <c r="J11" s="61"/>
      <c r="L11" s="62" t="s">
        <v>77</v>
      </c>
    </row>
    <row r="12" spans="1:15" x14ac:dyDescent="0.2">
      <c r="A12" s="2"/>
      <c r="B12" s="60"/>
      <c r="C12" s="112">
        <v>0.82599161207203753</v>
      </c>
      <c r="D12" s="113">
        <v>0.17400838792796225</v>
      </c>
      <c r="E12" s="113">
        <v>0</v>
      </c>
      <c r="F12" s="113">
        <v>0.17400838792796214</v>
      </c>
      <c r="G12" s="113">
        <v>-0.17400838792796225</v>
      </c>
      <c r="H12" s="114">
        <v>0</v>
      </c>
      <c r="I12" s="60"/>
      <c r="J12" s="61"/>
    </row>
    <row r="13" spans="1:15" x14ac:dyDescent="0.2">
      <c r="A13" s="2"/>
      <c r="B13" s="60"/>
      <c r="C13" s="112">
        <v>0.1872481565746556</v>
      </c>
      <c r="D13" s="113">
        <v>0.81275184342534434</v>
      </c>
      <c r="E13" s="113">
        <v>0</v>
      </c>
      <c r="F13" s="113">
        <v>-0.18724815657465571</v>
      </c>
      <c r="G13" s="113">
        <v>0.18724815657465568</v>
      </c>
      <c r="H13" s="114">
        <v>0</v>
      </c>
      <c r="I13" s="60"/>
      <c r="J13" s="61"/>
      <c r="L13" s="74" t="s">
        <v>35</v>
      </c>
      <c r="M13" s="75">
        <v>1</v>
      </c>
      <c r="N13" s="75">
        <v>2</v>
      </c>
      <c r="O13" s="75">
        <v>3</v>
      </c>
    </row>
    <row r="14" spans="1:15" x14ac:dyDescent="0.2">
      <c r="A14" s="2"/>
      <c r="B14" s="60"/>
      <c r="C14" s="112">
        <v>0</v>
      </c>
      <c r="D14" s="113">
        <v>0</v>
      </c>
      <c r="E14" s="113">
        <v>1</v>
      </c>
      <c r="F14" s="113">
        <v>0</v>
      </c>
      <c r="G14" s="113">
        <v>0</v>
      </c>
      <c r="H14" s="114">
        <v>0</v>
      </c>
      <c r="I14" s="60"/>
      <c r="J14" s="61"/>
      <c r="L14" s="68">
        <v>1</v>
      </c>
      <c r="M14" s="109">
        <f>N14/$M$9</f>
        <v>632.35602094240835</v>
      </c>
      <c r="N14" s="109">
        <f>O14/$N$9</f>
        <v>990</v>
      </c>
      <c r="O14" s="20">
        <f>O4</f>
        <v>1130</v>
      </c>
    </row>
    <row r="15" spans="1:15" x14ac:dyDescent="0.2">
      <c r="A15" s="2"/>
      <c r="B15" s="60"/>
      <c r="C15" s="112">
        <v>0.30766700474219383</v>
      </c>
      <c r="D15" s="113">
        <v>-0.30766700474219383</v>
      </c>
      <c r="E15" s="113">
        <v>0</v>
      </c>
      <c r="F15" s="113">
        <v>0.69233299525780623</v>
      </c>
      <c r="G15" s="113">
        <v>0.30766700474219383</v>
      </c>
      <c r="H15" s="114">
        <v>0</v>
      </c>
      <c r="I15" s="60"/>
      <c r="J15" s="61"/>
      <c r="L15" s="68">
        <v>2</v>
      </c>
      <c r="M15" s="109">
        <f>N15/$M$9</f>
        <v>587.64397905759165</v>
      </c>
      <c r="N15" s="20">
        <f>N5</f>
        <v>920</v>
      </c>
      <c r="O15" s="65"/>
    </row>
    <row r="16" spans="1:15" x14ac:dyDescent="0.2">
      <c r="A16" s="2"/>
      <c r="B16" s="60"/>
      <c r="C16" s="112">
        <v>-0.3310764507551881</v>
      </c>
      <c r="D16" s="113">
        <v>0.33107645075518827</v>
      </c>
      <c r="E16" s="113">
        <v>0</v>
      </c>
      <c r="F16" s="113">
        <v>0.33107645075518832</v>
      </c>
      <c r="G16" s="113">
        <v>0.66892354924481168</v>
      </c>
      <c r="H16" s="114">
        <v>0</v>
      </c>
      <c r="I16" s="60"/>
      <c r="J16" s="61"/>
      <c r="L16" s="68">
        <v>3</v>
      </c>
      <c r="M16" s="20">
        <f>M6</f>
        <v>670</v>
      </c>
      <c r="N16" s="65"/>
      <c r="O16" s="65"/>
    </row>
    <row r="17" spans="1:65" x14ac:dyDescent="0.2">
      <c r="A17" s="2"/>
      <c r="B17" s="60"/>
      <c r="C17" s="112">
        <v>0</v>
      </c>
      <c r="D17" s="113">
        <v>0</v>
      </c>
      <c r="E17" s="113">
        <v>0</v>
      </c>
      <c r="F17" s="113">
        <v>0</v>
      </c>
      <c r="G17" s="113">
        <v>0</v>
      </c>
      <c r="H17" s="114">
        <v>1</v>
      </c>
      <c r="I17" s="60"/>
      <c r="J17" s="61"/>
    </row>
    <row r="18" spans="1:65" x14ac:dyDescent="0.2">
      <c r="A18" s="2"/>
      <c r="B18" s="60"/>
      <c r="C18" s="60"/>
      <c r="D18" s="60"/>
      <c r="E18" s="60"/>
      <c r="F18" s="60"/>
      <c r="G18" s="60"/>
      <c r="H18" s="60"/>
      <c r="I18" s="60"/>
      <c r="J18" s="61"/>
    </row>
    <row r="19" spans="1:65" x14ac:dyDescent="0.2">
      <c r="A19" s="2"/>
      <c r="B19" s="60"/>
      <c r="C19" s="60"/>
      <c r="D19" s="60"/>
      <c r="E19" s="60"/>
      <c r="F19" s="60"/>
      <c r="G19" s="60"/>
      <c r="H19" s="60"/>
      <c r="I19" s="60"/>
      <c r="J19" s="61"/>
      <c r="L19" s="19" t="s">
        <v>67</v>
      </c>
    </row>
    <row r="20" spans="1:65" x14ac:dyDescent="0.2">
      <c r="A20" s="2"/>
      <c r="B20" s="60" t="s">
        <v>34</v>
      </c>
      <c r="C20" s="60"/>
      <c r="D20" s="60"/>
      <c r="E20" s="60"/>
      <c r="F20" s="60"/>
      <c r="G20" s="60"/>
      <c r="H20" s="60"/>
      <c r="I20" s="60"/>
      <c r="J20" s="61"/>
      <c r="L20" s="74" t="s">
        <v>35</v>
      </c>
      <c r="M20" s="75">
        <v>1</v>
      </c>
      <c r="N20" s="75">
        <v>2</v>
      </c>
      <c r="O20" s="75">
        <v>3</v>
      </c>
    </row>
    <row r="21" spans="1:65" x14ac:dyDescent="0.2">
      <c r="A21" s="2"/>
      <c r="B21" s="60"/>
      <c r="C21" s="60"/>
      <c r="D21" s="60"/>
      <c r="E21" s="60"/>
      <c r="F21" s="60"/>
      <c r="G21" s="60"/>
      <c r="H21" s="60"/>
      <c r="I21" s="60"/>
      <c r="J21" s="61"/>
      <c r="L21" s="68">
        <v>1</v>
      </c>
      <c r="M21" s="109">
        <f>M14</f>
        <v>632.35602094240835</v>
      </c>
      <c r="N21" s="109">
        <f>N14-M14</f>
        <v>357.64397905759165</v>
      </c>
      <c r="O21" s="109">
        <f>O14-N14</f>
        <v>140</v>
      </c>
    </row>
    <row r="22" spans="1:65" ht="17" thickBot="1" x14ac:dyDescent="0.25">
      <c r="A22" s="2"/>
      <c r="B22" s="60"/>
      <c r="C22" s="60"/>
      <c r="D22" s="60"/>
      <c r="E22" s="60"/>
      <c r="F22" s="60"/>
      <c r="G22" s="60"/>
      <c r="H22" s="60"/>
      <c r="I22" s="60"/>
      <c r="J22" s="61"/>
      <c r="L22" s="68">
        <v>2</v>
      </c>
      <c r="M22" s="109">
        <f t="shared" ref="M22:M23" si="0">M15</f>
        <v>587.64397905759165</v>
      </c>
      <c r="N22" s="109">
        <f>N15-M15</f>
        <v>332.35602094240835</v>
      </c>
      <c r="O22" s="65"/>
    </row>
    <row r="23" spans="1:65" ht="17" thickBot="1" x14ac:dyDescent="0.25">
      <c r="A23" s="410" t="s">
        <v>266</v>
      </c>
      <c r="B23" s="411"/>
      <c r="C23" s="411"/>
      <c r="D23" s="411"/>
      <c r="E23" s="411"/>
      <c r="F23" s="411"/>
      <c r="G23" s="411"/>
      <c r="H23" s="411"/>
      <c r="I23" s="411"/>
      <c r="J23" s="412"/>
      <c r="L23" s="68">
        <v>3</v>
      </c>
      <c r="M23" s="109">
        <f t="shared" si="0"/>
        <v>670</v>
      </c>
      <c r="N23" s="65"/>
      <c r="O23" s="65"/>
    </row>
    <row r="25" spans="1:65" ht="19" x14ac:dyDescent="0.25">
      <c r="A25" s="3"/>
    </row>
    <row r="26" spans="1:65" x14ac:dyDescent="0.2">
      <c r="L26" s="19" t="s">
        <v>62</v>
      </c>
    </row>
    <row r="27" spans="1:65" x14ac:dyDescent="0.2">
      <c r="L27" s="62" t="s">
        <v>68</v>
      </c>
    </row>
    <row r="28" spans="1:65" x14ac:dyDescent="0.2">
      <c r="L28" s="74" t="s">
        <v>35</v>
      </c>
      <c r="M28" s="75">
        <v>1</v>
      </c>
      <c r="N28" s="75">
        <v>2</v>
      </c>
      <c r="O28" s="75">
        <v>3</v>
      </c>
    </row>
    <row r="29" spans="1:65" x14ac:dyDescent="0.2">
      <c r="A29" s="5"/>
      <c r="L29" s="68">
        <v>1</v>
      </c>
      <c r="M29" s="107">
        <f>(D7-M21)/SQRT(M21)</f>
        <v>0.30397555461741732</v>
      </c>
      <c r="N29" s="107">
        <f>(E7-N21)/SQRT(N21)</f>
        <v>-0.40419787829054521</v>
      </c>
      <c r="O29" s="107">
        <v>0</v>
      </c>
    </row>
    <row r="30" spans="1:65" x14ac:dyDescent="0.2">
      <c r="A30" s="5"/>
      <c r="L30" s="68">
        <v>2</v>
      </c>
      <c r="M30" s="107">
        <f>(D8-M22)/SQRT(M22)</f>
        <v>-0.31532785978992112</v>
      </c>
      <c r="N30" s="107">
        <f>(E8-N22)/SQRT(N22)</f>
        <v>0.41929309760911182</v>
      </c>
      <c r="O30" s="107"/>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row>
    <row r="31" spans="1:65" x14ac:dyDescent="0.2">
      <c r="A31" s="5"/>
      <c r="L31" s="68">
        <v>3</v>
      </c>
      <c r="M31" s="107">
        <f>(D9-M23)/SQRT(M23)</f>
        <v>0</v>
      </c>
      <c r="N31" s="107"/>
      <c r="O31" s="107"/>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row>
    <row r="32" spans="1:65" x14ac:dyDescent="0.2">
      <c r="A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row>
    <row r="33" spans="1:65" x14ac:dyDescent="0.2">
      <c r="A33" s="5"/>
      <c r="L33" s="19" t="s">
        <v>71</v>
      </c>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row>
    <row r="34" spans="1:65" ht="17" thickBot="1" x14ac:dyDescent="0.25">
      <c r="A34" s="5"/>
      <c r="L34" s="62" t="s">
        <v>69</v>
      </c>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row>
    <row r="35" spans="1:65" ht="17" thickBot="1" x14ac:dyDescent="0.25">
      <c r="A35" s="5"/>
      <c r="L35" s="22" t="s">
        <v>70</v>
      </c>
      <c r="M35" s="23">
        <f>SUMSQ(M29:O31)/(6-5)</f>
        <v>0.53101542348188113</v>
      </c>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row>
    <row r="36" spans="1:65" x14ac:dyDescent="0.2">
      <c r="A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row>
    <row r="37" spans="1:65" x14ac:dyDescent="0.2">
      <c r="A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row>
    <row r="38" spans="1:65" x14ac:dyDescent="0.2">
      <c r="A38" s="5"/>
      <c r="L38" s="19" t="s">
        <v>72</v>
      </c>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row>
    <row r="39" spans="1:65" x14ac:dyDescent="0.2">
      <c r="A39" s="5"/>
      <c r="L39" s="74" t="s">
        <v>35</v>
      </c>
      <c r="M39" s="75">
        <v>1</v>
      </c>
      <c r="N39" s="75">
        <v>2</v>
      </c>
      <c r="O39" s="75">
        <v>3</v>
      </c>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row>
    <row r="40" spans="1:65" x14ac:dyDescent="0.2">
      <c r="A40" s="5"/>
      <c r="L40" s="68">
        <v>1</v>
      </c>
      <c r="M40" s="115">
        <f>C12</f>
        <v>0.82599161207203753</v>
      </c>
      <c r="N40" s="115">
        <f>F15</f>
        <v>0.69233299525780623</v>
      </c>
      <c r="O40" s="115">
        <f>H17</f>
        <v>1</v>
      </c>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row>
    <row r="41" spans="1:65" x14ac:dyDescent="0.2">
      <c r="A41" s="5"/>
      <c r="L41" s="68">
        <v>2</v>
      </c>
      <c r="M41" s="115">
        <f>D13</f>
        <v>0.81275184342534434</v>
      </c>
      <c r="N41" s="115">
        <f>G16</f>
        <v>0.66892354924481168</v>
      </c>
      <c r="O41" s="6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row>
    <row r="42" spans="1:65" x14ac:dyDescent="0.2">
      <c r="A42" s="5"/>
      <c r="L42" s="68">
        <v>3</v>
      </c>
      <c r="M42" s="115">
        <f>E14</f>
        <v>1</v>
      </c>
      <c r="N42" s="65"/>
      <c r="O42" s="6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row>
    <row r="43" spans="1:65" x14ac:dyDescent="0.2">
      <c r="A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row>
    <row r="44" spans="1:65" x14ac:dyDescent="0.2">
      <c r="A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row>
    <row r="45" spans="1:65" x14ac:dyDescent="0.2">
      <c r="A45" s="5"/>
      <c r="L45" s="19" t="s">
        <v>73</v>
      </c>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row>
    <row r="46" spans="1:65" x14ac:dyDescent="0.2">
      <c r="A46" s="5"/>
      <c r="L46" s="62" t="s">
        <v>74</v>
      </c>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row>
    <row r="47" spans="1:65" x14ac:dyDescent="0.2">
      <c r="A47" s="5"/>
      <c r="L47" s="74" t="s">
        <v>35</v>
      </c>
      <c r="M47" s="75">
        <v>1</v>
      </c>
      <c r="N47" s="75">
        <v>2</v>
      </c>
      <c r="O47" s="75">
        <v>3</v>
      </c>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row>
    <row r="48" spans="1:65" x14ac:dyDescent="0.2">
      <c r="A48" s="5"/>
      <c r="L48" s="68">
        <v>1</v>
      </c>
      <c r="M48" s="116">
        <f>SQRT(1/(1-M40))</f>
        <v>2.3972587264177943</v>
      </c>
      <c r="N48" s="116">
        <f>SQRT(1/(1-N40))</f>
        <v>1.8028497675598485</v>
      </c>
      <c r="O48" s="65">
        <v>0</v>
      </c>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row>
    <row r="49" spans="1:65" x14ac:dyDescent="0.2">
      <c r="A49" s="5"/>
      <c r="L49" s="68">
        <v>2</v>
      </c>
      <c r="M49" s="116">
        <f>SQRT(1/(1-M41))</f>
        <v>2.3109535941726627</v>
      </c>
      <c r="N49" s="116">
        <f>SQRT(1/(1-N41))</f>
        <v>1.7379443045438197</v>
      </c>
      <c r="O49" s="6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row>
    <row r="50" spans="1:65" x14ac:dyDescent="0.2">
      <c r="A50" s="5"/>
      <c r="L50" s="68">
        <v>3</v>
      </c>
      <c r="M50" s="65">
        <v>0</v>
      </c>
      <c r="N50" s="65"/>
      <c r="O50" s="6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row>
    <row r="51" spans="1:65" x14ac:dyDescent="0.2">
      <c r="A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row>
    <row r="52" spans="1:65" x14ac:dyDescent="0.2">
      <c r="A52" s="5"/>
      <c r="L52" s="19" t="s">
        <v>75</v>
      </c>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row>
    <row r="53" spans="1:65" ht="17" thickBot="1" x14ac:dyDescent="0.25">
      <c r="A53" s="5"/>
      <c r="L53" s="62" t="s">
        <v>76</v>
      </c>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row>
    <row r="54" spans="1:65" x14ac:dyDescent="0.2">
      <c r="A54" s="5"/>
      <c r="L54" s="117" t="s">
        <v>35</v>
      </c>
      <c r="M54" s="118">
        <v>1</v>
      </c>
      <c r="N54" s="118">
        <v>2</v>
      </c>
      <c r="O54" s="119">
        <v>3</v>
      </c>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row>
    <row r="55" spans="1:65" x14ac:dyDescent="0.2">
      <c r="A55" s="5"/>
      <c r="L55" s="120">
        <v>1</v>
      </c>
      <c r="M55" s="107">
        <f>M29*M48</f>
        <v>0.72870805092429247</v>
      </c>
      <c r="N55" s="107">
        <f t="shared" ref="N55:O56" si="1">N29*N48</f>
        <v>-0.72870805092429336</v>
      </c>
      <c r="O55" s="121">
        <f t="shared" si="1"/>
        <v>0</v>
      </c>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row>
    <row r="56" spans="1:65" x14ac:dyDescent="0.2">
      <c r="A56" s="5"/>
      <c r="L56" s="120">
        <v>2</v>
      </c>
      <c r="M56" s="107">
        <f t="shared" ref="M56:M57" si="2">M30*M49</f>
        <v>-0.72870805092429158</v>
      </c>
      <c r="N56" s="107">
        <f t="shared" si="1"/>
        <v>0.72870805092429169</v>
      </c>
      <c r="O56" s="121"/>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row>
    <row r="57" spans="1:65" ht="17" thickBot="1" x14ac:dyDescent="0.25">
      <c r="A57" s="5"/>
      <c r="L57" s="122">
        <v>3</v>
      </c>
      <c r="M57" s="123">
        <f t="shared" si="2"/>
        <v>0</v>
      </c>
      <c r="N57" s="123"/>
      <c r="O57" s="124"/>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row>
    <row r="58" spans="1:65" x14ac:dyDescent="0.2">
      <c r="A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row>
    <row r="59" spans="1:65" x14ac:dyDescent="0.2">
      <c r="A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row>
    <row r="60" spans="1:65" ht="19" x14ac:dyDescent="0.25">
      <c r="A60" s="5"/>
      <c r="L60" s="3" t="s">
        <v>303</v>
      </c>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row>
    <row r="61" spans="1:65" x14ac:dyDescent="0.2">
      <c r="A61" s="5"/>
      <c r="L61" s="125" t="s">
        <v>297</v>
      </c>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row>
    <row r="62" spans="1:65" x14ac:dyDescent="0.2">
      <c r="A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row>
    <row r="63" spans="1:65" x14ac:dyDescent="0.2">
      <c r="A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row>
    <row r="64" spans="1:65" x14ac:dyDescent="0.2">
      <c r="A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row>
    <row r="65" spans="1:65" x14ac:dyDescent="0.2">
      <c r="A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row>
    <row r="66" spans="1:65" x14ac:dyDescent="0.2">
      <c r="A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row>
    <row r="67" spans="1:65" x14ac:dyDescent="0.2">
      <c r="A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row>
    <row r="68" spans="1:65" x14ac:dyDescent="0.2">
      <c r="A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row>
    <row r="69" spans="1:65" x14ac:dyDescent="0.2">
      <c r="A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row>
    <row r="70" spans="1:65" x14ac:dyDescent="0.2">
      <c r="A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row>
    <row r="71" spans="1:65" x14ac:dyDescent="0.2">
      <c r="A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row>
    <row r="72" spans="1:65" x14ac:dyDescent="0.2">
      <c r="A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row>
    <row r="73" spans="1:65" x14ac:dyDescent="0.2">
      <c r="A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row>
    <row r="74" spans="1:65" x14ac:dyDescent="0.2">
      <c r="A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row>
    <row r="75" spans="1:65" x14ac:dyDescent="0.2">
      <c r="A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sheetData>
  <mergeCells count="3">
    <mergeCell ref="C5:F5"/>
    <mergeCell ref="C11:H11"/>
    <mergeCell ref="A23:J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N196"/>
  <sheetViews>
    <sheetView zoomScaleNormal="100" workbookViewId="0"/>
  </sheetViews>
  <sheetFormatPr baseColWidth="10" defaultColWidth="10.83203125" defaultRowHeight="16" outlineLevelCol="1" x14ac:dyDescent="0.2"/>
  <cols>
    <col min="1" max="1" width="4.6640625" style="62" customWidth="1"/>
    <col min="2" max="10" width="10.83203125" style="62" customWidth="1"/>
    <col min="11" max="11" width="11.5" style="62" bestFit="1" customWidth="1"/>
    <col min="12" max="21" width="10.83203125" style="62" hidden="1" customWidth="1" outlineLevel="1"/>
    <col min="22" max="22" width="10.83203125" style="62" collapsed="1"/>
    <col min="23" max="16384" width="10.83203125" style="62"/>
  </cols>
  <sheetData>
    <row r="1" spans="1:21" ht="19" x14ac:dyDescent="0.25">
      <c r="A1" s="1" t="s">
        <v>287</v>
      </c>
      <c r="B1" s="46"/>
      <c r="C1" s="59"/>
      <c r="D1" s="59"/>
      <c r="E1" s="59"/>
      <c r="F1" s="91"/>
      <c r="G1" s="91"/>
      <c r="H1" s="91"/>
      <c r="I1" s="91"/>
      <c r="J1" s="92"/>
      <c r="K1" s="3" t="s">
        <v>265</v>
      </c>
    </row>
    <row r="2" spans="1:21" x14ac:dyDescent="0.2">
      <c r="A2" s="2"/>
      <c r="B2" s="60"/>
      <c r="C2" s="60"/>
      <c r="D2" s="60"/>
      <c r="E2" s="60"/>
      <c r="F2" s="60"/>
      <c r="G2" s="60"/>
      <c r="H2" s="60"/>
      <c r="I2" s="60"/>
      <c r="J2" s="61"/>
      <c r="L2" s="19" t="s">
        <v>3</v>
      </c>
      <c r="N2" s="63"/>
    </row>
    <row r="3" spans="1:21" x14ac:dyDescent="0.2">
      <c r="A3" s="2"/>
      <c r="B3" s="60" t="s">
        <v>78</v>
      </c>
      <c r="C3" s="60"/>
      <c r="D3" s="60"/>
      <c r="E3" s="60"/>
      <c r="F3" s="60"/>
      <c r="G3" s="60"/>
      <c r="H3" s="60"/>
      <c r="I3" s="60"/>
      <c r="J3" s="61"/>
    </row>
    <row r="4" spans="1:21" x14ac:dyDescent="0.2">
      <c r="A4" s="2"/>
      <c r="B4" s="60"/>
      <c r="C4" s="60"/>
      <c r="D4" s="60"/>
      <c r="E4" s="60"/>
      <c r="F4" s="60"/>
      <c r="G4" s="60"/>
      <c r="H4" s="60"/>
      <c r="I4" s="60"/>
      <c r="J4" s="61"/>
      <c r="M4" s="19" t="s">
        <v>149</v>
      </c>
    </row>
    <row r="5" spans="1:21" x14ac:dyDescent="0.2">
      <c r="A5" s="2"/>
      <c r="B5" s="408" t="s">
        <v>67</v>
      </c>
      <c r="C5" s="408"/>
      <c r="D5" s="408"/>
      <c r="E5" s="408"/>
      <c r="F5" s="60"/>
      <c r="G5" s="408" t="s">
        <v>80</v>
      </c>
      <c r="H5" s="408"/>
      <c r="I5" s="408"/>
      <c r="J5" s="419"/>
      <c r="M5" s="74" t="s">
        <v>35</v>
      </c>
      <c r="N5" s="75">
        <v>1</v>
      </c>
      <c r="O5" s="75">
        <v>2</v>
      </c>
      <c r="P5" s="75">
        <v>3</v>
      </c>
    </row>
    <row r="6" spans="1:21" ht="17" x14ac:dyDescent="0.2">
      <c r="A6" s="2"/>
      <c r="B6" s="10" t="s">
        <v>35</v>
      </c>
      <c r="C6" s="11">
        <v>1</v>
      </c>
      <c r="D6" s="11">
        <v>2</v>
      </c>
      <c r="E6" s="11">
        <v>3</v>
      </c>
      <c r="F6" s="82"/>
      <c r="G6" s="10" t="s">
        <v>35</v>
      </c>
      <c r="H6" s="11">
        <v>1</v>
      </c>
      <c r="I6" s="11">
        <v>2</v>
      </c>
      <c r="J6" s="54">
        <v>3</v>
      </c>
      <c r="M6" s="68">
        <v>1</v>
      </c>
      <c r="N6" s="65">
        <f>I7</f>
        <v>-0.73</v>
      </c>
      <c r="O6" s="65">
        <f>H8</f>
        <v>-0.73</v>
      </c>
      <c r="P6" s="65">
        <f>H7</f>
        <v>0.73</v>
      </c>
    </row>
    <row r="7" spans="1:21" ht="17" x14ac:dyDescent="0.2">
      <c r="A7" s="2"/>
      <c r="B7" s="12">
        <v>1</v>
      </c>
      <c r="C7" s="8">
        <v>632.4</v>
      </c>
      <c r="D7" s="8">
        <v>357.6</v>
      </c>
      <c r="E7" s="8">
        <v>140</v>
      </c>
      <c r="F7" s="82"/>
      <c r="G7" s="12">
        <v>1</v>
      </c>
      <c r="H7" s="8">
        <v>0.73</v>
      </c>
      <c r="I7" s="8">
        <v>-0.73</v>
      </c>
      <c r="J7" s="6" t="s">
        <v>43</v>
      </c>
      <c r="M7" s="68">
        <v>2</v>
      </c>
      <c r="N7" s="65">
        <f>I8</f>
        <v>0.73</v>
      </c>
      <c r="O7" s="65">
        <f>I8</f>
        <v>0.73</v>
      </c>
      <c r="P7" s="65"/>
    </row>
    <row r="8" spans="1:21" x14ac:dyDescent="0.2">
      <c r="A8" s="2"/>
      <c r="B8" s="12">
        <v>2</v>
      </c>
      <c r="C8" s="8">
        <v>587.6</v>
      </c>
      <c r="D8" s="8">
        <v>332.4</v>
      </c>
      <c r="E8" s="8"/>
      <c r="F8" s="82"/>
      <c r="G8" s="12">
        <v>2</v>
      </c>
      <c r="H8" s="8">
        <v>-0.73</v>
      </c>
      <c r="I8" s="8">
        <v>0.73</v>
      </c>
      <c r="J8" s="6"/>
      <c r="M8" s="68">
        <v>3</v>
      </c>
      <c r="N8" s="65">
        <f>I7</f>
        <v>-0.73</v>
      </c>
      <c r="O8" s="65"/>
      <c r="P8" s="65"/>
    </row>
    <row r="9" spans="1:21" ht="17" x14ac:dyDescent="0.2">
      <c r="A9" s="2"/>
      <c r="B9" s="12">
        <v>3</v>
      </c>
      <c r="C9" s="8">
        <v>670</v>
      </c>
      <c r="D9" s="8"/>
      <c r="E9" s="8"/>
      <c r="F9" s="82"/>
      <c r="G9" s="12">
        <v>3</v>
      </c>
      <c r="H9" s="8" t="s">
        <v>43</v>
      </c>
      <c r="I9" s="8"/>
      <c r="J9" s="6"/>
    </row>
    <row r="10" spans="1:21" x14ac:dyDescent="0.2">
      <c r="A10" s="2"/>
      <c r="B10" s="60"/>
      <c r="C10" s="60"/>
      <c r="D10" s="60"/>
      <c r="E10" s="60"/>
      <c r="F10" s="60"/>
      <c r="G10" s="60"/>
      <c r="H10" s="60"/>
      <c r="I10" s="60"/>
      <c r="J10" s="61"/>
      <c r="M10" s="19" t="s">
        <v>151</v>
      </c>
      <c r="R10" s="19" t="s">
        <v>63</v>
      </c>
    </row>
    <row r="11" spans="1:21" x14ac:dyDescent="0.2">
      <c r="A11" s="2"/>
      <c r="B11" s="101" t="s">
        <v>280</v>
      </c>
      <c r="C11" s="60"/>
      <c r="D11" s="60"/>
      <c r="E11" s="60"/>
      <c r="F11" s="60"/>
      <c r="G11" s="60"/>
      <c r="H11" s="60"/>
      <c r="I11" s="60"/>
      <c r="J11" s="61"/>
      <c r="M11" s="74" t="s">
        <v>35</v>
      </c>
      <c r="N11" s="75">
        <v>1</v>
      </c>
      <c r="O11" s="75">
        <v>2</v>
      </c>
      <c r="P11" s="75">
        <v>3</v>
      </c>
      <c r="R11" s="74" t="s">
        <v>35</v>
      </c>
      <c r="S11" s="75">
        <v>1</v>
      </c>
      <c r="T11" s="75">
        <v>2</v>
      </c>
      <c r="U11" s="75">
        <v>3</v>
      </c>
    </row>
    <row r="12" spans="1:21" x14ac:dyDescent="0.2">
      <c r="A12" s="2"/>
      <c r="B12" s="101" t="s">
        <v>281</v>
      </c>
      <c r="C12" s="60"/>
      <c r="D12" s="60"/>
      <c r="E12" s="60"/>
      <c r="F12" s="60"/>
      <c r="G12" s="60"/>
      <c r="H12" s="60"/>
      <c r="I12" s="60"/>
      <c r="J12" s="61"/>
      <c r="M12" s="68">
        <v>1</v>
      </c>
      <c r="N12" s="109">
        <f>N6*SQRT(C7^1)+C7</f>
        <v>614.04227791908806</v>
      </c>
      <c r="O12" s="109">
        <f>O6*SQRT(D7^1)+D7</f>
        <v>343.79547030862699</v>
      </c>
      <c r="P12" s="109">
        <f>P6*SQRT(E7^1)+E7</f>
        <v>148.63747648332543</v>
      </c>
      <c r="R12" s="68">
        <v>1</v>
      </c>
      <c r="S12" s="109">
        <f>N12</f>
        <v>614.04227791908806</v>
      </c>
      <c r="T12" s="109">
        <f>S12+O12</f>
        <v>957.83774822771511</v>
      </c>
      <c r="U12" s="109">
        <f>T12+P12</f>
        <v>1106.4752247110405</v>
      </c>
    </row>
    <row r="13" spans="1:21" x14ac:dyDescent="0.2">
      <c r="A13" s="2"/>
      <c r="B13" s="60"/>
      <c r="C13" s="60"/>
      <c r="D13" s="60"/>
      <c r="E13" s="60"/>
      <c r="F13" s="60"/>
      <c r="G13" s="60"/>
      <c r="H13" s="60"/>
      <c r="I13" s="60"/>
      <c r="J13" s="61"/>
      <c r="L13" s="19"/>
      <c r="M13" s="68">
        <v>2</v>
      </c>
      <c r="N13" s="109">
        <f>N7*SQRT(C8^1)+C8</f>
        <v>605.29553729051486</v>
      </c>
      <c r="O13" s="109">
        <f>O7*SQRT(D8^1)+D8</f>
        <v>345.70924340449147</v>
      </c>
      <c r="P13" s="109"/>
      <c r="R13" s="68">
        <v>2</v>
      </c>
      <c r="S13" s="109">
        <f t="shared" ref="S13:S14" si="0">N13</f>
        <v>605.29553729051486</v>
      </c>
      <c r="T13" s="109">
        <f>S13+O13</f>
        <v>951.00478069500627</v>
      </c>
      <c r="U13" s="65"/>
    </row>
    <row r="14" spans="1:21" x14ac:dyDescent="0.2">
      <c r="A14" s="2"/>
      <c r="B14" s="60" t="s">
        <v>81</v>
      </c>
      <c r="C14" s="60"/>
      <c r="D14" s="60"/>
      <c r="E14" s="60"/>
      <c r="F14" s="60"/>
      <c r="G14" s="60"/>
      <c r="H14" s="60"/>
      <c r="I14" s="60"/>
      <c r="J14" s="61"/>
      <c r="M14" s="68">
        <v>3</v>
      </c>
      <c r="N14" s="109">
        <f>N8*SQRT(C9^1)+C9</f>
        <v>651.10441850590462</v>
      </c>
      <c r="O14" s="109"/>
      <c r="P14" s="109"/>
      <c r="R14" s="68">
        <v>3</v>
      </c>
      <c r="S14" s="109">
        <f t="shared" si="0"/>
        <v>651.10441850590462</v>
      </c>
      <c r="T14" s="65"/>
      <c r="U14" s="65"/>
    </row>
    <row r="15" spans="1:21" x14ac:dyDescent="0.2">
      <c r="A15" s="2"/>
      <c r="B15" s="60" t="s">
        <v>150</v>
      </c>
      <c r="C15" s="60"/>
      <c r="D15" s="60"/>
      <c r="E15" s="60"/>
      <c r="F15" s="60"/>
      <c r="G15" s="60"/>
      <c r="H15" s="60"/>
      <c r="I15" s="60"/>
      <c r="J15" s="61"/>
    </row>
    <row r="16" spans="1:21" x14ac:dyDescent="0.2">
      <c r="A16" s="2"/>
      <c r="B16" s="60" t="s">
        <v>82</v>
      </c>
      <c r="C16" s="60"/>
      <c r="D16" s="60"/>
      <c r="E16" s="60"/>
      <c r="F16" s="60"/>
      <c r="G16" s="60"/>
      <c r="H16" s="60"/>
      <c r="I16" s="60"/>
      <c r="J16" s="61"/>
      <c r="M16" s="62" t="s">
        <v>152</v>
      </c>
      <c r="R16" s="94"/>
      <c r="S16" s="96" t="s">
        <v>154</v>
      </c>
      <c r="T16" s="96" t="s">
        <v>155</v>
      </c>
    </row>
    <row r="17" spans="1:21" x14ac:dyDescent="0.2">
      <c r="A17" s="2"/>
      <c r="B17" s="60"/>
      <c r="C17" s="60"/>
      <c r="D17" s="418" t="s">
        <v>83</v>
      </c>
      <c r="E17" s="418"/>
      <c r="F17" s="418"/>
      <c r="G17" s="418"/>
      <c r="H17" s="60"/>
      <c r="I17" s="60"/>
      <c r="J17" s="61"/>
      <c r="R17" s="83" t="s">
        <v>66</v>
      </c>
      <c r="S17" s="63">
        <f>SUM(T12:T13)/SUM(S12:S13)</f>
        <v>1.5654747233395638</v>
      </c>
      <c r="T17" s="63">
        <f>U12/T12</f>
        <v>1.1551802241646343</v>
      </c>
    </row>
    <row r="18" spans="1:21" x14ac:dyDescent="0.2">
      <c r="A18" s="2"/>
      <c r="B18" s="60"/>
      <c r="C18" s="60"/>
      <c r="D18" s="408" t="s">
        <v>84</v>
      </c>
      <c r="E18" s="408"/>
      <c r="F18" s="408"/>
      <c r="G18" s="408"/>
      <c r="H18" s="60"/>
      <c r="I18" s="60"/>
      <c r="J18" s="61"/>
      <c r="M18" s="19" t="s">
        <v>156</v>
      </c>
      <c r="R18" s="83" t="s">
        <v>153</v>
      </c>
      <c r="S18" s="63">
        <f>T18*S17</f>
        <v>1.8084054418314661</v>
      </c>
      <c r="T18" s="63">
        <f>T17</f>
        <v>1.1551802241646343</v>
      </c>
    </row>
    <row r="19" spans="1:21" ht="17" x14ac:dyDescent="0.2">
      <c r="A19" s="2"/>
      <c r="B19" s="60"/>
      <c r="C19" s="60"/>
      <c r="D19" s="10" t="s">
        <v>35</v>
      </c>
      <c r="E19" s="11">
        <v>1</v>
      </c>
      <c r="F19" s="11">
        <v>2</v>
      </c>
      <c r="G19" s="11">
        <v>3</v>
      </c>
      <c r="H19" s="60"/>
      <c r="I19" s="60"/>
      <c r="J19" s="61"/>
      <c r="M19" s="74" t="s">
        <v>35</v>
      </c>
      <c r="N19" s="75">
        <v>1</v>
      </c>
    </row>
    <row r="20" spans="1:21" ht="19" x14ac:dyDescent="0.2">
      <c r="A20" s="2"/>
      <c r="B20" s="60"/>
      <c r="C20" s="60"/>
      <c r="D20" s="12">
        <v>1</v>
      </c>
      <c r="E20" s="47" t="s">
        <v>85</v>
      </c>
      <c r="F20" s="47" t="s">
        <v>86</v>
      </c>
      <c r="G20" s="47" t="s">
        <v>87</v>
      </c>
      <c r="H20" s="60"/>
      <c r="I20" s="60"/>
      <c r="J20" s="61"/>
      <c r="M20" s="68">
        <v>1</v>
      </c>
      <c r="N20" s="109">
        <v>0</v>
      </c>
    </row>
    <row r="21" spans="1:21" ht="19" x14ac:dyDescent="0.2">
      <c r="A21" s="2"/>
      <c r="B21" s="60"/>
      <c r="C21" s="60"/>
      <c r="D21" s="12">
        <v>2</v>
      </c>
      <c r="E21" s="47" t="s">
        <v>88</v>
      </c>
      <c r="F21" s="47" t="s">
        <v>88</v>
      </c>
      <c r="G21" s="8"/>
      <c r="H21" s="60"/>
      <c r="I21" s="60"/>
      <c r="J21" s="61"/>
      <c r="M21" s="68">
        <v>2</v>
      </c>
      <c r="N21" s="109">
        <f>T13*(T18-1)</f>
        <v>147.57713504988993</v>
      </c>
    </row>
    <row r="22" spans="1:21" ht="19" x14ac:dyDescent="0.2">
      <c r="A22" s="2"/>
      <c r="B22" s="60"/>
      <c r="C22" s="60"/>
      <c r="D22" s="12">
        <v>3</v>
      </c>
      <c r="E22" s="47" t="s">
        <v>85</v>
      </c>
      <c r="F22" s="8"/>
      <c r="G22" s="8"/>
      <c r="H22" s="60"/>
      <c r="I22" s="60"/>
      <c r="J22" s="61"/>
      <c r="M22" s="74">
        <v>3</v>
      </c>
      <c r="N22" s="110">
        <f>S14*(S18-1)</f>
        <v>526.35635512068563</v>
      </c>
    </row>
    <row r="23" spans="1:21" x14ac:dyDescent="0.2">
      <c r="A23" s="2"/>
      <c r="B23" s="60"/>
      <c r="C23" s="60"/>
      <c r="D23" s="60"/>
      <c r="E23" s="60"/>
      <c r="F23" s="60"/>
      <c r="G23" s="60"/>
      <c r="H23" s="60"/>
      <c r="I23" s="60"/>
      <c r="J23" s="61"/>
      <c r="M23" s="33" t="s">
        <v>157</v>
      </c>
      <c r="N23" s="34">
        <f>SUM(N20:N22)</f>
        <v>673.93349017057562</v>
      </c>
    </row>
    <row r="24" spans="1:21" x14ac:dyDescent="0.2">
      <c r="A24" s="2"/>
      <c r="B24" s="60"/>
      <c r="C24" s="60"/>
      <c r="D24" s="60"/>
      <c r="E24" s="60"/>
      <c r="F24" s="60"/>
      <c r="G24" s="60"/>
      <c r="H24" s="60"/>
      <c r="I24" s="60"/>
      <c r="J24" s="61"/>
      <c r="N24" s="63"/>
    </row>
    <row r="25" spans="1:21" x14ac:dyDescent="0.2">
      <c r="A25" s="98" t="s">
        <v>0</v>
      </c>
      <c r="B25" s="60" t="s">
        <v>269</v>
      </c>
      <c r="C25" s="60"/>
      <c r="D25" s="60"/>
      <c r="E25" s="60"/>
      <c r="F25" s="60"/>
      <c r="G25" s="60"/>
      <c r="H25" s="60"/>
      <c r="I25" s="60"/>
      <c r="J25" s="61"/>
    </row>
    <row r="26" spans="1:21" x14ac:dyDescent="0.2">
      <c r="A26" s="2"/>
      <c r="B26" s="60" t="s">
        <v>268</v>
      </c>
      <c r="C26" s="60"/>
      <c r="D26" s="60"/>
      <c r="E26" s="60"/>
      <c r="F26" s="60"/>
      <c r="G26" s="60"/>
      <c r="H26" s="60"/>
      <c r="I26" s="60"/>
      <c r="J26" s="61"/>
      <c r="L26" s="19" t="s">
        <v>4</v>
      </c>
    </row>
    <row r="27" spans="1:21" x14ac:dyDescent="0.2">
      <c r="A27" s="2"/>
      <c r="B27" s="60"/>
      <c r="C27" s="60"/>
      <c r="D27" s="60"/>
      <c r="E27" s="60"/>
      <c r="F27" s="60"/>
      <c r="G27" s="60"/>
      <c r="H27" s="60"/>
      <c r="I27" s="60"/>
      <c r="J27" s="61"/>
      <c r="M27" s="19" t="s">
        <v>158</v>
      </c>
      <c r="R27" s="19" t="s">
        <v>159</v>
      </c>
    </row>
    <row r="28" spans="1:21" x14ac:dyDescent="0.2">
      <c r="A28" s="98" t="s">
        <v>1</v>
      </c>
      <c r="B28" s="60" t="s">
        <v>79</v>
      </c>
      <c r="C28" s="60"/>
      <c r="D28" s="60"/>
      <c r="E28" s="60"/>
      <c r="F28" s="60"/>
      <c r="G28" s="60"/>
      <c r="H28" s="60"/>
      <c r="I28" s="60"/>
      <c r="J28" s="61"/>
      <c r="M28" s="74" t="s">
        <v>35</v>
      </c>
      <c r="N28" s="75">
        <v>1</v>
      </c>
      <c r="O28" s="75">
        <v>2</v>
      </c>
      <c r="P28" s="75">
        <v>3</v>
      </c>
      <c r="R28" s="74" t="s">
        <v>35</v>
      </c>
      <c r="S28" s="75">
        <v>1</v>
      </c>
      <c r="T28" s="75">
        <v>2</v>
      </c>
      <c r="U28" s="75">
        <v>3</v>
      </c>
    </row>
    <row r="29" spans="1:21" ht="17" thickBot="1" x14ac:dyDescent="0.25">
      <c r="A29" s="2"/>
      <c r="B29" s="60"/>
      <c r="C29" s="60"/>
      <c r="D29" s="60"/>
      <c r="E29" s="60"/>
      <c r="F29" s="60"/>
      <c r="G29" s="60"/>
      <c r="H29" s="60"/>
      <c r="I29" s="60"/>
      <c r="J29" s="61"/>
      <c r="M29" s="68">
        <v>1</v>
      </c>
      <c r="N29" s="14"/>
      <c r="O29" s="14"/>
      <c r="P29" s="27"/>
      <c r="R29" s="68">
        <v>1</v>
      </c>
      <c r="S29" s="14"/>
      <c r="T29" s="14"/>
      <c r="U29" s="27"/>
    </row>
    <row r="30" spans="1:21" ht="17" thickBot="1" x14ac:dyDescent="0.25">
      <c r="A30" s="2"/>
      <c r="B30" s="60"/>
      <c r="C30" s="60"/>
      <c r="D30" s="60"/>
      <c r="E30" s="60"/>
      <c r="F30" s="60"/>
      <c r="G30" s="60"/>
      <c r="H30" s="60"/>
      <c r="I30" s="60"/>
      <c r="J30" s="61"/>
      <c r="M30" s="68">
        <v>2</v>
      </c>
      <c r="N30" s="14"/>
      <c r="O30" s="35"/>
      <c r="P30" s="30">
        <f>T13*T17</f>
        <v>1098.5819157448962</v>
      </c>
      <c r="R30" s="68">
        <v>2</v>
      </c>
      <c r="S30" s="14"/>
      <c r="T30" s="35"/>
      <c r="U30" s="30">
        <f>P30-T13</f>
        <v>147.57713504988988</v>
      </c>
    </row>
    <row r="31" spans="1:21" ht="17" thickBot="1" x14ac:dyDescent="0.25">
      <c r="A31" s="410" t="s">
        <v>266</v>
      </c>
      <c r="B31" s="411"/>
      <c r="C31" s="411"/>
      <c r="D31" s="411"/>
      <c r="E31" s="411"/>
      <c r="F31" s="411"/>
      <c r="G31" s="411"/>
      <c r="H31" s="411"/>
      <c r="I31" s="411"/>
      <c r="J31" s="412"/>
      <c r="M31" s="68">
        <v>3</v>
      </c>
      <c r="N31" s="29"/>
      <c r="O31" s="30">
        <f>S14*S17</f>
        <v>1019.2875094256987</v>
      </c>
      <c r="P31" s="30">
        <f>O31*T17</f>
        <v>1177.4607736265903</v>
      </c>
      <c r="R31" s="68">
        <v>3</v>
      </c>
      <c r="S31" s="29"/>
      <c r="T31" s="30">
        <f>O31-S14</f>
        <v>368.18309091979404</v>
      </c>
      <c r="U31" s="30">
        <f>P31-O31</f>
        <v>158.17326420089159</v>
      </c>
    </row>
    <row r="33" spans="1:21" ht="19" x14ac:dyDescent="0.25">
      <c r="A33" s="3"/>
      <c r="M33" s="62" t="s">
        <v>160</v>
      </c>
    </row>
    <row r="36" spans="1:21" x14ac:dyDescent="0.2">
      <c r="M36" s="19" t="s">
        <v>164</v>
      </c>
      <c r="O36" s="62">
        <v>0.53</v>
      </c>
    </row>
    <row r="38" spans="1:21" x14ac:dyDescent="0.2">
      <c r="M38" s="85" t="s">
        <v>162</v>
      </c>
      <c r="N38" s="86"/>
      <c r="O38" s="86"/>
      <c r="P38" s="86"/>
      <c r="Q38" s="86"/>
      <c r="R38" s="85" t="s">
        <v>163</v>
      </c>
      <c r="S38" s="86"/>
      <c r="T38" s="86"/>
      <c r="U38" s="86"/>
    </row>
    <row r="39" spans="1:21" x14ac:dyDescent="0.2">
      <c r="M39" s="74" t="s">
        <v>35</v>
      </c>
      <c r="N39" s="75">
        <v>1</v>
      </c>
      <c r="O39" s="75">
        <v>2</v>
      </c>
      <c r="P39" s="75">
        <v>3</v>
      </c>
      <c r="Q39" s="88"/>
      <c r="R39" s="74" t="s">
        <v>35</v>
      </c>
      <c r="S39" s="75">
        <v>1</v>
      </c>
      <c r="T39" s="75">
        <v>2</v>
      </c>
      <c r="U39" s="75">
        <v>3</v>
      </c>
    </row>
    <row r="40" spans="1:21" ht="17" thickBot="1" x14ac:dyDescent="0.25">
      <c r="M40" s="68">
        <v>1</v>
      </c>
      <c r="N40" s="14"/>
      <c r="O40" s="14"/>
      <c r="P40" s="27"/>
      <c r="Q40" s="111"/>
      <c r="R40" s="68">
        <v>1</v>
      </c>
      <c r="S40" s="14"/>
      <c r="T40" s="14"/>
      <c r="U40" s="27"/>
    </row>
    <row r="41" spans="1:21" ht="17" thickBot="1" x14ac:dyDescent="0.25">
      <c r="M41" s="68">
        <v>2</v>
      </c>
      <c r="N41" s="14"/>
      <c r="O41" s="35"/>
      <c r="P41" s="30">
        <f ca="1">_xlfn.GAMMA.INV(U41,U30/$O$36,$O$36)</f>
        <v>154.38953223337683</v>
      </c>
      <c r="Q41" s="89"/>
      <c r="R41" s="68">
        <v>2</v>
      </c>
      <c r="S41" s="14"/>
      <c r="T41" s="35"/>
      <c r="U41" s="30">
        <f ca="1">RAND()</f>
        <v>0.78190571309610124</v>
      </c>
    </row>
    <row r="42" spans="1:21" x14ac:dyDescent="0.2">
      <c r="M42" s="68">
        <v>3</v>
      </c>
      <c r="N42" s="29"/>
      <c r="O42" s="30">
        <f ca="1">_xlfn.GAMMA.INV(T42,T31/$O$36,$O$36)</f>
        <v>367.88528948477796</v>
      </c>
      <c r="P42" s="30">
        <f ca="1">_xlfn.GAMMA.INV(U42,U31/$O$36,$O$36)</f>
        <v>144.7870004599487</v>
      </c>
      <c r="Q42" s="89"/>
      <c r="R42" s="68">
        <v>3</v>
      </c>
      <c r="S42" s="29"/>
      <c r="T42" s="30">
        <f ca="1">RAND()</f>
        <v>0.49653879848753524</v>
      </c>
      <c r="U42" s="30">
        <f ca="1">RAND()</f>
        <v>6.8639968515989636E-2</v>
      </c>
    </row>
    <row r="44" spans="1:21" x14ac:dyDescent="0.2">
      <c r="M44" s="62" t="s">
        <v>161</v>
      </c>
    </row>
    <row r="46" spans="1:21" x14ac:dyDescent="0.2">
      <c r="M46" s="19" t="s">
        <v>156</v>
      </c>
    </row>
    <row r="47" spans="1:21" x14ac:dyDescent="0.2">
      <c r="M47" s="74" t="s">
        <v>35</v>
      </c>
      <c r="N47" s="75">
        <v>1</v>
      </c>
    </row>
    <row r="48" spans="1:21" x14ac:dyDescent="0.2">
      <c r="M48" s="68">
        <v>1</v>
      </c>
      <c r="N48" s="109">
        <v>0</v>
      </c>
    </row>
    <row r="49" spans="12:15" x14ac:dyDescent="0.2">
      <c r="M49" s="68">
        <v>2</v>
      </c>
      <c r="N49" s="109">
        <f ca="1">P41</f>
        <v>154.38953223337683</v>
      </c>
    </row>
    <row r="50" spans="12:15" x14ac:dyDescent="0.2">
      <c r="M50" s="74">
        <v>3</v>
      </c>
      <c r="N50" s="110">
        <f ca="1">SUM(O42:P42)</f>
        <v>512.67228994472669</v>
      </c>
    </row>
    <row r="51" spans="12:15" x14ac:dyDescent="0.2">
      <c r="M51" s="33" t="s">
        <v>157</v>
      </c>
      <c r="N51" s="34">
        <f ca="1">SUM(N48:N50)</f>
        <v>667.06182217810351</v>
      </c>
    </row>
    <row r="54" spans="12:15" ht="19" x14ac:dyDescent="0.25">
      <c r="L54" s="3" t="s">
        <v>303</v>
      </c>
    </row>
    <row r="55" spans="12:15" x14ac:dyDescent="0.2">
      <c r="L55" s="125" t="s">
        <v>298</v>
      </c>
    </row>
    <row r="59" spans="12:15" x14ac:dyDescent="0.2">
      <c r="N59" s="63"/>
    </row>
    <row r="60" spans="12:15" x14ac:dyDescent="0.2">
      <c r="M60" s="5"/>
      <c r="N60" s="5"/>
      <c r="O60" s="5"/>
    </row>
    <row r="61" spans="12:15" x14ac:dyDescent="0.2">
      <c r="M61" s="5"/>
      <c r="N61" s="5"/>
      <c r="O61" s="5"/>
    </row>
    <row r="62" spans="12:15" x14ac:dyDescent="0.2">
      <c r="M62" s="5"/>
      <c r="N62" s="5"/>
      <c r="O62" s="5"/>
    </row>
    <row r="63" spans="12:15" x14ac:dyDescent="0.2">
      <c r="M63" s="5"/>
      <c r="N63" s="5"/>
      <c r="O63" s="5"/>
    </row>
    <row r="64" spans="12:15" x14ac:dyDescent="0.2">
      <c r="M64" s="5"/>
      <c r="N64" s="5"/>
      <c r="O64" s="5"/>
    </row>
    <row r="65" spans="13:15" x14ac:dyDescent="0.2">
      <c r="M65" s="5"/>
      <c r="N65" s="5"/>
      <c r="O65" s="5"/>
    </row>
    <row r="66" spans="13:15" x14ac:dyDescent="0.2">
      <c r="M66" s="5"/>
      <c r="N66" s="5"/>
      <c r="O66" s="5"/>
    </row>
    <row r="67" spans="13:15" x14ac:dyDescent="0.2">
      <c r="M67" s="5"/>
      <c r="N67" s="5"/>
      <c r="O67" s="5"/>
    </row>
    <row r="68" spans="13:15" x14ac:dyDescent="0.2">
      <c r="M68" s="5"/>
      <c r="N68" s="5"/>
      <c r="O68" s="5"/>
    </row>
    <row r="69" spans="13:15" x14ac:dyDescent="0.2">
      <c r="M69" s="5"/>
      <c r="N69" s="5"/>
      <c r="O69" s="5"/>
    </row>
    <row r="70" spans="13:15" x14ac:dyDescent="0.2">
      <c r="M70" s="5"/>
      <c r="N70" s="5"/>
      <c r="O70" s="5"/>
    </row>
    <row r="71" spans="13:15" x14ac:dyDescent="0.2">
      <c r="M71" s="5"/>
      <c r="N71" s="5"/>
      <c r="O71" s="5"/>
    </row>
    <row r="72" spans="13:15" x14ac:dyDescent="0.2">
      <c r="M72" s="5"/>
      <c r="N72" s="5"/>
      <c r="O72" s="5"/>
    </row>
    <row r="73" spans="13:15" x14ac:dyDescent="0.2">
      <c r="M73" s="5"/>
      <c r="N73" s="5"/>
      <c r="O73" s="5"/>
    </row>
    <row r="74" spans="13:15" x14ac:dyDescent="0.2">
      <c r="M74" s="5"/>
      <c r="N74" s="5"/>
      <c r="O74" s="5"/>
    </row>
    <row r="75" spans="13:15" x14ac:dyDescent="0.2">
      <c r="M75" s="5"/>
      <c r="N75" s="5"/>
      <c r="O75" s="5"/>
    </row>
    <row r="76" spans="13:15" x14ac:dyDescent="0.2">
      <c r="N76" s="63"/>
    </row>
    <row r="77" spans="13:15" x14ac:dyDescent="0.2">
      <c r="M77" s="5"/>
      <c r="N77" s="5"/>
      <c r="O77" s="5"/>
    </row>
    <row r="78" spans="13:15" x14ac:dyDescent="0.2">
      <c r="M78" s="5"/>
      <c r="N78" s="5"/>
      <c r="O78" s="5"/>
    </row>
    <row r="79" spans="13:15" x14ac:dyDescent="0.2">
      <c r="M79" s="5"/>
      <c r="N79" s="5"/>
      <c r="O79" s="5"/>
    </row>
    <row r="80" spans="13:15" x14ac:dyDescent="0.2">
      <c r="M80" s="5"/>
      <c r="N80" s="5"/>
      <c r="O80" s="5"/>
    </row>
    <row r="81" spans="1:66" x14ac:dyDescent="0.2">
      <c r="M81" s="5"/>
      <c r="N81" s="5"/>
      <c r="O81" s="5"/>
    </row>
    <row r="82" spans="1:66" x14ac:dyDescent="0.2">
      <c r="M82" s="5"/>
      <c r="N82" s="5"/>
      <c r="O82" s="5"/>
    </row>
    <row r="83" spans="1:66" x14ac:dyDescent="0.2">
      <c r="M83" s="5"/>
      <c r="N83" s="5"/>
      <c r="O83" s="5"/>
    </row>
    <row r="84" spans="1:66" x14ac:dyDescent="0.2">
      <c r="M84" s="5"/>
      <c r="N84" s="5"/>
      <c r="O84" s="5"/>
    </row>
    <row r="85" spans="1:66" x14ac:dyDescent="0.2">
      <c r="M85" s="5"/>
      <c r="N85" s="5"/>
      <c r="O85" s="5"/>
    </row>
    <row r="86" spans="1:66" x14ac:dyDescent="0.2">
      <c r="M86" s="5"/>
      <c r="N86" s="5"/>
      <c r="O86" s="5"/>
    </row>
    <row r="87" spans="1:66" x14ac:dyDescent="0.2">
      <c r="M87" s="5"/>
      <c r="N87" s="5"/>
      <c r="O87" s="5"/>
    </row>
    <row r="88" spans="1:66" x14ac:dyDescent="0.2">
      <c r="N88" s="63"/>
    </row>
    <row r="89" spans="1:66" x14ac:dyDescent="0.2">
      <c r="M89" s="5"/>
      <c r="N89" s="5"/>
      <c r="O89" s="5"/>
    </row>
    <row r="90" spans="1:66" x14ac:dyDescent="0.2">
      <c r="M90" s="5"/>
      <c r="N90" s="5"/>
      <c r="O90" s="5"/>
    </row>
    <row r="91" spans="1:66" x14ac:dyDescent="0.2">
      <c r="M91" s="5"/>
      <c r="N91" s="5"/>
      <c r="O91" s="5"/>
    </row>
    <row r="92" spans="1:66" x14ac:dyDescent="0.2">
      <c r="M92" s="5"/>
      <c r="N92" s="5"/>
      <c r="O92" s="5"/>
    </row>
    <row r="93" spans="1:66" x14ac:dyDescent="0.2">
      <c r="A93" s="5"/>
      <c r="B93" s="5"/>
      <c r="C93" s="5"/>
      <c r="D93" s="5"/>
      <c r="E93" s="5"/>
      <c r="F93" s="5"/>
      <c r="G93" s="5"/>
      <c r="H93" s="5"/>
      <c r="I93" s="5"/>
      <c r="J93" s="5"/>
      <c r="M93" s="5"/>
      <c r="N93" s="5"/>
      <c r="O93" s="5"/>
    </row>
    <row r="94" spans="1:66" x14ac:dyDescent="0.2">
      <c r="A94" s="5"/>
      <c r="B94" s="5"/>
      <c r="C94" s="5"/>
      <c r="D94" s="5"/>
      <c r="E94" s="5"/>
      <c r="F94" s="5"/>
      <c r="G94" s="5"/>
      <c r="H94" s="5"/>
      <c r="I94" s="5"/>
      <c r="J94" s="5"/>
      <c r="K94" s="5"/>
      <c r="N94" s="63"/>
    </row>
    <row r="95" spans="1:66"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row>
    <row r="96" spans="1:66"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row>
    <row r="97" spans="1:66"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row>
    <row r="185" spans="1:6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row>
    <row r="186" spans="1:6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row>
    <row r="187" spans="1:6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row>
    <row r="188" spans="1:6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row>
    <row r="189" spans="1:6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row>
    <row r="190" spans="1:6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row>
    <row r="191" spans="1:6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row>
    <row r="192" spans="1:66"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row>
    <row r="193" spans="1:66"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row>
    <row r="194" spans="1:66"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row>
    <row r="195" spans="1:66" x14ac:dyDescent="0.2">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row>
    <row r="196" spans="1:66" x14ac:dyDescent="0.2">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row>
  </sheetData>
  <mergeCells count="5">
    <mergeCell ref="D17:G17"/>
    <mergeCell ref="D18:G18"/>
    <mergeCell ref="B5:E5"/>
    <mergeCell ref="G5:J5"/>
    <mergeCell ref="A31:J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M215"/>
  <sheetViews>
    <sheetView zoomScaleNormal="100" workbookViewId="0"/>
  </sheetViews>
  <sheetFormatPr baseColWidth="10" defaultColWidth="10.83203125" defaultRowHeight="16" outlineLevelCol="1" x14ac:dyDescent="0.2"/>
  <cols>
    <col min="1" max="1" width="4.6640625" style="62" customWidth="1"/>
    <col min="2" max="10" width="10.83203125" style="62" customWidth="1"/>
    <col min="11" max="11" width="11.5" style="62" bestFit="1" customWidth="1"/>
    <col min="12" max="21" width="10.83203125" style="62" hidden="1" customWidth="1" outlineLevel="1"/>
    <col min="22" max="22" width="10.83203125" style="62" collapsed="1"/>
    <col min="23" max="16384" width="10.83203125" style="62"/>
  </cols>
  <sheetData>
    <row r="1" spans="1:21" ht="19" x14ac:dyDescent="0.25">
      <c r="A1" s="1" t="s">
        <v>288</v>
      </c>
      <c r="B1" s="46"/>
      <c r="C1" s="59"/>
      <c r="D1" s="59"/>
      <c r="E1" s="59"/>
      <c r="F1" s="91"/>
      <c r="G1" s="91"/>
      <c r="H1" s="91"/>
      <c r="I1" s="91"/>
      <c r="J1" s="92"/>
      <c r="K1" s="3" t="s">
        <v>265</v>
      </c>
    </row>
    <row r="2" spans="1:21" x14ac:dyDescent="0.2">
      <c r="A2" s="2"/>
      <c r="B2" s="60"/>
      <c r="C2" s="60"/>
      <c r="D2" s="60"/>
      <c r="E2" s="60"/>
      <c r="F2" s="60"/>
      <c r="G2" s="60"/>
      <c r="H2" s="60"/>
      <c r="I2" s="60"/>
      <c r="J2" s="61"/>
      <c r="L2" s="19" t="s">
        <v>3</v>
      </c>
      <c r="N2" s="63"/>
    </row>
    <row r="3" spans="1:21" x14ac:dyDescent="0.2">
      <c r="A3" s="2"/>
      <c r="B3" s="60" t="s">
        <v>89</v>
      </c>
      <c r="C3" s="60"/>
      <c r="D3" s="60"/>
      <c r="E3" s="60"/>
      <c r="F3" s="60"/>
      <c r="G3" s="60"/>
      <c r="H3" s="60"/>
      <c r="I3" s="60"/>
      <c r="J3" s="61"/>
      <c r="M3" s="413" t="s">
        <v>270</v>
      </c>
      <c r="N3" s="413"/>
      <c r="O3" s="413"/>
      <c r="P3" s="413"/>
      <c r="Q3" s="413"/>
      <c r="R3" s="413"/>
      <c r="S3" s="413"/>
      <c r="T3" s="413"/>
      <c r="U3" s="413"/>
    </row>
    <row r="4" spans="1:21" x14ac:dyDescent="0.2">
      <c r="A4" s="2"/>
      <c r="B4" s="60" t="s">
        <v>90</v>
      </c>
      <c r="C4" s="60"/>
      <c r="D4" s="60"/>
      <c r="E4" s="60"/>
      <c r="F4" s="60"/>
      <c r="G4" s="60"/>
      <c r="H4" s="60"/>
      <c r="I4" s="60"/>
      <c r="J4" s="61"/>
      <c r="M4" s="413"/>
      <c r="N4" s="413"/>
      <c r="O4" s="413"/>
      <c r="P4" s="413"/>
      <c r="Q4" s="413"/>
      <c r="R4" s="413"/>
      <c r="S4" s="413"/>
      <c r="T4" s="413"/>
      <c r="U4" s="413"/>
    </row>
    <row r="5" spans="1:21" x14ac:dyDescent="0.2">
      <c r="A5" s="2"/>
      <c r="B5" s="60"/>
      <c r="C5" s="60"/>
      <c r="D5" s="60"/>
      <c r="E5" s="60"/>
      <c r="F5" s="60"/>
      <c r="G5" s="60"/>
      <c r="H5" s="60"/>
      <c r="I5" s="60"/>
      <c r="J5" s="61"/>
    </row>
    <row r="6" spans="1:21" x14ac:dyDescent="0.2">
      <c r="A6" s="2"/>
      <c r="B6" s="60"/>
      <c r="C6" s="408" t="s">
        <v>32</v>
      </c>
      <c r="D6" s="408"/>
      <c r="E6" s="408"/>
      <c r="F6" s="408"/>
      <c r="G6" s="60"/>
      <c r="H6" s="60"/>
      <c r="I6" s="60"/>
      <c r="J6" s="61"/>
      <c r="M6" s="19" t="s">
        <v>165</v>
      </c>
      <c r="R6" s="19" t="s">
        <v>166</v>
      </c>
    </row>
    <row r="7" spans="1:21" ht="34" x14ac:dyDescent="0.2">
      <c r="A7" s="2"/>
      <c r="B7" s="60"/>
      <c r="C7" s="58" t="s">
        <v>9</v>
      </c>
      <c r="D7" s="21" t="s">
        <v>10</v>
      </c>
      <c r="E7" s="21" t="s">
        <v>11</v>
      </c>
      <c r="F7" s="21" t="s">
        <v>12</v>
      </c>
      <c r="G7" s="60"/>
      <c r="H7" s="60"/>
      <c r="I7" s="60"/>
      <c r="J7" s="61"/>
      <c r="M7" s="74" t="s">
        <v>35</v>
      </c>
      <c r="N7" s="75">
        <v>12</v>
      </c>
      <c r="O7" s="75">
        <v>24</v>
      </c>
      <c r="P7" s="75">
        <v>36</v>
      </c>
      <c r="R7" s="74" t="s">
        <v>35</v>
      </c>
      <c r="S7" s="75">
        <v>12</v>
      </c>
      <c r="T7" s="75">
        <v>24</v>
      </c>
      <c r="U7" s="75">
        <v>36</v>
      </c>
    </row>
    <row r="8" spans="1:21" x14ac:dyDescent="0.2">
      <c r="A8" s="2"/>
      <c r="B8" s="60"/>
      <c r="C8" s="12">
        <v>2013</v>
      </c>
      <c r="D8" s="7">
        <v>5600</v>
      </c>
      <c r="E8" s="8">
        <v>-140</v>
      </c>
      <c r="F8" s="8">
        <v>100</v>
      </c>
      <c r="G8" s="60"/>
      <c r="H8" s="60"/>
      <c r="I8" s="60"/>
      <c r="J8" s="61"/>
      <c r="M8" s="104">
        <v>2013</v>
      </c>
      <c r="N8" s="105">
        <f>D8-MIN($D$8:$F$10)</f>
        <v>5740</v>
      </c>
      <c r="O8" s="105">
        <f>E8-MIN($D$8:$F$10)</f>
        <v>0</v>
      </c>
      <c r="P8" s="105">
        <f>F8-MIN($D$8:$F$10)</f>
        <v>240</v>
      </c>
      <c r="Q8" s="64"/>
      <c r="R8" s="104">
        <v>2013</v>
      </c>
      <c r="S8" s="106">
        <f>LN(N8)</f>
        <v>8.6552144893136127</v>
      </c>
      <c r="T8" s="106">
        <v>0</v>
      </c>
      <c r="U8" s="106">
        <f>LN(P8)</f>
        <v>5.4806389233419912</v>
      </c>
    </row>
    <row r="9" spans="1:21" x14ac:dyDescent="0.2">
      <c r="A9" s="2"/>
      <c r="B9" s="60"/>
      <c r="C9" s="12">
        <v>2014</v>
      </c>
      <c r="D9" s="7">
        <v>4700</v>
      </c>
      <c r="E9" s="8">
        <v>100</v>
      </c>
      <c r="F9" s="8"/>
      <c r="G9" s="60"/>
      <c r="H9" s="60"/>
      <c r="I9" s="60"/>
      <c r="J9" s="61"/>
      <c r="M9" s="68">
        <v>2014</v>
      </c>
      <c r="N9" s="93">
        <f>D9-MIN($D$8:$F$10)</f>
        <v>4840</v>
      </c>
      <c r="O9" s="93">
        <f>E9-MIN($D$8:$F$10)</f>
        <v>240</v>
      </c>
      <c r="P9" s="65"/>
      <c r="R9" s="68">
        <v>2014</v>
      </c>
      <c r="S9" s="107">
        <f>LN(N9)</f>
        <v>8.4846699997106771</v>
      </c>
      <c r="T9" s="107">
        <f>LN(O9)</f>
        <v>5.4806389233419912</v>
      </c>
      <c r="U9" s="107"/>
    </row>
    <row r="10" spans="1:21" x14ac:dyDescent="0.2">
      <c r="A10" s="2"/>
      <c r="B10" s="60"/>
      <c r="C10" s="12">
        <v>2015</v>
      </c>
      <c r="D10" s="7">
        <v>5900</v>
      </c>
      <c r="E10" s="8"/>
      <c r="F10" s="8"/>
      <c r="G10" s="60"/>
      <c r="H10" s="60"/>
      <c r="I10" s="60"/>
      <c r="J10" s="61"/>
      <c r="M10" s="68">
        <v>2015</v>
      </c>
      <c r="N10" s="93">
        <f>D10-MIN($D$8:$F$10)</f>
        <v>6040</v>
      </c>
      <c r="O10" s="65"/>
      <c r="P10" s="65"/>
      <c r="R10" s="68">
        <v>2015</v>
      </c>
      <c r="S10" s="107">
        <f>LN(N10)</f>
        <v>8.706159290928861</v>
      </c>
      <c r="T10" s="107"/>
      <c r="U10" s="107"/>
    </row>
    <row r="11" spans="1:21" x14ac:dyDescent="0.2">
      <c r="A11" s="2"/>
      <c r="B11" s="60"/>
      <c r="C11" s="60"/>
      <c r="D11" s="60"/>
      <c r="E11" s="60"/>
      <c r="F11" s="60"/>
      <c r="G11" s="60"/>
      <c r="H11" s="60"/>
      <c r="I11" s="60"/>
      <c r="J11" s="61"/>
    </row>
    <row r="12" spans="1:21" x14ac:dyDescent="0.2">
      <c r="A12" s="2"/>
      <c r="B12" s="60"/>
      <c r="C12" s="60"/>
      <c r="D12" s="60"/>
      <c r="E12" s="60"/>
      <c r="F12" s="60"/>
      <c r="G12" s="60"/>
      <c r="H12" s="60"/>
      <c r="I12" s="60"/>
      <c r="J12" s="61"/>
      <c r="M12" s="62" t="s">
        <v>167</v>
      </c>
    </row>
    <row r="13" spans="1:21" x14ac:dyDescent="0.2">
      <c r="A13" s="98" t="s">
        <v>0</v>
      </c>
      <c r="B13" s="60" t="s">
        <v>92</v>
      </c>
      <c r="C13" s="60"/>
      <c r="D13" s="60"/>
      <c r="E13" s="60"/>
      <c r="F13" s="60"/>
      <c r="G13" s="60"/>
      <c r="H13" s="60"/>
      <c r="I13" s="60"/>
      <c r="J13" s="61"/>
    </row>
    <row r="14" spans="1:21" x14ac:dyDescent="0.2">
      <c r="A14" s="2"/>
      <c r="B14" s="60" t="s">
        <v>93</v>
      </c>
      <c r="C14" s="60"/>
      <c r="D14" s="60"/>
      <c r="E14" s="60"/>
      <c r="F14" s="60"/>
      <c r="G14" s="60"/>
      <c r="H14" s="60"/>
      <c r="I14" s="60"/>
      <c r="J14" s="61"/>
      <c r="L14" s="19" t="s">
        <v>4</v>
      </c>
      <c r="N14" s="63"/>
    </row>
    <row r="15" spans="1:21" x14ac:dyDescent="0.2">
      <c r="A15" s="2"/>
      <c r="B15" s="60"/>
      <c r="C15" s="60"/>
      <c r="D15" s="60"/>
      <c r="E15" s="60"/>
      <c r="F15" s="60"/>
      <c r="G15" s="60"/>
      <c r="H15" s="60"/>
      <c r="I15" s="60"/>
      <c r="J15" s="61"/>
      <c r="M15" s="62" t="s">
        <v>101</v>
      </c>
    </row>
    <row r="16" spans="1:21" x14ac:dyDescent="0.2">
      <c r="A16" s="2"/>
      <c r="B16" s="60"/>
      <c r="C16" s="60"/>
      <c r="D16" s="60"/>
      <c r="E16" s="60"/>
      <c r="F16" s="60"/>
      <c r="G16" s="60"/>
      <c r="H16" s="60"/>
      <c r="I16" s="60"/>
      <c r="J16" s="61"/>
    </row>
    <row r="17" spans="1:21" x14ac:dyDescent="0.2">
      <c r="A17" s="98" t="s">
        <v>1</v>
      </c>
      <c r="B17" s="60" t="s">
        <v>94</v>
      </c>
      <c r="C17" s="60"/>
      <c r="D17" s="60"/>
      <c r="E17" s="60"/>
      <c r="F17" s="60"/>
      <c r="G17" s="60"/>
      <c r="H17" s="60"/>
      <c r="I17" s="60"/>
      <c r="J17" s="61"/>
      <c r="M17" s="19" t="s">
        <v>168</v>
      </c>
      <c r="R17" s="19" t="s">
        <v>169</v>
      </c>
    </row>
    <row r="18" spans="1:21" x14ac:dyDescent="0.2">
      <c r="A18" s="2"/>
      <c r="B18" s="60" t="s">
        <v>175</v>
      </c>
      <c r="C18" s="60"/>
      <c r="D18" s="60"/>
      <c r="E18" s="60"/>
      <c r="F18" s="60"/>
      <c r="G18" s="60"/>
      <c r="H18" s="60"/>
      <c r="I18" s="60"/>
      <c r="J18" s="61"/>
      <c r="M18" s="74" t="s">
        <v>35</v>
      </c>
      <c r="N18" s="75">
        <v>12</v>
      </c>
      <c r="O18" s="75">
        <v>24</v>
      </c>
      <c r="P18" s="75">
        <v>36</v>
      </c>
      <c r="R18" s="74" t="s">
        <v>35</v>
      </c>
      <c r="S18" s="75">
        <v>12</v>
      </c>
      <c r="T18" s="75">
        <v>24</v>
      </c>
      <c r="U18" s="75">
        <v>36</v>
      </c>
    </row>
    <row r="19" spans="1:21" x14ac:dyDescent="0.2">
      <c r="A19" s="2"/>
      <c r="B19" s="60" t="s">
        <v>174</v>
      </c>
      <c r="C19" s="60"/>
      <c r="D19" s="60"/>
      <c r="E19" s="60"/>
      <c r="F19" s="60"/>
      <c r="G19" s="60"/>
      <c r="H19" s="60"/>
      <c r="I19" s="60"/>
      <c r="J19" s="61"/>
      <c r="M19" s="68">
        <v>2013</v>
      </c>
      <c r="N19" s="107">
        <f>F22</f>
        <v>8.6329999999999991</v>
      </c>
      <c r="O19" s="107">
        <f>N19+$F$25</f>
        <v>4.8469999999999995</v>
      </c>
      <c r="P19" s="107">
        <f>O19+$F$26</f>
        <v>5.4809999999999999</v>
      </c>
      <c r="R19" s="68">
        <v>2013</v>
      </c>
      <c r="S19" s="93">
        <f>EXP(N19)</f>
        <v>5613.8946996284121</v>
      </c>
      <c r="T19" s="93">
        <f>EXP(O19)</f>
        <v>127.35774293384412</v>
      </c>
      <c r="U19" s="93">
        <f>EXP(P19)</f>
        <v>240.08667404496762</v>
      </c>
    </row>
    <row r="20" spans="1:21" x14ac:dyDescent="0.2">
      <c r="A20" s="2"/>
      <c r="B20" s="60"/>
      <c r="C20" s="60"/>
      <c r="D20" s="60"/>
      <c r="E20" s="60"/>
      <c r="F20" s="60"/>
      <c r="G20" s="60"/>
      <c r="H20" s="60"/>
      <c r="I20" s="60"/>
      <c r="J20" s="61"/>
      <c r="M20" s="68">
        <v>2014</v>
      </c>
      <c r="N20" s="107">
        <f>F23</f>
        <v>8.5109999999999992</v>
      </c>
      <c r="O20" s="107">
        <f>N20+$F$25</f>
        <v>4.7249999999999996</v>
      </c>
      <c r="P20" s="107"/>
      <c r="R20" s="68">
        <v>2014</v>
      </c>
      <c r="S20" s="93">
        <f>EXP(N20)</f>
        <v>4969.1297343216356</v>
      </c>
      <c r="T20" s="93">
        <f>EXP(O20)</f>
        <v>112.73049837406913</v>
      </c>
      <c r="U20" s="65"/>
    </row>
    <row r="21" spans="1:21" ht="17" x14ac:dyDescent="0.2">
      <c r="A21" s="2"/>
      <c r="B21" s="60"/>
      <c r="C21" s="60"/>
      <c r="D21" s="60"/>
      <c r="E21" s="10" t="s">
        <v>20</v>
      </c>
      <c r="F21" s="11" t="s">
        <v>21</v>
      </c>
      <c r="G21" s="60"/>
      <c r="H21" s="60"/>
      <c r="I21" s="60"/>
      <c r="J21" s="61"/>
      <c r="M21" s="68">
        <v>2015</v>
      </c>
      <c r="N21" s="107">
        <f>F24</f>
        <v>8.7060999999999993</v>
      </c>
      <c r="O21" s="107"/>
      <c r="P21" s="107"/>
      <c r="R21" s="68">
        <v>2015</v>
      </c>
      <c r="S21" s="93">
        <f>EXP(N21)</f>
        <v>6039.6418934060184</v>
      </c>
      <c r="T21" s="65"/>
      <c r="U21" s="65"/>
    </row>
    <row r="22" spans="1:21" ht="17" x14ac:dyDescent="0.2">
      <c r="A22" s="2"/>
      <c r="B22" s="60"/>
      <c r="C22" s="60"/>
      <c r="D22" s="60"/>
      <c r="E22" s="12" t="s">
        <v>95</v>
      </c>
      <c r="F22" s="8">
        <v>8.6329999999999991</v>
      </c>
      <c r="G22" s="60"/>
      <c r="H22" s="60"/>
      <c r="I22" s="60"/>
      <c r="J22" s="61"/>
    </row>
    <row r="23" spans="1:21" ht="17" x14ac:dyDescent="0.2">
      <c r="A23" s="2"/>
      <c r="B23" s="60"/>
      <c r="C23" s="60"/>
      <c r="D23" s="60"/>
      <c r="E23" s="12" t="s">
        <v>96</v>
      </c>
      <c r="F23" s="8">
        <v>8.5109999999999992</v>
      </c>
      <c r="G23" s="60"/>
      <c r="H23" s="60"/>
      <c r="I23" s="60"/>
      <c r="J23" s="61"/>
      <c r="M23" s="62" t="s">
        <v>173</v>
      </c>
    </row>
    <row r="24" spans="1:21" ht="17" x14ac:dyDescent="0.2">
      <c r="A24" s="2"/>
      <c r="B24" s="60"/>
      <c r="C24" s="60"/>
      <c r="D24" s="60"/>
      <c r="E24" s="12" t="s">
        <v>97</v>
      </c>
      <c r="F24" s="82">
        <v>8.7060999999999993</v>
      </c>
      <c r="G24" s="60"/>
      <c r="H24" s="60"/>
      <c r="I24" s="60"/>
      <c r="J24" s="61"/>
    </row>
    <row r="25" spans="1:21" ht="17" x14ac:dyDescent="0.2">
      <c r="A25" s="2"/>
      <c r="B25" s="60"/>
      <c r="C25" s="60"/>
      <c r="D25" s="60"/>
      <c r="E25" s="12" t="s">
        <v>98</v>
      </c>
      <c r="F25" s="82">
        <v>-3.786</v>
      </c>
      <c r="G25" s="60"/>
      <c r="H25" s="60"/>
      <c r="I25" s="60"/>
      <c r="J25" s="61"/>
      <c r="M25" s="19" t="s">
        <v>170</v>
      </c>
      <c r="R25" s="19" t="s">
        <v>171</v>
      </c>
    </row>
    <row r="26" spans="1:21" ht="17" x14ac:dyDescent="0.2">
      <c r="A26" s="2"/>
      <c r="B26" s="60"/>
      <c r="C26" s="60"/>
      <c r="D26" s="60"/>
      <c r="E26" s="12" t="s">
        <v>99</v>
      </c>
      <c r="F26" s="82">
        <v>0.63400000000000001</v>
      </c>
      <c r="G26" s="60"/>
      <c r="H26" s="60"/>
      <c r="I26" s="60"/>
      <c r="J26" s="61"/>
      <c r="M26" s="74" t="s">
        <v>35</v>
      </c>
      <c r="N26" s="75">
        <v>12</v>
      </c>
      <c r="O26" s="75">
        <v>24</v>
      </c>
      <c r="P26" s="75">
        <v>36</v>
      </c>
      <c r="R26" s="74" t="s">
        <v>35</v>
      </c>
      <c r="S26" s="75">
        <v>12</v>
      </c>
      <c r="T26" s="75">
        <v>24</v>
      </c>
      <c r="U26" s="75">
        <v>36</v>
      </c>
    </row>
    <row r="27" spans="1:21" x14ac:dyDescent="0.2">
      <c r="A27" s="2"/>
      <c r="B27" s="60"/>
      <c r="C27" s="60"/>
      <c r="D27" s="60"/>
      <c r="E27" s="60"/>
      <c r="F27" s="60"/>
      <c r="G27" s="60"/>
      <c r="H27" s="60"/>
      <c r="I27" s="60"/>
      <c r="J27" s="61"/>
      <c r="M27" s="68">
        <v>2013</v>
      </c>
      <c r="N27" s="93">
        <f>S19-140</f>
        <v>5473.8946996284121</v>
      </c>
      <c r="O27" s="93">
        <f>T19-140</f>
        <v>-12.642257066155878</v>
      </c>
      <c r="P27" s="93">
        <f>U19-140</f>
        <v>100.08667404496762</v>
      </c>
      <c r="R27" s="68">
        <v>2013</v>
      </c>
      <c r="S27" s="108">
        <f>(D8-N27)/SQRT(ABS(N27))</f>
        <v>1.7044533588612498</v>
      </c>
      <c r="T27" s="108">
        <f>(E8-O27)/SQRT(ABS(O27))</f>
        <v>-35.81896604548843</v>
      </c>
      <c r="U27" s="108">
        <f>(F8-P27)/SQRT(ABS(P27))</f>
        <v>-8.6636507416991051E-3</v>
      </c>
    </row>
    <row r="28" spans="1:21" x14ac:dyDescent="0.2">
      <c r="A28" s="2"/>
      <c r="B28" s="60"/>
      <c r="C28" s="60"/>
      <c r="D28" s="60"/>
      <c r="E28" s="60"/>
      <c r="F28" s="60"/>
      <c r="G28" s="60"/>
      <c r="H28" s="60"/>
      <c r="I28" s="60"/>
      <c r="J28" s="61"/>
      <c r="M28" s="68">
        <v>2014</v>
      </c>
      <c r="N28" s="93">
        <f>S20-140</f>
        <v>4829.1297343216356</v>
      </c>
      <c r="O28" s="93">
        <f>T20-140</f>
        <v>-27.269501625930872</v>
      </c>
      <c r="P28" s="65"/>
      <c r="R28" s="68">
        <v>2014</v>
      </c>
      <c r="S28" s="108">
        <f>(D9-N28)/SQRT(ABS(N28))</f>
        <v>-1.8581972844119741</v>
      </c>
      <c r="T28" s="108">
        <f>(E9-O28)/SQRT(ABS(O28))</f>
        <v>24.371695477572658</v>
      </c>
      <c r="U28" s="108"/>
    </row>
    <row r="29" spans="1:21" x14ac:dyDescent="0.2">
      <c r="A29" s="98" t="s">
        <v>2</v>
      </c>
      <c r="B29" s="60" t="s">
        <v>179</v>
      </c>
      <c r="C29" s="60"/>
      <c r="D29" s="60"/>
      <c r="E29" s="60"/>
      <c r="F29" s="60"/>
      <c r="G29" s="60"/>
      <c r="H29" s="60"/>
      <c r="I29" s="60"/>
      <c r="J29" s="61"/>
      <c r="M29" s="68">
        <v>2015</v>
      </c>
      <c r="N29" s="93">
        <f>S21-140</f>
        <v>5899.6418934060184</v>
      </c>
      <c r="O29" s="65"/>
      <c r="P29" s="65"/>
      <c r="R29" s="68">
        <v>2015</v>
      </c>
      <c r="S29" s="108">
        <f>(D10-N29)/SQRT(ABS(N29))</f>
        <v>4.6622922420199832E-3</v>
      </c>
      <c r="T29" s="108"/>
      <c r="U29" s="108"/>
    </row>
    <row r="30" spans="1:21" x14ac:dyDescent="0.2">
      <c r="A30" s="2"/>
      <c r="B30" s="60" t="s">
        <v>180</v>
      </c>
      <c r="C30" s="60"/>
      <c r="D30" s="60"/>
      <c r="E30" s="60"/>
      <c r="F30" s="60"/>
      <c r="G30" s="60"/>
      <c r="H30" s="60"/>
      <c r="I30" s="60"/>
      <c r="J30" s="61"/>
    </row>
    <row r="31" spans="1:21" x14ac:dyDescent="0.2">
      <c r="A31" s="2"/>
      <c r="B31" s="60"/>
      <c r="C31" s="60"/>
      <c r="D31" s="60"/>
      <c r="E31" s="60"/>
      <c r="F31" s="60"/>
      <c r="G31" s="60"/>
      <c r="H31" s="60"/>
      <c r="I31" s="60"/>
      <c r="J31" s="61"/>
      <c r="R31" s="62" t="s">
        <v>172</v>
      </c>
    </row>
    <row r="32" spans="1:21" x14ac:dyDescent="0.2">
      <c r="A32" s="2"/>
      <c r="B32" s="60"/>
      <c r="C32" s="60"/>
      <c r="D32" s="60"/>
      <c r="E32" s="60"/>
      <c r="F32" s="60"/>
      <c r="G32" s="60"/>
      <c r="H32" s="60"/>
      <c r="I32" s="60"/>
      <c r="J32" s="61"/>
    </row>
    <row r="33" spans="1:21" x14ac:dyDescent="0.2">
      <c r="A33" s="98" t="s">
        <v>91</v>
      </c>
      <c r="B33" s="60" t="s">
        <v>100</v>
      </c>
      <c r="C33" s="60"/>
      <c r="D33" s="60"/>
      <c r="E33" s="60"/>
      <c r="F33" s="60"/>
      <c r="G33" s="60"/>
      <c r="H33" s="60"/>
      <c r="I33" s="60"/>
      <c r="J33" s="61"/>
      <c r="L33" s="19" t="s">
        <v>5</v>
      </c>
      <c r="N33" s="63"/>
    </row>
    <row r="34" spans="1:21" x14ac:dyDescent="0.2">
      <c r="A34" s="98"/>
      <c r="B34" s="60"/>
      <c r="C34" s="60"/>
      <c r="D34" s="60"/>
      <c r="E34" s="60"/>
      <c r="F34" s="60"/>
      <c r="G34" s="60"/>
      <c r="H34" s="60"/>
      <c r="I34" s="60"/>
      <c r="J34" s="61"/>
      <c r="M34" s="401" t="s">
        <v>1040</v>
      </c>
    </row>
    <row r="35" spans="1:21" ht="17" thickBot="1" x14ac:dyDescent="0.25">
      <c r="A35" s="2"/>
      <c r="B35" s="60"/>
      <c r="C35" s="60"/>
      <c r="D35" s="60"/>
      <c r="E35" s="60"/>
      <c r="F35" s="60"/>
      <c r="G35" s="60"/>
      <c r="H35" s="60"/>
      <c r="I35" s="60"/>
      <c r="J35" s="61"/>
      <c r="M35" s="62" t="s">
        <v>102</v>
      </c>
    </row>
    <row r="36" spans="1:21" ht="17" thickBot="1" x14ac:dyDescent="0.25">
      <c r="A36" s="410" t="s">
        <v>266</v>
      </c>
      <c r="B36" s="411"/>
      <c r="C36" s="411"/>
      <c r="D36" s="411"/>
      <c r="E36" s="411"/>
      <c r="F36" s="411"/>
      <c r="G36" s="411"/>
      <c r="H36" s="411"/>
      <c r="I36" s="411"/>
      <c r="J36" s="412"/>
    </row>
    <row r="37" spans="1:21" x14ac:dyDescent="0.2">
      <c r="M37" s="94"/>
      <c r="N37" s="96" t="s">
        <v>177</v>
      </c>
      <c r="O37" s="75" t="s">
        <v>178</v>
      </c>
    </row>
    <row r="38" spans="1:21" ht="19" x14ac:dyDescent="0.25">
      <c r="A38" s="3"/>
      <c r="M38" s="83" t="s">
        <v>66</v>
      </c>
      <c r="N38" s="107">
        <f>SUM(E8:E9)/SUM(D8:D9)+1</f>
        <v>0.99611650485436898</v>
      </c>
      <c r="O38" s="107">
        <f>F8/SUM(D8:E8)+1</f>
        <v>1.0183150183150182</v>
      </c>
    </row>
    <row r="40" spans="1:21" x14ac:dyDescent="0.2">
      <c r="M40" s="19" t="s">
        <v>176</v>
      </c>
      <c r="R40" s="19" t="s">
        <v>170</v>
      </c>
    </row>
    <row r="41" spans="1:21" x14ac:dyDescent="0.2">
      <c r="M41" s="74" t="s">
        <v>35</v>
      </c>
      <c r="N41" s="75">
        <v>12</v>
      </c>
      <c r="O41" s="75">
        <v>24</v>
      </c>
      <c r="P41" s="75">
        <v>36</v>
      </c>
      <c r="R41" s="74" t="s">
        <v>35</v>
      </c>
      <c r="S41" s="75">
        <v>12</v>
      </c>
      <c r="T41" s="75">
        <v>24</v>
      </c>
      <c r="U41" s="75">
        <v>36</v>
      </c>
    </row>
    <row r="42" spans="1:21" x14ac:dyDescent="0.2">
      <c r="M42" s="68">
        <v>2013</v>
      </c>
      <c r="N42" s="93">
        <f>O42/N38</f>
        <v>5481.2865497076018</v>
      </c>
      <c r="O42" s="93">
        <f>P42/O38</f>
        <v>5460</v>
      </c>
      <c r="P42" s="36">
        <f>SUM(D8:F8)</f>
        <v>5560</v>
      </c>
      <c r="R42" s="68">
        <v>2013</v>
      </c>
      <c r="S42" s="93">
        <f>N42</f>
        <v>5481.2865497076018</v>
      </c>
      <c r="T42" s="93">
        <f>O42-N42</f>
        <v>-21.286549707601807</v>
      </c>
      <c r="U42" s="93">
        <f>P42-O42</f>
        <v>100</v>
      </c>
    </row>
    <row r="43" spans="1:21" x14ac:dyDescent="0.2">
      <c r="M43" s="68">
        <v>2014</v>
      </c>
      <c r="N43" s="93">
        <f>O43/N38</f>
        <v>4818.7134502923973</v>
      </c>
      <c r="O43" s="36">
        <f>SUM(D9:E9)</f>
        <v>4800</v>
      </c>
      <c r="P43" s="65"/>
      <c r="R43" s="68">
        <v>2014</v>
      </c>
      <c r="S43" s="93">
        <f t="shared" ref="S43:S44" si="0">N43</f>
        <v>4818.7134502923973</v>
      </c>
      <c r="T43" s="93">
        <f>O43-N43</f>
        <v>-18.713450292397283</v>
      </c>
      <c r="U43" s="65"/>
    </row>
    <row r="44" spans="1:21" x14ac:dyDescent="0.2">
      <c r="M44" s="68">
        <v>2015</v>
      </c>
      <c r="N44" s="36">
        <f>D10</f>
        <v>5900</v>
      </c>
      <c r="O44" s="65"/>
      <c r="P44" s="65"/>
      <c r="R44" s="68">
        <v>2015</v>
      </c>
      <c r="S44" s="93">
        <f t="shared" si="0"/>
        <v>5900</v>
      </c>
      <c r="T44" s="65"/>
      <c r="U44" s="65"/>
    </row>
    <row r="46" spans="1:21" x14ac:dyDescent="0.2">
      <c r="R46" s="19" t="s">
        <v>171</v>
      </c>
    </row>
    <row r="47" spans="1:21" x14ac:dyDescent="0.2">
      <c r="R47" s="74" t="s">
        <v>35</v>
      </c>
      <c r="S47" s="75">
        <v>12</v>
      </c>
      <c r="T47" s="75">
        <v>24</v>
      </c>
      <c r="U47" s="75">
        <v>36</v>
      </c>
    </row>
    <row r="48" spans="1:21" x14ac:dyDescent="0.2">
      <c r="R48" s="68">
        <v>2013</v>
      </c>
      <c r="S48" s="108">
        <f>(D8-S42)/SQRT(ABS(S42))</f>
        <v>1.6034620075383117</v>
      </c>
      <c r="T48" s="108">
        <f>(E8-T42)/SQRT(ABS(T42))</f>
        <v>-25.730444622603311</v>
      </c>
      <c r="U48" s="108">
        <f>(F8-U42)/SQRT(ABS(U42))</f>
        <v>0</v>
      </c>
    </row>
    <row r="49" spans="12:21" x14ac:dyDescent="0.2">
      <c r="R49" s="68">
        <v>2014</v>
      </c>
      <c r="S49" s="108">
        <f>(D9-S43)/SQRT(ABS(S43))</f>
        <v>-1.7101506778472275</v>
      </c>
      <c r="T49" s="108">
        <f>(E9-T43)/SQRT(ABS(T43))</f>
        <v>27.442457074620854</v>
      </c>
      <c r="U49" s="108"/>
    </row>
    <row r="50" spans="12:21" x14ac:dyDescent="0.2">
      <c r="R50" s="68">
        <v>2015</v>
      </c>
      <c r="S50" s="108">
        <f>(D10-S44)/SQRT(ABS(S44))</f>
        <v>0</v>
      </c>
      <c r="T50" s="108"/>
      <c r="U50" s="108"/>
    </row>
    <row r="52" spans="12:21" x14ac:dyDescent="0.2">
      <c r="L52" s="19" t="s">
        <v>103</v>
      </c>
    </row>
    <row r="53" spans="12:21" ht="16" customHeight="1" x14ac:dyDescent="0.2">
      <c r="M53" s="421" t="s">
        <v>1041</v>
      </c>
      <c r="N53" s="420"/>
      <c r="O53" s="420"/>
      <c r="P53" s="420"/>
      <c r="Q53" s="420"/>
      <c r="R53" s="420"/>
      <c r="S53" s="420"/>
      <c r="T53" s="420"/>
      <c r="U53" s="420"/>
    </row>
    <row r="54" spans="12:21" ht="15" customHeight="1" x14ac:dyDescent="0.2">
      <c r="M54" s="420"/>
      <c r="N54" s="420"/>
      <c r="O54" s="420"/>
      <c r="P54" s="420"/>
      <c r="Q54" s="420"/>
      <c r="R54" s="420"/>
      <c r="S54" s="420"/>
      <c r="T54" s="420"/>
      <c r="U54" s="420"/>
    </row>
    <row r="55" spans="12:21" ht="15" customHeight="1" x14ac:dyDescent="0.2">
      <c r="M55" s="420"/>
      <c r="N55" s="420"/>
      <c r="O55" s="420"/>
      <c r="P55" s="420"/>
      <c r="Q55" s="420"/>
      <c r="R55" s="420"/>
      <c r="S55" s="420"/>
      <c r="T55" s="420"/>
      <c r="U55" s="420"/>
    </row>
    <row r="56" spans="12:21" ht="15" customHeight="1" x14ac:dyDescent="0.2">
      <c r="M56" s="420"/>
      <c r="N56" s="420"/>
      <c r="O56" s="420"/>
      <c r="P56" s="420"/>
      <c r="Q56" s="420"/>
      <c r="R56" s="420"/>
      <c r="S56" s="420"/>
      <c r="T56" s="420"/>
      <c r="U56" s="420"/>
    </row>
    <row r="57" spans="12:21" ht="15" customHeight="1" x14ac:dyDescent="0.2">
      <c r="M57" s="420"/>
      <c r="N57" s="420"/>
      <c r="O57" s="420"/>
      <c r="P57" s="420"/>
      <c r="Q57" s="420"/>
      <c r="R57" s="420"/>
      <c r="S57" s="420"/>
      <c r="T57" s="420"/>
      <c r="U57" s="420"/>
    </row>
    <row r="58" spans="12:21" ht="15" customHeight="1" x14ac:dyDescent="0.2">
      <c r="M58" s="420"/>
      <c r="N58" s="420"/>
      <c r="O58" s="420"/>
      <c r="P58" s="420"/>
      <c r="Q58" s="420"/>
      <c r="R58" s="420"/>
      <c r="S58" s="420"/>
      <c r="T58" s="420"/>
      <c r="U58" s="420"/>
    </row>
    <row r="59" spans="12:21" ht="15" customHeight="1" x14ac:dyDescent="0.2">
      <c r="M59" s="420"/>
      <c r="N59" s="420"/>
      <c r="O59" s="420"/>
      <c r="P59" s="420"/>
      <c r="Q59" s="420"/>
      <c r="R59" s="420"/>
      <c r="S59" s="420"/>
      <c r="T59" s="420"/>
      <c r="U59" s="420"/>
    </row>
    <row r="60" spans="12:21" ht="15" customHeight="1" x14ac:dyDescent="0.2">
      <c r="M60" s="420"/>
      <c r="N60" s="420"/>
      <c r="O60" s="420"/>
      <c r="P60" s="420"/>
      <c r="Q60" s="420"/>
      <c r="R60" s="420"/>
      <c r="S60" s="420"/>
      <c r="T60" s="420"/>
      <c r="U60" s="420"/>
    </row>
    <row r="61" spans="12:21" x14ac:dyDescent="0.2">
      <c r="M61" s="420"/>
      <c r="N61" s="420"/>
      <c r="O61" s="420"/>
      <c r="P61" s="420"/>
      <c r="Q61" s="420"/>
      <c r="R61" s="420"/>
      <c r="S61" s="420"/>
      <c r="T61" s="420"/>
      <c r="U61" s="420"/>
    </row>
    <row r="63" spans="12:21" ht="16" customHeight="1" x14ac:dyDescent="0.25">
      <c r="L63" s="3" t="s">
        <v>262</v>
      </c>
      <c r="N63" s="72"/>
      <c r="O63" s="72"/>
      <c r="P63" s="72"/>
      <c r="Q63" s="72"/>
      <c r="R63" s="72"/>
      <c r="S63" s="72"/>
      <c r="T63" s="72"/>
      <c r="U63" s="72"/>
    </row>
    <row r="64" spans="12:21" ht="15" customHeight="1" x14ac:dyDescent="0.2">
      <c r="M64" s="420" t="s">
        <v>263</v>
      </c>
      <c r="N64" s="420"/>
      <c r="O64" s="420"/>
      <c r="P64" s="420"/>
      <c r="Q64" s="420"/>
      <c r="R64" s="420"/>
      <c r="S64" s="420"/>
      <c r="T64" s="420"/>
      <c r="U64" s="420"/>
    </row>
    <row r="65" spans="12:24" ht="15" customHeight="1" x14ac:dyDescent="0.2">
      <c r="M65" s="420"/>
      <c r="N65" s="420"/>
      <c r="O65" s="420"/>
      <c r="P65" s="420"/>
      <c r="Q65" s="420"/>
      <c r="R65" s="420"/>
      <c r="S65" s="420"/>
      <c r="T65" s="420"/>
      <c r="U65" s="420"/>
    </row>
    <row r="66" spans="12:24" ht="15" customHeight="1" x14ac:dyDescent="0.2">
      <c r="M66" s="420"/>
      <c r="N66" s="420"/>
      <c r="O66" s="420"/>
      <c r="P66" s="420"/>
      <c r="Q66" s="420"/>
      <c r="R66" s="420"/>
      <c r="S66" s="420"/>
      <c r="T66" s="420"/>
      <c r="U66" s="420"/>
    </row>
    <row r="67" spans="12:24" ht="15" customHeight="1" x14ac:dyDescent="0.2">
      <c r="M67" s="420"/>
      <c r="N67" s="420"/>
      <c r="O67" s="420"/>
      <c r="P67" s="420"/>
      <c r="Q67" s="420"/>
      <c r="R67" s="420"/>
      <c r="S67" s="420"/>
      <c r="T67" s="420"/>
      <c r="U67" s="420"/>
    </row>
    <row r="68" spans="12:24" ht="15" customHeight="1" x14ac:dyDescent="0.2">
      <c r="M68" s="420"/>
      <c r="N68" s="420"/>
      <c r="O68" s="420"/>
      <c r="P68" s="420"/>
      <c r="Q68" s="420"/>
      <c r="R68" s="420"/>
      <c r="S68" s="420"/>
      <c r="T68" s="420"/>
      <c r="U68" s="420"/>
    </row>
    <row r="69" spans="12:24" ht="15" customHeight="1" x14ac:dyDescent="0.2">
      <c r="M69" s="420"/>
      <c r="N69" s="420"/>
      <c r="O69" s="420"/>
      <c r="P69" s="420"/>
      <c r="Q69" s="420"/>
      <c r="R69" s="420"/>
      <c r="S69" s="420"/>
      <c r="T69" s="420"/>
      <c r="U69" s="420"/>
    </row>
    <row r="70" spans="12:24" x14ac:dyDescent="0.2">
      <c r="M70" s="420"/>
      <c r="N70" s="420"/>
      <c r="O70" s="420"/>
      <c r="P70" s="420"/>
      <c r="Q70" s="420"/>
      <c r="R70" s="420"/>
      <c r="S70" s="420"/>
      <c r="T70" s="420"/>
      <c r="U70" s="420"/>
    </row>
    <row r="71" spans="12:24" x14ac:dyDescent="0.2">
      <c r="M71" s="420"/>
      <c r="N71" s="420"/>
      <c r="O71" s="420"/>
      <c r="P71" s="420"/>
      <c r="Q71" s="420"/>
      <c r="R71" s="420"/>
      <c r="S71" s="420"/>
      <c r="T71" s="420"/>
      <c r="U71" s="420"/>
    </row>
    <row r="72" spans="12:24" x14ac:dyDescent="0.2">
      <c r="L72" s="5"/>
      <c r="M72" s="5"/>
      <c r="N72" s="5"/>
    </row>
    <row r="73" spans="12:24" x14ac:dyDescent="0.2">
      <c r="L73" s="5"/>
      <c r="M73" s="5"/>
      <c r="N73" s="5"/>
    </row>
    <row r="74" spans="12:24" x14ac:dyDescent="0.2">
      <c r="L74" s="5"/>
      <c r="M74" s="5"/>
      <c r="N74" s="5"/>
    </row>
    <row r="75" spans="12:24" x14ac:dyDescent="0.2">
      <c r="L75" s="5"/>
      <c r="M75" s="5"/>
      <c r="N75" s="5"/>
    </row>
    <row r="76" spans="12:24" x14ac:dyDescent="0.2">
      <c r="L76" s="5"/>
      <c r="M76" s="5"/>
      <c r="N76" s="5"/>
    </row>
    <row r="77" spans="12:24" x14ac:dyDescent="0.2">
      <c r="L77" s="5"/>
      <c r="M77" s="5"/>
      <c r="N77" s="5"/>
    </row>
    <row r="78" spans="12:24" x14ac:dyDescent="0.2">
      <c r="L78" s="125"/>
      <c r="M78" s="125"/>
      <c r="N78" s="125"/>
      <c r="O78" s="125"/>
      <c r="P78" s="125"/>
      <c r="Q78" s="125"/>
      <c r="R78" s="125"/>
      <c r="S78" s="125"/>
      <c r="T78" s="125"/>
      <c r="U78" s="125"/>
      <c r="V78" s="125"/>
      <c r="W78" s="125"/>
      <c r="X78" s="125"/>
    </row>
    <row r="79" spans="12:24" ht="19" x14ac:dyDescent="0.25">
      <c r="L79" s="3" t="s">
        <v>303</v>
      </c>
      <c r="M79" s="125"/>
      <c r="N79" s="125"/>
      <c r="O79" s="125"/>
      <c r="P79" s="125"/>
      <c r="Q79" s="125"/>
      <c r="R79" s="125"/>
      <c r="S79" s="125"/>
      <c r="T79" s="125"/>
      <c r="U79" s="125"/>
      <c r="V79" s="125"/>
      <c r="W79" s="125"/>
      <c r="X79" s="125"/>
    </row>
    <row r="80" spans="12:24" x14ac:dyDescent="0.2">
      <c r="L80" s="125" t="s">
        <v>299</v>
      </c>
      <c r="M80" s="125"/>
      <c r="N80" s="125"/>
      <c r="O80" s="125"/>
      <c r="P80" s="125"/>
      <c r="Q80" s="125"/>
      <c r="R80" s="125"/>
      <c r="S80" s="125"/>
      <c r="T80" s="125"/>
      <c r="U80" s="125"/>
      <c r="V80" s="125"/>
      <c r="W80" s="125"/>
      <c r="X80" s="125"/>
    </row>
    <row r="81" spans="12:24" x14ac:dyDescent="0.2">
      <c r="L81" s="125"/>
      <c r="M81" s="125"/>
      <c r="N81" s="125"/>
      <c r="O81" s="125"/>
      <c r="P81" s="125"/>
      <c r="Q81" s="125"/>
      <c r="R81" s="125"/>
      <c r="S81" s="125"/>
      <c r="T81" s="125"/>
      <c r="U81" s="125"/>
      <c r="V81" s="125"/>
      <c r="W81" s="125"/>
      <c r="X81" s="125"/>
    </row>
    <row r="82" spans="12:24" x14ac:dyDescent="0.2">
      <c r="L82" s="125"/>
      <c r="M82" s="125"/>
      <c r="N82" s="125"/>
      <c r="O82" s="125"/>
      <c r="P82" s="125"/>
      <c r="Q82" s="125"/>
      <c r="R82" s="125"/>
      <c r="S82" s="125"/>
      <c r="T82" s="125"/>
      <c r="U82" s="125"/>
      <c r="V82" s="125"/>
      <c r="W82" s="125"/>
      <c r="X82" s="125"/>
    </row>
    <row r="83" spans="12:24" x14ac:dyDescent="0.2">
      <c r="L83" s="125"/>
      <c r="M83" s="125"/>
      <c r="N83" s="125"/>
      <c r="O83" s="125"/>
      <c r="P83" s="125"/>
      <c r="Q83" s="125"/>
      <c r="R83" s="125"/>
      <c r="S83" s="125"/>
      <c r="T83" s="125"/>
      <c r="U83" s="125"/>
      <c r="V83" s="125"/>
      <c r="W83" s="125"/>
      <c r="X83" s="125"/>
    </row>
    <row r="84" spans="12:24" x14ac:dyDescent="0.2">
      <c r="L84" s="125"/>
      <c r="M84" s="125"/>
      <c r="N84" s="125"/>
      <c r="O84" s="125"/>
      <c r="P84" s="125"/>
      <c r="Q84" s="125"/>
      <c r="R84" s="125"/>
      <c r="S84" s="125"/>
      <c r="T84" s="125"/>
      <c r="U84" s="125"/>
      <c r="V84" s="125"/>
      <c r="W84" s="125"/>
      <c r="X84" s="125"/>
    </row>
    <row r="85" spans="12:24" x14ac:dyDescent="0.2">
      <c r="L85" s="125"/>
      <c r="M85" s="125"/>
      <c r="N85" s="125"/>
      <c r="O85" s="125"/>
      <c r="P85" s="125"/>
      <c r="Q85" s="125"/>
      <c r="R85" s="125"/>
      <c r="S85" s="125"/>
      <c r="T85" s="125"/>
      <c r="U85" s="125"/>
      <c r="V85" s="125"/>
      <c r="W85" s="125"/>
      <c r="X85" s="125"/>
    </row>
    <row r="86" spans="12:24" x14ac:dyDescent="0.2">
      <c r="L86" s="125"/>
      <c r="M86" s="125"/>
      <c r="N86" s="125"/>
      <c r="O86" s="125"/>
      <c r="P86" s="125"/>
      <c r="Q86" s="125"/>
      <c r="R86" s="125"/>
      <c r="S86" s="125"/>
      <c r="T86" s="125"/>
      <c r="U86" s="125"/>
      <c r="V86" s="125"/>
      <c r="W86" s="125"/>
      <c r="X86" s="125"/>
    </row>
    <row r="87" spans="12:24" x14ac:dyDescent="0.2">
      <c r="L87" s="125"/>
      <c r="M87" s="125"/>
      <c r="N87" s="125"/>
      <c r="O87" s="125"/>
      <c r="P87" s="125"/>
      <c r="Q87" s="125"/>
      <c r="R87" s="125"/>
      <c r="S87" s="125"/>
      <c r="T87" s="125"/>
      <c r="U87" s="125"/>
      <c r="V87" s="125"/>
      <c r="W87" s="125"/>
      <c r="X87" s="125"/>
    </row>
    <row r="88" spans="12:24" x14ac:dyDescent="0.2">
      <c r="L88" s="125"/>
      <c r="M88" s="125"/>
      <c r="N88" s="125"/>
      <c r="O88" s="125"/>
      <c r="P88" s="125"/>
      <c r="Q88" s="125"/>
      <c r="R88" s="125"/>
      <c r="S88" s="125"/>
      <c r="T88" s="125"/>
      <c r="U88" s="125"/>
      <c r="V88" s="125"/>
      <c r="W88" s="125"/>
      <c r="X88" s="125"/>
    </row>
    <row r="89" spans="12:24" x14ac:dyDescent="0.2">
      <c r="L89" s="125"/>
      <c r="M89" s="125"/>
      <c r="N89" s="125"/>
      <c r="O89" s="125"/>
      <c r="P89" s="125"/>
      <c r="Q89" s="125"/>
      <c r="R89" s="125"/>
      <c r="S89" s="125"/>
      <c r="T89" s="125"/>
      <c r="U89" s="125"/>
      <c r="V89" s="125"/>
      <c r="W89" s="125"/>
      <c r="X89" s="125"/>
    </row>
    <row r="90" spans="12:24" x14ac:dyDescent="0.2">
      <c r="L90" s="125"/>
      <c r="M90" s="126"/>
      <c r="N90" s="125"/>
      <c r="O90" s="125"/>
      <c r="P90" s="125"/>
      <c r="Q90" s="125"/>
      <c r="R90" s="125"/>
      <c r="S90" s="125"/>
      <c r="T90" s="125"/>
      <c r="U90" s="125"/>
      <c r="V90" s="125"/>
      <c r="W90" s="125"/>
      <c r="X90" s="125"/>
    </row>
    <row r="91" spans="12:24" x14ac:dyDescent="0.2">
      <c r="L91" s="125"/>
      <c r="M91" s="125"/>
      <c r="N91" s="125"/>
      <c r="O91" s="125"/>
      <c r="P91" s="125"/>
      <c r="Q91" s="125"/>
      <c r="R91" s="125"/>
      <c r="S91" s="125"/>
      <c r="T91" s="125"/>
      <c r="U91" s="125"/>
      <c r="V91" s="125"/>
      <c r="W91" s="125"/>
      <c r="X91" s="125"/>
    </row>
    <row r="92" spans="12:24" x14ac:dyDescent="0.2">
      <c r="L92" s="125"/>
      <c r="M92" s="125"/>
      <c r="N92" s="125"/>
      <c r="O92" s="125"/>
      <c r="P92" s="125"/>
      <c r="Q92" s="125"/>
      <c r="R92" s="125"/>
      <c r="S92" s="125"/>
      <c r="T92" s="125"/>
      <c r="U92" s="125"/>
      <c r="V92" s="125"/>
      <c r="W92" s="125"/>
      <c r="X92" s="125"/>
    </row>
    <row r="93" spans="12:24" x14ac:dyDescent="0.2">
      <c r="L93" s="125"/>
      <c r="M93" s="125"/>
      <c r="N93" s="125"/>
      <c r="O93" s="125"/>
      <c r="P93" s="125"/>
      <c r="Q93" s="125"/>
      <c r="R93" s="125"/>
      <c r="S93" s="125"/>
      <c r="T93" s="125"/>
      <c r="U93" s="125"/>
      <c r="V93" s="125"/>
      <c r="W93" s="125"/>
      <c r="X93" s="125"/>
    </row>
    <row r="94" spans="12:24" x14ac:dyDescent="0.2">
      <c r="L94" s="125"/>
      <c r="M94" s="125"/>
      <c r="N94" s="125"/>
      <c r="O94" s="125"/>
      <c r="P94" s="125"/>
      <c r="Q94" s="125"/>
      <c r="R94" s="125"/>
      <c r="S94" s="125"/>
      <c r="T94" s="125"/>
      <c r="U94" s="125"/>
      <c r="V94" s="125"/>
      <c r="W94" s="125"/>
      <c r="X94" s="125"/>
    </row>
    <row r="95" spans="12:24" x14ac:dyDescent="0.2">
      <c r="L95" s="125"/>
      <c r="M95" s="125"/>
      <c r="N95" s="125"/>
      <c r="O95" s="125"/>
      <c r="P95" s="125"/>
      <c r="Q95" s="125"/>
      <c r="R95" s="125"/>
      <c r="S95" s="125"/>
      <c r="T95" s="125"/>
      <c r="U95" s="125"/>
      <c r="V95" s="125"/>
      <c r="W95" s="125"/>
      <c r="X95" s="125"/>
    </row>
    <row r="96" spans="12:24" x14ac:dyDescent="0.2">
      <c r="L96" s="125"/>
      <c r="M96" s="125"/>
      <c r="N96" s="125"/>
      <c r="O96" s="125"/>
      <c r="P96" s="125"/>
      <c r="Q96" s="125"/>
      <c r="R96" s="125"/>
      <c r="S96" s="125"/>
      <c r="T96" s="125"/>
      <c r="U96" s="125"/>
      <c r="V96" s="125"/>
      <c r="W96" s="125"/>
      <c r="X96" s="125"/>
    </row>
    <row r="97" spans="12:24" x14ac:dyDescent="0.2">
      <c r="L97" s="125"/>
      <c r="M97" s="125"/>
      <c r="N97" s="125"/>
      <c r="O97" s="125"/>
      <c r="P97" s="125"/>
      <c r="Q97" s="125"/>
      <c r="R97" s="125"/>
      <c r="S97" s="125"/>
      <c r="T97" s="125"/>
      <c r="U97" s="125"/>
      <c r="V97" s="125"/>
      <c r="W97" s="125"/>
      <c r="X97" s="125"/>
    </row>
    <row r="98" spans="12:24" x14ac:dyDescent="0.2">
      <c r="L98" s="125"/>
      <c r="M98" s="125"/>
      <c r="N98" s="125"/>
      <c r="O98" s="125"/>
      <c r="P98" s="125"/>
      <c r="Q98" s="125"/>
      <c r="R98" s="125"/>
      <c r="S98" s="125"/>
      <c r="T98" s="125"/>
      <c r="U98" s="125"/>
      <c r="V98" s="125"/>
      <c r="W98" s="125"/>
      <c r="X98" s="125"/>
    </row>
    <row r="99" spans="12:24" x14ac:dyDescent="0.2">
      <c r="L99" s="125"/>
      <c r="M99" s="125"/>
      <c r="N99" s="125"/>
      <c r="O99" s="125"/>
      <c r="P99" s="125"/>
      <c r="Q99" s="125"/>
      <c r="R99" s="125"/>
      <c r="S99" s="125"/>
      <c r="T99" s="125"/>
      <c r="U99" s="125"/>
      <c r="V99" s="125"/>
      <c r="W99" s="125"/>
      <c r="X99" s="125"/>
    </row>
    <row r="100" spans="12:24" x14ac:dyDescent="0.2">
      <c r="L100" s="125"/>
      <c r="M100" s="125"/>
      <c r="N100" s="125"/>
      <c r="O100" s="125"/>
      <c r="P100" s="125"/>
      <c r="Q100" s="125"/>
      <c r="R100" s="125"/>
      <c r="S100" s="125"/>
      <c r="T100" s="125"/>
      <c r="U100" s="125"/>
      <c r="V100" s="125"/>
      <c r="W100" s="125"/>
      <c r="X100" s="125"/>
    </row>
    <row r="101" spans="12:24" x14ac:dyDescent="0.2">
      <c r="L101" s="125"/>
      <c r="M101" s="125"/>
      <c r="N101" s="125"/>
      <c r="O101" s="125"/>
      <c r="P101" s="125"/>
      <c r="Q101" s="125"/>
      <c r="R101" s="125"/>
      <c r="S101" s="125"/>
      <c r="T101" s="125"/>
      <c r="U101" s="125"/>
      <c r="V101" s="125"/>
      <c r="W101" s="125"/>
      <c r="X101" s="125"/>
    </row>
    <row r="102" spans="12:24" x14ac:dyDescent="0.2">
      <c r="L102" s="125"/>
      <c r="M102" s="125"/>
      <c r="N102" s="125"/>
      <c r="O102" s="125"/>
      <c r="P102" s="125"/>
      <c r="Q102" s="125"/>
      <c r="R102" s="125"/>
      <c r="S102" s="125"/>
      <c r="T102" s="125"/>
      <c r="U102" s="125"/>
      <c r="V102" s="125"/>
      <c r="W102" s="125"/>
      <c r="X102" s="125"/>
    </row>
    <row r="103" spans="12:24" x14ac:dyDescent="0.2">
      <c r="L103" s="125"/>
      <c r="M103" s="126"/>
      <c r="N103" s="125"/>
      <c r="O103" s="125"/>
      <c r="P103" s="125"/>
      <c r="Q103" s="125"/>
      <c r="R103" s="125"/>
      <c r="S103" s="125"/>
      <c r="T103" s="125"/>
      <c r="U103" s="125"/>
      <c r="V103" s="125"/>
      <c r="W103" s="125"/>
      <c r="X103" s="125"/>
    </row>
    <row r="104" spans="12:24" x14ac:dyDescent="0.2">
      <c r="L104" s="125"/>
      <c r="M104" s="125"/>
      <c r="N104" s="125"/>
      <c r="O104" s="125"/>
      <c r="P104" s="125"/>
      <c r="Q104" s="125"/>
      <c r="R104" s="125"/>
      <c r="S104" s="125"/>
      <c r="T104" s="125"/>
      <c r="U104" s="125"/>
      <c r="V104" s="125"/>
      <c r="W104" s="125"/>
      <c r="X104" s="125"/>
    </row>
    <row r="105" spans="12:24" x14ac:dyDescent="0.2">
      <c r="L105" s="125"/>
      <c r="M105" s="125"/>
      <c r="N105" s="125"/>
      <c r="O105" s="125"/>
      <c r="P105" s="125"/>
      <c r="Q105" s="125"/>
      <c r="R105" s="125"/>
      <c r="S105" s="125"/>
      <c r="T105" s="125"/>
      <c r="U105" s="125"/>
      <c r="V105" s="125"/>
      <c r="W105" s="125"/>
      <c r="X105" s="125"/>
    </row>
    <row r="106" spans="12:24" x14ac:dyDescent="0.2">
      <c r="L106" s="125"/>
      <c r="M106" s="125"/>
      <c r="N106" s="125"/>
      <c r="O106" s="125"/>
      <c r="P106" s="125"/>
      <c r="Q106" s="125"/>
      <c r="R106" s="125"/>
      <c r="S106" s="125"/>
      <c r="T106" s="125"/>
      <c r="U106" s="125"/>
      <c r="V106" s="125"/>
      <c r="W106" s="125"/>
      <c r="X106" s="125"/>
    </row>
    <row r="107" spans="12:24" x14ac:dyDescent="0.2">
      <c r="L107" s="125"/>
      <c r="M107" s="125"/>
      <c r="N107" s="125"/>
      <c r="O107" s="125"/>
      <c r="P107" s="125"/>
      <c r="Q107" s="125"/>
      <c r="R107" s="125"/>
      <c r="S107" s="125"/>
      <c r="T107" s="125"/>
      <c r="U107" s="125"/>
      <c r="V107" s="125"/>
      <c r="W107" s="125"/>
      <c r="X107" s="125"/>
    </row>
    <row r="108" spans="12:24" x14ac:dyDescent="0.2">
      <c r="L108" s="125"/>
      <c r="M108" s="125"/>
      <c r="N108" s="125"/>
      <c r="O108" s="125"/>
      <c r="P108" s="125"/>
      <c r="Q108" s="125"/>
      <c r="R108" s="125"/>
      <c r="S108" s="125"/>
      <c r="T108" s="125"/>
      <c r="U108" s="125"/>
      <c r="V108" s="125"/>
      <c r="W108" s="125"/>
      <c r="X108" s="125"/>
    </row>
    <row r="109" spans="12:24" x14ac:dyDescent="0.2">
      <c r="L109" s="125"/>
      <c r="M109" s="125"/>
      <c r="N109" s="125"/>
      <c r="O109" s="125"/>
      <c r="P109" s="125"/>
      <c r="Q109" s="125"/>
      <c r="R109" s="125"/>
      <c r="S109" s="125"/>
      <c r="T109" s="125"/>
      <c r="U109" s="125"/>
      <c r="V109" s="125"/>
      <c r="W109" s="125"/>
      <c r="X109" s="125"/>
    </row>
    <row r="110" spans="12:24" x14ac:dyDescent="0.2">
      <c r="L110" s="125"/>
      <c r="M110" s="125"/>
      <c r="N110" s="125"/>
      <c r="O110" s="125"/>
      <c r="P110" s="125"/>
      <c r="Q110" s="125"/>
      <c r="R110" s="125"/>
      <c r="S110" s="125"/>
      <c r="T110" s="125"/>
      <c r="U110" s="125"/>
      <c r="V110" s="125"/>
      <c r="W110" s="125"/>
      <c r="X110" s="125"/>
    </row>
    <row r="111" spans="12:24" x14ac:dyDescent="0.2">
      <c r="L111" s="125"/>
      <c r="M111" s="125"/>
      <c r="N111" s="125"/>
      <c r="O111" s="125"/>
      <c r="P111" s="125"/>
      <c r="Q111" s="125"/>
      <c r="R111" s="125"/>
      <c r="S111" s="125"/>
      <c r="T111" s="125"/>
      <c r="U111" s="125"/>
      <c r="V111" s="125"/>
      <c r="W111" s="125"/>
      <c r="X111" s="125"/>
    </row>
    <row r="112" spans="12:24" x14ac:dyDescent="0.2">
      <c r="L112" s="125"/>
      <c r="M112" s="125"/>
      <c r="N112" s="125"/>
      <c r="O112" s="125"/>
      <c r="P112" s="125"/>
      <c r="Q112" s="125"/>
      <c r="R112" s="125"/>
      <c r="S112" s="125"/>
      <c r="T112" s="125"/>
      <c r="U112" s="125"/>
      <c r="V112" s="125"/>
      <c r="W112" s="125"/>
      <c r="X112" s="125"/>
    </row>
    <row r="113" spans="1:65" x14ac:dyDescent="0.2">
      <c r="L113" s="125"/>
      <c r="M113" s="126"/>
      <c r="N113" s="125"/>
      <c r="O113" s="125"/>
      <c r="P113" s="125"/>
      <c r="Q113" s="125"/>
      <c r="R113" s="125"/>
      <c r="S113" s="125"/>
      <c r="T113" s="125"/>
      <c r="U113" s="125"/>
      <c r="V113" s="125"/>
      <c r="W113" s="125"/>
      <c r="X113" s="125"/>
    </row>
    <row r="114" spans="1:65" x14ac:dyDescent="0.2">
      <c r="A114" s="5"/>
      <c r="B114" s="5"/>
      <c r="C114" s="5"/>
      <c r="D114" s="5"/>
      <c r="E114" s="5"/>
      <c r="F114" s="5"/>
      <c r="G114" s="5"/>
      <c r="H114" s="5"/>
      <c r="I114" s="5"/>
      <c r="J114" s="5"/>
      <c r="K114" s="5"/>
      <c r="L114" s="125"/>
      <c r="M114" s="125"/>
      <c r="N114" s="125"/>
      <c r="O114" s="125"/>
      <c r="P114" s="125"/>
      <c r="Q114" s="125"/>
      <c r="R114" s="125"/>
      <c r="S114" s="125"/>
      <c r="T114" s="125"/>
      <c r="U114" s="125"/>
      <c r="V114" s="125"/>
      <c r="W114" s="125"/>
      <c r="X114" s="12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125"/>
      <c r="M115" s="125"/>
      <c r="N115" s="125"/>
      <c r="O115" s="125"/>
      <c r="P115" s="125"/>
      <c r="Q115" s="125"/>
      <c r="R115" s="125"/>
      <c r="S115" s="125"/>
      <c r="T115" s="125"/>
      <c r="U115" s="125"/>
      <c r="V115" s="125"/>
      <c r="W115" s="125"/>
      <c r="X115" s="12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125"/>
      <c r="M116" s="125"/>
      <c r="N116" s="125"/>
      <c r="O116" s="125"/>
      <c r="P116" s="125"/>
      <c r="Q116" s="125"/>
      <c r="R116" s="125"/>
      <c r="S116" s="125"/>
      <c r="T116" s="125"/>
      <c r="U116" s="125"/>
      <c r="V116" s="125"/>
      <c r="W116" s="125"/>
      <c r="X116" s="12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125"/>
      <c r="M117" s="125"/>
      <c r="N117" s="125"/>
      <c r="O117" s="125"/>
      <c r="P117" s="125"/>
      <c r="Q117" s="125"/>
      <c r="R117" s="125"/>
      <c r="S117" s="125"/>
      <c r="T117" s="125"/>
      <c r="U117" s="125"/>
      <c r="V117" s="125"/>
      <c r="W117" s="125"/>
      <c r="X117" s="12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125"/>
      <c r="M118" s="125"/>
      <c r="N118" s="125"/>
      <c r="O118" s="125"/>
      <c r="P118" s="125"/>
      <c r="Q118" s="125"/>
      <c r="R118" s="125"/>
      <c r="S118" s="125"/>
      <c r="T118" s="125"/>
      <c r="U118" s="125"/>
      <c r="V118" s="125"/>
      <c r="W118" s="125"/>
      <c r="X118" s="12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125"/>
      <c r="M119" s="125"/>
      <c r="N119" s="125"/>
      <c r="O119" s="125"/>
      <c r="P119" s="125"/>
      <c r="Q119" s="125"/>
      <c r="R119" s="125"/>
      <c r="S119" s="125"/>
      <c r="T119" s="125"/>
      <c r="U119" s="125"/>
      <c r="V119" s="125"/>
      <c r="W119" s="125"/>
      <c r="X119" s="12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125"/>
      <c r="M120" s="125"/>
      <c r="N120" s="125"/>
      <c r="O120" s="125"/>
      <c r="P120" s="125"/>
      <c r="Q120" s="125"/>
      <c r="R120" s="125"/>
      <c r="S120" s="125"/>
      <c r="T120" s="125"/>
      <c r="U120" s="125"/>
      <c r="V120" s="125"/>
      <c r="W120" s="125"/>
      <c r="X120" s="12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125"/>
      <c r="M121" s="125"/>
      <c r="N121" s="125"/>
      <c r="O121" s="125"/>
      <c r="P121" s="125"/>
      <c r="Q121" s="125"/>
      <c r="R121" s="125"/>
      <c r="S121" s="125"/>
      <c r="T121" s="125"/>
      <c r="U121" s="125"/>
      <c r="V121" s="125"/>
      <c r="W121" s="125"/>
      <c r="X121" s="12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125"/>
      <c r="M122" s="125"/>
      <c r="N122" s="125"/>
      <c r="O122" s="125"/>
      <c r="P122" s="125"/>
      <c r="Q122" s="125"/>
      <c r="R122" s="125"/>
      <c r="S122" s="125"/>
      <c r="T122" s="125"/>
      <c r="U122" s="125"/>
      <c r="V122" s="125"/>
      <c r="W122" s="125"/>
      <c r="X122" s="12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125"/>
      <c r="M123" s="125"/>
      <c r="N123" s="125"/>
      <c r="O123" s="125"/>
      <c r="P123" s="125"/>
      <c r="Q123" s="125"/>
      <c r="R123" s="125"/>
      <c r="S123" s="125"/>
      <c r="T123" s="125"/>
      <c r="U123" s="125"/>
      <c r="V123" s="125"/>
      <c r="W123" s="125"/>
      <c r="X123" s="12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125"/>
      <c r="M124" s="125"/>
      <c r="N124" s="125"/>
      <c r="O124" s="125"/>
      <c r="P124" s="125"/>
      <c r="Q124" s="125"/>
      <c r="R124" s="125"/>
      <c r="S124" s="125"/>
      <c r="T124" s="125"/>
      <c r="U124" s="125"/>
      <c r="V124" s="125"/>
      <c r="W124" s="125"/>
      <c r="X124" s="12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125"/>
      <c r="M125" s="125"/>
      <c r="N125" s="125"/>
      <c r="O125" s="125"/>
      <c r="P125" s="125"/>
      <c r="Q125" s="125"/>
      <c r="R125" s="125"/>
      <c r="S125" s="125"/>
      <c r="T125" s="125"/>
      <c r="U125" s="125"/>
      <c r="V125" s="125"/>
      <c r="W125" s="125"/>
      <c r="X125" s="12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125"/>
      <c r="M126" s="125"/>
      <c r="N126" s="125"/>
      <c r="O126" s="125"/>
      <c r="P126" s="125"/>
      <c r="Q126" s="125"/>
      <c r="R126" s="125"/>
      <c r="S126" s="125"/>
      <c r="T126" s="125"/>
      <c r="U126" s="125"/>
      <c r="V126" s="125"/>
      <c r="W126" s="125"/>
      <c r="X126" s="12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125"/>
      <c r="M127" s="125"/>
      <c r="N127" s="125"/>
      <c r="O127" s="125"/>
      <c r="P127" s="125"/>
      <c r="Q127" s="125"/>
      <c r="R127" s="125"/>
      <c r="S127" s="125"/>
      <c r="T127" s="125"/>
      <c r="U127" s="125"/>
      <c r="V127" s="125"/>
      <c r="W127" s="125"/>
      <c r="X127" s="12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125"/>
      <c r="M128" s="125"/>
      <c r="N128" s="125"/>
      <c r="O128" s="125"/>
      <c r="P128" s="125"/>
      <c r="Q128" s="125"/>
      <c r="R128" s="125"/>
      <c r="S128" s="125"/>
      <c r="T128" s="125"/>
      <c r="U128" s="125"/>
      <c r="V128" s="125"/>
      <c r="W128" s="125"/>
      <c r="X128" s="12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125"/>
      <c r="M129" s="125"/>
      <c r="N129" s="125"/>
      <c r="O129" s="125"/>
      <c r="P129" s="125"/>
      <c r="Q129" s="125"/>
      <c r="R129" s="125"/>
      <c r="S129" s="125"/>
      <c r="T129" s="125"/>
      <c r="U129" s="125"/>
      <c r="V129" s="125"/>
      <c r="W129" s="125"/>
      <c r="X129" s="12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125"/>
      <c r="M130" s="125"/>
      <c r="N130" s="125"/>
      <c r="O130" s="125"/>
      <c r="P130" s="125"/>
      <c r="Q130" s="125"/>
      <c r="R130" s="125"/>
      <c r="S130" s="125"/>
      <c r="T130" s="125"/>
      <c r="U130" s="125"/>
      <c r="V130" s="125"/>
      <c r="W130" s="125"/>
      <c r="X130" s="12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125"/>
      <c r="M131" s="125"/>
      <c r="N131" s="125"/>
      <c r="O131" s="125"/>
      <c r="P131" s="125"/>
      <c r="Q131" s="125"/>
      <c r="R131" s="125"/>
      <c r="S131" s="125"/>
      <c r="T131" s="125"/>
      <c r="U131" s="125"/>
      <c r="V131" s="125"/>
      <c r="W131" s="125"/>
      <c r="X131" s="12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125"/>
      <c r="M132" s="125"/>
      <c r="N132" s="125"/>
      <c r="O132" s="125"/>
      <c r="P132" s="125"/>
      <c r="Q132" s="125"/>
      <c r="R132" s="125"/>
      <c r="S132" s="125"/>
      <c r="T132" s="125"/>
      <c r="U132" s="125"/>
      <c r="V132" s="125"/>
      <c r="W132" s="125"/>
      <c r="X132" s="12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125"/>
      <c r="M133" s="125"/>
      <c r="N133" s="125"/>
      <c r="O133" s="125"/>
      <c r="P133" s="125"/>
      <c r="Q133" s="125"/>
      <c r="R133" s="125"/>
      <c r="S133" s="125"/>
      <c r="T133" s="125"/>
      <c r="U133" s="125"/>
      <c r="V133" s="125"/>
      <c r="W133" s="125"/>
      <c r="X133" s="12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125"/>
      <c r="M134" s="125"/>
      <c r="N134" s="125"/>
      <c r="O134" s="125"/>
      <c r="P134" s="125"/>
      <c r="Q134" s="125"/>
      <c r="R134" s="125"/>
      <c r="S134" s="125"/>
      <c r="T134" s="125"/>
      <c r="U134" s="125"/>
      <c r="V134" s="125"/>
      <c r="W134" s="125"/>
      <c r="X134" s="12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125"/>
      <c r="M135" s="125"/>
      <c r="N135" s="125"/>
      <c r="O135" s="125"/>
      <c r="P135" s="125"/>
      <c r="Q135" s="125"/>
      <c r="R135" s="125"/>
      <c r="S135" s="125"/>
      <c r="T135" s="125"/>
      <c r="U135" s="125"/>
      <c r="V135" s="125"/>
      <c r="W135" s="125"/>
      <c r="X135" s="12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row r="206" spans="1:6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row>
    <row r="207" spans="1:6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row>
    <row r="208" spans="1:6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row>
    <row r="209" spans="1:6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row>
    <row r="210" spans="1:6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row>
    <row r="211" spans="1:6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row>
    <row r="212" spans="1:6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row>
    <row r="213" spans="1:6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row>
    <row r="214" spans="1:6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row>
    <row r="215" spans="1:6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row>
  </sheetData>
  <mergeCells count="5">
    <mergeCell ref="M64:U71"/>
    <mergeCell ref="C6:F6"/>
    <mergeCell ref="A36:J36"/>
    <mergeCell ref="M3:U4"/>
    <mergeCell ref="M53:U61"/>
  </mergeCells>
  <phoneticPr fontId="18" type="noConversion"/>
  <pageMargins left="0.7" right="0.7" top="0.75" bottom="0.75" header="0.3" footer="0.3"/>
  <drawing r:id="rId1"/>
  <legacyDrawing r:id="rId2"/>
  <oleObjects>
    <mc:AlternateContent xmlns:mc="http://schemas.openxmlformats.org/markup-compatibility/2006">
      <mc:Choice Requires="x14">
        <oleObject shapeId="11265" r:id="rId3">
          <objectPr defaultSize="0" autoPict="0" r:id="rId4">
            <anchor moveWithCells="1" sizeWithCells="1">
              <from>
                <xdr:col>12</xdr:col>
                <xdr:colOff>38100</xdr:colOff>
                <xdr:row>71</xdr:row>
                <xdr:rowOff>38100</xdr:rowOff>
              </from>
              <to>
                <xdr:col>21</xdr:col>
                <xdr:colOff>38100</xdr:colOff>
                <xdr:row>76</xdr:row>
                <xdr:rowOff>38100</xdr:rowOff>
              </to>
            </anchor>
          </objectPr>
        </oleObject>
      </mc:Choice>
      <mc:Fallback>
        <oleObject shapeId="11265" r:id="rId3"/>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dimension ref="A1:BM220"/>
  <sheetViews>
    <sheetView zoomScaleNormal="100" workbookViewId="0"/>
  </sheetViews>
  <sheetFormatPr baseColWidth="10" defaultColWidth="10.83203125" defaultRowHeight="16" outlineLevelCol="1" x14ac:dyDescent="0.2"/>
  <cols>
    <col min="1" max="1" width="4.6640625" style="62" customWidth="1"/>
    <col min="2" max="10" width="10.83203125" style="62" customWidth="1"/>
    <col min="11" max="11" width="11.5" style="62" bestFit="1" customWidth="1"/>
    <col min="12" max="20" width="10.83203125" style="62" hidden="1" customWidth="1" outlineLevel="1"/>
    <col min="21" max="21" width="10.83203125" style="62" collapsed="1"/>
    <col min="22" max="16384" width="10.83203125" style="62"/>
  </cols>
  <sheetData>
    <row r="1" spans="1:19" ht="19" x14ac:dyDescent="0.25">
      <c r="A1" s="1" t="s">
        <v>289</v>
      </c>
      <c r="B1" s="46"/>
      <c r="C1" s="59"/>
      <c r="D1" s="59"/>
      <c r="E1" s="59"/>
      <c r="F1" s="60"/>
      <c r="G1" s="60"/>
      <c r="H1" s="60"/>
      <c r="I1" s="60"/>
      <c r="J1" s="61"/>
      <c r="K1" s="3" t="s">
        <v>265</v>
      </c>
    </row>
    <row r="2" spans="1:19" x14ac:dyDescent="0.2">
      <c r="A2" s="2"/>
      <c r="B2" s="60"/>
      <c r="C2" s="60"/>
      <c r="D2" s="60"/>
      <c r="E2" s="60"/>
      <c r="F2" s="60"/>
      <c r="G2" s="60"/>
      <c r="H2" s="60"/>
      <c r="I2" s="60"/>
      <c r="J2" s="61"/>
      <c r="L2" s="19" t="s">
        <v>3</v>
      </c>
      <c r="N2" s="63"/>
    </row>
    <row r="3" spans="1:19" x14ac:dyDescent="0.2">
      <c r="A3" s="2"/>
      <c r="B3" s="60" t="s">
        <v>104</v>
      </c>
      <c r="C3" s="60"/>
      <c r="D3" s="60"/>
      <c r="E3" s="60"/>
      <c r="F3" s="60"/>
      <c r="G3" s="60"/>
      <c r="H3" s="60"/>
      <c r="I3" s="60"/>
      <c r="J3" s="61"/>
      <c r="M3" s="62" t="s">
        <v>181</v>
      </c>
    </row>
    <row r="4" spans="1:19" x14ac:dyDescent="0.2">
      <c r="A4" s="2"/>
      <c r="B4" s="60"/>
      <c r="C4" s="60"/>
      <c r="D4" s="60"/>
      <c r="E4" s="60"/>
      <c r="F4" s="60"/>
      <c r="G4" s="60"/>
      <c r="H4" s="60"/>
      <c r="I4" s="60"/>
      <c r="J4" s="61"/>
      <c r="M4" s="62" t="s">
        <v>182</v>
      </c>
    </row>
    <row r="5" spans="1:19" x14ac:dyDescent="0.2">
      <c r="A5" s="2"/>
      <c r="B5" s="60"/>
      <c r="C5" s="418" t="s">
        <v>109</v>
      </c>
      <c r="D5" s="418"/>
      <c r="E5" s="418"/>
      <c r="F5" s="418"/>
      <c r="G5" s="418"/>
      <c r="H5" s="418"/>
      <c r="I5" s="418"/>
      <c r="J5" s="61"/>
    </row>
    <row r="6" spans="1:19" ht="34" x14ac:dyDescent="0.2">
      <c r="A6" s="2"/>
      <c r="B6" s="60"/>
      <c r="C6" s="10" t="s">
        <v>9</v>
      </c>
      <c r="D6" s="11">
        <v>1</v>
      </c>
      <c r="E6" s="11">
        <v>2</v>
      </c>
      <c r="F6" s="11">
        <v>3</v>
      </c>
      <c r="G6" s="11">
        <v>4</v>
      </c>
      <c r="H6" s="11">
        <v>5</v>
      </c>
      <c r="I6" s="11">
        <v>6</v>
      </c>
      <c r="J6" s="61"/>
      <c r="M6" s="16" t="s">
        <v>183</v>
      </c>
      <c r="N6" s="37" t="s">
        <v>184</v>
      </c>
      <c r="O6" s="37" t="s">
        <v>185</v>
      </c>
    </row>
    <row r="7" spans="1:19" ht="17" x14ac:dyDescent="0.2">
      <c r="A7" s="2"/>
      <c r="B7" s="60"/>
      <c r="C7" s="12">
        <v>1</v>
      </c>
      <c r="D7" s="8">
        <v>-4.41</v>
      </c>
      <c r="E7" s="8">
        <v>21.89</v>
      </c>
      <c r="F7" s="8">
        <v>-8.6199999999999992</v>
      </c>
      <c r="G7" s="8">
        <v>-3.73</v>
      </c>
      <c r="H7" s="8">
        <v>-3.74</v>
      </c>
      <c r="I7" s="8">
        <v>0</v>
      </c>
      <c r="J7" s="61"/>
      <c r="M7" s="15" t="s">
        <v>186</v>
      </c>
      <c r="N7" s="63">
        <f>9.79/D16</f>
        <v>0.86179577464788726</v>
      </c>
      <c r="O7" s="63">
        <f>9.79/G16</f>
        <v>2.8051575931232087</v>
      </c>
    </row>
    <row r="8" spans="1:19" x14ac:dyDescent="0.2">
      <c r="A8" s="2"/>
      <c r="B8" s="60"/>
      <c r="C8" s="12">
        <v>2</v>
      </c>
      <c r="D8" s="8">
        <v>-6.53</v>
      </c>
      <c r="E8" s="8">
        <v>-2.63</v>
      </c>
      <c r="F8" s="8">
        <v>9.6999999999999993</v>
      </c>
      <c r="G8" s="8">
        <v>1.03</v>
      </c>
      <c r="H8" s="8">
        <v>3.74</v>
      </c>
      <c r="I8" s="8"/>
      <c r="J8" s="61"/>
    </row>
    <row r="9" spans="1:19" x14ac:dyDescent="0.2">
      <c r="A9" s="2"/>
      <c r="B9" s="60"/>
      <c r="C9" s="12">
        <v>3</v>
      </c>
      <c r="D9" s="8">
        <v>2.41</v>
      </c>
      <c r="E9" s="8">
        <v>-13.19</v>
      </c>
      <c r="F9" s="8">
        <v>7.97</v>
      </c>
      <c r="G9" s="8">
        <v>2.4</v>
      </c>
      <c r="H9" s="8"/>
      <c r="I9" s="8"/>
      <c r="J9" s="61"/>
      <c r="M9" s="62" t="s">
        <v>187</v>
      </c>
    </row>
    <row r="10" spans="1:19" x14ac:dyDescent="0.2">
      <c r="A10" s="2"/>
      <c r="B10" s="60"/>
      <c r="C10" s="12">
        <v>4</v>
      </c>
      <c r="D10" s="8">
        <v>16.77</v>
      </c>
      <c r="E10" s="8">
        <v>-12.63</v>
      </c>
      <c r="F10" s="8">
        <v>-10.07</v>
      </c>
      <c r="G10" s="8"/>
      <c r="H10" s="8"/>
      <c r="I10" s="8"/>
      <c r="J10" s="61"/>
    </row>
    <row r="11" spans="1:19" x14ac:dyDescent="0.2">
      <c r="A11" s="2"/>
      <c r="B11" s="60"/>
      <c r="C11" s="12">
        <v>5</v>
      </c>
      <c r="D11" s="8">
        <v>-9.39</v>
      </c>
      <c r="E11" s="8">
        <v>9.39</v>
      </c>
      <c r="F11" s="8"/>
      <c r="G11" s="8"/>
      <c r="H11" s="8"/>
      <c r="I11" s="8"/>
      <c r="J11" s="61"/>
      <c r="M11" s="417" t="s">
        <v>188</v>
      </c>
      <c r="N11" s="417"/>
      <c r="O11" s="417"/>
      <c r="P11" s="417"/>
      <c r="Q11" s="417"/>
      <c r="R11" s="417"/>
      <c r="S11" s="417"/>
    </row>
    <row r="12" spans="1:19" ht="34" x14ac:dyDescent="0.2">
      <c r="A12" s="2"/>
      <c r="B12" s="60"/>
      <c r="C12" s="12">
        <v>6</v>
      </c>
      <c r="D12" s="8">
        <v>0</v>
      </c>
      <c r="E12" s="8"/>
      <c r="F12" s="8"/>
      <c r="G12" s="8"/>
      <c r="H12" s="8"/>
      <c r="I12" s="8"/>
      <c r="J12" s="61"/>
      <c r="M12" s="16" t="s">
        <v>9</v>
      </c>
      <c r="N12" s="17">
        <v>1</v>
      </c>
      <c r="O12" s="17">
        <v>2</v>
      </c>
      <c r="P12" s="17">
        <v>3</v>
      </c>
      <c r="Q12" s="17">
        <v>4</v>
      </c>
      <c r="R12" s="17">
        <v>5</v>
      </c>
      <c r="S12" s="17">
        <v>6</v>
      </c>
    </row>
    <row r="13" spans="1:19" x14ac:dyDescent="0.2">
      <c r="A13" s="2"/>
      <c r="B13" s="60"/>
      <c r="C13" s="60"/>
      <c r="D13" s="60"/>
      <c r="E13" s="60"/>
      <c r="F13" s="60"/>
      <c r="G13" s="60"/>
      <c r="H13" s="60"/>
      <c r="I13" s="60"/>
      <c r="J13" s="61"/>
      <c r="M13" s="15">
        <v>1</v>
      </c>
      <c r="N13" s="31">
        <f t="shared" ref="N13:P16" si="0">$N$7*D7</f>
        <v>-3.8005193661971828</v>
      </c>
      <c r="O13" s="31">
        <f t="shared" si="0"/>
        <v>18.864709507042253</v>
      </c>
      <c r="P13" s="31">
        <f t="shared" si="0"/>
        <v>-7.4286795774647878</v>
      </c>
      <c r="Q13" s="31">
        <f>$O$7*G7</f>
        <v>-10.463237822349567</v>
      </c>
      <c r="R13" s="31">
        <f>$O$7*H7</f>
        <v>-10.4912893982808</v>
      </c>
      <c r="S13" s="31">
        <f>$O$7*I7</f>
        <v>0</v>
      </c>
    </row>
    <row r="14" spans="1:19" x14ac:dyDescent="0.2">
      <c r="A14" s="2"/>
      <c r="B14" s="60"/>
      <c r="C14" s="100" t="s">
        <v>111</v>
      </c>
      <c r="D14" s="60">
        <v>10.45</v>
      </c>
      <c r="E14" s="60">
        <v>15.05</v>
      </c>
      <c r="F14" s="60">
        <v>10.53</v>
      </c>
      <c r="G14" s="60">
        <v>3.21</v>
      </c>
      <c r="H14" s="60">
        <v>5.29</v>
      </c>
      <c r="I14" s="60"/>
      <c r="J14" s="61"/>
      <c r="M14" s="15">
        <v>2</v>
      </c>
      <c r="N14" s="31">
        <f t="shared" si="0"/>
        <v>-5.627526408450704</v>
      </c>
      <c r="O14" s="31">
        <f t="shared" si="0"/>
        <v>-2.2665228873239434</v>
      </c>
      <c r="P14" s="31">
        <f t="shared" si="0"/>
        <v>8.3594190140845051</v>
      </c>
      <c r="Q14" s="31">
        <f>$O$7*G8</f>
        <v>2.8893123209169049</v>
      </c>
      <c r="R14" s="31">
        <f>$O$7*H8</f>
        <v>10.4912893982808</v>
      </c>
      <c r="S14" s="31"/>
    </row>
    <row r="15" spans="1:19" x14ac:dyDescent="0.2">
      <c r="A15" s="2"/>
      <c r="B15" s="60"/>
      <c r="C15" s="100" t="s">
        <v>110</v>
      </c>
      <c r="D15" s="60">
        <v>1</v>
      </c>
      <c r="E15" s="60">
        <v>1</v>
      </c>
      <c r="F15" s="60">
        <v>1</v>
      </c>
      <c r="G15" s="60">
        <v>2</v>
      </c>
      <c r="H15" s="60">
        <v>2</v>
      </c>
      <c r="I15" s="60"/>
      <c r="J15" s="61"/>
      <c r="M15" s="15">
        <v>3</v>
      </c>
      <c r="N15" s="31">
        <f t="shared" si="0"/>
        <v>2.0769278169014083</v>
      </c>
      <c r="O15" s="31">
        <f t="shared" si="0"/>
        <v>-11.367086267605632</v>
      </c>
      <c r="P15" s="31">
        <f t="shared" si="0"/>
        <v>6.8685123239436612</v>
      </c>
      <c r="Q15" s="31">
        <f>$O$7*G9</f>
        <v>6.7323782234957008</v>
      </c>
      <c r="R15" s="31"/>
      <c r="S15" s="31"/>
    </row>
    <row r="16" spans="1:19" x14ac:dyDescent="0.2">
      <c r="A16" s="2"/>
      <c r="B16" s="60"/>
      <c r="C16" s="100" t="s">
        <v>112</v>
      </c>
      <c r="D16" s="60">
        <v>11.36</v>
      </c>
      <c r="E16" s="60">
        <v>11.36</v>
      </c>
      <c r="F16" s="60">
        <v>11.36</v>
      </c>
      <c r="G16" s="60">
        <v>3.49</v>
      </c>
      <c r="H16" s="60">
        <v>3.49</v>
      </c>
      <c r="I16" s="60"/>
      <c r="J16" s="61"/>
      <c r="M16" s="15">
        <v>4</v>
      </c>
      <c r="N16" s="31">
        <f t="shared" si="0"/>
        <v>14.452315140845069</v>
      </c>
      <c r="O16" s="31">
        <f t="shared" si="0"/>
        <v>-10.884480633802816</v>
      </c>
      <c r="P16" s="31">
        <f t="shared" si="0"/>
        <v>-8.6782834507042246</v>
      </c>
      <c r="Q16" s="31"/>
      <c r="R16" s="31"/>
      <c r="S16" s="31"/>
    </row>
    <row r="17" spans="1:20" x14ac:dyDescent="0.2">
      <c r="A17" s="2"/>
      <c r="B17" s="60"/>
      <c r="C17" s="60"/>
      <c r="D17" s="60"/>
      <c r="E17" s="60"/>
      <c r="F17" s="60"/>
      <c r="G17" s="60"/>
      <c r="H17" s="60"/>
      <c r="I17" s="60"/>
      <c r="J17" s="61"/>
      <c r="M17" s="15">
        <v>5</v>
      </c>
      <c r="N17" s="31">
        <f>$N$7*D11</f>
        <v>-8.0922623239436611</v>
      </c>
      <c r="O17" s="31">
        <f>$N$7*E11</f>
        <v>8.0922623239436611</v>
      </c>
      <c r="P17" s="31"/>
      <c r="Q17" s="31"/>
      <c r="R17" s="31"/>
      <c r="S17" s="31"/>
    </row>
    <row r="18" spans="1:20" x14ac:dyDescent="0.2">
      <c r="A18" s="2"/>
      <c r="B18" s="101" t="s">
        <v>283</v>
      </c>
      <c r="C18" s="60"/>
      <c r="D18" s="60"/>
      <c r="E18" s="60"/>
      <c r="F18" s="60"/>
      <c r="G18" s="60"/>
      <c r="H18" s="60"/>
      <c r="I18" s="60"/>
      <c r="J18" s="61"/>
      <c r="M18" s="15">
        <v>6</v>
      </c>
      <c r="N18" s="31">
        <f>$N$7*D12</f>
        <v>0</v>
      </c>
      <c r="O18" s="31"/>
      <c r="P18" s="31"/>
      <c r="Q18" s="31"/>
      <c r="R18" s="31"/>
      <c r="S18" s="31"/>
    </row>
    <row r="19" spans="1:20" x14ac:dyDescent="0.2">
      <c r="A19" s="2"/>
      <c r="B19" s="60"/>
      <c r="C19" s="60"/>
      <c r="D19" s="60"/>
      <c r="E19" s="60"/>
      <c r="F19" s="60"/>
      <c r="G19" s="60"/>
      <c r="H19" s="60"/>
      <c r="I19" s="60"/>
      <c r="J19" s="61"/>
    </row>
    <row r="20" spans="1:20" x14ac:dyDescent="0.2">
      <c r="A20" s="2"/>
      <c r="B20" s="60" t="s">
        <v>113</v>
      </c>
      <c r="C20" s="60"/>
      <c r="D20" s="60"/>
      <c r="E20" s="60"/>
      <c r="F20" s="60"/>
      <c r="G20" s="60"/>
      <c r="H20" s="60"/>
      <c r="I20" s="60"/>
      <c r="J20" s="61"/>
      <c r="L20" s="19" t="s">
        <v>4</v>
      </c>
    </row>
    <row r="21" spans="1:20" x14ac:dyDescent="0.2">
      <c r="A21" s="2"/>
      <c r="B21" s="60" t="s">
        <v>114</v>
      </c>
      <c r="C21" s="60"/>
      <c r="D21" s="60"/>
      <c r="E21" s="60"/>
      <c r="F21" s="60"/>
      <c r="G21" s="60"/>
      <c r="H21" s="60"/>
      <c r="I21" s="60"/>
      <c r="J21" s="61"/>
      <c r="M21" s="62" t="s">
        <v>189</v>
      </c>
    </row>
    <row r="22" spans="1:20" x14ac:dyDescent="0.2">
      <c r="A22" s="2"/>
      <c r="B22" s="60"/>
      <c r="C22" s="60"/>
      <c r="D22" s="60"/>
      <c r="E22" s="60"/>
      <c r="F22" s="60"/>
      <c r="G22" s="60"/>
      <c r="H22" s="60"/>
      <c r="I22" s="60"/>
      <c r="J22" s="61"/>
    </row>
    <row r="23" spans="1:20" ht="19" x14ac:dyDescent="0.2">
      <c r="A23" s="2"/>
      <c r="B23" s="60"/>
      <c r="C23" s="10" t="s">
        <v>20</v>
      </c>
      <c r="D23" s="11" t="s">
        <v>115</v>
      </c>
      <c r="E23" s="11" t="s">
        <v>116</v>
      </c>
      <c r="F23" s="11" t="s">
        <v>117</v>
      </c>
      <c r="G23" s="11" t="s">
        <v>118</v>
      </c>
      <c r="H23" s="11" t="s">
        <v>119</v>
      </c>
      <c r="I23" s="11" t="s">
        <v>120</v>
      </c>
      <c r="J23" s="61"/>
      <c r="M23" s="62" t="s">
        <v>192</v>
      </c>
    </row>
    <row r="24" spans="1:20" ht="17" x14ac:dyDescent="0.2">
      <c r="A24" s="2"/>
      <c r="B24" s="60"/>
      <c r="C24" s="12" t="s">
        <v>21</v>
      </c>
      <c r="D24" s="8">
        <v>7.95</v>
      </c>
      <c r="E24" s="8">
        <v>8.2899999999999991</v>
      </c>
      <c r="F24" s="8">
        <v>8.2799999999999994</v>
      </c>
      <c r="G24" s="8">
        <v>8.26</v>
      </c>
      <c r="H24" s="8">
        <v>8.17</v>
      </c>
      <c r="I24" s="8">
        <v>8.2100000000000009</v>
      </c>
      <c r="J24" s="61"/>
      <c r="M24" s="62" t="s">
        <v>191</v>
      </c>
      <c r="N24" s="62">
        <f>E24+D27+E27+F27</f>
        <v>5.5399999999999991</v>
      </c>
    </row>
    <row r="25" spans="1:20" x14ac:dyDescent="0.2">
      <c r="A25" s="2"/>
      <c r="B25" s="60"/>
      <c r="C25" s="60"/>
      <c r="D25" s="60"/>
      <c r="E25" s="60"/>
      <c r="F25" s="60"/>
      <c r="G25" s="60"/>
      <c r="H25" s="60"/>
      <c r="I25" s="60"/>
      <c r="J25" s="61"/>
      <c r="M25" s="62" t="s">
        <v>193</v>
      </c>
      <c r="N25" s="102">
        <f>EXP(N24)</f>
        <v>254.67799945855441</v>
      </c>
    </row>
    <row r="26" spans="1:20" ht="19" x14ac:dyDescent="0.2">
      <c r="A26" s="2"/>
      <c r="B26" s="60"/>
      <c r="C26" s="10" t="s">
        <v>20</v>
      </c>
      <c r="D26" s="11" t="s">
        <v>121</v>
      </c>
      <c r="E26" s="11" t="s">
        <v>122</v>
      </c>
      <c r="F26" s="11" t="s">
        <v>123</v>
      </c>
      <c r="G26" s="11" t="s">
        <v>124</v>
      </c>
      <c r="H26" s="11" t="s">
        <v>125</v>
      </c>
      <c r="I26" s="60"/>
      <c r="J26" s="61"/>
    </row>
    <row r="27" spans="1:20" ht="17" x14ac:dyDescent="0.2">
      <c r="A27" s="2"/>
      <c r="B27" s="60"/>
      <c r="C27" s="12" t="s">
        <v>21</v>
      </c>
      <c r="D27" s="8">
        <v>-2.39</v>
      </c>
      <c r="E27" s="8">
        <v>0.03</v>
      </c>
      <c r="F27" s="8">
        <v>-0.39</v>
      </c>
      <c r="G27" s="8">
        <v>0.4</v>
      </c>
      <c r="H27" s="8">
        <v>-1.39</v>
      </c>
      <c r="I27" s="60"/>
      <c r="J27" s="61"/>
    </row>
    <row r="28" spans="1:20" x14ac:dyDescent="0.2">
      <c r="A28" s="2"/>
      <c r="B28" s="60"/>
      <c r="C28" s="60"/>
      <c r="D28" s="60"/>
      <c r="E28" s="60"/>
      <c r="F28" s="60"/>
      <c r="G28" s="60"/>
      <c r="H28" s="60"/>
      <c r="I28" s="60"/>
      <c r="J28" s="61"/>
      <c r="M28" s="413" t="s">
        <v>194</v>
      </c>
      <c r="N28" s="413"/>
      <c r="O28" s="413"/>
      <c r="P28" s="413"/>
      <c r="Q28" s="413"/>
      <c r="R28" s="413"/>
      <c r="S28" s="413"/>
      <c r="T28" s="413"/>
    </row>
    <row r="29" spans="1:20" x14ac:dyDescent="0.2">
      <c r="A29" s="2"/>
      <c r="B29" s="60" t="s">
        <v>108</v>
      </c>
      <c r="C29" s="60"/>
      <c r="D29" s="60"/>
      <c r="E29" s="60"/>
      <c r="F29" s="60"/>
      <c r="G29" s="60"/>
      <c r="H29" s="60"/>
      <c r="I29" s="60"/>
      <c r="J29" s="61"/>
      <c r="M29" s="413"/>
      <c r="N29" s="413"/>
      <c r="O29" s="413"/>
      <c r="P29" s="413"/>
      <c r="Q29" s="413"/>
      <c r="R29" s="413"/>
      <c r="S29" s="413"/>
      <c r="T29" s="413"/>
    </row>
    <row r="30" spans="1:20" x14ac:dyDescent="0.2">
      <c r="A30" s="2"/>
      <c r="B30" s="60" t="s">
        <v>107</v>
      </c>
      <c r="C30" s="60"/>
      <c r="D30" s="60"/>
      <c r="E30" s="60"/>
      <c r="F30" s="60"/>
      <c r="G30" s="60"/>
      <c r="H30" s="60"/>
      <c r="I30" s="60"/>
      <c r="J30" s="61"/>
    </row>
    <row r="31" spans="1:20" x14ac:dyDescent="0.2">
      <c r="A31" s="2"/>
      <c r="B31" s="60"/>
      <c r="C31" s="60"/>
      <c r="D31" s="60"/>
      <c r="E31" s="60"/>
      <c r="F31" s="60"/>
      <c r="G31" s="60"/>
      <c r="H31" s="60"/>
      <c r="I31" s="60"/>
      <c r="J31" s="61"/>
      <c r="M31" s="62" t="s">
        <v>195</v>
      </c>
    </row>
    <row r="32" spans="1:20" x14ac:dyDescent="0.2">
      <c r="A32" s="2"/>
      <c r="B32" s="60"/>
      <c r="C32" s="418" t="s">
        <v>106</v>
      </c>
      <c r="D32" s="418"/>
      <c r="E32" s="418"/>
      <c r="F32" s="418"/>
      <c r="G32" s="418"/>
      <c r="H32" s="418"/>
      <c r="I32" s="418"/>
      <c r="J32" s="61"/>
      <c r="M32" s="62" t="s">
        <v>196</v>
      </c>
      <c r="N32" s="38">
        <f>O15/$O$7*SQRT(N25)+N25</f>
        <v>190.01027100465922</v>
      </c>
    </row>
    <row r="33" spans="1:25" ht="34" x14ac:dyDescent="0.2">
      <c r="A33" s="2"/>
      <c r="B33" s="60"/>
      <c r="C33" s="10" t="s">
        <v>9</v>
      </c>
      <c r="D33" s="11">
        <v>1</v>
      </c>
      <c r="E33" s="11">
        <v>2</v>
      </c>
      <c r="F33" s="11">
        <v>3</v>
      </c>
      <c r="G33" s="11">
        <v>4</v>
      </c>
      <c r="H33" s="11">
        <v>5</v>
      </c>
      <c r="I33" s="11">
        <v>6</v>
      </c>
      <c r="J33" s="61"/>
      <c r="L33" s="19" t="s">
        <v>5</v>
      </c>
    </row>
    <row r="34" spans="1:25" ht="16" customHeight="1" x14ac:dyDescent="0.2">
      <c r="A34" s="2"/>
      <c r="B34" s="60"/>
      <c r="C34" s="12">
        <v>2</v>
      </c>
      <c r="D34" s="8" t="s">
        <v>126</v>
      </c>
      <c r="E34" s="8" t="s">
        <v>127</v>
      </c>
      <c r="F34" s="103" t="s">
        <v>128</v>
      </c>
      <c r="G34" s="8" t="s">
        <v>129</v>
      </c>
      <c r="H34" s="8" t="s">
        <v>130</v>
      </c>
      <c r="I34" s="8"/>
      <c r="J34" s="61"/>
      <c r="M34" s="19" t="s">
        <v>197</v>
      </c>
    </row>
    <row r="35" spans="1:25" x14ac:dyDescent="0.2">
      <c r="A35" s="2"/>
      <c r="B35" s="60"/>
      <c r="C35" s="60"/>
      <c r="D35" s="60"/>
      <c r="E35" s="60"/>
      <c r="F35" s="60"/>
      <c r="G35" s="60"/>
      <c r="H35" s="60"/>
      <c r="I35" s="60"/>
      <c r="J35" s="61"/>
      <c r="M35" s="422" t="s">
        <v>282</v>
      </c>
      <c r="N35" s="422"/>
      <c r="O35" s="422"/>
      <c r="P35" s="422"/>
      <c r="Q35" s="422"/>
      <c r="R35" s="422"/>
      <c r="S35" s="422"/>
      <c r="T35" s="422"/>
    </row>
    <row r="36" spans="1:25" x14ac:dyDescent="0.2">
      <c r="A36" s="60" t="s">
        <v>0</v>
      </c>
      <c r="B36" s="60" t="s">
        <v>190</v>
      </c>
      <c r="C36" s="60"/>
      <c r="D36" s="60"/>
      <c r="E36" s="60"/>
      <c r="F36" s="60"/>
      <c r="G36" s="60"/>
      <c r="H36" s="60"/>
      <c r="I36" s="60"/>
      <c r="J36" s="61"/>
      <c r="M36" s="422"/>
      <c r="N36" s="422"/>
      <c r="O36" s="422"/>
      <c r="P36" s="422"/>
      <c r="Q36" s="422"/>
      <c r="R36" s="422"/>
      <c r="S36" s="422"/>
      <c r="T36" s="422"/>
    </row>
    <row r="37" spans="1:25" x14ac:dyDescent="0.2">
      <c r="A37" s="2"/>
      <c r="B37" s="60"/>
      <c r="C37" s="60"/>
      <c r="D37" s="60"/>
      <c r="E37" s="60"/>
      <c r="F37" s="60"/>
      <c r="G37" s="60"/>
      <c r="H37" s="60"/>
      <c r="I37" s="60"/>
      <c r="J37" s="61"/>
    </row>
    <row r="38" spans="1:25" x14ac:dyDescent="0.2">
      <c r="A38" s="60" t="s">
        <v>1</v>
      </c>
      <c r="B38" s="60" t="s">
        <v>272</v>
      </c>
      <c r="C38" s="60"/>
      <c r="D38" s="60"/>
      <c r="E38" s="60"/>
      <c r="F38" s="60"/>
      <c r="G38" s="60"/>
      <c r="H38" s="60"/>
      <c r="I38" s="60"/>
      <c r="J38" s="61"/>
      <c r="M38" s="19" t="s">
        <v>198</v>
      </c>
    </row>
    <row r="39" spans="1:25" x14ac:dyDescent="0.2">
      <c r="A39" s="2"/>
      <c r="B39" s="60" t="s">
        <v>271</v>
      </c>
      <c r="C39" s="60"/>
      <c r="D39" s="60"/>
      <c r="E39" s="60"/>
      <c r="F39" s="60"/>
      <c r="G39" s="60"/>
      <c r="H39" s="60"/>
      <c r="I39" s="60"/>
      <c r="J39" s="61"/>
      <c r="M39" s="413" t="s">
        <v>273</v>
      </c>
      <c r="N39" s="413"/>
      <c r="O39" s="413"/>
      <c r="P39" s="413"/>
      <c r="Q39" s="413"/>
      <c r="R39" s="413"/>
      <c r="S39" s="413"/>
      <c r="T39" s="413"/>
    </row>
    <row r="40" spans="1:25" x14ac:dyDescent="0.2">
      <c r="A40" s="2"/>
      <c r="B40" s="60"/>
      <c r="C40" s="60"/>
      <c r="D40" s="60"/>
      <c r="E40" s="60"/>
      <c r="F40" s="60"/>
      <c r="G40" s="60"/>
      <c r="H40" s="60"/>
      <c r="I40" s="60"/>
      <c r="J40" s="61"/>
      <c r="M40" s="413"/>
      <c r="N40" s="413"/>
      <c r="O40" s="413"/>
      <c r="P40" s="413"/>
      <c r="Q40" s="413"/>
      <c r="R40" s="413"/>
      <c r="S40" s="413"/>
      <c r="T40" s="413"/>
    </row>
    <row r="41" spans="1:25" x14ac:dyDescent="0.2">
      <c r="A41" s="60" t="s">
        <v>2</v>
      </c>
      <c r="B41" s="60" t="s">
        <v>105</v>
      </c>
      <c r="C41" s="60"/>
      <c r="D41" s="60"/>
      <c r="E41" s="60"/>
      <c r="F41" s="60"/>
      <c r="G41" s="60"/>
      <c r="H41" s="60"/>
      <c r="I41" s="60"/>
      <c r="J41" s="61"/>
    </row>
    <row r="42" spans="1:25" x14ac:dyDescent="0.2">
      <c r="A42" s="2"/>
      <c r="B42" s="60"/>
      <c r="C42" s="60"/>
      <c r="D42" s="60"/>
      <c r="E42" s="60"/>
      <c r="F42" s="60"/>
      <c r="G42" s="60"/>
      <c r="H42" s="60"/>
      <c r="I42" s="60"/>
      <c r="J42" s="61"/>
      <c r="M42" s="62" t="s">
        <v>199</v>
      </c>
    </row>
    <row r="43" spans="1:25" ht="17" thickBot="1" x14ac:dyDescent="0.25">
      <c r="A43" s="2"/>
      <c r="B43" s="60"/>
      <c r="C43" s="60"/>
      <c r="D43" s="60"/>
      <c r="E43" s="60"/>
      <c r="F43" s="60"/>
      <c r="G43" s="60"/>
      <c r="H43" s="60"/>
      <c r="I43" s="60"/>
      <c r="J43" s="61"/>
    </row>
    <row r="44" spans="1:25" ht="17" thickBot="1" x14ac:dyDescent="0.25">
      <c r="A44" s="410" t="s">
        <v>266</v>
      </c>
      <c r="B44" s="411"/>
      <c r="C44" s="411"/>
      <c r="D44" s="411"/>
      <c r="E44" s="411"/>
      <c r="F44" s="411"/>
      <c r="G44" s="411"/>
      <c r="H44" s="411"/>
      <c r="I44" s="411"/>
      <c r="J44" s="412"/>
    </row>
    <row r="46" spans="1:25" ht="19" x14ac:dyDescent="0.25">
      <c r="A46" s="3"/>
      <c r="L46" s="3" t="s">
        <v>303</v>
      </c>
    </row>
    <row r="47" spans="1:25" x14ac:dyDescent="0.2">
      <c r="A47" s="125"/>
      <c r="B47" s="125"/>
      <c r="C47" s="125"/>
      <c r="D47" s="125"/>
      <c r="E47" s="125"/>
      <c r="F47" s="125"/>
      <c r="G47" s="125"/>
      <c r="H47" s="125"/>
      <c r="I47" s="125"/>
      <c r="J47" s="125"/>
      <c r="K47" s="125"/>
      <c r="L47" s="125" t="s">
        <v>300</v>
      </c>
      <c r="M47" s="125"/>
      <c r="N47" s="125"/>
      <c r="O47" s="125"/>
      <c r="P47" s="125"/>
      <c r="Q47" s="125"/>
      <c r="R47" s="125"/>
      <c r="S47" s="125"/>
      <c r="T47" s="125"/>
      <c r="U47" s="125"/>
      <c r="V47" s="125"/>
      <c r="W47" s="125"/>
      <c r="X47" s="125"/>
      <c r="Y47" s="125"/>
    </row>
    <row r="48" spans="1:25" x14ac:dyDescent="0.2">
      <c r="A48" s="125"/>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row>
    <row r="49" spans="1:25" x14ac:dyDescent="0.2">
      <c r="A49" s="125"/>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row>
    <row r="50" spans="1:25" x14ac:dyDescent="0.2">
      <c r="A50" s="125"/>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row>
    <row r="51" spans="1:25" x14ac:dyDescent="0.2">
      <c r="A51" s="125"/>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row>
    <row r="52" spans="1:25" x14ac:dyDescent="0.2">
      <c r="A52" s="125"/>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row>
    <row r="53" spans="1:25" x14ac:dyDescent="0.2">
      <c r="A53" s="125"/>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row>
    <row r="54" spans="1:25" x14ac:dyDescent="0.2">
      <c r="A54" s="125"/>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row>
    <row r="55" spans="1:25" x14ac:dyDescent="0.2">
      <c r="A55" s="125"/>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row>
    <row r="56" spans="1:25" x14ac:dyDescent="0.2">
      <c r="A56" s="125"/>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row>
    <row r="57" spans="1:25" x14ac:dyDescent="0.2">
      <c r="A57" s="125"/>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row>
    <row r="58" spans="1:25" x14ac:dyDescent="0.2">
      <c r="A58" s="125"/>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row>
    <row r="59" spans="1:25" x14ac:dyDescent="0.2">
      <c r="A59" s="125"/>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row>
    <row r="60" spans="1:25" x14ac:dyDescent="0.2">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row>
    <row r="61" spans="1:25" x14ac:dyDescent="0.2">
      <c r="A61" s="125"/>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row>
    <row r="62" spans="1:25" x14ac:dyDescent="0.2">
      <c r="A62" s="1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row>
    <row r="63" spans="1:25" x14ac:dyDescent="0.2">
      <c r="A63" s="125"/>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row>
    <row r="64" spans="1:25" x14ac:dyDescent="0.2">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row>
    <row r="65" spans="1:25" x14ac:dyDescent="0.2">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row>
    <row r="66" spans="1:25" x14ac:dyDescent="0.2">
      <c r="A66" s="125"/>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row>
    <row r="67" spans="1:25" x14ac:dyDescent="0.2">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row>
    <row r="68" spans="1:25" x14ac:dyDescent="0.2">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row>
    <row r="69" spans="1:25" x14ac:dyDescent="0.2">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row>
    <row r="70" spans="1:25" x14ac:dyDescent="0.2">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row>
    <row r="71" spans="1:25" x14ac:dyDescent="0.2">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row>
    <row r="72" spans="1:25" x14ac:dyDescent="0.2">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row>
    <row r="73" spans="1:25" x14ac:dyDescent="0.2">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row>
    <row r="74" spans="1:25" x14ac:dyDescent="0.2">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row>
    <row r="75" spans="1:25" x14ac:dyDescent="0.2">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row>
    <row r="76" spans="1:25" x14ac:dyDescent="0.2">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row>
    <row r="77" spans="1:25" x14ac:dyDescent="0.2">
      <c r="A77" s="125"/>
      <c r="B77" s="125"/>
      <c r="C77" s="125"/>
      <c r="D77" s="125"/>
      <c r="E77" s="125"/>
      <c r="F77" s="125"/>
      <c r="G77" s="125"/>
      <c r="H77" s="125"/>
      <c r="I77" s="125"/>
      <c r="J77" s="125"/>
      <c r="K77" s="125"/>
      <c r="L77" s="125"/>
      <c r="M77" s="126"/>
      <c r="N77" s="125"/>
      <c r="O77" s="125"/>
      <c r="P77" s="125"/>
      <c r="Q77" s="125"/>
      <c r="R77" s="125"/>
      <c r="S77" s="125"/>
      <c r="T77" s="125"/>
      <c r="U77" s="125"/>
      <c r="V77" s="125"/>
      <c r="W77" s="125"/>
      <c r="X77" s="125"/>
      <c r="Y77" s="125"/>
    </row>
    <row r="78" spans="1:25" x14ac:dyDescent="0.2">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row>
    <row r="79" spans="1:25" x14ac:dyDescent="0.2">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row>
    <row r="80" spans="1:25" x14ac:dyDescent="0.2">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row>
    <row r="81" spans="1:25" x14ac:dyDescent="0.2">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row>
    <row r="82" spans="1:25" x14ac:dyDescent="0.2">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row>
    <row r="83" spans="1:25" x14ac:dyDescent="0.2">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row>
    <row r="84" spans="1:25" x14ac:dyDescent="0.2">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row>
    <row r="85" spans="1:25" x14ac:dyDescent="0.2">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row>
    <row r="86" spans="1:25" x14ac:dyDescent="0.2">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row>
    <row r="87" spans="1:25" x14ac:dyDescent="0.2">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row>
    <row r="88" spans="1:25" x14ac:dyDescent="0.2">
      <c r="A88" s="125"/>
      <c r="B88" s="125"/>
      <c r="C88" s="125"/>
      <c r="D88" s="125"/>
      <c r="E88" s="125"/>
      <c r="F88" s="125"/>
      <c r="G88" s="125"/>
      <c r="H88" s="125"/>
      <c r="I88" s="125"/>
      <c r="J88" s="125"/>
      <c r="K88" s="125"/>
      <c r="L88" s="125"/>
      <c r="M88" s="126"/>
      <c r="N88" s="125"/>
      <c r="O88" s="125"/>
      <c r="P88" s="125"/>
      <c r="Q88" s="125"/>
      <c r="R88" s="125"/>
      <c r="S88" s="125"/>
      <c r="T88" s="125"/>
      <c r="U88" s="125"/>
      <c r="V88" s="125"/>
      <c r="W88" s="125"/>
      <c r="X88" s="125"/>
      <c r="Y88" s="125"/>
    </row>
    <row r="89" spans="1:25" x14ac:dyDescent="0.2">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row>
    <row r="90" spans="1:25" x14ac:dyDescent="0.2">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row>
    <row r="91" spans="1:25" x14ac:dyDescent="0.2">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row>
    <row r="92" spans="1:25" x14ac:dyDescent="0.2">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row>
    <row r="93" spans="1:25" x14ac:dyDescent="0.2">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row>
    <row r="94" spans="1:25" x14ac:dyDescent="0.2">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row>
    <row r="95" spans="1:25" x14ac:dyDescent="0.2">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row>
    <row r="96" spans="1:25" x14ac:dyDescent="0.2">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row>
    <row r="97" spans="1:25" x14ac:dyDescent="0.2">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row>
    <row r="98" spans="1:25" x14ac:dyDescent="0.2">
      <c r="A98" s="125"/>
      <c r="B98" s="125"/>
      <c r="C98" s="125"/>
      <c r="D98" s="125"/>
      <c r="E98" s="125"/>
      <c r="F98" s="125"/>
      <c r="G98" s="125"/>
      <c r="H98" s="125"/>
      <c r="I98" s="125"/>
      <c r="J98" s="125"/>
      <c r="K98" s="125"/>
      <c r="L98" s="125"/>
      <c r="M98" s="126"/>
      <c r="N98" s="125"/>
      <c r="O98" s="125"/>
      <c r="P98" s="125"/>
      <c r="Q98" s="125"/>
      <c r="R98" s="125"/>
      <c r="S98" s="125"/>
      <c r="T98" s="125"/>
      <c r="U98" s="125"/>
      <c r="V98" s="125"/>
      <c r="W98" s="125"/>
      <c r="X98" s="125"/>
      <c r="Y98" s="125"/>
    </row>
    <row r="99" spans="1:25" x14ac:dyDescent="0.2">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row>
    <row r="100" spans="1:25" x14ac:dyDescent="0.2">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row>
    <row r="101" spans="1:25" x14ac:dyDescent="0.2">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row>
    <row r="102" spans="1:25" x14ac:dyDescent="0.2">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row>
    <row r="103" spans="1:25" x14ac:dyDescent="0.2">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row>
    <row r="104" spans="1:25" x14ac:dyDescent="0.2">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row>
    <row r="105" spans="1:25" x14ac:dyDescent="0.2">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row>
    <row r="106" spans="1:25" x14ac:dyDescent="0.2">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row>
    <row r="107" spans="1:25" x14ac:dyDescent="0.2">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row>
    <row r="108" spans="1:25" x14ac:dyDescent="0.2">
      <c r="A108" s="125"/>
      <c r="B108" s="125"/>
      <c r="C108" s="125"/>
      <c r="D108" s="125"/>
      <c r="E108" s="125"/>
      <c r="F108" s="125"/>
      <c r="G108" s="125"/>
      <c r="H108" s="125"/>
      <c r="I108" s="125"/>
      <c r="J108" s="125"/>
      <c r="K108" s="125"/>
      <c r="L108" s="125"/>
      <c r="M108" s="126"/>
      <c r="N108" s="125"/>
      <c r="O108" s="125"/>
      <c r="P108" s="125"/>
      <c r="Q108" s="125"/>
      <c r="R108" s="125"/>
      <c r="S108" s="125"/>
      <c r="T108" s="125"/>
      <c r="U108" s="125"/>
      <c r="V108" s="125"/>
      <c r="W108" s="125"/>
      <c r="X108" s="125"/>
      <c r="Y108" s="125"/>
    </row>
    <row r="109" spans="1:25" x14ac:dyDescent="0.2">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row>
    <row r="110" spans="1:25" x14ac:dyDescent="0.2">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row>
    <row r="111" spans="1:25" x14ac:dyDescent="0.2">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row>
    <row r="112" spans="1:25" x14ac:dyDescent="0.2">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row>
    <row r="113" spans="1:65" x14ac:dyDescent="0.2">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row>
    <row r="114" spans="1:65" x14ac:dyDescent="0.2">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row>
    <row r="115" spans="1:65" x14ac:dyDescent="0.2">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row>
    <row r="116" spans="1:65" x14ac:dyDescent="0.2">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row>
    <row r="117" spans="1:65" x14ac:dyDescent="0.2">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row>
    <row r="118" spans="1:65" x14ac:dyDescent="0.2">
      <c r="A118" s="125"/>
      <c r="B118" s="125"/>
      <c r="C118" s="125"/>
      <c r="D118" s="125"/>
      <c r="E118" s="125"/>
      <c r="F118" s="125"/>
      <c r="G118" s="125"/>
      <c r="H118" s="125"/>
      <c r="I118" s="125"/>
      <c r="J118" s="125"/>
      <c r="K118" s="125"/>
      <c r="L118" s="125"/>
      <c r="M118" s="126"/>
      <c r="N118" s="125"/>
      <c r="O118" s="125"/>
      <c r="P118" s="125"/>
      <c r="Q118" s="125"/>
      <c r="R118" s="125"/>
      <c r="S118" s="125"/>
      <c r="T118" s="125"/>
      <c r="U118" s="125"/>
      <c r="V118" s="125"/>
      <c r="W118" s="125"/>
      <c r="X118" s="125"/>
      <c r="Y118" s="125"/>
    </row>
    <row r="119" spans="1:65" x14ac:dyDescent="0.2">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row r="206" spans="1:6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row>
    <row r="207" spans="1:6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row>
    <row r="208" spans="1:6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row>
    <row r="209" spans="1:6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row>
    <row r="210" spans="1:6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row>
    <row r="211" spans="1:6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row>
    <row r="212" spans="1:6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row>
    <row r="213" spans="1:6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row>
    <row r="214" spans="1:6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row>
    <row r="215" spans="1:6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row>
    <row r="216" spans="1:6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row>
    <row r="217" spans="1:6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row>
    <row r="218" spans="1:65" x14ac:dyDescent="0.2">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row>
    <row r="219" spans="1:65" x14ac:dyDescent="0.2">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row>
    <row r="220" spans="1:65" x14ac:dyDescent="0.2">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row>
  </sheetData>
  <mergeCells count="7">
    <mergeCell ref="C5:I5"/>
    <mergeCell ref="C32:I32"/>
    <mergeCell ref="M11:S11"/>
    <mergeCell ref="A44:J44"/>
    <mergeCell ref="M28:T29"/>
    <mergeCell ref="M39:T40"/>
    <mergeCell ref="M35:T3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89FB-38B8-A54B-960D-933D380AA1BC}">
  <dimension ref="A1:BN201"/>
  <sheetViews>
    <sheetView zoomScaleNormal="100" workbookViewId="0"/>
  </sheetViews>
  <sheetFormatPr baseColWidth="10" defaultColWidth="10.83203125" defaultRowHeight="16" outlineLevelCol="1" x14ac:dyDescent="0.2"/>
  <cols>
    <col min="1" max="1" width="4.6640625" style="62" customWidth="1"/>
    <col min="2" max="10" width="10.83203125" style="62" customWidth="1"/>
    <col min="11" max="11" width="11.5" style="62" bestFit="1" customWidth="1"/>
    <col min="12" max="20" width="10.83203125" style="62" hidden="1" customWidth="1" outlineLevel="1"/>
    <col min="21" max="21" width="10.83203125" style="62" collapsed="1"/>
    <col min="22" max="16384" width="10.83203125" style="62"/>
  </cols>
  <sheetData>
    <row r="1" spans="1:20" ht="19" x14ac:dyDescent="0.25">
      <c r="A1" s="1" t="s">
        <v>290</v>
      </c>
      <c r="B1" s="46"/>
      <c r="C1" s="59"/>
      <c r="D1" s="59"/>
      <c r="E1" s="59"/>
      <c r="F1" s="91"/>
      <c r="G1" s="91"/>
      <c r="H1" s="91"/>
      <c r="I1" s="91"/>
      <c r="J1" s="92"/>
      <c r="K1" s="3" t="s">
        <v>265</v>
      </c>
    </row>
    <row r="2" spans="1:20" x14ac:dyDescent="0.2">
      <c r="A2" s="2"/>
      <c r="B2" s="60"/>
      <c r="C2" s="60"/>
      <c r="D2" s="60"/>
      <c r="E2" s="60"/>
      <c r="F2" s="60"/>
      <c r="G2" s="60"/>
      <c r="H2" s="60"/>
      <c r="I2" s="60"/>
      <c r="J2" s="61"/>
      <c r="L2" s="62" t="s">
        <v>148</v>
      </c>
    </row>
    <row r="3" spans="1:20" x14ac:dyDescent="0.2">
      <c r="A3" s="2"/>
      <c r="B3" s="60" t="s">
        <v>131</v>
      </c>
      <c r="C3" s="60"/>
      <c r="D3" s="60"/>
      <c r="E3" s="60"/>
      <c r="F3" s="60"/>
      <c r="G3" s="60"/>
      <c r="H3" s="60"/>
      <c r="I3" s="60"/>
      <c r="J3" s="61"/>
    </row>
    <row r="4" spans="1:20" x14ac:dyDescent="0.2">
      <c r="A4" s="2"/>
      <c r="B4" s="60" t="s">
        <v>132</v>
      </c>
      <c r="C4" s="60"/>
      <c r="D4" s="60"/>
      <c r="E4" s="60"/>
      <c r="F4" s="60"/>
      <c r="G4" s="60"/>
      <c r="H4" s="60"/>
      <c r="I4" s="60"/>
      <c r="J4" s="61"/>
      <c r="L4" s="423" t="s">
        <v>141</v>
      </c>
      <c r="M4" s="423"/>
      <c r="N4" s="423"/>
      <c r="O4" s="423"/>
      <c r="Q4" s="423" t="s">
        <v>142</v>
      </c>
      <c r="R4" s="423"/>
      <c r="S4" s="423"/>
      <c r="T4" s="423"/>
    </row>
    <row r="5" spans="1:20" ht="17" x14ac:dyDescent="0.2">
      <c r="A5" s="2"/>
      <c r="B5" s="60"/>
      <c r="C5" s="60"/>
      <c r="D5" s="60"/>
      <c r="E5" s="60"/>
      <c r="F5" s="60"/>
      <c r="G5" s="60"/>
      <c r="H5" s="60"/>
      <c r="I5" s="60"/>
      <c r="J5" s="61"/>
      <c r="L5" s="16" t="s">
        <v>35</v>
      </c>
      <c r="M5" s="17">
        <v>12</v>
      </c>
      <c r="N5" s="17">
        <v>24</v>
      </c>
      <c r="O5" s="17">
        <v>36</v>
      </c>
      <c r="Q5" s="16" t="s">
        <v>35</v>
      </c>
      <c r="R5" s="17">
        <v>12</v>
      </c>
      <c r="S5" s="17">
        <v>24</v>
      </c>
      <c r="T5" s="17">
        <v>36</v>
      </c>
    </row>
    <row r="6" spans="1:20" ht="17" thickBot="1" x14ac:dyDescent="0.25">
      <c r="A6" s="2"/>
      <c r="B6" s="60" t="s">
        <v>133</v>
      </c>
      <c r="C6" s="60"/>
      <c r="D6" s="60"/>
      <c r="E6" s="60"/>
      <c r="F6" s="60"/>
      <c r="G6" s="60"/>
      <c r="H6" s="60"/>
      <c r="I6" s="60"/>
      <c r="J6" s="61"/>
      <c r="L6" s="15">
        <v>2013</v>
      </c>
      <c r="M6" s="14"/>
      <c r="N6" s="14"/>
      <c r="O6" s="27"/>
      <c r="Q6" s="15">
        <v>2013</v>
      </c>
      <c r="R6" s="14"/>
      <c r="S6" s="14"/>
      <c r="T6" s="27"/>
    </row>
    <row r="7" spans="1:20" ht="17" thickBot="1" x14ac:dyDescent="0.25">
      <c r="A7" s="2"/>
      <c r="B7" s="60"/>
      <c r="C7" s="60"/>
      <c r="D7" s="60"/>
      <c r="E7" s="60"/>
      <c r="F7" s="60"/>
      <c r="G7" s="60"/>
      <c r="H7" s="60"/>
      <c r="I7" s="60"/>
      <c r="J7" s="61"/>
      <c r="L7" s="15">
        <v>2014</v>
      </c>
      <c r="M7" s="14"/>
      <c r="N7" s="28"/>
      <c r="O7" s="30">
        <f>$F26*E12+$G26*E19</f>
        <v>186</v>
      </c>
      <c r="Q7" s="15">
        <v>2014</v>
      </c>
      <c r="R7" s="14"/>
      <c r="S7" s="28"/>
      <c r="T7" s="14">
        <f>$F26*J12+$G26*J19</f>
        <v>204.5</v>
      </c>
    </row>
    <row r="8" spans="1:20" x14ac:dyDescent="0.2">
      <c r="A8" s="2"/>
      <c r="B8" s="60"/>
      <c r="C8" s="60"/>
      <c r="D8" s="60"/>
      <c r="E8" s="60"/>
      <c r="F8" s="45" t="s">
        <v>144</v>
      </c>
      <c r="G8" s="60"/>
      <c r="H8" s="60"/>
      <c r="I8" s="60"/>
      <c r="J8" s="61"/>
      <c r="L8" s="15">
        <v>2015</v>
      </c>
      <c r="M8" s="29"/>
      <c r="N8" s="30">
        <f>$F27*D13+$G27*D20</f>
        <v>1614.25</v>
      </c>
      <c r="O8" s="14">
        <f>$F27*E13+$G27*E20</f>
        <v>188.5</v>
      </c>
      <c r="Q8" s="15">
        <v>2015</v>
      </c>
      <c r="R8" s="29"/>
      <c r="S8" s="14">
        <f>$F27*I13+$G27*I20</f>
        <v>1687.5</v>
      </c>
      <c r="T8" s="14">
        <f>$F27*J13+$G27*J20</f>
        <v>202.5</v>
      </c>
    </row>
    <row r="9" spans="1:20" x14ac:dyDescent="0.2">
      <c r="A9" s="2"/>
      <c r="B9" s="408" t="s">
        <v>141</v>
      </c>
      <c r="C9" s="408"/>
      <c r="D9" s="408"/>
      <c r="E9" s="408"/>
      <c r="F9" s="60"/>
      <c r="G9" s="408" t="s">
        <v>142</v>
      </c>
      <c r="H9" s="408"/>
      <c r="I9" s="408"/>
      <c r="J9" s="419"/>
    </row>
    <row r="10" spans="1:20" ht="17" x14ac:dyDescent="0.2">
      <c r="A10" s="2"/>
      <c r="B10" s="10" t="s">
        <v>35</v>
      </c>
      <c r="C10" s="11">
        <v>12</v>
      </c>
      <c r="D10" s="11">
        <v>24</v>
      </c>
      <c r="E10" s="11">
        <v>36</v>
      </c>
      <c r="F10" s="60"/>
      <c r="G10" s="10" t="s">
        <v>35</v>
      </c>
      <c r="H10" s="11">
        <v>12</v>
      </c>
      <c r="I10" s="11">
        <v>24</v>
      </c>
      <c r="J10" s="54">
        <v>36</v>
      </c>
    </row>
    <row r="11" spans="1:20" ht="17" thickBot="1" x14ac:dyDescent="0.25">
      <c r="A11" s="2"/>
      <c r="B11" s="56">
        <v>2013</v>
      </c>
      <c r="C11" s="8"/>
      <c r="D11" s="8"/>
      <c r="E11" s="24"/>
      <c r="F11" s="60"/>
      <c r="G11" s="12">
        <v>2013</v>
      </c>
      <c r="H11" s="8"/>
      <c r="I11" s="8"/>
      <c r="J11" s="48"/>
      <c r="L11" s="19" t="s">
        <v>147</v>
      </c>
    </row>
    <row r="12" spans="1:20" ht="17" thickBot="1" x14ac:dyDescent="0.25">
      <c r="A12" s="2"/>
      <c r="B12" s="56">
        <v>2014</v>
      </c>
      <c r="C12" s="8"/>
      <c r="D12" s="25"/>
      <c r="E12" s="8">
        <v>183</v>
      </c>
      <c r="F12" s="60"/>
      <c r="G12" s="12">
        <v>2014</v>
      </c>
      <c r="H12" s="8"/>
      <c r="I12" s="25"/>
      <c r="J12" s="6">
        <v>215</v>
      </c>
      <c r="L12" s="16"/>
      <c r="M12" s="17">
        <v>1</v>
      </c>
      <c r="N12" s="17">
        <v>2</v>
      </c>
    </row>
    <row r="13" spans="1:20" x14ac:dyDescent="0.2">
      <c r="A13" s="2"/>
      <c r="B13" s="56">
        <v>2015</v>
      </c>
      <c r="C13" s="26"/>
      <c r="D13" s="7">
        <v>1543</v>
      </c>
      <c r="E13" s="8">
        <v>205</v>
      </c>
      <c r="F13" s="60"/>
      <c r="G13" s="12">
        <v>2015</v>
      </c>
      <c r="H13" s="26"/>
      <c r="I13" s="7">
        <v>1710</v>
      </c>
      <c r="J13" s="6">
        <v>204</v>
      </c>
      <c r="L13" s="57" t="s">
        <v>146</v>
      </c>
      <c r="M13" s="13">
        <f>SUM(N7:O8)</f>
        <v>1988.75</v>
      </c>
      <c r="N13" s="32">
        <f>SUM(S7:T8)</f>
        <v>2094.5</v>
      </c>
    </row>
    <row r="14" spans="1:20" x14ac:dyDescent="0.2">
      <c r="A14" s="2"/>
      <c r="B14" s="82"/>
      <c r="C14" s="60"/>
      <c r="D14" s="60"/>
      <c r="E14" s="60"/>
      <c r="F14" s="60"/>
      <c r="G14" s="60"/>
      <c r="H14" s="60"/>
      <c r="I14" s="60"/>
      <c r="J14" s="61"/>
    </row>
    <row r="15" spans="1:20" x14ac:dyDescent="0.2">
      <c r="A15" s="2"/>
      <c r="B15" s="60"/>
      <c r="C15" s="60"/>
      <c r="D15" s="60"/>
      <c r="E15" s="60"/>
      <c r="F15" s="45" t="s">
        <v>143</v>
      </c>
      <c r="G15" s="60"/>
      <c r="H15" s="60"/>
      <c r="I15" s="60"/>
      <c r="J15" s="61"/>
    </row>
    <row r="16" spans="1:20" x14ac:dyDescent="0.2">
      <c r="A16" s="2"/>
      <c r="B16" s="408" t="s">
        <v>141</v>
      </c>
      <c r="C16" s="408"/>
      <c r="D16" s="408"/>
      <c r="E16" s="408"/>
      <c r="F16" s="60"/>
      <c r="G16" s="408" t="s">
        <v>142</v>
      </c>
      <c r="H16" s="408"/>
      <c r="I16" s="408"/>
      <c r="J16" s="419"/>
    </row>
    <row r="17" spans="1:12" ht="17" x14ac:dyDescent="0.2">
      <c r="A17" s="2"/>
      <c r="B17" s="10" t="s">
        <v>35</v>
      </c>
      <c r="C17" s="11">
        <v>12</v>
      </c>
      <c r="D17" s="11">
        <v>24</v>
      </c>
      <c r="E17" s="11">
        <v>36</v>
      </c>
      <c r="F17" s="60"/>
      <c r="G17" s="10" t="s">
        <v>35</v>
      </c>
      <c r="H17" s="11">
        <v>12</v>
      </c>
      <c r="I17" s="11">
        <v>24</v>
      </c>
      <c r="J17" s="54">
        <v>36</v>
      </c>
    </row>
    <row r="18" spans="1:12" ht="20" thickBot="1" x14ac:dyDescent="0.3">
      <c r="A18" s="2"/>
      <c r="B18" s="12">
        <v>2013</v>
      </c>
      <c r="C18" s="8"/>
      <c r="D18" s="8"/>
      <c r="E18" s="24"/>
      <c r="F18" s="60"/>
      <c r="G18" s="12">
        <v>2013</v>
      </c>
      <c r="H18" s="8"/>
      <c r="I18" s="8"/>
      <c r="J18" s="48"/>
      <c r="L18" s="3" t="s">
        <v>303</v>
      </c>
    </row>
    <row r="19" spans="1:12" ht="17" thickBot="1" x14ac:dyDescent="0.25">
      <c r="A19" s="2"/>
      <c r="B19" s="12">
        <v>2014</v>
      </c>
      <c r="C19" s="8"/>
      <c r="D19" s="25"/>
      <c r="E19" s="8">
        <v>189</v>
      </c>
      <c r="F19" s="60"/>
      <c r="G19" s="12">
        <v>2014</v>
      </c>
      <c r="H19" s="8"/>
      <c r="I19" s="25"/>
      <c r="J19" s="6">
        <v>194</v>
      </c>
      <c r="L19" s="125" t="s">
        <v>301</v>
      </c>
    </row>
    <row r="20" spans="1:12" x14ac:dyDescent="0.2">
      <c r="A20" s="2"/>
      <c r="B20" s="12">
        <v>2015</v>
      </c>
      <c r="C20" s="26"/>
      <c r="D20" s="7">
        <v>1638</v>
      </c>
      <c r="E20" s="8">
        <v>183</v>
      </c>
      <c r="F20" s="60"/>
      <c r="G20" s="12">
        <v>2015</v>
      </c>
      <c r="H20" s="26"/>
      <c r="I20" s="7">
        <v>1680</v>
      </c>
      <c r="J20" s="6">
        <v>202</v>
      </c>
    </row>
    <row r="21" spans="1:12" x14ac:dyDescent="0.2">
      <c r="A21" s="2"/>
      <c r="B21" s="60"/>
      <c r="C21" s="60"/>
      <c r="D21" s="60"/>
      <c r="E21" s="60"/>
      <c r="F21" s="60"/>
      <c r="G21" s="60"/>
      <c r="H21" s="60"/>
      <c r="I21" s="60"/>
      <c r="J21" s="61"/>
    </row>
    <row r="22" spans="1:12" x14ac:dyDescent="0.2">
      <c r="A22" s="2"/>
      <c r="B22" s="60"/>
      <c r="C22" s="60"/>
      <c r="D22" s="60"/>
      <c r="E22" s="60"/>
      <c r="F22" s="60"/>
      <c r="G22" s="60"/>
      <c r="H22" s="60"/>
      <c r="I22" s="60"/>
      <c r="J22" s="61"/>
    </row>
    <row r="23" spans="1:12" x14ac:dyDescent="0.2">
      <c r="A23" s="2"/>
      <c r="B23" s="60"/>
      <c r="C23" s="60"/>
      <c r="D23" s="60"/>
      <c r="E23" s="408" t="s">
        <v>140</v>
      </c>
      <c r="F23" s="408"/>
      <c r="G23" s="408"/>
      <c r="H23" s="60"/>
      <c r="I23" s="60"/>
      <c r="J23" s="61"/>
    </row>
    <row r="24" spans="1:12" x14ac:dyDescent="0.2">
      <c r="A24" s="2"/>
      <c r="B24" s="60"/>
      <c r="C24" s="60"/>
      <c r="D24" s="60"/>
      <c r="E24" s="45"/>
      <c r="F24" s="424" t="s">
        <v>138</v>
      </c>
      <c r="G24" s="424" t="s">
        <v>139</v>
      </c>
      <c r="H24" s="60"/>
      <c r="I24" s="60"/>
      <c r="J24" s="61"/>
    </row>
    <row r="25" spans="1:12" ht="17" x14ac:dyDescent="0.2">
      <c r="A25" s="2"/>
      <c r="B25" s="60"/>
      <c r="C25" s="60"/>
      <c r="D25" s="60"/>
      <c r="E25" s="10" t="s">
        <v>35</v>
      </c>
      <c r="F25" s="425"/>
      <c r="G25" s="425"/>
      <c r="H25" s="60"/>
      <c r="I25" s="60"/>
      <c r="J25" s="61"/>
    </row>
    <row r="26" spans="1:12" x14ac:dyDescent="0.2">
      <c r="A26" s="2"/>
      <c r="B26" s="60"/>
      <c r="C26" s="60"/>
      <c r="D26" s="60"/>
      <c r="E26" s="12">
        <v>2014</v>
      </c>
      <c r="F26" s="49">
        <v>0.5</v>
      </c>
      <c r="G26" s="49">
        <v>0.5</v>
      </c>
      <c r="H26" s="60"/>
      <c r="I26" s="60"/>
      <c r="J26" s="61"/>
    </row>
    <row r="27" spans="1:12" x14ac:dyDescent="0.2">
      <c r="A27" s="2"/>
      <c r="B27" s="60"/>
      <c r="C27" s="60"/>
      <c r="D27" s="60"/>
      <c r="E27" s="12">
        <v>2015</v>
      </c>
      <c r="F27" s="49">
        <v>0.25</v>
      </c>
      <c r="G27" s="49">
        <v>0.75</v>
      </c>
      <c r="H27" s="60"/>
      <c r="I27" s="60"/>
      <c r="J27" s="61"/>
    </row>
    <row r="28" spans="1:12" x14ac:dyDescent="0.2">
      <c r="A28" s="2"/>
      <c r="B28" s="60"/>
      <c r="C28" s="60"/>
      <c r="D28" s="60"/>
      <c r="E28" s="60"/>
      <c r="F28" s="60"/>
      <c r="G28" s="60"/>
      <c r="H28" s="60"/>
      <c r="I28" s="60"/>
      <c r="J28" s="61"/>
    </row>
    <row r="29" spans="1:12" x14ac:dyDescent="0.2">
      <c r="A29" s="2"/>
      <c r="B29" s="60" t="s">
        <v>145</v>
      </c>
      <c r="C29" s="60"/>
      <c r="D29" s="60"/>
      <c r="E29" s="60"/>
      <c r="F29" s="60"/>
      <c r="G29" s="60"/>
      <c r="H29" s="60"/>
      <c r="I29" s="60"/>
      <c r="J29" s="61"/>
    </row>
    <row r="30" spans="1:12" x14ac:dyDescent="0.2">
      <c r="A30" s="2"/>
      <c r="B30" s="60"/>
      <c r="C30" s="60"/>
      <c r="D30" s="60"/>
      <c r="E30" s="60"/>
      <c r="F30" s="60"/>
      <c r="G30" s="60"/>
      <c r="H30" s="60"/>
      <c r="I30" s="60"/>
      <c r="J30" s="61"/>
    </row>
    <row r="31" spans="1:12" ht="17" thickBot="1" x14ac:dyDescent="0.25">
      <c r="A31" s="2"/>
      <c r="B31" s="60"/>
      <c r="C31" s="60"/>
      <c r="D31" s="60"/>
      <c r="E31" s="60"/>
      <c r="F31" s="60"/>
      <c r="G31" s="60"/>
      <c r="H31" s="60"/>
      <c r="I31" s="60"/>
      <c r="J31" s="61"/>
    </row>
    <row r="32" spans="1:12" ht="17" thickBot="1" x14ac:dyDescent="0.25">
      <c r="A32" s="410" t="s">
        <v>266</v>
      </c>
      <c r="B32" s="411"/>
      <c r="C32" s="411"/>
      <c r="D32" s="411"/>
      <c r="E32" s="411"/>
      <c r="F32" s="411"/>
      <c r="G32" s="411"/>
      <c r="H32" s="411"/>
      <c r="I32" s="411"/>
      <c r="J32" s="412"/>
    </row>
    <row r="34" spans="1:13" ht="19" x14ac:dyDescent="0.25">
      <c r="A34" s="3"/>
    </row>
    <row r="35" spans="1:13" x14ac:dyDescent="0.2">
      <c r="A35" s="4"/>
      <c r="C35" s="63"/>
    </row>
    <row r="38" spans="1:13" x14ac:dyDescent="0.2">
      <c r="M38" s="5"/>
    </row>
    <row r="39" spans="1:13" x14ac:dyDescent="0.2">
      <c r="M39" s="5"/>
    </row>
    <row r="40" spans="1:13" x14ac:dyDescent="0.2">
      <c r="M40" s="5"/>
    </row>
    <row r="41" spans="1:13" x14ac:dyDescent="0.2">
      <c r="M41" s="5"/>
    </row>
    <row r="42" spans="1:13" x14ac:dyDescent="0.2">
      <c r="M42" s="5"/>
    </row>
    <row r="43" spans="1:13" x14ac:dyDescent="0.2">
      <c r="M43" s="5"/>
    </row>
    <row r="44" spans="1:13" x14ac:dyDescent="0.2">
      <c r="M44" s="5"/>
    </row>
    <row r="45" spans="1:13" x14ac:dyDescent="0.2">
      <c r="M45" s="5"/>
    </row>
    <row r="46" spans="1:13" x14ac:dyDescent="0.2">
      <c r="A46" s="4"/>
      <c r="M46" s="5"/>
    </row>
    <row r="48" spans="1:13" ht="20" customHeight="1" x14ac:dyDescent="0.2"/>
    <row r="57" spans="1:15" x14ac:dyDescent="0.2">
      <c r="A57" s="4"/>
      <c r="C57" s="63"/>
    </row>
    <row r="59" spans="1:15" x14ac:dyDescent="0.2">
      <c r="N59" s="63"/>
    </row>
    <row r="60" spans="1:15" x14ac:dyDescent="0.2">
      <c r="M60" s="5"/>
      <c r="N60" s="5"/>
      <c r="O60" s="5"/>
    </row>
    <row r="61" spans="1:15" x14ac:dyDescent="0.2">
      <c r="M61" s="5"/>
      <c r="N61" s="5"/>
      <c r="O61" s="5"/>
    </row>
    <row r="62" spans="1:15" x14ac:dyDescent="0.2">
      <c r="M62" s="5"/>
      <c r="N62" s="5"/>
      <c r="O62" s="5"/>
    </row>
    <row r="63" spans="1:15" x14ac:dyDescent="0.2">
      <c r="M63" s="5"/>
      <c r="N63" s="5"/>
      <c r="O63" s="5"/>
    </row>
    <row r="64" spans="1:15" x14ac:dyDescent="0.2">
      <c r="M64" s="5"/>
      <c r="N64" s="5"/>
      <c r="O64" s="5"/>
    </row>
    <row r="65" spans="13:15" x14ac:dyDescent="0.2">
      <c r="M65" s="5"/>
      <c r="N65" s="5"/>
      <c r="O65" s="5"/>
    </row>
    <row r="66" spans="13:15" x14ac:dyDescent="0.2">
      <c r="M66" s="5"/>
      <c r="N66" s="5"/>
      <c r="O66" s="5"/>
    </row>
    <row r="67" spans="13:15" x14ac:dyDescent="0.2">
      <c r="M67" s="5"/>
      <c r="N67" s="5"/>
      <c r="O67" s="5"/>
    </row>
    <row r="68" spans="13:15" x14ac:dyDescent="0.2">
      <c r="M68" s="5"/>
      <c r="N68" s="5"/>
      <c r="O68" s="5"/>
    </row>
    <row r="69" spans="13:15" x14ac:dyDescent="0.2">
      <c r="N69" s="63"/>
    </row>
    <row r="70" spans="13:15" x14ac:dyDescent="0.2">
      <c r="M70" s="5"/>
      <c r="N70" s="5"/>
      <c r="O70" s="5"/>
    </row>
    <row r="71" spans="13:15" x14ac:dyDescent="0.2">
      <c r="M71" s="5"/>
      <c r="N71" s="5"/>
      <c r="O71" s="5"/>
    </row>
    <row r="72" spans="13:15" x14ac:dyDescent="0.2">
      <c r="M72" s="5"/>
      <c r="N72" s="5"/>
      <c r="O72" s="5"/>
    </row>
    <row r="73" spans="13:15" x14ac:dyDescent="0.2">
      <c r="M73" s="5"/>
      <c r="N73" s="5"/>
      <c r="O73" s="5"/>
    </row>
    <row r="74" spans="13:15" x14ac:dyDescent="0.2">
      <c r="M74" s="5"/>
      <c r="N74" s="5"/>
      <c r="O74" s="5"/>
    </row>
    <row r="75" spans="13:15" x14ac:dyDescent="0.2">
      <c r="M75" s="5"/>
      <c r="N75" s="5"/>
      <c r="O75" s="5"/>
    </row>
    <row r="76" spans="13:15" x14ac:dyDescent="0.2">
      <c r="M76" s="5"/>
      <c r="N76" s="5"/>
      <c r="O76" s="5"/>
    </row>
    <row r="77" spans="13:15" x14ac:dyDescent="0.2">
      <c r="M77" s="5"/>
      <c r="N77" s="5"/>
      <c r="O77" s="5"/>
    </row>
    <row r="78" spans="13:15" x14ac:dyDescent="0.2">
      <c r="M78" s="5"/>
      <c r="N78" s="5"/>
      <c r="O78" s="5"/>
    </row>
    <row r="79" spans="13:15" x14ac:dyDescent="0.2">
      <c r="N79" s="63"/>
    </row>
    <row r="80" spans="13:15" x14ac:dyDescent="0.2">
      <c r="M80" s="5"/>
      <c r="N80" s="5"/>
      <c r="O80" s="5"/>
    </row>
    <row r="81" spans="13:15" x14ac:dyDescent="0.2">
      <c r="M81" s="5"/>
      <c r="N81" s="5"/>
      <c r="O81" s="5"/>
    </row>
    <row r="82" spans="13:15" x14ac:dyDescent="0.2">
      <c r="M82" s="5"/>
      <c r="N82" s="5"/>
      <c r="O82" s="5"/>
    </row>
    <row r="83" spans="13:15" x14ac:dyDescent="0.2">
      <c r="M83" s="5"/>
      <c r="N83" s="5"/>
      <c r="O83" s="5"/>
    </row>
    <row r="84" spans="13:15" x14ac:dyDescent="0.2">
      <c r="M84" s="5"/>
      <c r="N84" s="5"/>
      <c r="O84" s="5"/>
    </row>
    <row r="85" spans="13:15" x14ac:dyDescent="0.2">
      <c r="M85" s="5"/>
      <c r="N85" s="5"/>
      <c r="O85" s="5"/>
    </row>
    <row r="86" spans="13:15" x14ac:dyDescent="0.2">
      <c r="M86" s="5"/>
      <c r="N86" s="5"/>
      <c r="O86" s="5"/>
    </row>
    <row r="87" spans="13:15" x14ac:dyDescent="0.2">
      <c r="M87" s="5"/>
      <c r="N87" s="5"/>
      <c r="O87" s="5"/>
    </row>
    <row r="88" spans="13:15" x14ac:dyDescent="0.2">
      <c r="M88" s="5"/>
      <c r="N88" s="5"/>
      <c r="O88" s="5"/>
    </row>
    <row r="89" spans="13:15" x14ac:dyDescent="0.2">
      <c r="N89" s="63"/>
    </row>
    <row r="90" spans="13:15" x14ac:dyDescent="0.2">
      <c r="M90" s="5"/>
      <c r="N90" s="5"/>
      <c r="O90" s="5"/>
    </row>
    <row r="91" spans="13:15" x14ac:dyDescent="0.2">
      <c r="M91" s="5"/>
      <c r="N91" s="5"/>
      <c r="O91" s="5"/>
    </row>
    <row r="92" spans="13:15" x14ac:dyDescent="0.2">
      <c r="M92" s="5"/>
      <c r="N92" s="5"/>
      <c r="O92" s="5"/>
    </row>
    <row r="93" spans="13:15" x14ac:dyDescent="0.2">
      <c r="M93" s="5"/>
      <c r="N93" s="5"/>
      <c r="O93" s="5"/>
    </row>
    <row r="94" spans="13:15" x14ac:dyDescent="0.2">
      <c r="M94" s="5"/>
      <c r="N94" s="5"/>
      <c r="O94" s="5"/>
    </row>
    <row r="95" spans="13:15" x14ac:dyDescent="0.2">
      <c r="M95" s="5"/>
      <c r="N95" s="5"/>
      <c r="O95" s="5"/>
    </row>
    <row r="96" spans="13:15" x14ac:dyDescent="0.2">
      <c r="M96" s="5"/>
      <c r="N96" s="5"/>
      <c r="O96" s="5"/>
    </row>
    <row r="97" spans="1:66" x14ac:dyDescent="0.2">
      <c r="M97" s="5"/>
      <c r="N97" s="5"/>
      <c r="O97" s="5"/>
    </row>
    <row r="98" spans="1:66" x14ac:dyDescent="0.2">
      <c r="M98" s="5"/>
      <c r="N98" s="5"/>
      <c r="O98" s="5"/>
    </row>
    <row r="99" spans="1:66" x14ac:dyDescent="0.2">
      <c r="A99" s="5"/>
      <c r="B99" s="5"/>
      <c r="C99" s="5"/>
      <c r="D99" s="5"/>
      <c r="E99" s="5"/>
      <c r="F99" s="5"/>
      <c r="G99" s="5"/>
      <c r="H99" s="5"/>
      <c r="I99" s="5"/>
      <c r="J99" s="5"/>
      <c r="N99" s="63"/>
    </row>
    <row r="100" spans="1:66"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row>
    <row r="185" spans="1:6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row>
    <row r="186" spans="1:6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row>
    <row r="187" spans="1:6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row>
    <row r="188" spans="1:6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row>
    <row r="189" spans="1:6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row>
    <row r="190" spans="1:6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row>
    <row r="191" spans="1:6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row>
    <row r="192" spans="1:66"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row>
    <row r="193" spans="1:66"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row>
    <row r="194" spans="1:66"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row>
    <row r="195" spans="1:66"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row>
    <row r="196" spans="1:66"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row>
    <row r="197" spans="1:66"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row>
    <row r="198" spans="1:66"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row>
    <row r="199" spans="1:66"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row>
    <row r="200" spans="1:66"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row>
    <row r="201" spans="1:66" x14ac:dyDescent="0.2">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row>
  </sheetData>
  <mergeCells count="10">
    <mergeCell ref="A32:J32"/>
    <mergeCell ref="G9:J9"/>
    <mergeCell ref="B9:E9"/>
    <mergeCell ref="L4:O4"/>
    <mergeCell ref="Q4:T4"/>
    <mergeCell ref="E23:G23"/>
    <mergeCell ref="B16:E16"/>
    <mergeCell ref="G16:J16"/>
    <mergeCell ref="G24:G25"/>
    <mergeCell ref="F24:F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63F-6757-334D-8DA4-92DAE58C8E92}">
  <dimension ref="A1:BN205"/>
  <sheetViews>
    <sheetView zoomScaleNormal="100" workbookViewId="0"/>
  </sheetViews>
  <sheetFormatPr baseColWidth="10" defaultColWidth="10.83203125" defaultRowHeight="16" outlineLevelCol="1" x14ac:dyDescent="0.2"/>
  <cols>
    <col min="1" max="1" width="4.6640625" style="62" customWidth="1"/>
    <col min="2" max="6" width="10.83203125" style="62" customWidth="1"/>
    <col min="7" max="7" width="11.6640625" style="62" customWidth="1"/>
    <col min="8" max="10" width="10.83203125" style="62" customWidth="1"/>
    <col min="11" max="11" width="11.5" style="62" bestFit="1" customWidth="1"/>
    <col min="12" max="20" width="10.83203125" style="62" hidden="1" customWidth="1" outlineLevel="1"/>
    <col min="21" max="21" width="10.83203125" style="62" collapsed="1"/>
    <col min="22" max="16384" width="10.83203125" style="62"/>
  </cols>
  <sheetData>
    <row r="1" spans="1:16" ht="19" x14ac:dyDescent="0.25">
      <c r="A1" s="1" t="s">
        <v>291</v>
      </c>
      <c r="B1" s="46"/>
      <c r="C1" s="59"/>
      <c r="D1" s="59"/>
      <c r="E1" s="59"/>
      <c r="F1" s="91"/>
      <c r="G1" s="91"/>
      <c r="H1" s="91"/>
      <c r="I1" s="91"/>
      <c r="J1" s="92"/>
      <c r="K1" s="3" t="s">
        <v>265</v>
      </c>
    </row>
    <row r="2" spans="1:16" x14ac:dyDescent="0.2">
      <c r="A2" s="2"/>
      <c r="B2" s="60"/>
      <c r="C2" s="60"/>
      <c r="D2" s="60"/>
      <c r="E2" s="60"/>
      <c r="F2" s="60"/>
      <c r="G2" s="60"/>
      <c r="H2" s="60"/>
      <c r="I2" s="60"/>
      <c r="J2" s="61"/>
      <c r="L2" s="62" t="s">
        <v>208</v>
      </c>
      <c r="M2" s="63"/>
    </row>
    <row r="3" spans="1:16" x14ac:dyDescent="0.2">
      <c r="A3" s="2"/>
      <c r="B3" s="60" t="s">
        <v>200</v>
      </c>
      <c r="C3" s="60"/>
      <c r="D3" s="60"/>
      <c r="E3" s="60"/>
      <c r="F3" s="60"/>
      <c r="G3" s="60"/>
      <c r="H3" s="60"/>
      <c r="I3" s="60"/>
      <c r="J3" s="61"/>
    </row>
    <row r="4" spans="1:16" x14ac:dyDescent="0.2">
      <c r="A4" s="2"/>
      <c r="B4" s="60" t="s">
        <v>201</v>
      </c>
      <c r="C4" s="60"/>
      <c r="D4" s="60"/>
      <c r="E4" s="60"/>
      <c r="F4" s="60"/>
      <c r="G4" s="60"/>
      <c r="H4" s="60"/>
      <c r="I4" s="60"/>
      <c r="J4" s="61"/>
      <c r="L4" s="62" t="s">
        <v>211</v>
      </c>
    </row>
    <row r="5" spans="1:16" ht="17" x14ac:dyDescent="0.2">
      <c r="A5" s="2"/>
      <c r="B5" s="60" t="s">
        <v>202</v>
      </c>
      <c r="C5" s="60"/>
      <c r="D5" s="60"/>
      <c r="E5" s="60"/>
      <c r="F5" s="60"/>
      <c r="G5" s="60"/>
      <c r="H5" s="60"/>
      <c r="I5" s="60"/>
      <c r="J5" s="61"/>
      <c r="L5" s="16" t="s">
        <v>35</v>
      </c>
      <c r="M5" s="17">
        <v>1</v>
      </c>
      <c r="N5" s="17">
        <v>2</v>
      </c>
      <c r="O5" s="17">
        <v>3</v>
      </c>
    </row>
    <row r="6" spans="1:16" ht="17" x14ac:dyDescent="0.2">
      <c r="A6" s="2"/>
      <c r="B6" s="60" t="s">
        <v>203</v>
      </c>
      <c r="C6" s="60"/>
      <c r="D6" s="60"/>
      <c r="E6" s="60"/>
      <c r="F6" s="60"/>
      <c r="G6" s="60"/>
      <c r="H6" s="60"/>
      <c r="I6" s="60"/>
      <c r="J6" s="61"/>
      <c r="L6" s="15">
        <v>2013</v>
      </c>
      <c r="M6" s="14" t="str">
        <f t="shared" ref="M6:O8" si="0">IF(E29&lt;$F21,"CL","BF")</f>
        <v>CL</v>
      </c>
      <c r="N6" s="14" t="str">
        <f t="shared" si="0"/>
        <v>BF</v>
      </c>
      <c r="O6" s="14" t="str">
        <f t="shared" si="0"/>
        <v>CL</v>
      </c>
    </row>
    <row r="7" spans="1:16" ht="17" x14ac:dyDescent="0.2">
      <c r="A7" s="2"/>
      <c r="B7" s="60"/>
      <c r="C7" s="60"/>
      <c r="D7" s="60"/>
      <c r="E7" s="60"/>
      <c r="F7" s="60"/>
      <c r="G7" s="60"/>
      <c r="H7" s="60"/>
      <c r="I7" s="60"/>
      <c r="J7" s="61"/>
      <c r="L7" s="15">
        <v>2014</v>
      </c>
      <c r="M7" s="14" t="str">
        <f t="shared" si="0"/>
        <v>BF</v>
      </c>
      <c r="N7" s="14" t="str">
        <f t="shared" si="0"/>
        <v>CL</v>
      </c>
      <c r="O7" s="14" t="str">
        <f t="shared" si="0"/>
        <v>BF</v>
      </c>
    </row>
    <row r="8" spans="1:16" ht="17" x14ac:dyDescent="0.2">
      <c r="A8" s="2"/>
      <c r="B8" s="60" t="s">
        <v>204</v>
      </c>
      <c r="C8" s="60"/>
      <c r="D8" s="60"/>
      <c r="E8" s="60"/>
      <c r="F8" s="60"/>
      <c r="G8" s="60"/>
      <c r="H8" s="60"/>
      <c r="I8" s="60"/>
      <c r="J8" s="61"/>
      <c r="L8" s="15">
        <v>2015</v>
      </c>
      <c r="M8" s="14" t="str">
        <f t="shared" si="0"/>
        <v>CL</v>
      </c>
      <c r="N8" s="14" t="str">
        <f t="shared" si="0"/>
        <v>BF</v>
      </c>
      <c r="O8" s="14" t="str">
        <f t="shared" si="0"/>
        <v>BF</v>
      </c>
    </row>
    <row r="9" spans="1:16" x14ac:dyDescent="0.2">
      <c r="A9" s="2"/>
      <c r="B9" s="60"/>
      <c r="C9" s="60"/>
      <c r="D9" s="60"/>
      <c r="E9" s="60"/>
      <c r="F9" s="60"/>
      <c r="G9" s="60"/>
      <c r="H9" s="60"/>
      <c r="I9" s="60"/>
      <c r="J9" s="61"/>
    </row>
    <row r="10" spans="1:16" x14ac:dyDescent="0.2">
      <c r="A10" s="2"/>
      <c r="B10" s="60"/>
      <c r="C10" s="60"/>
      <c r="D10" s="60"/>
      <c r="E10" s="60"/>
      <c r="F10" s="45" t="s">
        <v>205</v>
      </c>
      <c r="G10" s="60"/>
      <c r="H10" s="60"/>
      <c r="I10" s="60"/>
      <c r="J10" s="61"/>
      <c r="L10" s="62" t="s">
        <v>209</v>
      </c>
    </row>
    <row r="11" spans="1:16" x14ac:dyDescent="0.2">
      <c r="A11" s="2"/>
      <c r="B11" s="408" t="s">
        <v>138</v>
      </c>
      <c r="C11" s="408"/>
      <c r="D11" s="408"/>
      <c r="E11" s="408"/>
      <c r="F11" s="60"/>
      <c r="G11" s="408" t="s">
        <v>139</v>
      </c>
      <c r="H11" s="408"/>
      <c r="I11" s="408"/>
      <c r="J11" s="419"/>
      <c r="L11" s="99" t="s">
        <v>210</v>
      </c>
    </row>
    <row r="12" spans="1:16" ht="17" x14ac:dyDescent="0.2">
      <c r="A12" s="2"/>
      <c r="B12" s="10" t="s">
        <v>35</v>
      </c>
      <c r="C12" s="11">
        <v>1</v>
      </c>
      <c r="D12" s="11">
        <v>2</v>
      </c>
      <c r="E12" s="11">
        <v>3</v>
      </c>
      <c r="F12" s="60"/>
      <c r="G12" s="10" t="s">
        <v>35</v>
      </c>
      <c r="H12" s="11">
        <v>1</v>
      </c>
      <c r="I12" s="11">
        <v>2</v>
      </c>
      <c r="J12" s="54">
        <v>3</v>
      </c>
    </row>
    <row r="13" spans="1:16" x14ac:dyDescent="0.2">
      <c r="A13" s="2"/>
      <c r="B13" s="12">
        <v>2013</v>
      </c>
      <c r="C13" s="8">
        <v>285</v>
      </c>
      <c r="D13" s="8">
        <v>308</v>
      </c>
      <c r="E13" s="8">
        <v>330</v>
      </c>
      <c r="F13" s="60"/>
      <c r="G13" s="12">
        <v>2013</v>
      </c>
      <c r="H13" s="8">
        <v>342</v>
      </c>
      <c r="I13" s="8">
        <v>373</v>
      </c>
      <c r="J13" s="6">
        <v>325</v>
      </c>
      <c r="L13" s="19" t="s">
        <v>212</v>
      </c>
      <c r="M13" s="63"/>
    </row>
    <row r="14" spans="1:16" ht="17" x14ac:dyDescent="0.2">
      <c r="A14" s="2"/>
      <c r="B14" s="12">
        <v>2014</v>
      </c>
      <c r="C14" s="8">
        <v>679</v>
      </c>
      <c r="D14" s="8">
        <v>720</v>
      </c>
      <c r="E14" s="8">
        <v>693</v>
      </c>
      <c r="F14" s="60"/>
      <c r="G14" s="12">
        <v>2014</v>
      </c>
      <c r="H14" s="8">
        <v>740</v>
      </c>
      <c r="I14" s="8">
        <v>718</v>
      </c>
      <c r="J14" s="6">
        <v>753</v>
      </c>
      <c r="L14" s="16" t="s">
        <v>35</v>
      </c>
      <c r="M14" s="17">
        <v>1</v>
      </c>
      <c r="N14" s="17">
        <v>2</v>
      </c>
      <c r="O14" s="16">
        <v>3</v>
      </c>
      <c r="P14" s="40" t="s">
        <v>213</v>
      </c>
    </row>
    <row r="15" spans="1:16" x14ac:dyDescent="0.2">
      <c r="A15" s="2"/>
      <c r="B15" s="12">
        <v>2015</v>
      </c>
      <c r="C15" s="7">
        <v>3820</v>
      </c>
      <c r="D15" s="7">
        <v>3940</v>
      </c>
      <c r="E15" s="7">
        <v>4160</v>
      </c>
      <c r="F15" s="60"/>
      <c r="G15" s="12">
        <v>2015</v>
      </c>
      <c r="H15" s="7">
        <v>4060</v>
      </c>
      <c r="I15" s="7">
        <v>3950</v>
      </c>
      <c r="J15" s="50">
        <v>4010</v>
      </c>
      <c r="L15" s="15">
        <v>2013</v>
      </c>
      <c r="M15" s="13">
        <f t="shared" ref="M15:O17" si="1">IF(E29&lt;$F21,C13,H13)</f>
        <v>285</v>
      </c>
      <c r="N15" s="13">
        <f t="shared" si="1"/>
        <v>373</v>
      </c>
      <c r="O15" s="39">
        <f t="shared" si="1"/>
        <v>330</v>
      </c>
      <c r="P15" s="41">
        <f>AVERAGE(M15:O15)</f>
        <v>329.33333333333331</v>
      </c>
    </row>
    <row r="16" spans="1:16" x14ac:dyDescent="0.2">
      <c r="A16" s="2"/>
      <c r="B16" s="60"/>
      <c r="C16" s="60"/>
      <c r="D16" s="60"/>
      <c r="E16" s="60"/>
      <c r="F16" s="60"/>
      <c r="G16" s="60"/>
      <c r="H16" s="60"/>
      <c r="I16" s="60"/>
      <c r="J16" s="61"/>
      <c r="L16" s="15">
        <v>2014</v>
      </c>
      <c r="M16" s="13">
        <f t="shared" si="1"/>
        <v>740</v>
      </c>
      <c r="N16" s="13">
        <f t="shared" si="1"/>
        <v>720</v>
      </c>
      <c r="O16" s="39">
        <f t="shared" si="1"/>
        <v>753</v>
      </c>
      <c r="P16" s="41">
        <f>AVERAGE(M16:O16)</f>
        <v>737.66666666666663</v>
      </c>
    </row>
    <row r="17" spans="1:16" x14ac:dyDescent="0.2">
      <c r="A17" s="2"/>
      <c r="B17" s="60"/>
      <c r="C17" s="60"/>
      <c r="D17" s="60"/>
      <c r="E17" s="60"/>
      <c r="F17" s="60"/>
      <c r="G17" s="60"/>
      <c r="H17" s="60"/>
      <c r="I17" s="60"/>
      <c r="J17" s="61"/>
      <c r="L17" s="15">
        <v>2015</v>
      </c>
      <c r="M17" s="13">
        <f t="shared" si="1"/>
        <v>3820</v>
      </c>
      <c r="N17" s="13">
        <f t="shared" si="1"/>
        <v>3950</v>
      </c>
      <c r="O17" s="39">
        <f t="shared" si="1"/>
        <v>4010</v>
      </c>
      <c r="P17" s="41">
        <f>AVERAGE(M17:O17)</f>
        <v>3926.6666666666665</v>
      </c>
    </row>
    <row r="18" spans="1:16" x14ac:dyDescent="0.2">
      <c r="A18" s="2"/>
      <c r="B18" s="60"/>
      <c r="C18" s="60"/>
      <c r="D18" s="60"/>
      <c r="E18" s="408" t="s">
        <v>140</v>
      </c>
      <c r="F18" s="408"/>
      <c r="G18" s="408"/>
      <c r="H18" s="60"/>
      <c r="I18" s="60"/>
      <c r="J18" s="61"/>
    </row>
    <row r="19" spans="1:16" ht="17" x14ac:dyDescent="0.2">
      <c r="A19" s="2"/>
      <c r="B19" s="60"/>
      <c r="C19" s="60"/>
      <c r="D19" s="60"/>
      <c r="E19" s="415" t="s">
        <v>35</v>
      </c>
      <c r="F19" s="8" t="s">
        <v>134</v>
      </c>
      <c r="G19" s="8" t="s">
        <v>136</v>
      </c>
      <c r="H19" s="60"/>
      <c r="I19" s="60"/>
      <c r="J19" s="61"/>
    </row>
    <row r="20" spans="1:16" ht="19" x14ac:dyDescent="0.25">
      <c r="A20" s="2"/>
      <c r="B20" s="60"/>
      <c r="C20" s="60"/>
      <c r="D20" s="60"/>
      <c r="E20" s="416"/>
      <c r="F20" s="11" t="s">
        <v>135</v>
      </c>
      <c r="G20" s="11" t="s">
        <v>137</v>
      </c>
      <c r="H20" s="60"/>
      <c r="I20" s="60"/>
      <c r="J20" s="61"/>
      <c r="L20" s="3" t="s">
        <v>303</v>
      </c>
    </row>
    <row r="21" spans="1:16" x14ac:dyDescent="0.2">
      <c r="A21" s="2"/>
      <c r="B21" s="60"/>
      <c r="C21" s="60"/>
      <c r="D21" s="60"/>
      <c r="E21" s="12">
        <v>2013</v>
      </c>
      <c r="F21" s="49">
        <v>0.6</v>
      </c>
      <c r="G21" s="49">
        <v>0.4</v>
      </c>
      <c r="H21" s="60"/>
      <c r="I21" s="60"/>
      <c r="J21" s="61"/>
      <c r="L21" s="125" t="s">
        <v>302</v>
      </c>
    </row>
    <row r="22" spans="1:16" x14ac:dyDescent="0.2">
      <c r="A22" s="2"/>
      <c r="B22" s="60"/>
      <c r="C22" s="60"/>
      <c r="D22" s="60"/>
      <c r="E22" s="12">
        <v>2014</v>
      </c>
      <c r="F22" s="49">
        <v>0.5</v>
      </c>
      <c r="G22" s="49">
        <v>0.5</v>
      </c>
      <c r="H22" s="60"/>
      <c r="I22" s="60"/>
      <c r="J22" s="61"/>
    </row>
    <row r="23" spans="1:16" x14ac:dyDescent="0.2">
      <c r="A23" s="2"/>
      <c r="B23" s="60"/>
      <c r="C23" s="60"/>
      <c r="D23" s="60"/>
      <c r="E23" s="12">
        <v>2015</v>
      </c>
      <c r="F23" s="49">
        <v>0.2</v>
      </c>
      <c r="G23" s="49">
        <v>0.8</v>
      </c>
      <c r="H23" s="60"/>
      <c r="I23" s="60"/>
      <c r="J23" s="61"/>
    </row>
    <row r="24" spans="1:16" x14ac:dyDescent="0.2">
      <c r="A24" s="2"/>
      <c r="B24" s="60"/>
      <c r="C24" s="60"/>
      <c r="D24" s="60"/>
      <c r="E24" s="60"/>
      <c r="F24" s="60"/>
      <c r="G24" s="60"/>
      <c r="H24" s="60"/>
      <c r="I24" s="60"/>
      <c r="J24" s="61"/>
      <c r="M24" s="63"/>
    </row>
    <row r="25" spans="1:16" x14ac:dyDescent="0.2">
      <c r="A25" s="2"/>
      <c r="B25" s="60"/>
      <c r="C25" s="60"/>
      <c r="D25" s="60"/>
      <c r="E25" s="60"/>
      <c r="F25" s="60"/>
      <c r="G25" s="60"/>
      <c r="H25" s="60"/>
      <c r="I25" s="60"/>
      <c r="J25" s="61"/>
    </row>
    <row r="26" spans="1:16" x14ac:dyDescent="0.2">
      <c r="A26" s="2"/>
      <c r="B26" s="60" t="s">
        <v>206</v>
      </c>
      <c r="C26" s="60"/>
      <c r="D26" s="60"/>
      <c r="E26" s="60"/>
      <c r="F26" s="60"/>
      <c r="G26" s="60"/>
      <c r="H26" s="60"/>
      <c r="I26" s="60"/>
      <c r="J26" s="61"/>
    </row>
    <row r="27" spans="1:16" x14ac:dyDescent="0.2">
      <c r="A27" s="2"/>
      <c r="B27" s="60"/>
      <c r="C27" s="60"/>
      <c r="D27" s="60"/>
      <c r="E27" s="60"/>
      <c r="F27" s="60"/>
      <c r="G27" s="60"/>
      <c r="H27" s="60"/>
      <c r="I27" s="60"/>
      <c r="J27" s="61"/>
    </row>
    <row r="28" spans="1:16" ht="17" x14ac:dyDescent="0.2">
      <c r="A28" s="2"/>
      <c r="B28" s="60"/>
      <c r="C28" s="60"/>
      <c r="D28" s="10" t="s">
        <v>35</v>
      </c>
      <c r="E28" s="11">
        <v>1</v>
      </c>
      <c r="F28" s="11">
        <v>2</v>
      </c>
      <c r="G28" s="11">
        <v>3</v>
      </c>
      <c r="H28" s="60"/>
      <c r="I28" s="60"/>
      <c r="J28" s="61"/>
    </row>
    <row r="29" spans="1:16" x14ac:dyDescent="0.2">
      <c r="A29" s="2"/>
      <c r="B29" s="60"/>
      <c r="C29" s="60"/>
      <c r="D29" s="12">
        <v>2013</v>
      </c>
      <c r="E29" s="8">
        <v>0.48</v>
      </c>
      <c r="F29" s="8">
        <v>0.74</v>
      </c>
      <c r="G29" s="8">
        <v>0.15</v>
      </c>
      <c r="H29" s="60"/>
      <c r="I29" s="60"/>
      <c r="J29" s="61"/>
    </row>
    <row r="30" spans="1:16" x14ac:dyDescent="0.2">
      <c r="A30" s="2"/>
      <c r="B30" s="60"/>
      <c r="C30" s="60"/>
      <c r="D30" s="12">
        <v>2014</v>
      </c>
      <c r="E30" s="8">
        <v>0.94</v>
      </c>
      <c r="F30" s="8">
        <v>0.41</v>
      </c>
      <c r="G30" s="8">
        <v>0.76</v>
      </c>
      <c r="H30" s="60"/>
      <c r="I30" s="60"/>
      <c r="J30" s="61"/>
    </row>
    <row r="31" spans="1:16" x14ac:dyDescent="0.2">
      <c r="A31" s="2"/>
      <c r="B31" s="60"/>
      <c r="C31" s="60"/>
      <c r="D31" s="12">
        <v>2015</v>
      </c>
      <c r="E31" s="8">
        <v>0.15</v>
      </c>
      <c r="F31" s="8">
        <v>0.52</v>
      </c>
      <c r="G31" s="8">
        <v>0.85</v>
      </c>
      <c r="H31" s="60"/>
      <c r="I31" s="60"/>
      <c r="J31" s="61"/>
    </row>
    <row r="32" spans="1:16" x14ac:dyDescent="0.2">
      <c r="A32" s="2"/>
      <c r="B32" s="60"/>
      <c r="C32" s="60"/>
      <c r="D32" s="60"/>
      <c r="E32" s="60"/>
      <c r="F32" s="60"/>
      <c r="G32" s="60"/>
      <c r="H32" s="60"/>
      <c r="I32" s="60"/>
      <c r="J32" s="61"/>
    </row>
    <row r="33" spans="1:13" x14ac:dyDescent="0.2">
      <c r="A33" s="2"/>
      <c r="B33" s="60"/>
      <c r="C33" s="60"/>
      <c r="D33" s="60"/>
      <c r="E33" s="60"/>
      <c r="F33" s="60"/>
      <c r="G33" s="60"/>
      <c r="H33" s="60"/>
      <c r="I33" s="60"/>
      <c r="J33" s="61"/>
    </row>
    <row r="34" spans="1:13" x14ac:dyDescent="0.2">
      <c r="A34" s="2"/>
      <c r="B34" s="60" t="s">
        <v>207</v>
      </c>
      <c r="C34" s="60"/>
      <c r="D34" s="60"/>
      <c r="E34" s="60"/>
      <c r="F34" s="60"/>
      <c r="G34" s="60"/>
      <c r="H34" s="60"/>
      <c r="I34" s="60"/>
      <c r="J34" s="61"/>
    </row>
    <row r="35" spans="1:13" x14ac:dyDescent="0.2">
      <c r="A35" s="2"/>
      <c r="B35" s="60"/>
      <c r="C35" s="60"/>
      <c r="D35" s="60"/>
      <c r="E35" s="60"/>
      <c r="F35" s="60"/>
      <c r="G35" s="60"/>
      <c r="H35" s="60"/>
      <c r="I35" s="60"/>
      <c r="J35" s="61"/>
    </row>
    <row r="36" spans="1:13" ht="17" thickBot="1" x14ac:dyDescent="0.25">
      <c r="A36" s="2"/>
      <c r="B36" s="60"/>
      <c r="C36" s="60"/>
      <c r="D36" s="60"/>
      <c r="E36" s="60"/>
      <c r="F36" s="60"/>
      <c r="G36" s="60"/>
      <c r="H36" s="60"/>
      <c r="I36" s="60"/>
      <c r="J36" s="61"/>
    </row>
    <row r="37" spans="1:13" ht="17" thickBot="1" x14ac:dyDescent="0.25">
      <c r="A37" s="410" t="s">
        <v>266</v>
      </c>
      <c r="B37" s="411"/>
      <c r="C37" s="411"/>
      <c r="D37" s="411"/>
      <c r="E37" s="411"/>
      <c r="F37" s="411"/>
      <c r="G37" s="411"/>
      <c r="H37" s="411"/>
      <c r="I37" s="411"/>
      <c r="J37" s="412"/>
    </row>
    <row r="39" spans="1:13" ht="19" x14ac:dyDescent="0.25">
      <c r="A39" s="3"/>
    </row>
    <row r="40" spans="1:13" x14ac:dyDescent="0.2">
      <c r="A40" s="4"/>
    </row>
    <row r="41" spans="1:13" x14ac:dyDescent="0.2">
      <c r="M41" s="5"/>
    </row>
    <row r="42" spans="1:13" x14ac:dyDescent="0.2">
      <c r="M42" s="5"/>
    </row>
    <row r="43" spans="1:13" x14ac:dyDescent="0.2">
      <c r="M43" s="5"/>
    </row>
    <row r="44" spans="1:13" x14ac:dyDescent="0.2">
      <c r="M44" s="5"/>
    </row>
    <row r="45" spans="1:13" x14ac:dyDescent="0.2">
      <c r="M45" s="5"/>
    </row>
    <row r="46" spans="1:13" x14ac:dyDescent="0.2">
      <c r="M46" s="5"/>
    </row>
    <row r="47" spans="1:13" x14ac:dyDescent="0.2">
      <c r="M47" s="5"/>
    </row>
    <row r="48" spans="1:13" x14ac:dyDescent="0.2">
      <c r="M48" s="5"/>
    </row>
    <row r="49" spans="1:15" x14ac:dyDescent="0.2">
      <c r="M49" s="5"/>
    </row>
    <row r="51" spans="1:15" x14ac:dyDescent="0.2">
      <c r="A51" s="4"/>
    </row>
    <row r="62" spans="1:15" x14ac:dyDescent="0.2">
      <c r="A62" s="4"/>
      <c r="N62" s="63"/>
    </row>
    <row r="63" spans="1:15" x14ac:dyDescent="0.2">
      <c r="M63" s="5"/>
      <c r="N63" s="5"/>
      <c r="O63" s="5"/>
    </row>
    <row r="64" spans="1:15" x14ac:dyDescent="0.2">
      <c r="M64" s="5"/>
      <c r="N64" s="5"/>
      <c r="O64" s="5"/>
    </row>
    <row r="65" spans="13:15" x14ac:dyDescent="0.2">
      <c r="M65" s="5"/>
      <c r="N65" s="5"/>
      <c r="O65" s="5"/>
    </row>
    <row r="66" spans="13:15" x14ac:dyDescent="0.2">
      <c r="M66" s="5"/>
      <c r="N66" s="5"/>
      <c r="O66" s="5"/>
    </row>
    <row r="67" spans="13:15" x14ac:dyDescent="0.2">
      <c r="M67" s="5"/>
      <c r="N67" s="5"/>
      <c r="O67" s="5"/>
    </row>
    <row r="68" spans="13:15" x14ac:dyDescent="0.2">
      <c r="M68" s="5"/>
      <c r="N68" s="5"/>
      <c r="O68" s="5"/>
    </row>
    <row r="69" spans="13:15" x14ac:dyDescent="0.2">
      <c r="M69" s="5"/>
      <c r="N69" s="5"/>
      <c r="O69" s="5"/>
    </row>
    <row r="70" spans="13:15" x14ac:dyDescent="0.2">
      <c r="M70" s="5"/>
      <c r="N70" s="5"/>
      <c r="O70" s="5"/>
    </row>
    <row r="71" spans="13:15" x14ac:dyDescent="0.2">
      <c r="M71" s="5"/>
      <c r="N71" s="5"/>
      <c r="O71" s="5"/>
    </row>
    <row r="72" spans="13:15" x14ac:dyDescent="0.2">
      <c r="N72" s="63"/>
    </row>
    <row r="73" spans="13:15" x14ac:dyDescent="0.2">
      <c r="M73" s="5"/>
      <c r="N73" s="5"/>
      <c r="O73" s="5"/>
    </row>
    <row r="74" spans="13:15" x14ac:dyDescent="0.2">
      <c r="M74" s="5"/>
      <c r="N74" s="5"/>
      <c r="O74" s="5"/>
    </row>
    <row r="75" spans="13:15" x14ac:dyDescent="0.2">
      <c r="M75" s="5"/>
      <c r="N75" s="5"/>
      <c r="O75" s="5"/>
    </row>
    <row r="76" spans="13:15" x14ac:dyDescent="0.2">
      <c r="M76" s="5"/>
      <c r="N76" s="5"/>
      <c r="O76" s="5"/>
    </row>
    <row r="77" spans="13:15" x14ac:dyDescent="0.2">
      <c r="M77" s="5"/>
      <c r="N77" s="5"/>
      <c r="O77" s="5"/>
    </row>
    <row r="78" spans="13:15" x14ac:dyDescent="0.2">
      <c r="M78" s="5"/>
      <c r="N78" s="5"/>
      <c r="O78" s="5"/>
    </row>
    <row r="79" spans="13:15" x14ac:dyDescent="0.2">
      <c r="M79" s="5"/>
      <c r="N79" s="5"/>
      <c r="O79" s="5"/>
    </row>
    <row r="80" spans="13:15" x14ac:dyDescent="0.2">
      <c r="M80" s="5"/>
      <c r="N80" s="5"/>
      <c r="O80" s="5"/>
    </row>
    <row r="81" spans="13:15" x14ac:dyDescent="0.2">
      <c r="M81" s="5"/>
      <c r="N81" s="5"/>
      <c r="O81" s="5"/>
    </row>
    <row r="82" spans="13:15" x14ac:dyDescent="0.2">
      <c r="N82" s="63"/>
    </row>
    <row r="83" spans="13:15" x14ac:dyDescent="0.2">
      <c r="M83" s="5"/>
      <c r="N83" s="5"/>
      <c r="O83" s="5"/>
    </row>
    <row r="84" spans="13:15" x14ac:dyDescent="0.2">
      <c r="M84" s="5"/>
      <c r="N84" s="5"/>
      <c r="O84" s="5"/>
    </row>
    <row r="85" spans="13:15" x14ac:dyDescent="0.2">
      <c r="M85" s="5"/>
      <c r="N85" s="5"/>
      <c r="O85" s="5"/>
    </row>
    <row r="86" spans="13:15" x14ac:dyDescent="0.2">
      <c r="M86" s="5"/>
      <c r="N86" s="5"/>
      <c r="O86" s="5"/>
    </row>
    <row r="87" spans="13:15" x14ac:dyDescent="0.2">
      <c r="M87" s="5"/>
      <c r="N87" s="5"/>
      <c r="O87" s="5"/>
    </row>
    <row r="88" spans="13:15" x14ac:dyDescent="0.2">
      <c r="M88" s="5"/>
      <c r="N88" s="5"/>
      <c r="O88" s="5"/>
    </row>
    <row r="89" spans="13:15" x14ac:dyDescent="0.2">
      <c r="M89" s="5"/>
      <c r="N89" s="5"/>
      <c r="O89" s="5"/>
    </row>
    <row r="90" spans="13:15" x14ac:dyDescent="0.2">
      <c r="M90" s="5"/>
      <c r="N90" s="5"/>
      <c r="O90" s="5"/>
    </row>
    <row r="91" spans="13:15" x14ac:dyDescent="0.2">
      <c r="M91" s="5"/>
      <c r="N91" s="5"/>
      <c r="O91" s="5"/>
    </row>
    <row r="92" spans="13:15" x14ac:dyDescent="0.2">
      <c r="N92" s="63"/>
    </row>
    <row r="93" spans="13:15" x14ac:dyDescent="0.2">
      <c r="M93" s="5"/>
      <c r="N93" s="5"/>
      <c r="O93" s="5"/>
    </row>
    <row r="94" spans="13:15" x14ac:dyDescent="0.2">
      <c r="M94" s="5"/>
      <c r="N94" s="5"/>
      <c r="O94" s="5"/>
    </row>
    <row r="95" spans="13:15" x14ac:dyDescent="0.2">
      <c r="M95" s="5"/>
      <c r="N95" s="5"/>
      <c r="O95" s="5"/>
    </row>
    <row r="96" spans="13:15" x14ac:dyDescent="0.2">
      <c r="M96" s="5"/>
      <c r="N96" s="5"/>
      <c r="O96" s="5"/>
    </row>
    <row r="97" spans="1:66" x14ac:dyDescent="0.2">
      <c r="M97" s="5"/>
      <c r="N97" s="5"/>
      <c r="O97" s="5"/>
    </row>
    <row r="98" spans="1:66" x14ac:dyDescent="0.2">
      <c r="M98" s="5"/>
      <c r="N98" s="5"/>
      <c r="O98" s="5"/>
    </row>
    <row r="99" spans="1:66" x14ac:dyDescent="0.2">
      <c r="M99" s="5"/>
      <c r="N99" s="5"/>
      <c r="O99" s="5"/>
    </row>
    <row r="100" spans="1:66" x14ac:dyDescent="0.2">
      <c r="M100" s="5"/>
      <c r="N100" s="5"/>
      <c r="O100" s="5"/>
    </row>
    <row r="101" spans="1:66" x14ac:dyDescent="0.2">
      <c r="M101" s="5"/>
      <c r="N101" s="5"/>
      <c r="O101" s="5"/>
    </row>
    <row r="102" spans="1:66" x14ac:dyDescent="0.2">
      <c r="N102" s="63"/>
    </row>
    <row r="103" spans="1:66" x14ac:dyDescent="0.2">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row>
    <row r="185" spans="1:6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row>
    <row r="186" spans="1:6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row>
    <row r="187" spans="1:6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row>
    <row r="188" spans="1:6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row>
    <row r="189" spans="1:6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row>
    <row r="190" spans="1:6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row>
    <row r="191" spans="1:6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row>
    <row r="192" spans="1:66"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row>
    <row r="193" spans="1:66"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row>
    <row r="194" spans="1:66"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row>
    <row r="195" spans="1:66"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row>
    <row r="196" spans="1:66"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row>
    <row r="197" spans="1:66"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row>
    <row r="198" spans="1:66"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row>
    <row r="199" spans="1:66"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row>
    <row r="200" spans="1:66"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row>
    <row r="201" spans="1:66"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row>
    <row r="202" spans="1:66"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row>
    <row r="203" spans="1:66"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row>
    <row r="204" spans="1:66"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row>
    <row r="205" spans="1:66" x14ac:dyDescent="0.2">
      <c r="A205" s="5"/>
      <c r="B205" s="5"/>
      <c r="C205" s="5"/>
      <c r="D205" s="5"/>
      <c r="E205" s="5"/>
      <c r="F205" s="5"/>
      <c r="G205" s="5"/>
      <c r="H205" s="5"/>
      <c r="I205" s="5"/>
      <c r="J205" s="5"/>
    </row>
  </sheetData>
  <mergeCells count="5">
    <mergeCell ref="G11:J11"/>
    <mergeCell ref="B11:E11"/>
    <mergeCell ref="E19:E20"/>
    <mergeCell ref="E18:G18"/>
    <mergeCell ref="A37:J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0A99-4027-5E44-8A01-22908ADDB831}">
  <dimension ref="A1:BM204"/>
  <sheetViews>
    <sheetView zoomScaleNormal="100" workbookViewId="0"/>
  </sheetViews>
  <sheetFormatPr baseColWidth="10" defaultColWidth="10.83203125" defaultRowHeight="16" outlineLevelCol="1" x14ac:dyDescent="0.2"/>
  <cols>
    <col min="1" max="1" width="4.6640625" style="62" customWidth="1"/>
    <col min="2" max="10" width="10.83203125" style="62" customWidth="1"/>
    <col min="11" max="11" width="11.83203125" style="62" bestFit="1" customWidth="1"/>
    <col min="12" max="21" width="10.83203125" style="62" hidden="1" customWidth="1" outlineLevel="1"/>
    <col min="22" max="22" width="10.83203125" style="62" collapsed="1"/>
    <col min="23" max="16384" width="10.83203125" style="62"/>
  </cols>
  <sheetData>
    <row r="1" spans="1:21" ht="19" x14ac:dyDescent="0.25">
      <c r="A1" s="1" t="s">
        <v>292</v>
      </c>
      <c r="B1" s="46"/>
      <c r="C1" s="59"/>
      <c r="D1" s="59"/>
      <c r="E1" s="59"/>
      <c r="F1" s="91"/>
      <c r="G1" s="91"/>
      <c r="H1" s="91"/>
      <c r="I1" s="91"/>
      <c r="J1" s="92"/>
      <c r="K1" s="3" t="s">
        <v>265</v>
      </c>
    </row>
    <row r="2" spans="1:21" x14ac:dyDescent="0.2">
      <c r="A2" s="2"/>
      <c r="B2" s="60"/>
      <c r="C2" s="60"/>
      <c r="D2" s="60"/>
      <c r="E2" s="60"/>
      <c r="F2" s="60"/>
      <c r="G2" s="60"/>
      <c r="H2" s="60"/>
      <c r="I2" s="60"/>
      <c r="J2" s="61"/>
      <c r="L2" s="19" t="s">
        <v>3</v>
      </c>
      <c r="N2" s="63"/>
    </row>
    <row r="3" spans="1:21" x14ac:dyDescent="0.2">
      <c r="A3" s="2"/>
      <c r="B3" s="60" t="s">
        <v>214</v>
      </c>
      <c r="C3" s="60"/>
      <c r="D3" s="60"/>
      <c r="E3" s="60"/>
      <c r="F3" s="60"/>
      <c r="G3" s="60"/>
      <c r="H3" s="60"/>
      <c r="I3" s="60"/>
      <c r="J3" s="61"/>
      <c r="M3" s="19" t="s">
        <v>224</v>
      </c>
    </row>
    <row r="4" spans="1:21" x14ac:dyDescent="0.2">
      <c r="A4" s="2"/>
      <c r="B4" s="60" t="s">
        <v>215</v>
      </c>
      <c r="C4" s="60"/>
      <c r="D4" s="60"/>
      <c r="E4" s="60"/>
      <c r="F4" s="60"/>
      <c r="G4" s="60"/>
      <c r="H4" s="60"/>
      <c r="I4" s="60"/>
      <c r="J4" s="61"/>
      <c r="M4" s="74" t="s">
        <v>35</v>
      </c>
      <c r="N4" s="75">
        <v>12</v>
      </c>
      <c r="O4" s="75">
        <v>24</v>
      </c>
      <c r="P4" s="75">
        <v>36</v>
      </c>
    </row>
    <row r="5" spans="1:21" x14ac:dyDescent="0.2">
      <c r="A5" s="2"/>
      <c r="B5" s="60"/>
      <c r="C5" s="60"/>
      <c r="D5" s="60"/>
      <c r="E5" s="60"/>
      <c r="F5" s="60"/>
      <c r="G5" s="60"/>
      <c r="H5" s="60"/>
      <c r="I5" s="60"/>
      <c r="J5" s="61"/>
      <c r="M5" s="68">
        <v>2013</v>
      </c>
      <c r="N5" s="93">
        <f>D10</f>
        <v>843</v>
      </c>
      <c r="O5" s="93">
        <f>E10-D10</f>
        <v>277</v>
      </c>
      <c r="P5" s="93">
        <f>F10-E10</f>
        <v>60</v>
      </c>
    </row>
    <row r="6" spans="1:21" x14ac:dyDescent="0.2">
      <c r="A6" s="2"/>
      <c r="B6" s="60" t="s">
        <v>216</v>
      </c>
      <c r="C6" s="60"/>
      <c r="D6" s="60"/>
      <c r="E6" s="60"/>
      <c r="F6" s="60"/>
      <c r="G6" s="60"/>
      <c r="H6" s="60"/>
      <c r="I6" s="60"/>
      <c r="J6" s="61"/>
      <c r="M6" s="68">
        <v>2014</v>
      </c>
      <c r="N6" s="93">
        <f>D11</f>
        <v>737</v>
      </c>
      <c r="O6" s="93">
        <f>E11-D11</f>
        <v>243</v>
      </c>
      <c r="P6" s="65"/>
    </row>
    <row r="7" spans="1:21" x14ac:dyDescent="0.2">
      <c r="A7" s="2"/>
      <c r="B7" s="60"/>
      <c r="C7" s="60"/>
      <c r="D7" s="60"/>
      <c r="E7" s="60"/>
      <c r="F7" s="60"/>
      <c r="G7" s="60"/>
      <c r="H7" s="60"/>
      <c r="I7" s="60"/>
      <c r="J7" s="61"/>
      <c r="M7" s="68">
        <v>2015</v>
      </c>
      <c r="N7" s="93">
        <f>D12</f>
        <v>930</v>
      </c>
      <c r="O7" s="65"/>
      <c r="P7" s="65"/>
    </row>
    <row r="8" spans="1:21" x14ac:dyDescent="0.2">
      <c r="A8" s="2"/>
      <c r="B8" s="60"/>
      <c r="C8" s="408" t="s">
        <v>217</v>
      </c>
      <c r="D8" s="408"/>
      <c r="E8" s="408"/>
      <c r="F8" s="408"/>
      <c r="G8" s="60"/>
      <c r="H8" s="60"/>
      <c r="I8" s="60"/>
      <c r="J8" s="61"/>
    </row>
    <row r="9" spans="1:21" ht="17" x14ac:dyDescent="0.2">
      <c r="A9" s="2"/>
      <c r="B9" s="60"/>
      <c r="C9" s="10" t="s">
        <v>35</v>
      </c>
      <c r="D9" s="11" t="s">
        <v>10</v>
      </c>
      <c r="E9" s="11" t="s">
        <v>11</v>
      </c>
      <c r="F9" s="11" t="s">
        <v>12</v>
      </c>
      <c r="G9" s="60"/>
      <c r="H9" s="60"/>
      <c r="I9" s="60"/>
      <c r="J9" s="61"/>
      <c r="M9" s="62" t="s">
        <v>223</v>
      </c>
    </row>
    <row r="10" spans="1:21" x14ac:dyDescent="0.2">
      <c r="A10" s="2"/>
      <c r="B10" s="60"/>
      <c r="C10" s="12">
        <v>2013</v>
      </c>
      <c r="D10" s="8">
        <v>843</v>
      </c>
      <c r="E10" s="7">
        <v>1120</v>
      </c>
      <c r="F10" s="7">
        <v>1180</v>
      </c>
      <c r="G10" s="60"/>
      <c r="H10" s="60"/>
      <c r="I10" s="60"/>
      <c r="J10" s="61"/>
      <c r="M10" s="62" t="s">
        <v>294</v>
      </c>
      <c r="N10" s="63"/>
    </row>
    <row r="11" spans="1:21" x14ac:dyDescent="0.2">
      <c r="A11" s="2"/>
      <c r="B11" s="60"/>
      <c r="C11" s="12">
        <v>2014</v>
      </c>
      <c r="D11" s="8">
        <v>737</v>
      </c>
      <c r="E11" s="8">
        <v>980</v>
      </c>
      <c r="F11" s="8"/>
      <c r="G11" s="60"/>
      <c r="H11" s="60"/>
      <c r="I11" s="60"/>
      <c r="J11" s="61"/>
    </row>
    <row r="12" spans="1:21" x14ac:dyDescent="0.2">
      <c r="A12" s="2"/>
      <c r="B12" s="60"/>
      <c r="C12" s="12">
        <v>2015</v>
      </c>
      <c r="D12" s="8">
        <v>930</v>
      </c>
      <c r="E12" s="8"/>
      <c r="F12" s="8"/>
      <c r="G12" s="60"/>
      <c r="H12" s="60"/>
      <c r="I12" s="60"/>
      <c r="J12" s="61"/>
    </row>
    <row r="13" spans="1:21" x14ac:dyDescent="0.2">
      <c r="A13" s="2"/>
      <c r="B13" s="60"/>
      <c r="C13" s="60"/>
      <c r="D13" s="60"/>
      <c r="E13" s="60"/>
      <c r="F13" s="60"/>
      <c r="G13" s="60"/>
      <c r="H13" s="60"/>
      <c r="I13" s="60"/>
      <c r="J13" s="61"/>
      <c r="M13" s="19" t="s">
        <v>227</v>
      </c>
      <c r="R13" s="19" t="s">
        <v>228</v>
      </c>
    </row>
    <row r="14" spans="1:21" x14ac:dyDescent="0.2">
      <c r="A14" s="2"/>
      <c r="B14" s="60" t="s">
        <v>218</v>
      </c>
      <c r="C14" s="60"/>
      <c r="D14" s="87">
        <v>3.1</v>
      </c>
      <c r="E14" s="60"/>
      <c r="F14" s="60"/>
      <c r="G14" s="60"/>
      <c r="H14" s="60"/>
      <c r="I14" s="60"/>
      <c r="J14" s="61"/>
      <c r="M14" s="74" t="s">
        <v>35</v>
      </c>
      <c r="N14" s="75">
        <v>12</v>
      </c>
      <c r="O14" s="75">
        <v>24</v>
      </c>
      <c r="P14" s="75">
        <v>36</v>
      </c>
      <c r="R14" s="74" t="s">
        <v>35</v>
      </c>
      <c r="S14" s="75">
        <v>12</v>
      </c>
      <c r="T14" s="75">
        <v>24</v>
      </c>
      <c r="U14" s="75">
        <v>36</v>
      </c>
    </row>
    <row r="15" spans="1:21" x14ac:dyDescent="0.2">
      <c r="A15" s="2"/>
      <c r="B15" s="60"/>
      <c r="C15" s="60"/>
      <c r="D15" s="60"/>
      <c r="E15" s="60"/>
      <c r="F15" s="60"/>
      <c r="G15" s="60"/>
      <c r="H15" s="60"/>
      <c r="I15" s="60"/>
      <c r="J15" s="61"/>
      <c r="M15" s="68">
        <v>2013</v>
      </c>
      <c r="N15" s="93">
        <f>D20*SQRT(N5)+N5</f>
        <v>894.10065361617205</v>
      </c>
      <c r="O15" s="93">
        <f>E20*SQRT(O5)+O5</f>
        <v>247.70776212031589</v>
      </c>
      <c r="P15" s="93">
        <f>F20*SQRT(P5)+P5</f>
        <v>46.367098621349896</v>
      </c>
      <c r="R15" s="68">
        <v>2013</v>
      </c>
      <c r="S15" s="93">
        <f>N15</f>
        <v>894.10065361617205</v>
      </c>
      <c r="T15" s="93">
        <f>S15+O15</f>
        <v>1141.8084157364879</v>
      </c>
      <c r="U15" s="93">
        <f>T15+P15</f>
        <v>1188.1755143578378</v>
      </c>
    </row>
    <row r="16" spans="1:21" x14ac:dyDescent="0.2">
      <c r="A16" s="2"/>
      <c r="B16" s="60" t="s">
        <v>219</v>
      </c>
      <c r="C16" s="60"/>
      <c r="D16" s="60"/>
      <c r="E16" s="60"/>
      <c r="F16" s="60"/>
      <c r="G16" s="60"/>
      <c r="H16" s="60"/>
      <c r="I16" s="60"/>
      <c r="J16" s="61"/>
      <c r="M16" s="68">
        <v>2014</v>
      </c>
      <c r="N16" s="93">
        <f>D21*SQRT(N6)+N6</f>
        <v>689.21997069904626</v>
      </c>
      <c r="O16" s="93">
        <f>E21*SQRT(O6)+O6</f>
        <v>270.43568479189099</v>
      </c>
      <c r="P16" s="65"/>
      <c r="R16" s="68">
        <v>2014</v>
      </c>
      <c r="S16" s="93">
        <f t="shared" ref="S16:S17" si="0">N16</f>
        <v>689.21997069904626</v>
      </c>
      <c r="T16" s="93">
        <f>S16+O16</f>
        <v>959.65565549093731</v>
      </c>
      <c r="U16" s="65"/>
    </row>
    <row r="17" spans="1:21" x14ac:dyDescent="0.2">
      <c r="A17" s="2"/>
      <c r="B17" s="60"/>
      <c r="C17" s="60"/>
      <c r="D17" s="60"/>
      <c r="E17" s="60"/>
      <c r="F17" s="60"/>
      <c r="G17" s="60"/>
      <c r="H17" s="60"/>
      <c r="I17" s="60"/>
      <c r="J17" s="61"/>
      <c r="M17" s="68">
        <v>2015</v>
      </c>
      <c r="N17" s="93">
        <f>D22*SQRT(N7)+N7</f>
        <v>876.32721359944128</v>
      </c>
      <c r="O17" s="65"/>
      <c r="P17" s="65"/>
      <c r="R17" s="68">
        <v>2015</v>
      </c>
      <c r="S17" s="93">
        <f t="shared" si="0"/>
        <v>876.32721359944128</v>
      </c>
      <c r="T17" s="65"/>
      <c r="U17" s="65"/>
    </row>
    <row r="18" spans="1:21" x14ac:dyDescent="0.2">
      <c r="A18" s="2"/>
      <c r="B18" s="60"/>
      <c r="C18" s="408" t="s">
        <v>221</v>
      </c>
      <c r="D18" s="408"/>
      <c r="E18" s="408"/>
      <c r="F18" s="408"/>
      <c r="G18" s="60"/>
      <c r="H18" s="60"/>
      <c r="I18" s="60"/>
      <c r="J18" s="61"/>
    </row>
    <row r="19" spans="1:21" ht="17" x14ac:dyDescent="0.2">
      <c r="A19" s="2"/>
      <c r="B19" s="60"/>
      <c r="C19" s="10" t="s">
        <v>35</v>
      </c>
      <c r="D19" s="11" t="s">
        <v>10</v>
      </c>
      <c r="E19" s="11" t="s">
        <v>11</v>
      </c>
      <c r="F19" s="11" t="s">
        <v>12</v>
      </c>
      <c r="G19" s="60"/>
      <c r="H19" s="60"/>
      <c r="I19" s="60"/>
      <c r="J19" s="61"/>
      <c r="R19" s="94"/>
      <c r="S19" s="95" t="s">
        <v>177</v>
      </c>
      <c r="T19" s="96" t="s">
        <v>178</v>
      </c>
    </row>
    <row r="20" spans="1:21" x14ac:dyDescent="0.2">
      <c r="A20" s="2"/>
      <c r="B20" s="60"/>
      <c r="C20" s="12">
        <v>2013</v>
      </c>
      <c r="D20" s="8">
        <v>1.76</v>
      </c>
      <c r="E20" s="51">
        <v>-1.76</v>
      </c>
      <c r="F20" s="51">
        <v>-1.76</v>
      </c>
      <c r="G20" s="60"/>
      <c r="H20" s="60"/>
      <c r="I20" s="60"/>
      <c r="J20" s="61"/>
      <c r="M20" s="62" t="s">
        <v>225</v>
      </c>
      <c r="N20" s="97">
        <f>S17*S21</f>
        <v>1210.3382475639553</v>
      </c>
      <c r="R20" s="83" t="s">
        <v>66</v>
      </c>
      <c r="S20" s="63">
        <f>SUM(T15:T16)/SUM(S15:S16)</f>
        <v>1.3272511195490189</v>
      </c>
      <c r="T20" s="63">
        <f>U15/T15</f>
        <v>1.0406084751017028</v>
      </c>
    </row>
    <row r="21" spans="1:21" x14ac:dyDescent="0.2">
      <c r="A21" s="2"/>
      <c r="B21" s="60"/>
      <c r="C21" s="12">
        <v>2014</v>
      </c>
      <c r="D21" s="8">
        <v>-1.76</v>
      </c>
      <c r="E21" s="8">
        <v>1.76</v>
      </c>
      <c r="F21" s="8"/>
      <c r="G21" s="60"/>
      <c r="H21" s="60"/>
      <c r="I21" s="60"/>
      <c r="J21" s="61"/>
      <c r="R21" s="83" t="s">
        <v>153</v>
      </c>
      <c r="S21" s="63">
        <f>T21*S20</f>
        <v>1.3811487635909325</v>
      </c>
      <c r="T21" s="63">
        <f>T20</f>
        <v>1.0406084751017028</v>
      </c>
    </row>
    <row r="22" spans="1:21" x14ac:dyDescent="0.2">
      <c r="A22" s="2"/>
      <c r="B22" s="60"/>
      <c r="C22" s="12">
        <v>2015</v>
      </c>
      <c r="D22" s="8">
        <v>-1.76</v>
      </c>
      <c r="E22" s="8"/>
      <c r="F22" s="8"/>
      <c r="G22" s="60"/>
      <c r="H22" s="60"/>
      <c r="I22" s="60"/>
      <c r="J22" s="61"/>
      <c r="M22" s="19" t="s">
        <v>226</v>
      </c>
    </row>
    <row r="23" spans="1:21" x14ac:dyDescent="0.2">
      <c r="A23" s="2"/>
      <c r="B23" s="60"/>
      <c r="C23" s="60"/>
      <c r="D23" s="60"/>
      <c r="E23" s="60"/>
      <c r="F23" s="60"/>
      <c r="G23" s="60"/>
      <c r="H23" s="60"/>
      <c r="I23" s="60"/>
      <c r="J23" s="61"/>
    </row>
    <row r="24" spans="1:21" x14ac:dyDescent="0.2">
      <c r="A24" s="2"/>
      <c r="B24" s="60" t="s">
        <v>220</v>
      </c>
      <c r="C24" s="60"/>
      <c r="D24" s="60"/>
      <c r="E24" s="60"/>
      <c r="F24" s="60"/>
      <c r="G24" s="60"/>
      <c r="H24" s="60"/>
      <c r="I24" s="60"/>
      <c r="J24" s="61"/>
      <c r="L24" s="19" t="s">
        <v>4</v>
      </c>
      <c r="N24" s="63"/>
    </row>
    <row r="25" spans="1:21" ht="16" customHeight="1" x14ac:dyDescent="0.2">
      <c r="A25" s="2"/>
      <c r="B25" s="60"/>
      <c r="C25" s="60"/>
      <c r="D25" s="60"/>
      <c r="E25" s="60"/>
      <c r="F25" s="60"/>
      <c r="G25" s="60"/>
      <c r="H25" s="60"/>
      <c r="I25" s="60"/>
      <c r="J25" s="61"/>
      <c r="M25" s="413" t="s">
        <v>229</v>
      </c>
      <c r="N25" s="413"/>
      <c r="O25" s="413"/>
      <c r="P25" s="413"/>
      <c r="Q25" s="413"/>
      <c r="R25" s="413"/>
      <c r="S25" s="413"/>
      <c r="T25" s="413"/>
      <c r="U25" s="413"/>
    </row>
    <row r="26" spans="1:21" x14ac:dyDescent="0.2">
      <c r="A26" s="2"/>
      <c r="B26" s="60"/>
      <c r="C26" s="60"/>
      <c r="D26" s="60"/>
      <c r="E26" s="60"/>
      <c r="F26" s="60"/>
      <c r="G26" s="60"/>
      <c r="H26" s="60"/>
      <c r="I26" s="60"/>
      <c r="J26" s="61"/>
      <c r="M26" s="413"/>
      <c r="N26" s="413"/>
      <c r="O26" s="413"/>
      <c r="P26" s="413"/>
      <c r="Q26" s="413"/>
      <c r="R26" s="413"/>
      <c r="S26" s="413"/>
      <c r="T26" s="413"/>
      <c r="U26" s="413"/>
    </row>
    <row r="27" spans="1:21" x14ac:dyDescent="0.2">
      <c r="A27" s="98" t="s">
        <v>0</v>
      </c>
      <c r="B27" s="60" t="s">
        <v>222</v>
      </c>
      <c r="C27" s="60"/>
      <c r="D27" s="60"/>
      <c r="E27" s="60"/>
      <c r="F27" s="60"/>
      <c r="G27" s="60"/>
      <c r="H27" s="60"/>
      <c r="I27" s="60"/>
      <c r="J27" s="61"/>
      <c r="M27" s="413"/>
      <c r="N27" s="413"/>
      <c r="O27" s="413"/>
      <c r="P27" s="413"/>
      <c r="Q27" s="413"/>
      <c r="R27" s="413"/>
      <c r="S27" s="413"/>
      <c r="T27" s="413"/>
      <c r="U27" s="413"/>
    </row>
    <row r="28" spans="1:21" x14ac:dyDescent="0.2">
      <c r="A28" s="2"/>
      <c r="B28" s="60"/>
      <c r="C28" s="60"/>
      <c r="D28" s="60"/>
      <c r="E28" s="60"/>
      <c r="F28" s="60"/>
      <c r="G28" s="60"/>
      <c r="H28" s="60"/>
      <c r="I28" s="60"/>
      <c r="J28" s="61"/>
      <c r="M28" s="413"/>
      <c r="N28" s="413"/>
      <c r="O28" s="413"/>
      <c r="P28" s="413"/>
      <c r="Q28" s="413"/>
      <c r="R28" s="413"/>
      <c r="S28" s="413"/>
      <c r="T28" s="413"/>
      <c r="U28" s="413"/>
    </row>
    <row r="29" spans="1:21" x14ac:dyDescent="0.2">
      <c r="A29" s="2"/>
      <c r="B29" s="60"/>
      <c r="C29" s="60"/>
      <c r="D29" s="60"/>
      <c r="E29" s="60"/>
      <c r="F29" s="60"/>
      <c r="G29" s="60"/>
      <c r="H29" s="60"/>
      <c r="I29" s="60"/>
      <c r="J29" s="61"/>
      <c r="M29" s="413"/>
      <c r="N29" s="413"/>
      <c r="O29" s="413"/>
      <c r="P29" s="413"/>
      <c r="Q29" s="413"/>
      <c r="R29" s="413"/>
      <c r="S29" s="413"/>
      <c r="T29" s="413"/>
      <c r="U29" s="413"/>
    </row>
    <row r="30" spans="1:21" x14ac:dyDescent="0.2">
      <c r="A30" s="98" t="s">
        <v>1</v>
      </c>
      <c r="B30" s="60" t="s">
        <v>274</v>
      </c>
      <c r="C30" s="60"/>
      <c r="D30" s="60"/>
      <c r="E30" s="60"/>
      <c r="F30" s="60"/>
      <c r="G30" s="60"/>
      <c r="H30" s="60"/>
      <c r="I30" s="60"/>
      <c r="J30" s="61"/>
      <c r="M30" s="413"/>
      <c r="N30" s="413"/>
      <c r="O30" s="413"/>
      <c r="P30" s="413"/>
      <c r="Q30" s="413"/>
      <c r="R30" s="413"/>
      <c r="S30" s="413"/>
      <c r="T30" s="413"/>
      <c r="U30" s="413"/>
    </row>
    <row r="31" spans="1:21" x14ac:dyDescent="0.2">
      <c r="A31" s="2"/>
      <c r="B31" s="60" t="s">
        <v>275</v>
      </c>
      <c r="C31" s="60"/>
      <c r="D31" s="60"/>
      <c r="E31" s="60"/>
      <c r="F31" s="60"/>
      <c r="G31" s="60"/>
      <c r="H31" s="60"/>
      <c r="I31" s="60"/>
      <c r="J31" s="61"/>
      <c r="M31" s="413"/>
      <c r="N31" s="413"/>
      <c r="O31" s="413"/>
      <c r="P31" s="413"/>
      <c r="Q31" s="413"/>
      <c r="R31" s="413"/>
      <c r="S31" s="413"/>
      <c r="T31" s="413"/>
      <c r="U31" s="413"/>
    </row>
    <row r="32" spans="1:21" x14ac:dyDescent="0.2">
      <c r="A32" s="2"/>
      <c r="B32" s="60"/>
      <c r="C32" s="60"/>
      <c r="D32" s="60"/>
      <c r="E32" s="60"/>
      <c r="F32" s="60"/>
      <c r="G32" s="60"/>
      <c r="H32" s="60"/>
      <c r="I32" s="60"/>
      <c r="J32" s="61"/>
    </row>
    <row r="33" spans="1:23" ht="17" thickBot="1" x14ac:dyDescent="0.25">
      <c r="A33" s="2"/>
      <c r="B33" s="60"/>
      <c r="C33" s="60"/>
      <c r="D33" s="60"/>
      <c r="E33" s="60"/>
      <c r="F33" s="60"/>
      <c r="G33" s="60"/>
      <c r="H33" s="60"/>
      <c r="I33" s="60"/>
      <c r="J33" s="61"/>
      <c r="M33" s="19" t="s">
        <v>236</v>
      </c>
    </row>
    <row r="34" spans="1:23" ht="17" thickBot="1" x14ac:dyDescent="0.25">
      <c r="A34" s="410" t="s">
        <v>266</v>
      </c>
      <c r="B34" s="411"/>
      <c r="C34" s="411"/>
      <c r="D34" s="411"/>
      <c r="E34" s="411"/>
      <c r="F34" s="411"/>
      <c r="G34" s="411"/>
      <c r="H34" s="411"/>
      <c r="I34" s="411"/>
      <c r="J34" s="412"/>
    </row>
    <row r="35" spans="1:23" ht="19" x14ac:dyDescent="0.25">
      <c r="L35" s="3" t="s">
        <v>262</v>
      </c>
    </row>
    <row r="36" spans="1:23" ht="16" customHeight="1" x14ac:dyDescent="0.25">
      <c r="A36" s="3"/>
      <c r="M36" s="413" t="s">
        <v>264</v>
      </c>
      <c r="N36" s="413"/>
      <c r="O36" s="413"/>
      <c r="P36" s="413"/>
      <c r="Q36" s="413"/>
      <c r="R36" s="413"/>
      <c r="S36" s="413"/>
      <c r="T36" s="413"/>
      <c r="U36" s="413"/>
    </row>
    <row r="37" spans="1:23" x14ac:dyDescent="0.2">
      <c r="M37" s="413"/>
      <c r="N37" s="413"/>
      <c r="O37" s="413"/>
      <c r="P37" s="413"/>
      <c r="Q37" s="413"/>
      <c r="R37" s="413"/>
      <c r="S37" s="413"/>
      <c r="T37" s="413"/>
      <c r="U37" s="413"/>
    </row>
    <row r="38" spans="1:23" x14ac:dyDescent="0.2">
      <c r="M38" s="413"/>
      <c r="N38" s="413"/>
      <c r="O38" s="413"/>
      <c r="P38" s="413"/>
      <c r="Q38" s="413"/>
      <c r="R38" s="413"/>
      <c r="S38" s="413"/>
      <c r="T38" s="413"/>
      <c r="U38" s="413"/>
    </row>
    <row r="39" spans="1:23" x14ac:dyDescent="0.2">
      <c r="M39" s="413"/>
      <c r="N39" s="413"/>
      <c r="O39" s="413"/>
      <c r="P39" s="413"/>
      <c r="Q39" s="413"/>
      <c r="R39" s="413"/>
      <c r="S39" s="413"/>
      <c r="T39" s="413"/>
      <c r="U39" s="413"/>
    </row>
    <row r="41" spans="1:23" x14ac:dyDescent="0.2">
      <c r="L41" s="125"/>
      <c r="M41" s="125"/>
      <c r="N41" s="125"/>
      <c r="O41" s="125"/>
      <c r="P41" s="125"/>
      <c r="Q41" s="125"/>
      <c r="R41" s="125"/>
      <c r="S41" s="125"/>
      <c r="T41" s="125"/>
      <c r="U41" s="125"/>
      <c r="V41" s="125"/>
      <c r="W41" s="125"/>
    </row>
    <row r="42" spans="1:23" ht="19" x14ac:dyDescent="0.25">
      <c r="L42" s="3" t="s">
        <v>303</v>
      </c>
      <c r="M42" s="125"/>
      <c r="N42" s="125"/>
      <c r="O42" s="125"/>
      <c r="P42" s="125"/>
      <c r="Q42" s="125"/>
      <c r="R42" s="125"/>
      <c r="S42" s="125"/>
      <c r="T42" s="125"/>
      <c r="U42" s="125"/>
      <c r="V42" s="125"/>
      <c r="W42" s="125"/>
    </row>
    <row r="43" spans="1:23" x14ac:dyDescent="0.2">
      <c r="L43" s="125" t="s">
        <v>298</v>
      </c>
      <c r="M43" s="125"/>
      <c r="N43" s="125"/>
      <c r="O43" s="125"/>
      <c r="P43" s="125"/>
      <c r="Q43" s="125"/>
      <c r="R43" s="125"/>
      <c r="S43" s="125"/>
      <c r="T43" s="125"/>
      <c r="U43" s="125"/>
      <c r="V43" s="125"/>
      <c r="W43" s="125"/>
    </row>
    <row r="44" spans="1:23" x14ac:dyDescent="0.2">
      <c r="L44" s="125"/>
      <c r="M44" s="125"/>
      <c r="N44" s="125"/>
      <c r="O44" s="125"/>
      <c r="P44" s="125"/>
      <c r="Q44" s="125"/>
      <c r="R44" s="125"/>
      <c r="S44" s="125"/>
      <c r="T44" s="125"/>
      <c r="U44" s="125"/>
      <c r="V44" s="125"/>
      <c r="W44" s="125"/>
    </row>
    <row r="45" spans="1:23" x14ac:dyDescent="0.2">
      <c r="L45" s="125"/>
      <c r="M45" s="125"/>
      <c r="N45" s="125"/>
      <c r="O45" s="125"/>
      <c r="P45" s="125"/>
      <c r="Q45" s="125"/>
      <c r="R45" s="125"/>
      <c r="S45" s="125"/>
      <c r="T45" s="125"/>
      <c r="U45" s="125"/>
      <c r="V45" s="125"/>
      <c r="W45" s="125"/>
    </row>
    <row r="46" spans="1:23" x14ac:dyDescent="0.2">
      <c r="L46" s="125"/>
      <c r="M46" s="125"/>
      <c r="N46" s="125"/>
      <c r="O46" s="125"/>
      <c r="P46" s="125"/>
      <c r="Q46" s="125"/>
      <c r="R46" s="125"/>
      <c r="S46" s="125"/>
      <c r="T46" s="125"/>
      <c r="U46" s="125"/>
      <c r="V46" s="125"/>
      <c r="W46" s="125"/>
    </row>
    <row r="47" spans="1:23" x14ac:dyDescent="0.2">
      <c r="L47" s="125"/>
      <c r="M47" s="125"/>
      <c r="N47" s="125"/>
      <c r="O47" s="125"/>
      <c r="P47" s="125"/>
      <c r="Q47" s="125"/>
      <c r="R47" s="125"/>
      <c r="S47" s="125"/>
      <c r="T47" s="125"/>
      <c r="U47" s="125"/>
      <c r="V47" s="125"/>
      <c r="W47" s="125"/>
    </row>
    <row r="48" spans="1:23" x14ac:dyDescent="0.2">
      <c r="L48" s="125"/>
      <c r="M48" s="125"/>
      <c r="N48" s="125"/>
      <c r="O48" s="125"/>
      <c r="P48" s="125"/>
      <c r="Q48" s="125"/>
      <c r="R48" s="125"/>
      <c r="S48" s="125"/>
      <c r="T48" s="125"/>
      <c r="U48" s="125"/>
      <c r="V48" s="125"/>
      <c r="W48" s="125"/>
    </row>
    <row r="49" spans="12:23" x14ac:dyDescent="0.2">
      <c r="L49" s="125"/>
      <c r="M49" s="125"/>
      <c r="N49" s="125"/>
      <c r="O49" s="125"/>
      <c r="P49" s="125"/>
      <c r="Q49" s="125"/>
      <c r="R49" s="125"/>
      <c r="S49" s="125"/>
      <c r="T49" s="125"/>
      <c r="U49" s="125"/>
      <c r="V49" s="125"/>
      <c r="W49" s="125"/>
    </row>
    <row r="50" spans="12:23" x14ac:dyDescent="0.2">
      <c r="L50" s="125"/>
      <c r="M50" s="125"/>
      <c r="N50" s="125"/>
      <c r="O50" s="125"/>
      <c r="P50" s="125"/>
      <c r="Q50" s="125"/>
      <c r="R50" s="125"/>
      <c r="S50" s="125"/>
      <c r="T50" s="125"/>
      <c r="U50" s="125"/>
      <c r="V50" s="125"/>
      <c r="W50" s="125"/>
    </row>
    <row r="51" spans="12:23" x14ac:dyDescent="0.2">
      <c r="L51" s="125"/>
      <c r="M51" s="125"/>
      <c r="N51" s="125"/>
      <c r="O51" s="125"/>
      <c r="P51" s="125"/>
      <c r="Q51" s="125"/>
      <c r="R51" s="125"/>
      <c r="S51" s="125"/>
      <c r="T51" s="125"/>
      <c r="U51" s="125"/>
      <c r="V51" s="125"/>
      <c r="W51" s="125"/>
    </row>
    <row r="52" spans="12:23" x14ac:dyDescent="0.2">
      <c r="L52" s="125"/>
      <c r="M52" s="125"/>
      <c r="N52" s="125"/>
      <c r="O52" s="125"/>
      <c r="P52" s="125"/>
      <c r="Q52" s="125"/>
      <c r="R52" s="125"/>
      <c r="S52" s="125"/>
      <c r="T52" s="125"/>
      <c r="U52" s="125"/>
      <c r="V52" s="125"/>
      <c r="W52" s="125"/>
    </row>
    <row r="53" spans="12:23" x14ac:dyDescent="0.2">
      <c r="L53" s="125"/>
      <c r="M53" s="125"/>
      <c r="N53" s="125"/>
      <c r="O53" s="125"/>
      <c r="P53" s="125"/>
      <c r="Q53" s="125"/>
      <c r="R53" s="125"/>
      <c r="S53" s="125"/>
      <c r="T53" s="125"/>
      <c r="U53" s="125"/>
      <c r="V53" s="125"/>
      <c r="W53" s="125"/>
    </row>
    <row r="54" spans="12:23" x14ac:dyDescent="0.2">
      <c r="L54" s="125"/>
      <c r="M54" s="125"/>
      <c r="N54" s="125"/>
      <c r="O54" s="125"/>
      <c r="P54" s="125"/>
      <c r="Q54" s="125"/>
      <c r="R54" s="125"/>
      <c r="S54" s="125"/>
      <c r="T54" s="125"/>
      <c r="U54" s="125"/>
      <c r="V54" s="125"/>
      <c r="W54" s="125"/>
    </row>
    <row r="55" spans="12:23" x14ac:dyDescent="0.2">
      <c r="L55" s="125"/>
      <c r="M55" s="125"/>
      <c r="N55" s="125"/>
      <c r="O55" s="125"/>
      <c r="P55" s="125"/>
      <c r="Q55" s="125"/>
      <c r="R55" s="125"/>
      <c r="S55" s="125"/>
      <c r="T55" s="125"/>
      <c r="U55" s="125"/>
      <c r="V55" s="125"/>
      <c r="W55" s="125"/>
    </row>
    <row r="56" spans="12:23" x14ac:dyDescent="0.2">
      <c r="L56" s="125"/>
      <c r="M56" s="125"/>
      <c r="N56" s="125"/>
      <c r="O56" s="125"/>
      <c r="P56" s="125"/>
      <c r="Q56" s="125"/>
      <c r="R56" s="125"/>
      <c r="S56" s="125"/>
      <c r="T56" s="125"/>
      <c r="U56" s="125"/>
      <c r="V56" s="125"/>
      <c r="W56" s="125"/>
    </row>
    <row r="57" spans="12:23" x14ac:dyDescent="0.2">
      <c r="L57" s="125"/>
      <c r="M57" s="125"/>
      <c r="N57" s="125"/>
      <c r="O57" s="125"/>
      <c r="P57" s="125"/>
      <c r="Q57" s="125"/>
      <c r="R57" s="125"/>
      <c r="S57" s="125"/>
      <c r="T57" s="125"/>
      <c r="U57" s="125"/>
      <c r="V57" s="125"/>
      <c r="W57" s="125"/>
    </row>
    <row r="58" spans="12:23" x14ac:dyDescent="0.2">
      <c r="L58" s="125"/>
      <c r="M58" s="125"/>
      <c r="N58" s="125"/>
      <c r="O58" s="125"/>
      <c r="P58" s="125"/>
      <c r="Q58" s="125"/>
      <c r="R58" s="125"/>
      <c r="S58" s="125"/>
      <c r="T58" s="125"/>
      <c r="U58" s="125"/>
      <c r="V58" s="125"/>
      <c r="W58" s="125"/>
    </row>
    <row r="59" spans="12:23" x14ac:dyDescent="0.2">
      <c r="L59" s="125"/>
      <c r="M59" s="125"/>
      <c r="N59" s="125"/>
      <c r="O59" s="125"/>
      <c r="P59" s="125"/>
      <c r="Q59" s="125"/>
      <c r="R59" s="125"/>
      <c r="S59" s="125"/>
      <c r="T59" s="125"/>
      <c r="U59" s="125"/>
      <c r="V59" s="125"/>
      <c r="W59" s="125"/>
    </row>
    <row r="60" spans="12:23" x14ac:dyDescent="0.2">
      <c r="L60" s="125"/>
      <c r="M60" s="125"/>
      <c r="N60" s="125"/>
      <c r="O60" s="125"/>
      <c r="P60" s="125"/>
      <c r="Q60" s="125"/>
      <c r="R60" s="125"/>
      <c r="S60" s="125"/>
      <c r="T60" s="125"/>
      <c r="U60" s="125"/>
      <c r="V60" s="125"/>
      <c r="W60" s="125"/>
    </row>
    <row r="61" spans="12:23" x14ac:dyDescent="0.2">
      <c r="L61" s="125"/>
      <c r="M61" s="125"/>
      <c r="N61" s="125"/>
      <c r="O61" s="125"/>
      <c r="P61" s="125"/>
      <c r="Q61" s="125"/>
      <c r="R61" s="125"/>
      <c r="S61" s="125"/>
      <c r="T61" s="125"/>
      <c r="U61" s="125"/>
      <c r="V61" s="125"/>
      <c r="W61" s="125"/>
    </row>
    <row r="62" spans="12:23" x14ac:dyDescent="0.2">
      <c r="L62" s="125"/>
      <c r="M62" s="126"/>
      <c r="N62" s="125"/>
      <c r="O62" s="125"/>
      <c r="P62" s="125"/>
      <c r="Q62" s="125"/>
      <c r="R62" s="125"/>
      <c r="S62" s="125"/>
      <c r="T62" s="125"/>
      <c r="U62" s="125"/>
      <c r="V62" s="125"/>
      <c r="W62" s="125"/>
    </row>
    <row r="63" spans="12:23" x14ac:dyDescent="0.2">
      <c r="L63" s="125"/>
      <c r="M63" s="125"/>
      <c r="N63" s="125"/>
      <c r="O63" s="125"/>
      <c r="P63" s="125"/>
      <c r="Q63" s="125"/>
      <c r="R63" s="125"/>
      <c r="S63" s="125"/>
      <c r="T63" s="125"/>
      <c r="U63" s="125"/>
      <c r="V63" s="125"/>
      <c r="W63" s="125"/>
    </row>
    <row r="64" spans="12:23" x14ac:dyDescent="0.2">
      <c r="L64" s="125"/>
      <c r="M64" s="125"/>
      <c r="N64" s="125"/>
      <c r="O64" s="125"/>
      <c r="P64" s="125"/>
      <c r="Q64" s="125"/>
      <c r="R64" s="125"/>
      <c r="S64" s="125"/>
      <c r="T64" s="125"/>
      <c r="U64" s="125"/>
      <c r="V64" s="125"/>
      <c r="W64" s="125"/>
    </row>
    <row r="65" spans="12:23" x14ac:dyDescent="0.2">
      <c r="L65" s="125"/>
      <c r="M65" s="125"/>
      <c r="N65" s="125"/>
      <c r="O65" s="125"/>
      <c r="P65" s="125"/>
      <c r="Q65" s="125"/>
      <c r="R65" s="125"/>
      <c r="S65" s="125"/>
      <c r="T65" s="125"/>
      <c r="U65" s="125"/>
      <c r="V65" s="125"/>
      <c r="W65" s="125"/>
    </row>
    <row r="66" spans="12:23" x14ac:dyDescent="0.2">
      <c r="L66" s="125"/>
      <c r="M66" s="125"/>
      <c r="N66" s="125"/>
      <c r="O66" s="125"/>
      <c r="P66" s="125"/>
      <c r="Q66" s="125"/>
      <c r="R66" s="125"/>
      <c r="S66" s="125"/>
      <c r="T66" s="125"/>
      <c r="U66" s="125"/>
      <c r="V66" s="125"/>
      <c r="W66" s="125"/>
    </row>
    <row r="67" spans="12:23" x14ac:dyDescent="0.2">
      <c r="L67" s="125"/>
      <c r="M67" s="125"/>
      <c r="N67" s="125"/>
      <c r="O67" s="125"/>
      <c r="P67" s="125"/>
      <c r="Q67" s="125"/>
      <c r="R67" s="125"/>
      <c r="S67" s="125"/>
      <c r="T67" s="125"/>
      <c r="U67" s="125"/>
      <c r="V67" s="125"/>
      <c r="W67" s="125"/>
    </row>
    <row r="68" spans="12:23" x14ac:dyDescent="0.2">
      <c r="L68" s="125"/>
      <c r="M68" s="125"/>
      <c r="N68" s="125"/>
      <c r="O68" s="125"/>
      <c r="P68" s="125"/>
      <c r="Q68" s="125"/>
      <c r="R68" s="125"/>
      <c r="S68" s="125"/>
      <c r="T68" s="125"/>
      <c r="U68" s="125"/>
      <c r="V68" s="125"/>
      <c r="W68" s="125"/>
    </row>
    <row r="69" spans="12:23" x14ac:dyDescent="0.2">
      <c r="L69" s="125"/>
      <c r="M69" s="125"/>
      <c r="N69" s="125"/>
      <c r="O69" s="125"/>
      <c r="P69" s="125"/>
      <c r="Q69" s="125"/>
      <c r="R69" s="125"/>
      <c r="S69" s="125"/>
      <c r="T69" s="125"/>
      <c r="U69" s="125"/>
      <c r="V69" s="125"/>
      <c r="W69" s="125"/>
    </row>
    <row r="70" spans="12:23" x14ac:dyDescent="0.2">
      <c r="L70" s="125"/>
      <c r="M70" s="125"/>
      <c r="N70" s="125"/>
      <c r="O70" s="125"/>
      <c r="P70" s="125"/>
      <c r="Q70" s="125"/>
      <c r="R70" s="125"/>
      <c r="S70" s="125"/>
      <c r="T70" s="125"/>
      <c r="U70" s="125"/>
      <c r="V70" s="125"/>
      <c r="W70" s="125"/>
    </row>
    <row r="71" spans="12:23" x14ac:dyDescent="0.2">
      <c r="L71" s="125"/>
      <c r="M71" s="125"/>
      <c r="N71" s="125"/>
      <c r="O71" s="125"/>
      <c r="P71" s="125"/>
      <c r="Q71" s="125"/>
      <c r="R71" s="125"/>
      <c r="S71" s="125"/>
      <c r="T71" s="125"/>
      <c r="U71" s="125"/>
      <c r="V71" s="125"/>
      <c r="W71" s="125"/>
    </row>
    <row r="72" spans="12:23" x14ac:dyDescent="0.2">
      <c r="L72" s="125"/>
      <c r="M72" s="126"/>
      <c r="N72" s="125"/>
      <c r="O72" s="125"/>
      <c r="P72" s="125"/>
      <c r="Q72" s="125"/>
      <c r="R72" s="125"/>
      <c r="S72" s="125"/>
      <c r="T72" s="125"/>
      <c r="U72" s="125"/>
      <c r="V72" s="125"/>
      <c r="W72" s="125"/>
    </row>
    <row r="73" spans="12:23" x14ac:dyDescent="0.2">
      <c r="L73" s="125"/>
      <c r="M73" s="125"/>
      <c r="N73" s="125"/>
      <c r="O73" s="125"/>
      <c r="P73" s="125"/>
      <c r="Q73" s="125"/>
      <c r="R73" s="125"/>
      <c r="S73" s="125"/>
      <c r="T73" s="125"/>
      <c r="U73" s="125"/>
      <c r="V73" s="125"/>
      <c r="W73" s="125"/>
    </row>
    <row r="74" spans="12:23" x14ac:dyDescent="0.2">
      <c r="L74" s="125"/>
      <c r="M74" s="125"/>
      <c r="N74" s="125"/>
      <c r="O74" s="125"/>
      <c r="P74" s="125"/>
      <c r="Q74" s="125"/>
      <c r="R74" s="125"/>
      <c r="S74" s="125"/>
      <c r="T74" s="125"/>
      <c r="U74" s="125"/>
      <c r="V74" s="125"/>
      <c r="W74" s="125"/>
    </row>
    <row r="75" spans="12:23" x14ac:dyDescent="0.2">
      <c r="L75" s="125"/>
      <c r="M75" s="125"/>
      <c r="N75" s="125"/>
      <c r="O75" s="125"/>
      <c r="P75" s="125"/>
      <c r="Q75" s="125"/>
      <c r="R75" s="125"/>
      <c r="S75" s="125"/>
      <c r="T75" s="125"/>
      <c r="U75" s="125"/>
      <c r="V75" s="125"/>
      <c r="W75" s="125"/>
    </row>
    <row r="76" spans="12:23" x14ac:dyDescent="0.2">
      <c r="L76" s="125"/>
      <c r="M76" s="125"/>
      <c r="N76" s="125"/>
      <c r="O76" s="125"/>
      <c r="P76" s="125"/>
      <c r="Q76" s="125"/>
      <c r="R76" s="125"/>
      <c r="S76" s="125"/>
      <c r="T76" s="125"/>
      <c r="U76" s="125"/>
      <c r="V76" s="125"/>
      <c r="W76" s="125"/>
    </row>
    <row r="77" spans="12:23" x14ac:dyDescent="0.2">
      <c r="L77" s="125"/>
      <c r="M77" s="125"/>
      <c r="N77" s="125"/>
      <c r="O77" s="125"/>
      <c r="P77" s="125"/>
      <c r="Q77" s="125"/>
      <c r="R77" s="125"/>
      <c r="S77" s="125"/>
      <c r="T77" s="125"/>
      <c r="U77" s="125"/>
      <c r="V77" s="125"/>
      <c r="W77" s="125"/>
    </row>
    <row r="78" spans="12:23" x14ac:dyDescent="0.2">
      <c r="L78" s="125"/>
      <c r="M78" s="125"/>
      <c r="N78" s="125"/>
      <c r="O78" s="125"/>
      <c r="P78" s="125"/>
      <c r="Q78" s="125"/>
      <c r="R78" s="125"/>
      <c r="S78" s="125"/>
      <c r="T78" s="125"/>
      <c r="U78" s="125"/>
      <c r="V78" s="125"/>
      <c r="W78" s="125"/>
    </row>
    <row r="79" spans="12:23" x14ac:dyDescent="0.2">
      <c r="L79" s="125"/>
      <c r="M79" s="125"/>
      <c r="N79" s="125"/>
      <c r="O79" s="125"/>
      <c r="P79" s="125"/>
      <c r="Q79" s="125"/>
      <c r="R79" s="125"/>
      <c r="S79" s="125"/>
      <c r="T79" s="125"/>
      <c r="U79" s="125"/>
      <c r="V79" s="125"/>
      <c r="W79" s="125"/>
    </row>
    <row r="80" spans="12:23" x14ac:dyDescent="0.2">
      <c r="L80" s="125"/>
      <c r="M80" s="125"/>
      <c r="N80" s="125"/>
      <c r="O80" s="125"/>
      <c r="P80" s="125"/>
      <c r="Q80" s="125"/>
      <c r="R80" s="125"/>
      <c r="S80" s="125"/>
      <c r="T80" s="125"/>
      <c r="U80" s="125"/>
      <c r="V80" s="125"/>
      <c r="W80" s="125"/>
    </row>
    <row r="81" spans="12:23" x14ac:dyDescent="0.2">
      <c r="L81" s="125"/>
      <c r="M81" s="125"/>
      <c r="N81" s="125"/>
      <c r="O81" s="125"/>
      <c r="P81" s="125"/>
      <c r="Q81" s="125"/>
      <c r="R81" s="125"/>
      <c r="S81" s="125"/>
      <c r="T81" s="125"/>
      <c r="U81" s="125"/>
      <c r="V81" s="125"/>
      <c r="W81" s="125"/>
    </row>
    <row r="82" spans="12:23" x14ac:dyDescent="0.2">
      <c r="L82" s="125"/>
      <c r="M82" s="126"/>
      <c r="N82" s="125"/>
      <c r="O82" s="125"/>
      <c r="P82" s="125"/>
      <c r="Q82" s="125"/>
      <c r="R82" s="125"/>
      <c r="S82" s="125"/>
      <c r="T82" s="125"/>
      <c r="U82" s="125"/>
      <c r="V82" s="125"/>
      <c r="W82" s="125"/>
    </row>
    <row r="83" spans="12:23" x14ac:dyDescent="0.2">
      <c r="L83" s="125"/>
      <c r="M83" s="125"/>
      <c r="N83" s="125"/>
      <c r="O83" s="125"/>
      <c r="P83" s="125"/>
      <c r="Q83" s="125"/>
      <c r="R83" s="125"/>
      <c r="S83" s="125"/>
      <c r="T83" s="125"/>
      <c r="U83" s="125"/>
      <c r="V83" s="125"/>
      <c r="W83" s="125"/>
    </row>
    <row r="84" spans="12:23" x14ac:dyDescent="0.2">
      <c r="L84" s="125"/>
      <c r="M84" s="125"/>
      <c r="N84" s="125"/>
      <c r="O84" s="125"/>
      <c r="P84" s="125"/>
      <c r="Q84" s="125"/>
      <c r="R84" s="125"/>
      <c r="S84" s="125"/>
      <c r="T84" s="125"/>
      <c r="U84" s="125"/>
      <c r="V84" s="125"/>
      <c r="W84" s="125"/>
    </row>
    <row r="85" spans="12:23" x14ac:dyDescent="0.2">
      <c r="L85" s="125"/>
      <c r="M85" s="125"/>
      <c r="N85" s="125"/>
      <c r="O85" s="125"/>
      <c r="P85" s="125"/>
      <c r="Q85" s="125"/>
      <c r="R85" s="125"/>
      <c r="S85" s="125"/>
      <c r="T85" s="125"/>
      <c r="U85" s="125"/>
      <c r="V85" s="125"/>
      <c r="W85" s="125"/>
    </row>
    <row r="86" spans="12:23" x14ac:dyDescent="0.2">
      <c r="L86" s="125"/>
      <c r="M86" s="125"/>
      <c r="N86" s="125"/>
      <c r="O86" s="125"/>
      <c r="P86" s="125"/>
      <c r="Q86" s="125"/>
      <c r="R86" s="125"/>
      <c r="S86" s="125"/>
      <c r="T86" s="125"/>
      <c r="U86" s="125"/>
      <c r="V86" s="125"/>
      <c r="W86" s="125"/>
    </row>
    <row r="87" spans="12:23" x14ac:dyDescent="0.2">
      <c r="L87" s="125"/>
      <c r="M87" s="125"/>
      <c r="N87" s="125"/>
      <c r="O87" s="125"/>
      <c r="P87" s="125"/>
      <c r="Q87" s="125"/>
      <c r="R87" s="125"/>
      <c r="S87" s="125"/>
      <c r="T87" s="125"/>
      <c r="U87" s="125"/>
      <c r="V87" s="125"/>
      <c r="W87" s="125"/>
    </row>
    <row r="88" spans="12:23" x14ac:dyDescent="0.2">
      <c r="L88" s="5"/>
      <c r="M88" s="5"/>
      <c r="N88" s="5"/>
    </row>
    <row r="89" spans="12:23" x14ac:dyDescent="0.2">
      <c r="L89" s="5"/>
      <c r="M89" s="5"/>
      <c r="N89" s="5"/>
    </row>
    <row r="90" spans="12:23" x14ac:dyDescent="0.2">
      <c r="L90" s="5"/>
      <c r="M90" s="5"/>
      <c r="N90" s="5"/>
    </row>
    <row r="91" spans="12:23" x14ac:dyDescent="0.2">
      <c r="L91" s="5"/>
      <c r="M91" s="5"/>
      <c r="N91" s="5"/>
    </row>
    <row r="92" spans="12:23" x14ac:dyDescent="0.2">
      <c r="M92" s="63"/>
    </row>
    <row r="93" spans="12:23" x14ac:dyDescent="0.2">
      <c r="L93" s="5"/>
      <c r="M93" s="5"/>
      <c r="N93" s="5"/>
    </row>
    <row r="94" spans="12:23" x14ac:dyDescent="0.2">
      <c r="L94" s="5"/>
      <c r="M94" s="5"/>
      <c r="N94" s="5"/>
    </row>
    <row r="95" spans="12:23" x14ac:dyDescent="0.2">
      <c r="L95" s="5"/>
      <c r="M95" s="5"/>
      <c r="N95" s="5"/>
    </row>
    <row r="96" spans="12:23" x14ac:dyDescent="0.2">
      <c r="L96" s="5"/>
      <c r="M96" s="5"/>
      <c r="N96" s="5"/>
    </row>
    <row r="97" spans="1:65" x14ac:dyDescent="0.2">
      <c r="L97" s="5"/>
      <c r="M97" s="5"/>
      <c r="N97" s="5"/>
    </row>
    <row r="98" spans="1:65" x14ac:dyDescent="0.2">
      <c r="L98" s="5"/>
      <c r="M98" s="5"/>
      <c r="N98" s="5"/>
    </row>
    <row r="99" spans="1:65" x14ac:dyDescent="0.2">
      <c r="L99" s="5"/>
      <c r="M99" s="5"/>
      <c r="N99" s="5"/>
    </row>
    <row r="100" spans="1:65" x14ac:dyDescent="0.2">
      <c r="L100" s="5"/>
      <c r="M100" s="5"/>
      <c r="N100" s="5"/>
    </row>
    <row r="101" spans="1:65" x14ac:dyDescent="0.2">
      <c r="A101" s="5"/>
      <c r="B101" s="5"/>
      <c r="C101" s="5"/>
      <c r="D101" s="5"/>
      <c r="E101" s="5"/>
      <c r="F101" s="5"/>
      <c r="G101" s="5"/>
      <c r="H101" s="5"/>
      <c r="I101" s="5"/>
      <c r="J101" s="5"/>
      <c r="L101" s="5"/>
      <c r="M101" s="5"/>
      <c r="N101" s="5"/>
    </row>
    <row r="102" spans="1:65" x14ac:dyDescent="0.2">
      <c r="A102" s="5"/>
      <c r="B102" s="5"/>
      <c r="C102" s="5"/>
      <c r="D102" s="5"/>
      <c r="E102" s="5"/>
      <c r="F102" s="5"/>
      <c r="G102" s="5"/>
      <c r="H102" s="5"/>
      <c r="I102" s="5"/>
      <c r="J102" s="5"/>
      <c r="M102" s="63"/>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sheetData>
  <mergeCells count="5">
    <mergeCell ref="C8:F8"/>
    <mergeCell ref="C18:F18"/>
    <mergeCell ref="A34:J34"/>
    <mergeCell ref="M25:U31"/>
    <mergeCell ref="M36:U3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8FF6-698A-2344-8338-5463418E2027}">
  <dimension ref="A1:BM171"/>
  <sheetViews>
    <sheetView zoomScaleNormal="100" workbookViewId="0"/>
  </sheetViews>
  <sheetFormatPr baseColWidth="10" defaultColWidth="10.83203125" defaultRowHeight="16" outlineLevelCol="1" x14ac:dyDescent="0.2"/>
  <cols>
    <col min="1" max="1" width="4.6640625" style="62" customWidth="1"/>
    <col min="2" max="10" width="10.83203125" style="62" customWidth="1"/>
    <col min="11" max="11" width="11.5" style="62" bestFit="1" customWidth="1"/>
    <col min="12" max="23" width="10.83203125" style="62" hidden="1" customWidth="1" outlineLevel="1"/>
    <col min="24" max="24" width="10.83203125" style="62" collapsed="1"/>
    <col min="25" max="16384" width="10.83203125" style="62"/>
  </cols>
  <sheetData>
    <row r="1" spans="1:21" ht="19" x14ac:dyDescent="0.25">
      <c r="A1" s="1" t="s">
        <v>293</v>
      </c>
      <c r="B1" s="46"/>
      <c r="C1" s="59"/>
      <c r="D1" s="59"/>
      <c r="E1" s="59"/>
      <c r="F1" s="60"/>
      <c r="G1" s="60"/>
      <c r="H1" s="60"/>
      <c r="I1" s="60"/>
      <c r="J1" s="61"/>
      <c r="K1" s="3" t="s">
        <v>265</v>
      </c>
    </row>
    <row r="2" spans="1:21" x14ac:dyDescent="0.2">
      <c r="A2" s="2"/>
      <c r="B2" s="60"/>
      <c r="C2" s="60"/>
      <c r="D2" s="60"/>
      <c r="E2" s="60"/>
      <c r="F2" s="60"/>
      <c r="G2" s="60"/>
      <c r="H2" s="60"/>
      <c r="I2" s="60"/>
      <c r="J2" s="61"/>
      <c r="L2" s="19" t="s">
        <v>3</v>
      </c>
      <c r="N2" s="63"/>
    </row>
    <row r="3" spans="1:21" x14ac:dyDescent="0.2">
      <c r="A3" s="2"/>
      <c r="B3" s="60" t="s">
        <v>230</v>
      </c>
      <c r="C3" s="60"/>
      <c r="D3" s="60"/>
      <c r="E3" s="60"/>
      <c r="F3" s="60"/>
      <c r="G3" s="60"/>
      <c r="H3" s="60"/>
      <c r="I3" s="60"/>
      <c r="J3" s="61"/>
      <c r="M3" s="62" t="s">
        <v>253</v>
      </c>
    </row>
    <row r="4" spans="1:21" x14ac:dyDescent="0.2">
      <c r="A4" s="2"/>
      <c r="B4" s="60" t="s">
        <v>231</v>
      </c>
      <c r="C4" s="60"/>
      <c r="D4" s="60"/>
      <c r="E4" s="60"/>
      <c r="F4" s="60"/>
      <c r="G4" s="60"/>
      <c r="H4" s="60"/>
      <c r="I4" s="60"/>
      <c r="J4" s="61"/>
    </row>
    <row r="5" spans="1:21" x14ac:dyDescent="0.2">
      <c r="A5" s="2"/>
      <c r="B5" s="60"/>
      <c r="C5" s="60"/>
      <c r="D5" s="60"/>
      <c r="E5" s="60"/>
      <c r="F5" s="60"/>
      <c r="G5" s="60"/>
      <c r="H5" s="60"/>
      <c r="I5" s="60"/>
      <c r="J5" s="61"/>
    </row>
    <row r="6" spans="1:21" x14ac:dyDescent="0.2">
      <c r="A6" s="2"/>
      <c r="B6" s="408" t="s">
        <v>235</v>
      </c>
      <c r="C6" s="408"/>
      <c r="D6" s="408"/>
      <c r="E6" s="408"/>
      <c r="F6" s="408"/>
      <c r="G6" s="408"/>
      <c r="H6" s="408"/>
      <c r="I6" s="60"/>
      <c r="J6" s="61"/>
      <c r="M6" s="426" t="s">
        <v>254</v>
      </c>
      <c r="N6" s="426"/>
      <c r="O6" s="426"/>
      <c r="P6" s="426"/>
      <c r="Q6" s="64"/>
      <c r="R6" s="52" t="s">
        <v>255</v>
      </c>
      <c r="S6" s="52"/>
      <c r="T6" s="52"/>
      <c r="U6" s="52"/>
    </row>
    <row r="7" spans="1:21" ht="34" x14ac:dyDescent="0.2">
      <c r="A7" s="2"/>
      <c r="B7" s="10" t="s">
        <v>9</v>
      </c>
      <c r="C7" s="11" t="s">
        <v>10</v>
      </c>
      <c r="D7" s="11" t="s">
        <v>11</v>
      </c>
      <c r="E7" s="11" t="s">
        <v>12</v>
      </c>
      <c r="F7" s="11" t="s">
        <v>232</v>
      </c>
      <c r="G7" s="11" t="s">
        <v>233</v>
      </c>
      <c r="H7" s="11" t="s">
        <v>234</v>
      </c>
      <c r="I7" s="60"/>
      <c r="J7" s="61"/>
      <c r="M7" s="16"/>
      <c r="N7" s="17" t="s">
        <v>246</v>
      </c>
      <c r="O7" s="17" t="s">
        <v>247</v>
      </c>
      <c r="P7" s="17" t="s">
        <v>248</v>
      </c>
      <c r="Q7" s="64"/>
      <c r="R7" s="16"/>
      <c r="S7" s="17" t="s">
        <v>246</v>
      </c>
      <c r="T7" s="17" t="s">
        <v>247</v>
      </c>
      <c r="U7" s="17" t="s">
        <v>248</v>
      </c>
    </row>
    <row r="8" spans="1:21" ht="17" x14ac:dyDescent="0.2">
      <c r="A8" s="2"/>
      <c r="B8" s="12">
        <v>2011</v>
      </c>
      <c r="C8" s="7">
        <v>3170</v>
      </c>
      <c r="D8" s="7">
        <v>7110</v>
      </c>
      <c r="E8" s="7">
        <v>8730</v>
      </c>
      <c r="F8" s="7">
        <v>9510</v>
      </c>
      <c r="G8" s="7">
        <v>10250</v>
      </c>
      <c r="H8" s="7">
        <v>10520</v>
      </c>
      <c r="I8" s="60"/>
      <c r="J8" s="61"/>
      <c r="M8" s="15" t="s">
        <v>232</v>
      </c>
      <c r="N8" s="14">
        <f>D$23+SUM(D$24:D26)</f>
        <v>6.4240000000000004</v>
      </c>
      <c r="O8" s="42">
        <f>E$23+SUM(E$24:E26)</f>
        <v>6.41</v>
      </c>
      <c r="P8" s="14">
        <f>F$23+SUM(F$24:F26)</f>
        <v>7.0570000000000004</v>
      </c>
      <c r="Q8" s="64"/>
      <c r="R8" s="15" t="s">
        <v>232</v>
      </c>
      <c r="S8" s="13">
        <f>EXP(N8)</f>
        <v>616.46404516288828</v>
      </c>
      <c r="T8" s="13">
        <f t="shared" ref="T8:T10" si="0">EXP(O8)</f>
        <v>607.89368106147401</v>
      </c>
      <c r="U8" s="13">
        <f t="shared" ref="U8:U10" si="1">EXP(P8)</f>
        <v>1160.9570650426572</v>
      </c>
    </row>
    <row r="9" spans="1:21" ht="17" x14ac:dyDescent="0.2">
      <c r="A9" s="2"/>
      <c r="B9" s="12">
        <v>2012</v>
      </c>
      <c r="C9" s="7">
        <v>5580</v>
      </c>
      <c r="D9" s="7">
        <v>10000</v>
      </c>
      <c r="E9" s="7">
        <v>11730</v>
      </c>
      <c r="F9" s="7">
        <v>12660</v>
      </c>
      <c r="G9" s="7">
        <v>13360</v>
      </c>
      <c r="H9" s="8"/>
      <c r="I9" s="60"/>
      <c r="J9" s="61"/>
      <c r="M9" s="15" t="s">
        <v>233</v>
      </c>
      <c r="N9" s="14">
        <f>D$23+SUM(D$24:D27)</f>
        <v>6.657</v>
      </c>
      <c r="O9" s="14">
        <f>E$23+SUM(E$24:E27)</f>
        <v>6.9990000000000006</v>
      </c>
      <c r="P9" s="14">
        <f>F$23+SUM(F$24:F27)</f>
        <v>6.165</v>
      </c>
      <c r="Q9" s="64"/>
      <c r="R9" s="15" t="s">
        <v>233</v>
      </c>
      <c r="S9" s="13">
        <f t="shared" ref="S9:S10" si="2">EXP(N9)</f>
        <v>778.21279328479432</v>
      </c>
      <c r="T9" s="13">
        <f t="shared" si="0"/>
        <v>1095.5370734038834</v>
      </c>
      <c r="U9" s="13">
        <f t="shared" si="1"/>
        <v>475.80114293537048</v>
      </c>
    </row>
    <row r="10" spans="1:21" ht="17" x14ac:dyDescent="0.2">
      <c r="A10" s="2"/>
      <c r="B10" s="12">
        <v>2013</v>
      </c>
      <c r="C10" s="7">
        <v>4860</v>
      </c>
      <c r="D10" s="7">
        <v>10320</v>
      </c>
      <c r="E10" s="7">
        <v>12980</v>
      </c>
      <c r="F10" s="7">
        <v>14160</v>
      </c>
      <c r="G10" s="8"/>
      <c r="H10" s="8"/>
      <c r="I10" s="60"/>
      <c r="J10" s="61"/>
      <c r="M10" s="15" t="s">
        <v>234</v>
      </c>
      <c r="N10" s="14">
        <f>D$23+SUM(D$24:D28)</f>
        <v>5.2260000000000009</v>
      </c>
      <c r="O10" s="14">
        <f>E$23+SUM(E$24:E28)</f>
        <v>4.0069999999999997</v>
      </c>
      <c r="P10" s="14">
        <f>F$23+SUM(F$24:F28)</f>
        <v>5.5609999999999999</v>
      </c>
      <c r="Q10" s="64"/>
      <c r="R10" s="16" t="s">
        <v>234</v>
      </c>
      <c r="S10" s="43">
        <f t="shared" si="2"/>
        <v>186.04712465805002</v>
      </c>
      <c r="T10" s="43">
        <f t="shared" si="0"/>
        <v>54.981677864716033</v>
      </c>
      <c r="U10" s="43">
        <f t="shared" si="1"/>
        <v>260.08278911400657</v>
      </c>
    </row>
    <row r="11" spans="1:21" x14ac:dyDescent="0.2">
      <c r="A11" s="2"/>
      <c r="B11" s="12">
        <v>2014</v>
      </c>
      <c r="C11" s="7">
        <v>3920</v>
      </c>
      <c r="D11" s="7">
        <v>8350</v>
      </c>
      <c r="E11" s="7">
        <v>11420</v>
      </c>
      <c r="F11" s="8"/>
      <c r="G11" s="8"/>
      <c r="H11" s="8"/>
      <c r="I11" s="60"/>
      <c r="J11" s="61"/>
      <c r="M11" s="64"/>
      <c r="N11" s="64"/>
      <c r="O11" s="64"/>
      <c r="P11" s="64"/>
      <c r="Q11" s="64"/>
      <c r="R11" s="55" t="s">
        <v>252</v>
      </c>
      <c r="S11" s="53">
        <f>SUM(S8:S10)</f>
        <v>1580.7239631057328</v>
      </c>
      <c r="T11" s="53">
        <f>SUM(T8:T10)</f>
        <v>1758.4124323300734</v>
      </c>
      <c r="U11" s="53">
        <f>SUM(U8:U10)</f>
        <v>1896.8409970920343</v>
      </c>
    </row>
    <row r="12" spans="1:21" x14ac:dyDescent="0.2">
      <c r="A12" s="2"/>
      <c r="B12" s="12">
        <v>2015</v>
      </c>
      <c r="C12" s="7">
        <v>3540</v>
      </c>
      <c r="D12" s="7">
        <v>7570</v>
      </c>
      <c r="E12" s="8"/>
      <c r="F12" s="8"/>
      <c r="G12" s="8"/>
      <c r="H12" s="8"/>
      <c r="I12" s="60"/>
      <c r="J12" s="61"/>
    </row>
    <row r="13" spans="1:21" x14ac:dyDescent="0.2">
      <c r="A13" s="2"/>
      <c r="B13" s="12">
        <v>2016</v>
      </c>
      <c r="C13" s="7">
        <v>4270</v>
      </c>
      <c r="D13" s="8"/>
      <c r="E13" s="8"/>
      <c r="F13" s="8"/>
      <c r="G13" s="8"/>
      <c r="H13" s="8"/>
      <c r="I13" s="60"/>
      <c r="J13" s="61"/>
      <c r="L13" s="19" t="s">
        <v>4</v>
      </c>
      <c r="N13" s="63"/>
    </row>
    <row r="14" spans="1:21" x14ac:dyDescent="0.2">
      <c r="A14" s="2"/>
      <c r="B14" s="60"/>
      <c r="C14" s="60"/>
      <c r="D14" s="60"/>
      <c r="E14" s="60"/>
      <c r="F14" s="60"/>
      <c r="G14" s="60"/>
      <c r="H14" s="60"/>
      <c r="I14" s="60"/>
      <c r="J14" s="61"/>
    </row>
    <row r="15" spans="1:21" x14ac:dyDescent="0.2">
      <c r="A15" s="2"/>
      <c r="B15" s="60" t="s">
        <v>241</v>
      </c>
      <c r="C15" s="60"/>
      <c r="D15" s="60"/>
      <c r="E15" s="60"/>
      <c r="F15" s="60"/>
      <c r="G15" s="60"/>
      <c r="H15" s="60"/>
      <c r="I15" s="60"/>
      <c r="J15" s="61"/>
      <c r="N15" s="19" t="s">
        <v>159</v>
      </c>
    </row>
    <row r="16" spans="1:21" x14ac:dyDescent="0.2">
      <c r="A16" s="2"/>
      <c r="B16" s="60" t="s">
        <v>242</v>
      </c>
      <c r="C16" s="60"/>
      <c r="D16" s="60"/>
      <c r="E16" s="60"/>
      <c r="F16" s="60"/>
      <c r="G16" s="60"/>
      <c r="H16" s="60"/>
      <c r="I16" s="60"/>
      <c r="J16" s="61"/>
      <c r="M16" s="73" t="s">
        <v>258</v>
      </c>
      <c r="N16" s="74" t="s">
        <v>35</v>
      </c>
      <c r="O16" s="75" t="s">
        <v>232</v>
      </c>
      <c r="P16" s="75" t="s">
        <v>233</v>
      </c>
      <c r="Q16" s="75" t="s">
        <v>234</v>
      </c>
    </row>
    <row r="17" spans="1:22" x14ac:dyDescent="0.2">
      <c r="A17" s="2"/>
      <c r="B17" s="60" t="s">
        <v>243</v>
      </c>
      <c r="C17" s="60"/>
      <c r="D17" s="60"/>
      <c r="E17" s="60"/>
      <c r="F17" s="60"/>
      <c r="G17" s="60"/>
      <c r="H17" s="60"/>
      <c r="I17" s="60"/>
      <c r="J17" s="61"/>
      <c r="M17" s="65">
        <v>1</v>
      </c>
      <c r="N17" s="68">
        <v>2014</v>
      </c>
      <c r="O17" s="30">
        <f>S8</f>
        <v>616.46404516288828</v>
      </c>
      <c r="P17" s="30">
        <f>S9</f>
        <v>778.21279328479432</v>
      </c>
      <c r="Q17" s="30">
        <f>S10</f>
        <v>186.04712465805002</v>
      </c>
    </row>
    <row r="18" spans="1:22" x14ac:dyDescent="0.2">
      <c r="A18" s="2"/>
      <c r="B18" s="60"/>
      <c r="C18" s="60"/>
      <c r="D18" s="60"/>
      <c r="E18" s="60"/>
      <c r="F18" s="60"/>
      <c r="G18" s="60"/>
      <c r="H18" s="60"/>
      <c r="I18" s="60"/>
      <c r="J18" s="61"/>
    </row>
    <row r="19" spans="1:22" x14ac:dyDescent="0.2">
      <c r="A19" s="2"/>
      <c r="B19" s="60" t="s">
        <v>244</v>
      </c>
      <c r="C19" s="60"/>
      <c r="D19" s="60"/>
      <c r="E19" s="60"/>
      <c r="F19" s="60"/>
      <c r="G19" s="60"/>
      <c r="H19" s="60"/>
      <c r="I19" s="60"/>
      <c r="J19" s="61"/>
      <c r="N19" s="62" t="s">
        <v>160</v>
      </c>
    </row>
    <row r="20" spans="1:22" x14ac:dyDescent="0.2">
      <c r="A20" s="2"/>
      <c r="B20" s="60"/>
      <c r="C20" s="60"/>
      <c r="D20" s="60"/>
      <c r="E20" s="60"/>
      <c r="F20" s="60"/>
      <c r="G20" s="60"/>
      <c r="H20" s="60"/>
      <c r="I20" s="60"/>
      <c r="J20" s="61"/>
      <c r="N20" s="62" t="s">
        <v>161</v>
      </c>
    </row>
    <row r="21" spans="1:22" x14ac:dyDescent="0.2">
      <c r="A21" s="2"/>
      <c r="B21" s="60"/>
      <c r="C21" s="408" t="s">
        <v>245</v>
      </c>
      <c r="D21" s="408"/>
      <c r="E21" s="408"/>
      <c r="F21" s="408"/>
      <c r="G21" s="60"/>
      <c r="H21" s="60"/>
      <c r="I21" s="60"/>
      <c r="J21" s="61"/>
    </row>
    <row r="22" spans="1:22" ht="17" x14ac:dyDescent="0.2">
      <c r="A22" s="2"/>
      <c r="B22" s="60"/>
      <c r="C22" s="76" t="s">
        <v>20</v>
      </c>
      <c r="D22" s="77" t="s">
        <v>246</v>
      </c>
      <c r="E22" s="78" t="s">
        <v>247</v>
      </c>
      <c r="F22" s="78" t="s">
        <v>248</v>
      </c>
      <c r="G22" s="60"/>
      <c r="H22" s="60"/>
      <c r="I22" s="60"/>
      <c r="J22" s="61"/>
      <c r="N22" s="19" t="s">
        <v>164</v>
      </c>
      <c r="P22" s="62">
        <f>D30</f>
        <v>133.59</v>
      </c>
    </row>
    <row r="23" spans="1:22" ht="17" x14ac:dyDescent="0.2">
      <c r="A23" s="2"/>
      <c r="B23" s="60"/>
      <c r="C23" s="79" t="s">
        <v>22</v>
      </c>
      <c r="D23" s="80">
        <v>8.4480000000000004</v>
      </c>
      <c r="E23" s="81">
        <v>8.48</v>
      </c>
      <c r="F23" s="81">
        <v>8.33</v>
      </c>
      <c r="G23" s="60"/>
      <c r="H23" s="60"/>
      <c r="I23" s="60"/>
      <c r="J23" s="61"/>
    </row>
    <row r="24" spans="1:22" ht="17" x14ac:dyDescent="0.2">
      <c r="A24" s="2"/>
      <c r="B24" s="60"/>
      <c r="C24" s="79" t="s">
        <v>23</v>
      </c>
      <c r="D24" s="80">
        <v>-0.13700000000000001</v>
      </c>
      <c r="E24" s="82">
        <v>-5.3999999999999999E-2</v>
      </c>
      <c r="F24" s="82">
        <v>0.13100000000000001</v>
      </c>
      <c r="G24" s="60"/>
      <c r="H24" s="60"/>
      <c r="I24" s="60"/>
      <c r="J24" s="61"/>
      <c r="N24" s="19" t="s">
        <v>261</v>
      </c>
    </row>
    <row r="25" spans="1:22" ht="17" x14ac:dyDescent="0.2">
      <c r="A25" s="2"/>
      <c r="B25" s="60"/>
      <c r="C25" s="79" t="s">
        <v>24</v>
      </c>
      <c r="D25" s="80">
        <v>-0.85899999999999999</v>
      </c>
      <c r="E25" s="82">
        <v>-0.63700000000000001</v>
      </c>
      <c r="F25" s="82">
        <v>-0.72799999999999998</v>
      </c>
      <c r="G25" s="60"/>
      <c r="H25" s="60"/>
      <c r="I25" s="60"/>
      <c r="J25" s="61"/>
      <c r="N25" s="74"/>
      <c r="O25" s="75" t="s">
        <v>232</v>
      </c>
      <c r="P25" s="75" t="s">
        <v>233</v>
      </c>
      <c r="Q25" s="75" t="s">
        <v>234</v>
      </c>
    </row>
    <row r="26" spans="1:22" ht="17" x14ac:dyDescent="0.2">
      <c r="A26" s="2"/>
      <c r="B26" s="60"/>
      <c r="C26" s="79" t="s">
        <v>238</v>
      </c>
      <c r="D26" s="80">
        <v>-1.028</v>
      </c>
      <c r="E26" s="82">
        <v>-1.379</v>
      </c>
      <c r="F26" s="82">
        <v>-0.67600000000000005</v>
      </c>
      <c r="G26" s="60"/>
      <c r="H26" s="60"/>
      <c r="I26" s="60"/>
      <c r="J26" s="61"/>
      <c r="N26" s="83" t="s">
        <v>259</v>
      </c>
      <c r="O26" s="84">
        <f>O17</f>
        <v>616.46404516288828</v>
      </c>
      <c r="P26" s="84">
        <f t="shared" ref="P26:Q26" si="3">P17</f>
        <v>778.21279328479432</v>
      </c>
      <c r="Q26" s="84">
        <f t="shared" si="3"/>
        <v>186.04712465805002</v>
      </c>
    </row>
    <row r="27" spans="1:22" ht="17" x14ac:dyDescent="0.2">
      <c r="A27" s="2"/>
      <c r="B27" s="60"/>
      <c r="C27" s="79" t="s">
        <v>239</v>
      </c>
      <c r="D27" s="80">
        <v>0.23300000000000001</v>
      </c>
      <c r="E27" s="82">
        <v>0.58899999999999997</v>
      </c>
      <c r="F27" s="82">
        <v>-0.89200000000000002</v>
      </c>
      <c r="G27" s="60"/>
      <c r="H27" s="60"/>
      <c r="I27" s="60"/>
      <c r="J27" s="61"/>
      <c r="N27" s="83" t="s">
        <v>260</v>
      </c>
      <c r="O27" s="84">
        <f>O17*$P$22</f>
        <v>82353.431793310243</v>
      </c>
      <c r="P27" s="84">
        <f>P17*$P$22</f>
        <v>103961.44705491567</v>
      </c>
      <c r="Q27" s="84">
        <f>Q17*$P$22</f>
        <v>24854.035383068902</v>
      </c>
    </row>
    <row r="28" spans="1:22" ht="17" x14ac:dyDescent="0.2">
      <c r="A28" s="2"/>
      <c r="B28" s="60"/>
      <c r="C28" s="79" t="s">
        <v>240</v>
      </c>
      <c r="D28" s="80">
        <v>-1.431</v>
      </c>
      <c r="E28" s="82">
        <v>-2.992</v>
      </c>
      <c r="F28" s="82">
        <v>-0.60399999999999998</v>
      </c>
      <c r="G28" s="60"/>
      <c r="H28" s="60"/>
      <c r="I28" s="60"/>
      <c r="J28" s="61"/>
      <c r="O28" s="84"/>
      <c r="P28" s="84"/>
      <c r="Q28" s="84"/>
    </row>
    <row r="29" spans="1:22" x14ac:dyDescent="0.2">
      <c r="A29" s="2"/>
      <c r="B29" s="60"/>
      <c r="C29" s="60"/>
      <c r="D29" s="60"/>
      <c r="E29" s="60"/>
      <c r="F29" s="60"/>
      <c r="G29" s="60"/>
      <c r="H29" s="60"/>
      <c r="I29" s="60"/>
      <c r="J29" s="61"/>
      <c r="N29" s="85" t="s">
        <v>162</v>
      </c>
      <c r="O29" s="86"/>
      <c r="P29" s="86"/>
      <c r="Q29" s="86"/>
      <c r="R29" s="86"/>
      <c r="S29" s="85" t="s">
        <v>163</v>
      </c>
      <c r="T29" s="86"/>
      <c r="U29" s="86"/>
      <c r="V29" s="86"/>
    </row>
    <row r="30" spans="1:22" x14ac:dyDescent="0.2">
      <c r="A30" s="2"/>
      <c r="B30" s="60" t="s">
        <v>237</v>
      </c>
      <c r="C30" s="60"/>
      <c r="D30" s="87">
        <v>133.59</v>
      </c>
      <c r="E30" s="60"/>
      <c r="F30" s="60"/>
      <c r="G30" s="60"/>
      <c r="H30" s="60"/>
      <c r="I30" s="60"/>
      <c r="J30" s="61"/>
      <c r="M30" s="73" t="s">
        <v>258</v>
      </c>
      <c r="N30" s="74" t="s">
        <v>35</v>
      </c>
      <c r="O30" s="75" t="s">
        <v>232</v>
      </c>
      <c r="P30" s="75" t="s">
        <v>233</v>
      </c>
      <c r="Q30" s="75" t="s">
        <v>234</v>
      </c>
      <c r="R30" s="88"/>
      <c r="S30" s="74" t="s">
        <v>35</v>
      </c>
      <c r="T30" s="75" t="s">
        <v>232</v>
      </c>
      <c r="U30" s="75" t="s">
        <v>233</v>
      </c>
      <c r="V30" s="75" t="s">
        <v>234</v>
      </c>
    </row>
    <row r="31" spans="1:22" x14ac:dyDescent="0.2">
      <c r="A31" s="60"/>
      <c r="B31" s="60"/>
      <c r="C31" s="60"/>
      <c r="D31" s="60"/>
      <c r="E31" s="60"/>
      <c r="F31" s="60"/>
      <c r="G31" s="60"/>
      <c r="H31" s="60"/>
      <c r="I31" s="60"/>
      <c r="J31" s="61"/>
      <c r="M31" s="65">
        <v>1</v>
      </c>
      <c r="N31" s="68">
        <v>2014</v>
      </c>
      <c r="O31" s="30">
        <f ca="1">_xlfn.GAMMA.INV(T31,O17/$P$22,$P$22)</f>
        <v>847.68767334148276</v>
      </c>
      <c r="P31" s="30">
        <f ca="1">_xlfn.GAMMA.INV(U31,P17/$P$22,$P$22)</f>
        <v>684.69277266044674</v>
      </c>
      <c r="Q31" s="30">
        <f ca="1">_xlfn.GAMMA.INV(V31,Q17/$P$22,$P$22)</f>
        <v>111.68688367159791</v>
      </c>
      <c r="R31" s="89"/>
      <c r="S31" s="68">
        <v>2014</v>
      </c>
      <c r="T31" s="30">
        <f ca="1">RAND()</f>
        <v>0.8089895833959575</v>
      </c>
      <c r="U31" s="30">
        <f ca="1">RAND()</f>
        <v>0.43544892866626583</v>
      </c>
      <c r="V31" s="30">
        <f ca="1">RAND()</f>
        <v>0.39746861390494914</v>
      </c>
    </row>
    <row r="32" spans="1:22" x14ac:dyDescent="0.2">
      <c r="A32" s="2"/>
      <c r="B32" s="60"/>
      <c r="C32" s="60"/>
      <c r="D32" s="60"/>
      <c r="E32" s="60"/>
      <c r="F32" s="60"/>
      <c r="G32" s="60"/>
      <c r="H32" s="60"/>
      <c r="I32" s="60"/>
      <c r="J32" s="61"/>
    </row>
    <row r="33" spans="1:21" x14ac:dyDescent="0.2">
      <c r="A33" s="60" t="s">
        <v>0</v>
      </c>
      <c r="B33" s="60" t="s">
        <v>277</v>
      </c>
      <c r="C33" s="60"/>
      <c r="D33" s="60"/>
      <c r="E33" s="60"/>
      <c r="F33" s="60"/>
      <c r="G33" s="60"/>
      <c r="H33" s="60"/>
      <c r="I33" s="60"/>
      <c r="J33" s="61"/>
      <c r="L33" s="19" t="s">
        <v>5</v>
      </c>
    </row>
    <row r="34" spans="1:21" x14ac:dyDescent="0.2">
      <c r="A34" s="2"/>
      <c r="B34" s="60" t="s">
        <v>276</v>
      </c>
      <c r="C34" s="60"/>
      <c r="D34" s="60"/>
      <c r="E34" s="60"/>
      <c r="F34" s="60"/>
      <c r="G34" s="60"/>
      <c r="H34" s="60"/>
      <c r="I34" s="60"/>
      <c r="J34" s="61"/>
      <c r="M34" s="19" t="s">
        <v>256</v>
      </c>
    </row>
    <row r="35" spans="1:21" ht="16" customHeight="1" x14ac:dyDescent="0.2">
      <c r="A35" s="2"/>
      <c r="B35" s="60"/>
      <c r="C35" s="60"/>
      <c r="D35" s="60"/>
      <c r="E35" s="60"/>
      <c r="F35" s="60"/>
      <c r="G35" s="60"/>
      <c r="H35" s="60"/>
      <c r="I35" s="60"/>
      <c r="J35" s="61"/>
      <c r="M35" s="403" t="s">
        <v>1043</v>
      </c>
      <c r="N35" s="64"/>
      <c r="O35" s="64"/>
      <c r="P35" s="64"/>
      <c r="Q35" s="64"/>
      <c r="R35" s="64"/>
      <c r="S35" s="64"/>
      <c r="T35" s="64"/>
      <c r="U35" s="64"/>
    </row>
    <row r="36" spans="1:21" x14ac:dyDescent="0.2">
      <c r="A36" s="60" t="s">
        <v>1</v>
      </c>
      <c r="B36" s="60" t="s">
        <v>249</v>
      </c>
      <c r="C36" s="60"/>
      <c r="D36" s="60"/>
      <c r="E36" s="60"/>
      <c r="F36" s="60"/>
      <c r="G36" s="60"/>
      <c r="H36" s="60"/>
      <c r="I36" s="60"/>
      <c r="J36" s="61"/>
      <c r="M36" s="403" t="s">
        <v>1044</v>
      </c>
      <c r="N36" s="64"/>
      <c r="O36" s="64"/>
      <c r="P36" s="64"/>
      <c r="Q36" s="64"/>
      <c r="R36" s="64"/>
      <c r="S36" s="64"/>
      <c r="T36" s="64"/>
      <c r="U36" s="64"/>
    </row>
    <row r="37" spans="1:21" x14ac:dyDescent="0.2">
      <c r="A37" s="2"/>
      <c r="B37" s="60" t="s">
        <v>250</v>
      </c>
      <c r="C37" s="60"/>
      <c r="D37" s="60"/>
      <c r="E37" s="60"/>
      <c r="F37" s="60"/>
      <c r="G37" s="60"/>
      <c r="H37" s="60"/>
      <c r="I37" s="60"/>
      <c r="J37" s="61"/>
      <c r="M37" s="90"/>
      <c r="N37" s="90"/>
      <c r="O37" s="90"/>
      <c r="P37" s="90"/>
      <c r="Q37" s="90"/>
      <c r="R37" s="90"/>
      <c r="S37" s="90"/>
      <c r="T37" s="90"/>
      <c r="U37" s="90"/>
    </row>
    <row r="38" spans="1:21" x14ac:dyDescent="0.2">
      <c r="A38" s="2"/>
      <c r="B38" s="60"/>
      <c r="C38" s="60"/>
      <c r="D38" s="60"/>
      <c r="E38" s="60"/>
      <c r="F38" s="60"/>
      <c r="G38" s="60"/>
      <c r="H38" s="60"/>
      <c r="I38" s="60"/>
      <c r="J38" s="61"/>
      <c r="M38" s="19" t="s">
        <v>257</v>
      </c>
    </row>
    <row r="39" spans="1:21" ht="16" customHeight="1" x14ac:dyDescent="0.2">
      <c r="A39" s="60" t="s">
        <v>2</v>
      </c>
      <c r="B39" s="402" t="s">
        <v>251</v>
      </c>
      <c r="C39" s="60"/>
      <c r="D39" s="60"/>
      <c r="E39" s="60"/>
      <c r="F39" s="60"/>
      <c r="G39" s="60"/>
      <c r="H39" s="60"/>
      <c r="I39" s="60"/>
      <c r="J39" s="61"/>
      <c r="M39" s="421" t="s">
        <v>1045</v>
      </c>
      <c r="N39" s="420"/>
      <c r="O39" s="420"/>
      <c r="P39" s="420"/>
      <c r="Q39" s="420"/>
      <c r="R39" s="420"/>
      <c r="S39" s="420"/>
      <c r="T39" s="420"/>
      <c r="U39" s="420"/>
    </row>
    <row r="40" spans="1:21" ht="16" customHeight="1" x14ac:dyDescent="0.2">
      <c r="A40" s="2"/>
      <c r="B40" s="402" t="s">
        <v>1042</v>
      </c>
      <c r="C40" s="60"/>
      <c r="D40" s="60"/>
      <c r="E40" s="60"/>
      <c r="F40" s="60"/>
      <c r="G40" s="60"/>
      <c r="H40" s="60"/>
      <c r="I40" s="60"/>
      <c r="J40" s="61"/>
      <c r="M40" s="420"/>
      <c r="N40" s="420"/>
      <c r="O40" s="420"/>
      <c r="P40" s="420"/>
      <c r="Q40" s="420"/>
      <c r="R40" s="420"/>
      <c r="S40" s="420"/>
      <c r="T40" s="420"/>
      <c r="U40" s="420"/>
    </row>
    <row r="41" spans="1:21" x14ac:dyDescent="0.2">
      <c r="A41" s="2"/>
      <c r="B41" s="60"/>
      <c r="C41" s="60"/>
      <c r="D41" s="60"/>
      <c r="E41" s="60"/>
      <c r="F41" s="60"/>
      <c r="G41" s="60"/>
      <c r="H41" s="60"/>
      <c r="I41" s="60"/>
      <c r="J41" s="61"/>
      <c r="M41" s="420"/>
      <c r="N41" s="420"/>
      <c r="O41" s="420"/>
      <c r="P41" s="420"/>
      <c r="Q41" s="420"/>
      <c r="R41" s="420"/>
      <c r="S41" s="420"/>
      <c r="T41" s="420"/>
      <c r="U41" s="420"/>
    </row>
    <row r="42" spans="1:21" ht="17" thickBot="1" x14ac:dyDescent="0.25">
      <c r="A42" s="2"/>
      <c r="B42" s="60"/>
      <c r="C42" s="60"/>
      <c r="D42" s="60"/>
      <c r="E42" s="60"/>
      <c r="F42" s="60"/>
      <c r="G42" s="60"/>
      <c r="H42" s="60"/>
      <c r="I42" s="60"/>
      <c r="J42" s="61"/>
      <c r="M42" s="420"/>
      <c r="N42" s="420"/>
      <c r="O42" s="420"/>
      <c r="P42" s="420"/>
      <c r="Q42" s="420"/>
      <c r="R42" s="420"/>
      <c r="S42" s="420"/>
      <c r="T42" s="420"/>
      <c r="U42" s="420"/>
    </row>
    <row r="43" spans="1:21" ht="17" thickBot="1" x14ac:dyDescent="0.25">
      <c r="A43" s="410" t="s">
        <v>266</v>
      </c>
      <c r="B43" s="411"/>
      <c r="C43" s="411"/>
      <c r="D43" s="411"/>
      <c r="E43" s="411"/>
      <c r="F43" s="411"/>
      <c r="G43" s="411"/>
      <c r="H43" s="411"/>
      <c r="I43" s="411"/>
      <c r="J43" s="412"/>
      <c r="M43" s="72"/>
      <c r="N43" s="72"/>
      <c r="O43" s="72"/>
      <c r="P43" s="72"/>
      <c r="Q43" s="72"/>
      <c r="R43" s="72"/>
      <c r="S43" s="72"/>
      <c r="T43" s="72"/>
      <c r="U43" s="72"/>
    </row>
    <row r="44" spans="1:21" ht="19" x14ac:dyDescent="0.25">
      <c r="L44" s="3" t="s">
        <v>303</v>
      </c>
    </row>
    <row r="45" spans="1:21" ht="19" x14ac:dyDescent="0.25">
      <c r="A45" s="3"/>
      <c r="L45" s="125" t="s">
        <v>296</v>
      </c>
    </row>
    <row r="50" spans="11:12" x14ac:dyDescent="0.2">
      <c r="L50" s="5"/>
    </row>
    <row r="51" spans="11:12" x14ac:dyDescent="0.2">
      <c r="L51" s="5"/>
    </row>
    <row r="52" spans="11:12" x14ac:dyDescent="0.2">
      <c r="K52" s="44"/>
      <c r="L52" s="5"/>
    </row>
    <row r="53" spans="11:12" x14ac:dyDescent="0.2">
      <c r="K53" s="13"/>
      <c r="L53" s="5"/>
    </row>
    <row r="54" spans="11:12" x14ac:dyDescent="0.2">
      <c r="K54" s="13"/>
      <c r="L54" s="5"/>
    </row>
    <row r="55" spans="11:12" x14ac:dyDescent="0.2">
      <c r="K55" s="13"/>
      <c r="L55" s="5"/>
    </row>
    <row r="56" spans="11:12" x14ac:dyDescent="0.2">
      <c r="K56" s="13"/>
      <c r="L56" s="5"/>
    </row>
    <row r="57" spans="11:12" x14ac:dyDescent="0.2">
      <c r="L57" s="5"/>
    </row>
    <row r="58" spans="11:12" x14ac:dyDescent="0.2">
      <c r="L58" s="5"/>
    </row>
    <row r="67" spans="12:14" x14ac:dyDescent="0.2">
      <c r="M67" s="63"/>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M80" s="63"/>
    </row>
    <row r="81" spans="1:65" x14ac:dyDescent="0.2">
      <c r="L81" s="5"/>
      <c r="M81" s="5"/>
      <c r="N81" s="5"/>
    </row>
    <row r="82" spans="1:65" x14ac:dyDescent="0.2">
      <c r="L82" s="5"/>
      <c r="M82" s="5"/>
      <c r="N82" s="5"/>
    </row>
    <row r="83" spans="1:65" x14ac:dyDescent="0.2">
      <c r="L83" s="5"/>
      <c r="M83" s="5"/>
      <c r="N83" s="5"/>
    </row>
    <row r="84" spans="1:65" x14ac:dyDescent="0.2">
      <c r="L84" s="5"/>
      <c r="M84" s="5"/>
      <c r="N84" s="5"/>
    </row>
    <row r="85" spans="1:65" x14ac:dyDescent="0.2">
      <c r="A85" s="5"/>
      <c r="B85" s="5"/>
      <c r="C85" s="5"/>
      <c r="D85" s="5"/>
      <c r="E85" s="5"/>
      <c r="F85" s="5"/>
      <c r="G85" s="5"/>
      <c r="H85" s="5"/>
      <c r="I85" s="5"/>
      <c r="J85" s="5"/>
      <c r="L85" s="5"/>
      <c r="M85" s="5"/>
      <c r="N85" s="5"/>
    </row>
    <row r="86" spans="1:65" x14ac:dyDescent="0.2">
      <c r="A86" s="5"/>
      <c r="B86" s="5"/>
      <c r="C86" s="5"/>
      <c r="D86" s="5"/>
      <c r="E86" s="5"/>
      <c r="F86" s="5"/>
      <c r="G86" s="5"/>
      <c r="H86" s="5"/>
      <c r="I86" s="5"/>
      <c r="J86" s="5"/>
      <c r="L86" s="5"/>
      <c r="M86" s="5"/>
      <c r="N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sheetData>
  <mergeCells count="5">
    <mergeCell ref="B6:H6"/>
    <mergeCell ref="C21:F21"/>
    <mergeCell ref="M6:P6"/>
    <mergeCell ref="A43:J43"/>
    <mergeCell ref="M39:U42"/>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A0362-FAAD-484E-BC80-2525DDEAA865}">
  <dimension ref="A1:R65"/>
  <sheetViews>
    <sheetView topLeftCell="D1" zoomScaleNormal="100" workbookViewId="0"/>
  </sheetViews>
  <sheetFormatPr baseColWidth="10" defaultColWidth="11" defaultRowHeight="16" outlineLevelCol="1" x14ac:dyDescent="0.2"/>
  <cols>
    <col min="1" max="1" width="4.5" customWidth="1"/>
    <col min="3" max="3" width="11" customWidth="1"/>
    <col min="10" max="10" width="11" customWidth="1"/>
    <col min="12" max="12" width="11.1640625" bestFit="1" customWidth="1"/>
    <col min="13" max="13" width="16" customWidth="1" outlineLevel="1"/>
    <col min="14" max="18" width="10.83203125" customWidth="1" outlineLevel="1"/>
    <col min="19" max="23" width="10.83203125" customWidth="1"/>
  </cols>
  <sheetData>
    <row r="1" spans="1:16" ht="19" x14ac:dyDescent="0.25">
      <c r="A1" s="202" t="s">
        <v>328</v>
      </c>
      <c r="B1" s="201"/>
      <c r="C1" s="200"/>
      <c r="D1" s="200"/>
      <c r="E1" s="200"/>
      <c r="F1" s="199"/>
      <c r="G1" s="199"/>
      <c r="H1" s="199"/>
      <c r="I1" s="199"/>
      <c r="J1" s="198"/>
      <c r="L1" s="197" t="s">
        <v>265</v>
      </c>
    </row>
    <row r="2" spans="1:16" x14ac:dyDescent="0.2">
      <c r="A2" s="159"/>
      <c r="B2" s="157"/>
      <c r="C2" s="157"/>
      <c r="D2" s="157"/>
      <c r="E2" s="157"/>
      <c r="F2" s="157"/>
      <c r="G2" s="157"/>
      <c r="H2" s="157"/>
      <c r="I2" s="157"/>
      <c r="J2" s="156"/>
    </row>
    <row r="3" spans="1:16" x14ac:dyDescent="0.2">
      <c r="A3" s="159"/>
      <c r="B3" s="432" t="s">
        <v>327</v>
      </c>
      <c r="C3" s="432"/>
      <c r="D3" s="432"/>
      <c r="E3" s="432"/>
      <c r="F3" s="432"/>
      <c r="G3" s="432"/>
      <c r="H3" s="432"/>
      <c r="I3" s="432"/>
      <c r="J3" s="156"/>
      <c r="M3" s="180" t="s">
        <v>326</v>
      </c>
      <c r="N3" s="196"/>
    </row>
    <row r="4" spans="1:16" x14ac:dyDescent="0.2">
      <c r="A4" s="159"/>
      <c r="B4" s="432"/>
      <c r="C4" s="432"/>
      <c r="D4" s="432"/>
      <c r="E4" s="432"/>
      <c r="F4" s="432"/>
      <c r="G4" s="432"/>
      <c r="H4" s="432"/>
      <c r="I4" s="432"/>
      <c r="J4" s="156"/>
      <c r="N4" s="195"/>
    </row>
    <row r="5" spans="1:16" x14ac:dyDescent="0.2">
      <c r="A5" s="159"/>
      <c r="B5" s="157"/>
      <c r="C5" s="171"/>
      <c r="D5" s="157"/>
      <c r="E5" s="157"/>
      <c r="F5" s="157"/>
      <c r="G5" s="157"/>
      <c r="H5" s="157"/>
      <c r="I5" s="157"/>
      <c r="J5" s="156"/>
      <c r="M5" t="s">
        <v>325</v>
      </c>
    </row>
    <row r="6" spans="1:16" x14ac:dyDescent="0.2">
      <c r="A6" s="159"/>
      <c r="B6" s="157"/>
      <c r="C6" s="430" t="s">
        <v>35</v>
      </c>
      <c r="D6" s="427" t="s">
        <v>324</v>
      </c>
      <c r="E6" s="428"/>
      <c r="F6" s="429"/>
      <c r="G6" s="157"/>
      <c r="H6" s="157"/>
      <c r="I6" s="157"/>
      <c r="J6" s="156"/>
    </row>
    <row r="7" spans="1:16" x14ac:dyDescent="0.2">
      <c r="A7" s="159"/>
      <c r="B7" s="157"/>
      <c r="C7" s="431"/>
      <c r="D7" s="187" t="s">
        <v>321</v>
      </c>
      <c r="E7" s="186" t="s">
        <v>320</v>
      </c>
      <c r="F7" s="185" t="s">
        <v>319</v>
      </c>
      <c r="G7" s="157"/>
      <c r="H7" s="157"/>
      <c r="I7" s="157"/>
      <c r="J7" s="156"/>
      <c r="M7" t="s">
        <v>323</v>
      </c>
      <c r="N7" s="194"/>
    </row>
    <row r="8" spans="1:16" x14ac:dyDescent="0.2">
      <c r="A8" s="159"/>
      <c r="B8" s="157"/>
      <c r="C8" s="184">
        <v>2010</v>
      </c>
      <c r="D8" s="182">
        <v>51.78</v>
      </c>
      <c r="E8" s="170">
        <v>28.22</v>
      </c>
      <c r="F8" s="181">
        <v>20</v>
      </c>
      <c r="G8" s="157"/>
      <c r="H8" s="157"/>
      <c r="I8" s="157"/>
      <c r="J8" s="156"/>
    </row>
    <row r="9" spans="1:16" x14ac:dyDescent="0.2">
      <c r="A9" s="159"/>
      <c r="B9" s="157"/>
      <c r="C9" s="183">
        <v>2011</v>
      </c>
      <c r="D9" s="182">
        <v>58.25</v>
      </c>
      <c r="E9" s="170">
        <v>31.75</v>
      </c>
      <c r="F9" s="181"/>
      <c r="G9" s="157"/>
      <c r="H9" s="157"/>
      <c r="I9" s="157"/>
      <c r="J9" s="156"/>
      <c r="M9" s="193" t="s">
        <v>35</v>
      </c>
      <c r="N9" s="192">
        <v>12</v>
      </c>
      <c r="O9" s="191">
        <v>24</v>
      </c>
      <c r="P9" s="191">
        <v>36</v>
      </c>
    </row>
    <row r="10" spans="1:16" x14ac:dyDescent="0.2">
      <c r="A10" s="159"/>
      <c r="B10" s="157"/>
      <c r="C10" s="179">
        <v>2012</v>
      </c>
      <c r="D10" s="178">
        <v>80</v>
      </c>
      <c r="E10" s="177"/>
      <c r="F10" s="176"/>
      <c r="G10" s="157"/>
      <c r="H10" s="157"/>
      <c r="I10" s="157"/>
      <c r="J10" s="156"/>
      <c r="M10" s="188">
        <v>2010</v>
      </c>
      <c r="N10" s="168">
        <f>D14*SQRT(D8)+D8</f>
        <v>47.678375687608629</v>
      </c>
      <c r="O10" s="168">
        <f>E14*SQRT(E8)+E8</f>
        <v>25.1920175033531</v>
      </c>
      <c r="P10" s="168">
        <f>F14*SQRT(F8)+F8</f>
        <v>22.593838853899754</v>
      </c>
    </row>
    <row r="11" spans="1:16" x14ac:dyDescent="0.2">
      <c r="A11" s="159"/>
      <c r="B11" s="157"/>
      <c r="C11" s="171"/>
      <c r="D11" s="170"/>
      <c r="E11" s="170"/>
      <c r="F11" s="170"/>
      <c r="G11" s="157"/>
      <c r="H11" s="157"/>
      <c r="I11" s="157"/>
      <c r="J11" s="156"/>
      <c r="M11" s="188">
        <v>2011</v>
      </c>
      <c r="N11" s="168">
        <f>D15*SQRT(D9)+D9</f>
        <v>53.899663806094985</v>
      </c>
      <c r="O11" s="168">
        <f>E15*SQRT(E9)+E9</f>
        <v>34.905439747483697</v>
      </c>
      <c r="P11" s="168"/>
    </row>
    <row r="12" spans="1:16" x14ac:dyDescent="0.2">
      <c r="A12" s="159"/>
      <c r="B12" s="157"/>
      <c r="C12" s="430" t="s">
        <v>35</v>
      </c>
      <c r="D12" s="427" t="s">
        <v>322</v>
      </c>
      <c r="E12" s="428"/>
      <c r="F12" s="429"/>
      <c r="G12" s="157"/>
      <c r="H12" s="157"/>
      <c r="I12" s="157"/>
      <c r="J12" s="156"/>
      <c r="M12" s="188">
        <v>2012</v>
      </c>
      <c r="N12" s="168">
        <f>D16*SQRT(D10)+D10</f>
        <v>74.991207730400475</v>
      </c>
      <c r="O12" s="168"/>
      <c r="P12" s="168"/>
    </row>
    <row r="13" spans="1:16" x14ac:dyDescent="0.2">
      <c r="A13" s="159"/>
      <c r="B13" s="157"/>
      <c r="C13" s="431"/>
      <c r="D13" s="187" t="s">
        <v>321</v>
      </c>
      <c r="E13" s="186" t="s">
        <v>320</v>
      </c>
      <c r="F13" s="185" t="s">
        <v>319</v>
      </c>
      <c r="G13" s="157"/>
      <c r="H13" s="157"/>
      <c r="I13" s="157"/>
      <c r="J13" s="156"/>
    </row>
    <row r="14" spans="1:16" x14ac:dyDescent="0.2">
      <c r="A14" s="159"/>
      <c r="B14" s="157"/>
      <c r="C14" s="184">
        <v>2010</v>
      </c>
      <c r="D14" s="182">
        <v>-0.56999999999999995</v>
      </c>
      <c r="E14" s="170">
        <v>-0.56999999999999995</v>
      </c>
      <c r="F14" s="181">
        <v>0.57999999999999996</v>
      </c>
      <c r="G14" s="157"/>
      <c r="H14" s="157"/>
      <c r="I14" s="157"/>
      <c r="J14" s="156"/>
      <c r="M14" t="s">
        <v>318</v>
      </c>
      <c r="N14" s="180"/>
      <c r="O14" s="180"/>
      <c r="P14" s="180"/>
    </row>
    <row r="15" spans="1:16" ht="17" thickBot="1" x14ac:dyDescent="0.25">
      <c r="A15" s="159"/>
      <c r="B15" s="157"/>
      <c r="C15" s="183">
        <v>2011</v>
      </c>
      <c r="D15" s="182">
        <v>-0.56999999999999995</v>
      </c>
      <c r="E15" s="170">
        <v>0.56000000000000005</v>
      </c>
      <c r="F15" s="181"/>
      <c r="G15" s="157"/>
      <c r="H15" s="157"/>
      <c r="I15" s="157"/>
      <c r="J15" s="156"/>
      <c r="M15" s="180"/>
      <c r="N15" s="180"/>
      <c r="O15" s="180"/>
      <c r="P15" s="180"/>
    </row>
    <row r="16" spans="1:16" x14ac:dyDescent="0.2">
      <c r="A16" s="159"/>
      <c r="B16" s="157"/>
      <c r="C16" s="179">
        <v>2012</v>
      </c>
      <c r="D16" s="178">
        <v>-0.56000000000000005</v>
      </c>
      <c r="E16" s="177"/>
      <c r="F16" s="176"/>
      <c r="G16" s="157"/>
      <c r="H16" s="157"/>
      <c r="I16" s="157"/>
      <c r="J16" s="156"/>
      <c r="M16" s="175" t="s">
        <v>35</v>
      </c>
      <c r="N16" s="174">
        <v>12</v>
      </c>
      <c r="O16" s="173">
        <v>24</v>
      </c>
      <c r="P16" s="172">
        <v>36</v>
      </c>
    </row>
    <row r="17" spans="1:18" x14ac:dyDescent="0.2">
      <c r="A17" s="159"/>
      <c r="B17" s="171"/>
      <c r="C17" s="170"/>
      <c r="D17" s="170"/>
      <c r="E17" s="170"/>
      <c r="F17" s="157"/>
      <c r="G17" s="157"/>
      <c r="H17" s="157"/>
      <c r="I17" s="157"/>
      <c r="J17" s="156"/>
      <c r="M17" s="169">
        <v>2010</v>
      </c>
      <c r="N17" s="168">
        <f>N10</f>
        <v>47.678375687608629</v>
      </c>
      <c r="O17" s="168">
        <f>N17+O10</f>
        <v>72.870393190961721</v>
      </c>
      <c r="P17" s="167">
        <f>O17+P10</f>
        <v>95.464232044861475</v>
      </c>
    </row>
    <row r="18" spans="1:18" x14ac:dyDescent="0.2">
      <c r="A18" s="159"/>
      <c r="B18" s="162" t="s">
        <v>0</v>
      </c>
      <c r="C18" s="157"/>
      <c r="D18" s="157"/>
      <c r="E18" s="157"/>
      <c r="F18" s="160"/>
      <c r="G18" s="157"/>
      <c r="H18" s="157"/>
      <c r="I18" s="157"/>
      <c r="J18" s="156"/>
      <c r="M18" s="169">
        <v>2011</v>
      </c>
      <c r="N18" s="168">
        <f>N11</f>
        <v>53.899663806094985</v>
      </c>
      <c r="O18" s="168">
        <f>N18+O11</f>
        <v>88.805103553578675</v>
      </c>
      <c r="P18" s="167"/>
    </row>
    <row r="19" spans="1:18" ht="17" thickBot="1" x14ac:dyDescent="0.25">
      <c r="A19" s="159"/>
      <c r="B19" s="157" t="s">
        <v>317</v>
      </c>
      <c r="C19" s="157"/>
      <c r="D19" s="157"/>
      <c r="E19" s="157"/>
      <c r="F19" s="160"/>
      <c r="G19" s="157"/>
      <c r="H19" s="157"/>
      <c r="I19" s="157"/>
      <c r="J19" s="156"/>
      <c r="M19" s="166">
        <v>2012</v>
      </c>
      <c r="N19" s="165">
        <f>N12</f>
        <v>74.991207730400475</v>
      </c>
      <c r="O19" s="165"/>
      <c r="P19" s="164"/>
      <c r="Q19" s="147"/>
      <c r="R19" s="147"/>
    </row>
    <row r="20" spans="1:18" x14ac:dyDescent="0.2">
      <c r="A20" s="159"/>
      <c r="B20" s="163"/>
      <c r="C20" s="157"/>
      <c r="D20" s="157"/>
      <c r="E20" s="157"/>
      <c r="F20" s="160"/>
      <c r="G20" s="157"/>
      <c r="H20" s="157"/>
      <c r="I20" s="157"/>
      <c r="J20" s="156"/>
      <c r="M20" s="148"/>
      <c r="N20" s="147"/>
      <c r="O20" s="147"/>
      <c r="P20" s="147"/>
      <c r="Q20" s="147"/>
      <c r="R20" s="147"/>
    </row>
    <row r="21" spans="1:18" x14ac:dyDescent="0.2">
      <c r="A21" s="159"/>
      <c r="B21" s="162" t="s">
        <v>1</v>
      </c>
      <c r="C21" s="157"/>
      <c r="D21" s="157"/>
      <c r="E21" s="157"/>
      <c r="F21" s="160"/>
      <c r="G21" s="157"/>
      <c r="H21" s="157"/>
      <c r="I21" s="157"/>
      <c r="J21" s="156"/>
      <c r="M21" s="161" t="s">
        <v>316</v>
      </c>
      <c r="N21" s="147"/>
      <c r="O21" s="147"/>
      <c r="P21" s="147"/>
      <c r="Q21" s="147"/>
      <c r="R21" s="147"/>
    </row>
    <row r="22" spans="1:18" x14ac:dyDescent="0.2">
      <c r="A22" s="159"/>
      <c r="B22" s="157" t="s">
        <v>315</v>
      </c>
      <c r="C22" s="157"/>
      <c r="D22" s="157"/>
      <c r="E22" s="157"/>
      <c r="F22" s="160"/>
      <c r="G22" s="157"/>
      <c r="H22" s="157"/>
      <c r="I22" s="157"/>
      <c r="J22" s="156"/>
    </row>
    <row r="23" spans="1:18" ht="17" thickBot="1" x14ac:dyDescent="0.25">
      <c r="A23" s="159"/>
      <c r="B23" s="158"/>
      <c r="C23" s="157"/>
      <c r="D23" s="157"/>
      <c r="E23" s="157"/>
      <c r="F23" s="157"/>
      <c r="G23" s="157"/>
      <c r="H23" s="157"/>
      <c r="I23" s="157"/>
      <c r="J23" s="156"/>
      <c r="M23" t="s">
        <v>314</v>
      </c>
      <c r="N23" s="146">
        <f>P17/O17</f>
        <v>1.3100551247842329</v>
      </c>
    </row>
    <row r="24" spans="1:18" ht="17" thickBot="1" x14ac:dyDescent="0.25">
      <c r="A24" s="155" t="s">
        <v>266</v>
      </c>
      <c r="B24" s="154"/>
      <c r="C24" s="154"/>
      <c r="D24" s="154"/>
      <c r="E24" s="154"/>
      <c r="F24" s="154"/>
      <c r="G24" s="154"/>
      <c r="H24" s="154"/>
      <c r="I24" s="154"/>
      <c r="J24" s="153"/>
      <c r="M24" s="152" t="s">
        <v>313</v>
      </c>
      <c r="N24" s="151">
        <f>(N23-1)*O18</f>
        <v>27.534477463781563</v>
      </c>
    </row>
    <row r="25" spans="1:18" x14ac:dyDescent="0.2">
      <c r="N25" s="144"/>
    </row>
    <row r="28" spans="1:18" ht="19" x14ac:dyDescent="0.25">
      <c r="M28" s="150" t="s">
        <v>303</v>
      </c>
    </row>
    <row r="29" spans="1:18" x14ac:dyDescent="0.2">
      <c r="M29" t="s">
        <v>298</v>
      </c>
    </row>
    <row r="30" spans="1:18" x14ac:dyDescent="0.2">
      <c r="M30" s="149"/>
      <c r="N30" s="143"/>
    </row>
    <row r="31" spans="1:18" x14ac:dyDescent="0.2">
      <c r="M31" s="149"/>
      <c r="N31" s="144"/>
    </row>
    <row r="35" spans="13:18" x14ac:dyDescent="0.2">
      <c r="M35" s="148"/>
      <c r="N35" s="148"/>
      <c r="O35" s="148"/>
      <c r="P35" s="148"/>
      <c r="Q35" s="148"/>
      <c r="R35" s="148"/>
    </row>
    <row r="36" spans="13:18" x14ac:dyDescent="0.2">
      <c r="M36" s="148"/>
      <c r="N36" s="147"/>
      <c r="O36" s="147"/>
      <c r="P36" s="147"/>
      <c r="Q36" s="147"/>
      <c r="R36" s="147"/>
    </row>
    <row r="37" spans="13:18" x14ac:dyDescent="0.2">
      <c r="M37" s="148"/>
      <c r="N37" s="147"/>
      <c r="O37" s="147"/>
      <c r="P37" s="147"/>
      <c r="Q37" s="147"/>
      <c r="R37" s="147"/>
    </row>
    <row r="38" spans="13:18" x14ac:dyDescent="0.2">
      <c r="M38" s="148"/>
      <c r="N38" s="147"/>
      <c r="O38" s="147"/>
      <c r="P38" s="147"/>
      <c r="Q38" s="147"/>
      <c r="R38" s="147"/>
    </row>
    <row r="39" spans="13:18" x14ac:dyDescent="0.2">
      <c r="M39" s="148"/>
      <c r="N39" s="147"/>
      <c r="O39" s="147"/>
      <c r="P39" s="147"/>
      <c r="Q39" s="147"/>
      <c r="R39" s="147"/>
    </row>
    <row r="40" spans="13:18" x14ac:dyDescent="0.2">
      <c r="M40" s="148"/>
      <c r="N40" s="147"/>
      <c r="O40" s="147"/>
      <c r="P40" s="147"/>
      <c r="Q40" s="147"/>
      <c r="R40" s="147"/>
    </row>
    <row r="44" spans="13:18" x14ac:dyDescent="0.2">
      <c r="N44" s="146"/>
    </row>
    <row r="45" spans="13:18" x14ac:dyDescent="0.2">
      <c r="N45" s="143"/>
    </row>
    <row r="46" spans="13:18" x14ac:dyDescent="0.2">
      <c r="N46" s="144"/>
    </row>
    <row r="53" spans="14:14" x14ac:dyDescent="0.2">
      <c r="N53" s="145"/>
    </row>
    <row r="54" spans="14:14" x14ac:dyDescent="0.2">
      <c r="N54" s="143"/>
    </row>
    <row r="55" spans="14:14" x14ac:dyDescent="0.2">
      <c r="N55" s="144"/>
    </row>
    <row r="60" spans="14:14" x14ac:dyDescent="0.2">
      <c r="N60" s="143"/>
    </row>
    <row r="61" spans="14:14" x14ac:dyDescent="0.2">
      <c r="N61" s="143"/>
    </row>
    <row r="65" spans="14:14" x14ac:dyDescent="0.2">
      <c r="N65" s="143"/>
    </row>
  </sheetData>
  <mergeCells count="5">
    <mergeCell ref="D12:F12"/>
    <mergeCell ref="D6:F6"/>
    <mergeCell ref="C6:C7"/>
    <mergeCell ref="C12:C13"/>
    <mergeCell ref="B3:I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B0C6-181C-9A4A-88F5-EFEE663E3D38}">
  <dimension ref="A1:S23"/>
  <sheetViews>
    <sheetView workbookViewId="0"/>
  </sheetViews>
  <sheetFormatPr baseColWidth="10" defaultColWidth="11" defaultRowHeight="16" outlineLevelCol="1" x14ac:dyDescent="0.2"/>
  <cols>
    <col min="1" max="1" width="4.5" customWidth="1"/>
    <col min="3" max="3" width="11" customWidth="1"/>
    <col min="8" max="10" width="11" customWidth="1"/>
    <col min="13" max="13" width="13.83203125" hidden="1" customWidth="1" outlineLevel="1"/>
    <col min="14" max="18" width="10.83203125" hidden="1" customWidth="1" outlineLevel="1"/>
    <col min="19" max="19" width="10.83203125" customWidth="1" collapsed="1"/>
    <col min="20" max="23" width="10.83203125" customWidth="1"/>
  </cols>
  <sheetData>
    <row r="1" spans="1:15" ht="19" x14ac:dyDescent="0.25">
      <c r="A1" s="202" t="s">
        <v>346</v>
      </c>
      <c r="B1" s="201"/>
      <c r="C1" s="200"/>
      <c r="D1" s="200"/>
      <c r="E1" s="200"/>
      <c r="F1" s="199"/>
      <c r="G1" s="199"/>
      <c r="H1" s="199"/>
      <c r="I1" s="199"/>
      <c r="J1" s="198"/>
      <c r="L1" s="180" t="s">
        <v>265</v>
      </c>
    </row>
    <row r="2" spans="1:15" x14ac:dyDescent="0.2">
      <c r="A2" s="159"/>
      <c r="B2" s="157"/>
      <c r="C2" s="157"/>
      <c r="D2" s="157"/>
      <c r="E2" s="157"/>
      <c r="F2" s="157"/>
      <c r="G2" s="157"/>
      <c r="H2" s="157"/>
      <c r="I2" s="157"/>
      <c r="J2" s="156"/>
    </row>
    <row r="3" spans="1:15" x14ac:dyDescent="0.2">
      <c r="A3" s="159"/>
      <c r="B3" s="157" t="s">
        <v>345</v>
      </c>
      <c r="C3" s="157"/>
      <c r="D3" s="157"/>
      <c r="E3" s="157"/>
      <c r="F3" s="157"/>
      <c r="G3" s="157"/>
      <c r="H3" s="157"/>
      <c r="I3" s="157"/>
      <c r="J3" s="156"/>
      <c r="M3" s="180" t="s">
        <v>326</v>
      </c>
      <c r="N3" s="195"/>
    </row>
    <row r="4" spans="1:15" x14ac:dyDescent="0.2">
      <c r="A4" s="159"/>
      <c r="B4" s="157"/>
      <c r="C4" s="157"/>
      <c r="D4" s="157"/>
      <c r="E4" s="157"/>
      <c r="F4" s="157"/>
      <c r="G4" s="157"/>
      <c r="H4" s="157"/>
      <c r="I4" s="157"/>
      <c r="J4" s="156"/>
      <c r="N4" s="207"/>
    </row>
    <row r="5" spans="1:15" x14ac:dyDescent="0.2">
      <c r="A5" s="159"/>
      <c r="B5" s="205" t="s">
        <v>344</v>
      </c>
      <c r="C5" s="212">
        <v>4.5</v>
      </c>
      <c r="D5" s="157"/>
      <c r="E5" s="157"/>
      <c r="F5" s="157"/>
      <c r="G5" s="157"/>
      <c r="H5" s="157"/>
      <c r="I5" s="157"/>
      <c r="J5" s="156"/>
      <c r="M5" t="s">
        <v>343</v>
      </c>
      <c r="N5" s="207"/>
    </row>
    <row r="6" spans="1:15" x14ac:dyDescent="0.2">
      <c r="A6" s="159"/>
      <c r="B6" s="205" t="s">
        <v>342</v>
      </c>
      <c r="C6" s="212">
        <v>-0.5</v>
      </c>
      <c r="D6" s="157"/>
      <c r="E6" s="157"/>
      <c r="F6" s="157"/>
      <c r="G6" s="157"/>
      <c r="H6" s="157"/>
      <c r="I6" s="157"/>
      <c r="J6" s="156"/>
      <c r="N6" s="207"/>
    </row>
    <row r="7" spans="1:15" x14ac:dyDescent="0.2">
      <c r="A7" s="159"/>
      <c r="B7" s="205" t="s">
        <v>341</v>
      </c>
      <c r="C7" s="212">
        <v>0.02</v>
      </c>
      <c r="D7" s="157"/>
      <c r="E7" s="157"/>
      <c r="F7" s="157"/>
      <c r="G7" s="157"/>
      <c r="H7" s="157"/>
      <c r="I7" s="157"/>
      <c r="J7" s="156"/>
      <c r="M7" s="148" t="s">
        <v>340</v>
      </c>
      <c r="N7" s="211">
        <f>C5+2*C6+3*C7</f>
        <v>3.56</v>
      </c>
      <c r="O7" t="s">
        <v>339</v>
      </c>
    </row>
    <row r="8" spans="1:15" ht="17" thickBot="1" x14ac:dyDescent="0.25">
      <c r="A8" s="159"/>
      <c r="B8" s="205" t="s">
        <v>338</v>
      </c>
      <c r="C8" s="171">
        <v>30</v>
      </c>
      <c r="D8" s="157"/>
      <c r="E8" s="157"/>
      <c r="F8" s="157"/>
      <c r="G8" s="157"/>
      <c r="H8" s="157"/>
      <c r="I8" s="157"/>
      <c r="J8" s="156"/>
      <c r="N8" s="207"/>
    </row>
    <row r="9" spans="1:15" ht="17" thickBot="1" x14ac:dyDescent="0.25">
      <c r="A9" s="159"/>
      <c r="B9" s="157"/>
      <c r="C9" s="157"/>
      <c r="D9" s="157"/>
      <c r="E9" s="157"/>
      <c r="F9" s="157"/>
      <c r="G9" s="157"/>
      <c r="H9" s="157"/>
      <c r="I9" s="157"/>
      <c r="J9" s="156"/>
      <c r="M9" s="209" t="s">
        <v>337</v>
      </c>
      <c r="N9" s="210">
        <f>EXP(N7)</f>
        <v>35.163197145106615</v>
      </c>
      <c r="O9" t="s">
        <v>336</v>
      </c>
    </row>
    <row r="10" spans="1:15" x14ac:dyDescent="0.2">
      <c r="A10" s="159"/>
      <c r="B10" s="157" t="s">
        <v>335</v>
      </c>
      <c r="C10" s="157"/>
      <c r="D10" s="157"/>
      <c r="E10" s="157"/>
      <c r="F10" s="157"/>
      <c r="G10" s="157"/>
      <c r="H10" s="157"/>
      <c r="I10" s="157"/>
      <c r="J10" s="156"/>
      <c r="N10" s="207"/>
    </row>
    <row r="11" spans="1:15" x14ac:dyDescent="0.2">
      <c r="A11" s="159"/>
      <c r="B11" s="157"/>
      <c r="C11" s="157"/>
      <c r="D11" s="157"/>
      <c r="E11" s="157"/>
      <c r="F11" s="157"/>
      <c r="G11" s="157"/>
      <c r="H11" s="157"/>
      <c r="I11" s="157"/>
      <c r="J11" s="156"/>
      <c r="M11" s="180" t="s">
        <v>316</v>
      </c>
      <c r="N11" s="207"/>
    </row>
    <row r="12" spans="1:15" ht="17" thickBot="1" x14ac:dyDescent="0.25">
      <c r="A12" s="159"/>
      <c r="B12" s="157"/>
      <c r="C12" s="157"/>
      <c r="D12" s="157"/>
      <c r="E12" s="157"/>
      <c r="F12" s="157"/>
      <c r="G12" s="157"/>
      <c r="H12" s="157"/>
      <c r="I12" s="157"/>
      <c r="J12" s="156"/>
      <c r="N12" s="207"/>
    </row>
    <row r="13" spans="1:15" ht="17" thickBot="1" x14ac:dyDescent="0.25">
      <c r="A13" s="159"/>
      <c r="B13" s="206" t="s">
        <v>0</v>
      </c>
      <c r="C13" s="157"/>
      <c r="D13" s="157"/>
      <c r="E13" s="157"/>
      <c r="F13" s="157"/>
      <c r="G13" s="157"/>
      <c r="H13" s="157"/>
      <c r="I13" s="157"/>
      <c r="J13" s="156"/>
      <c r="M13" s="209" t="s">
        <v>334</v>
      </c>
      <c r="N13" s="208">
        <f>(C8-N9)/SQRT(N9^3)</f>
        <v>-2.4762025959702907E-2</v>
      </c>
      <c r="O13" t="s">
        <v>333</v>
      </c>
    </row>
    <row r="14" spans="1:15" ht="18" x14ac:dyDescent="0.25">
      <c r="A14" s="159"/>
      <c r="B14" s="157" t="s">
        <v>332</v>
      </c>
      <c r="C14" s="157"/>
      <c r="D14" s="157"/>
      <c r="E14" s="157"/>
      <c r="F14" s="157"/>
      <c r="G14" s="157"/>
      <c r="H14" s="157"/>
      <c r="I14" s="157"/>
      <c r="J14" s="156"/>
      <c r="N14" s="207"/>
      <c r="O14" t="s">
        <v>331</v>
      </c>
    </row>
    <row r="15" spans="1:15" x14ac:dyDescent="0.2">
      <c r="A15" s="159"/>
      <c r="B15" s="171"/>
      <c r="C15" s="157"/>
      <c r="D15" s="157"/>
      <c r="E15" s="157"/>
      <c r="F15" s="157"/>
      <c r="G15" s="157"/>
      <c r="H15" s="157"/>
      <c r="I15" s="157"/>
      <c r="J15" s="156"/>
      <c r="N15" s="207"/>
    </row>
    <row r="16" spans="1:15" x14ac:dyDescent="0.2">
      <c r="A16" s="159"/>
      <c r="B16" s="206" t="s">
        <v>1</v>
      </c>
      <c r="C16" s="157"/>
      <c r="D16" s="157"/>
      <c r="E16" s="157"/>
      <c r="F16" s="157"/>
      <c r="G16" s="157"/>
      <c r="H16" s="157"/>
      <c r="I16" s="157"/>
      <c r="J16" s="156"/>
    </row>
    <row r="17" spans="1:18" ht="18" x14ac:dyDescent="0.25">
      <c r="A17" s="159"/>
      <c r="B17" s="157" t="s">
        <v>330</v>
      </c>
      <c r="C17" s="157"/>
      <c r="D17" s="157"/>
      <c r="E17" s="157"/>
      <c r="F17" s="157"/>
      <c r="G17" s="157"/>
      <c r="H17" s="157"/>
      <c r="I17" s="157"/>
      <c r="J17" s="156"/>
    </row>
    <row r="18" spans="1:18" ht="20" thickBot="1" x14ac:dyDescent="0.3">
      <c r="A18" s="159"/>
      <c r="B18" s="205"/>
      <c r="C18" s="157"/>
      <c r="D18" s="157"/>
      <c r="E18" s="157"/>
      <c r="F18" s="160"/>
      <c r="G18" s="157"/>
      <c r="H18" s="157"/>
      <c r="I18" s="157"/>
      <c r="J18" s="156"/>
      <c r="M18" s="150" t="s">
        <v>262</v>
      </c>
    </row>
    <row r="19" spans="1:18" ht="17" thickBot="1" x14ac:dyDescent="0.25">
      <c r="A19" s="155" t="s">
        <v>266</v>
      </c>
      <c r="B19" s="204"/>
      <c r="C19" s="154"/>
      <c r="D19" s="154"/>
      <c r="E19" s="154"/>
      <c r="F19" s="154"/>
      <c r="G19" s="154"/>
      <c r="H19" s="154"/>
      <c r="I19" s="154"/>
      <c r="J19" s="153"/>
      <c r="M19" s="433" t="s">
        <v>329</v>
      </c>
      <c r="N19" s="433"/>
      <c r="O19" s="433"/>
      <c r="P19" s="433"/>
      <c r="Q19" s="433"/>
      <c r="R19" s="433"/>
    </row>
    <row r="20" spans="1:18" x14ac:dyDescent="0.2">
      <c r="M20" s="433"/>
      <c r="N20" s="433"/>
      <c r="O20" s="433"/>
      <c r="P20" s="433"/>
      <c r="Q20" s="433"/>
      <c r="R20" s="433"/>
    </row>
    <row r="21" spans="1:18" x14ac:dyDescent="0.2">
      <c r="M21" s="149"/>
    </row>
    <row r="22" spans="1:18" ht="19" x14ac:dyDescent="0.25">
      <c r="M22" s="150" t="s">
        <v>303</v>
      </c>
    </row>
    <row r="23" spans="1:18" x14ac:dyDescent="0.2">
      <c r="M23" t="s">
        <v>296</v>
      </c>
    </row>
  </sheetData>
  <mergeCells count="1">
    <mergeCell ref="M19:R2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38FA-2EAB-E04F-8021-5F4C29C6D18F}">
  <dimension ref="A1:T68"/>
  <sheetViews>
    <sheetView zoomScaleNormal="100" workbookViewId="0">
      <selection activeCell="M23" sqref="M23:S25"/>
    </sheetView>
  </sheetViews>
  <sheetFormatPr baseColWidth="10" defaultColWidth="11" defaultRowHeight="16" outlineLevelCol="1" x14ac:dyDescent="0.2"/>
  <cols>
    <col min="1" max="1" width="4.5" customWidth="1"/>
    <col min="3" max="3" width="11" customWidth="1"/>
    <col min="8" max="10" width="11" customWidth="1"/>
    <col min="12" max="12" width="11.1640625" bestFit="1" customWidth="1"/>
    <col min="13" max="13" width="13.83203125" hidden="1" customWidth="1" outlineLevel="1"/>
    <col min="14" max="19" width="10.83203125" hidden="1" customWidth="1" outlineLevel="1"/>
    <col min="20" max="20" width="10.83203125" customWidth="1" collapsed="1"/>
    <col min="21" max="24" width="10.83203125" customWidth="1"/>
  </cols>
  <sheetData>
    <row r="1" spans="1:19" ht="19" x14ac:dyDescent="0.25">
      <c r="A1" s="202" t="s">
        <v>365</v>
      </c>
      <c r="B1" s="201"/>
      <c r="C1" s="200"/>
      <c r="D1" s="200"/>
      <c r="E1" s="200"/>
      <c r="F1" s="199"/>
      <c r="G1" s="199"/>
      <c r="H1" s="199"/>
      <c r="I1" s="199"/>
      <c r="J1" s="198"/>
      <c r="L1" s="197" t="s">
        <v>265</v>
      </c>
    </row>
    <row r="2" spans="1:19" x14ac:dyDescent="0.2">
      <c r="A2" s="159"/>
      <c r="B2" s="157"/>
      <c r="C2" s="157"/>
      <c r="D2" s="157"/>
      <c r="E2" s="157"/>
      <c r="F2" s="157"/>
      <c r="G2" s="157"/>
      <c r="H2" s="157"/>
      <c r="I2" s="157"/>
      <c r="J2" s="156"/>
    </row>
    <row r="3" spans="1:19" x14ac:dyDescent="0.2">
      <c r="A3" s="159"/>
      <c r="B3" s="157" t="s">
        <v>364</v>
      </c>
      <c r="C3" s="157"/>
      <c r="D3" s="157"/>
      <c r="E3" s="157"/>
      <c r="F3" s="157"/>
      <c r="G3" s="157"/>
      <c r="H3" s="157"/>
      <c r="I3" s="157"/>
      <c r="J3" s="156"/>
      <c r="M3" s="180" t="s">
        <v>326</v>
      </c>
      <c r="N3" s="196"/>
    </row>
    <row r="4" spans="1:19" x14ac:dyDescent="0.2">
      <c r="A4" s="159"/>
      <c r="B4" s="157"/>
      <c r="C4" s="157"/>
      <c r="D4" s="157"/>
      <c r="E4" s="157"/>
      <c r="F4" s="157"/>
      <c r="G4" s="157"/>
      <c r="H4" s="157"/>
      <c r="I4" s="157"/>
      <c r="J4" s="156"/>
      <c r="N4" s="195"/>
    </row>
    <row r="5" spans="1:19" x14ac:dyDescent="0.2">
      <c r="A5" s="159"/>
      <c r="B5" s="430" t="s">
        <v>35</v>
      </c>
      <c r="C5" s="428" t="s">
        <v>363</v>
      </c>
      <c r="D5" s="428"/>
      <c r="E5" s="429"/>
      <c r="F5" s="157"/>
      <c r="G5" s="157"/>
      <c r="H5" s="157"/>
      <c r="I5" s="157"/>
      <c r="J5" s="156"/>
      <c r="M5" s="434" t="s">
        <v>362</v>
      </c>
      <c r="N5" s="434"/>
      <c r="O5" s="434"/>
      <c r="P5" s="434"/>
      <c r="Q5" s="434"/>
      <c r="R5" s="434"/>
      <c r="S5" s="434"/>
    </row>
    <row r="6" spans="1:19" x14ac:dyDescent="0.2">
      <c r="A6" s="159"/>
      <c r="B6" s="431"/>
      <c r="C6" s="190" t="s">
        <v>321</v>
      </c>
      <c r="D6" s="190" t="s">
        <v>320</v>
      </c>
      <c r="E6" s="189" t="s">
        <v>319</v>
      </c>
      <c r="F6" s="157"/>
      <c r="G6" s="157"/>
      <c r="H6" s="157"/>
      <c r="I6" s="157"/>
      <c r="J6" s="156"/>
      <c r="M6" s="434"/>
      <c r="N6" s="434"/>
      <c r="O6" s="434"/>
      <c r="P6" s="434"/>
      <c r="Q6" s="434"/>
      <c r="R6" s="434"/>
      <c r="S6" s="434"/>
    </row>
    <row r="7" spans="1:19" x14ac:dyDescent="0.2">
      <c r="A7" s="159"/>
      <c r="B7" s="183">
        <v>2010</v>
      </c>
      <c r="C7" s="171">
        <v>50</v>
      </c>
      <c r="D7" s="171">
        <v>-10</v>
      </c>
      <c r="E7" s="228">
        <v>10</v>
      </c>
      <c r="F7" s="157"/>
      <c r="G7" s="157"/>
      <c r="H7" s="157"/>
      <c r="I7" s="157"/>
      <c r="J7" s="156"/>
      <c r="N7" s="195"/>
    </row>
    <row r="8" spans="1:19" x14ac:dyDescent="0.2">
      <c r="A8" s="159"/>
      <c r="B8" s="183">
        <v>2011</v>
      </c>
      <c r="C8" s="171">
        <v>55</v>
      </c>
      <c r="D8" s="171">
        <v>5</v>
      </c>
      <c r="E8" s="228"/>
      <c r="F8" s="157"/>
      <c r="G8" s="157"/>
      <c r="H8" s="157"/>
      <c r="I8" s="157"/>
      <c r="J8" s="156"/>
      <c r="M8" s="434" t="s">
        <v>361</v>
      </c>
      <c r="N8" s="434"/>
      <c r="O8" s="434"/>
      <c r="P8" s="434"/>
      <c r="Q8" s="434"/>
      <c r="R8" s="434"/>
      <c r="S8" s="434"/>
    </row>
    <row r="9" spans="1:19" x14ac:dyDescent="0.2">
      <c r="A9" s="159"/>
      <c r="B9" s="179">
        <v>2012</v>
      </c>
      <c r="C9" s="186">
        <v>60</v>
      </c>
      <c r="D9" s="186"/>
      <c r="E9" s="185"/>
      <c r="F9" s="157"/>
      <c r="G9" s="157"/>
      <c r="H9" s="157"/>
      <c r="I9" s="157"/>
      <c r="J9" s="156"/>
      <c r="M9" s="434"/>
      <c r="N9" s="434"/>
      <c r="O9" s="434"/>
      <c r="P9" s="434"/>
      <c r="Q9" s="434"/>
      <c r="R9" s="434"/>
      <c r="S9" s="434"/>
    </row>
    <row r="10" spans="1:19" x14ac:dyDescent="0.2">
      <c r="A10" s="159"/>
      <c r="B10" s="157"/>
      <c r="C10" s="157"/>
      <c r="D10" s="157"/>
      <c r="E10" s="157"/>
      <c r="F10" s="157"/>
      <c r="G10" s="157"/>
      <c r="H10" s="157"/>
      <c r="I10" s="157"/>
      <c r="J10" s="156"/>
      <c r="N10" s="195"/>
    </row>
    <row r="11" spans="1:19" x14ac:dyDescent="0.2">
      <c r="A11" s="159"/>
      <c r="B11" s="162" t="s">
        <v>0</v>
      </c>
      <c r="C11" s="157"/>
      <c r="D11" s="157"/>
      <c r="E11" s="157"/>
      <c r="F11" s="160"/>
      <c r="G11" s="157"/>
      <c r="H11" s="157"/>
      <c r="I11" s="157"/>
      <c r="J11" s="156"/>
      <c r="M11" s="434" t="s">
        <v>360</v>
      </c>
      <c r="N11" s="434"/>
      <c r="O11" s="434"/>
      <c r="P11" s="434"/>
      <c r="Q11" s="434"/>
      <c r="R11" s="434"/>
      <c r="S11" s="434"/>
    </row>
    <row r="12" spans="1:19" x14ac:dyDescent="0.2">
      <c r="A12" s="159"/>
      <c r="B12" s="157" t="s">
        <v>359</v>
      </c>
      <c r="C12" s="157"/>
      <c r="D12" s="157"/>
      <c r="E12" s="157"/>
      <c r="F12" s="160"/>
      <c r="G12" s="157"/>
      <c r="H12" s="157"/>
      <c r="I12" s="157"/>
      <c r="J12" s="156"/>
      <c r="M12" s="434"/>
      <c r="N12" s="434"/>
      <c r="O12" s="434"/>
      <c r="P12" s="434"/>
      <c r="Q12" s="434"/>
      <c r="R12" s="434"/>
      <c r="S12" s="434"/>
    </row>
    <row r="13" spans="1:19" x14ac:dyDescent="0.2">
      <c r="A13" s="159"/>
      <c r="B13" s="163"/>
      <c r="C13" s="157"/>
      <c r="D13" s="157"/>
      <c r="E13" s="157"/>
      <c r="F13" s="160"/>
      <c r="G13" s="157"/>
      <c r="H13" s="157"/>
      <c r="I13" s="157"/>
      <c r="J13" s="156"/>
      <c r="M13" s="434"/>
      <c r="N13" s="434"/>
      <c r="O13" s="434"/>
      <c r="P13" s="434"/>
      <c r="Q13" s="434"/>
      <c r="R13" s="434"/>
      <c r="S13" s="434"/>
    </row>
    <row r="14" spans="1:19" ht="17" thickBot="1" x14ac:dyDescent="0.25">
      <c r="A14" s="159"/>
      <c r="B14" s="162" t="s">
        <v>1</v>
      </c>
      <c r="C14" s="157"/>
      <c r="D14" s="157"/>
      <c r="E14" s="157"/>
      <c r="F14" s="160"/>
      <c r="G14" s="157"/>
      <c r="H14" s="157"/>
      <c r="I14" s="157"/>
      <c r="J14" s="156"/>
      <c r="Q14" s="218"/>
      <c r="R14" s="218"/>
      <c r="S14" s="218"/>
    </row>
    <row r="15" spans="1:19" ht="18" customHeight="1" x14ac:dyDescent="0.2">
      <c r="A15" s="159"/>
      <c r="B15" s="432" t="s">
        <v>358</v>
      </c>
      <c r="C15" s="432"/>
      <c r="D15" s="432"/>
      <c r="E15" s="432"/>
      <c r="F15" s="432"/>
      <c r="G15" s="432"/>
      <c r="H15" s="432"/>
      <c r="I15" s="432"/>
      <c r="J15" s="156"/>
      <c r="M15" s="175" t="s">
        <v>35</v>
      </c>
      <c r="N15" s="226">
        <v>12</v>
      </c>
      <c r="O15" s="226">
        <v>24</v>
      </c>
      <c r="P15" s="225">
        <v>36</v>
      </c>
      <c r="Q15" s="218"/>
      <c r="R15" s="218"/>
      <c r="S15" s="218"/>
    </row>
    <row r="16" spans="1:19" x14ac:dyDescent="0.2">
      <c r="A16" s="159"/>
      <c r="B16" s="432"/>
      <c r="C16" s="432"/>
      <c r="D16" s="432"/>
      <c r="E16" s="432"/>
      <c r="F16" s="432"/>
      <c r="G16" s="432"/>
      <c r="H16" s="432"/>
      <c r="I16" s="432"/>
      <c r="J16" s="156"/>
      <c r="M16" s="169">
        <v>2010</v>
      </c>
      <c r="N16" s="221">
        <f>LN(C7-(-10))</f>
        <v>4.0943445622221004</v>
      </c>
      <c r="O16" s="221">
        <v>0</v>
      </c>
      <c r="P16" s="224">
        <f>LN(E7-(-10))</f>
        <v>2.9957322735539909</v>
      </c>
      <c r="Q16" s="218"/>
      <c r="R16" s="218"/>
      <c r="S16" s="218"/>
    </row>
    <row r="17" spans="1:19" ht="17" thickBot="1" x14ac:dyDescent="0.25">
      <c r="A17" s="159"/>
      <c r="B17" s="205"/>
      <c r="C17" s="157"/>
      <c r="D17" s="157"/>
      <c r="E17" s="157"/>
      <c r="F17" s="160"/>
      <c r="G17" s="157"/>
      <c r="H17" s="157"/>
      <c r="I17" s="157"/>
      <c r="J17" s="156"/>
      <c r="M17" s="169">
        <v>2011</v>
      </c>
      <c r="N17" s="221">
        <f>LN(C8-(-10))</f>
        <v>4.1743872698956368</v>
      </c>
      <c r="O17" s="221">
        <f>LN(D8-(-10))</f>
        <v>2.7080502011022101</v>
      </c>
      <c r="P17" s="224"/>
      <c r="Q17" s="218"/>
      <c r="R17" s="218"/>
      <c r="S17" s="218"/>
    </row>
    <row r="18" spans="1:19" ht="17" thickBot="1" x14ac:dyDescent="0.25">
      <c r="A18" s="155" t="s">
        <v>266</v>
      </c>
      <c r="B18" s="204"/>
      <c r="C18" s="154"/>
      <c r="D18" s="154"/>
      <c r="E18" s="154"/>
      <c r="F18" s="154"/>
      <c r="G18" s="154"/>
      <c r="H18" s="154"/>
      <c r="I18" s="154"/>
      <c r="J18" s="153"/>
      <c r="M18" s="166">
        <v>2012</v>
      </c>
      <c r="N18" s="223">
        <f>LN(C9-(-10))</f>
        <v>4.2484952420493594</v>
      </c>
      <c r="O18" s="223"/>
      <c r="P18" s="222"/>
    </row>
    <row r="19" spans="1:19" x14ac:dyDescent="0.2">
      <c r="M19" s="148"/>
      <c r="N19" s="221"/>
      <c r="O19" s="221"/>
      <c r="P19" s="221"/>
    </row>
    <row r="20" spans="1:19" x14ac:dyDescent="0.2">
      <c r="M20" s="149" t="s">
        <v>357</v>
      </c>
      <c r="N20" s="221"/>
      <c r="O20" s="221"/>
      <c r="P20" s="221"/>
    </row>
    <row r="21" spans="1:19" x14ac:dyDescent="0.2">
      <c r="N21" s="146"/>
    </row>
    <row r="22" spans="1:19" x14ac:dyDescent="0.2">
      <c r="M22" s="180" t="s">
        <v>316</v>
      </c>
      <c r="N22" s="143"/>
    </row>
    <row r="23" spans="1:19" x14ac:dyDescent="0.2">
      <c r="M23" s="433" t="s">
        <v>356</v>
      </c>
      <c r="N23" s="433"/>
      <c r="O23" s="433"/>
      <c r="P23" s="433"/>
      <c r="Q23" s="433"/>
      <c r="R23" s="433"/>
      <c r="S23" s="433"/>
    </row>
    <row r="24" spans="1:19" x14ac:dyDescent="0.2">
      <c r="M24" s="433"/>
      <c r="N24" s="433"/>
      <c r="O24" s="433"/>
      <c r="P24" s="433"/>
      <c r="Q24" s="433"/>
      <c r="R24" s="433"/>
      <c r="S24" s="433"/>
    </row>
    <row r="25" spans="1:19" x14ac:dyDescent="0.2">
      <c r="M25" s="433"/>
      <c r="N25" s="433"/>
      <c r="O25" s="433"/>
      <c r="P25" s="433"/>
      <c r="Q25" s="433"/>
      <c r="R25" s="433"/>
      <c r="S25" s="433"/>
    </row>
    <row r="26" spans="1:19" x14ac:dyDescent="0.2">
      <c r="N26" s="144"/>
    </row>
    <row r="27" spans="1:19" x14ac:dyDescent="0.2">
      <c r="M27" s="215" t="s">
        <v>355</v>
      </c>
    </row>
    <row r="29" spans="1:19" x14ac:dyDescent="0.2">
      <c r="M29" s="193" t="s">
        <v>35</v>
      </c>
      <c r="N29" s="217">
        <v>12</v>
      </c>
      <c r="O29" s="217">
        <v>24</v>
      </c>
      <c r="P29" s="217">
        <v>36</v>
      </c>
    </row>
    <row r="30" spans="1:19" x14ac:dyDescent="0.2">
      <c r="M30" s="188">
        <v>2010</v>
      </c>
      <c r="N30" s="216">
        <f>C7</f>
        <v>50</v>
      </c>
      <c r="O30" s="216">
        <f>N30+D7</f>
        <v>40</v>
      </c>
      <c r="P30" s="216">
        <f>O30+E7</f>
        <v>50</v>
      </c>
    </row>
    <row r="31" spans="1:19" x14ac:dyDescent="0.2">
      <c r="M31" s="188">
        <v>2011</v>
      </c>
      <c r="N31" s="216">
        <f>C8</f>
        <v>55</v>
      </c>
      <c r="O31" s="216">
        <f>N31+D8</f>
        <v>60</v>
      </c>
      <c r="P31" s="216"/>
    </row>
    <row r="32" spans="1:19" x14ac:dyDescent="0.2">
      <c r="M32" s="188">
        <v>2012</v>
      </c>
      <c r="N32" s="216">
        <f>C9</f>
        <v>60</v>
      </c>
      <c r="O32" s="216"/>
      <c r="P32" s="216"/>
    </row>
    <row r="34" spans="13:19" x14ac:dyDescent="0.2">
      <c r="M34" t="s">
        <v>354</v>
      </c>
      <c r="N34" s="220">
        <f>SUM(O30:O31)/SUM(N30:N31)</f>
        <v>0.95238095238095233</v>
      </c>
    </row>
    <row r="35" spans="13:19" x14ac:dyDescent="0.2">
      <c r="M35" t="s">
        <v>314</v>
      </c>
      <c r="N35" s="220">
        <f>P30/O30</f>
        <v>1.25</v>
      </c>
    </row>
    <row r="36" spans="13:19" x14ac:dyDescent="0.2">
      <c r="M36" s="148"/>
      <c r="N36" s="148"/>
      <c r="O36" s="148"/>
      <c r="P36" s="148"/>
      <c r="Q36" s="148"/>
      <c r="R36" s="148"/>
      <c r="S36" s="148"/>
    </row>
    <row r="37" spans="13:19" x14ac:dyDescent="0.2">
      <c r="M37" s="219" t="s">
        <v>353</v>
      </c>
      <c r="N37" s="218"/>
      <c r="O37" s="218"/>
      <c r="P37" s="218"/>
      <c r="Q37" s="218"/>
      <c r="R37" s="218"/>
      <c r="S37" s="218"/>
    </row>
    <row r="38" spans="13:19" x14ac:dyDescent="0.2">
      <c r="M38" s="219" t="s">
        <v>352</v>
      </c>
      <c r="N38" s="218"/>
      <c r="O38" s="218"/>
      <c r="P38" s="218"/>
      <c r="Q38" s="218"/>
      <c r="R38" s="218"/>
      <c r="S38" s="218"/>
    </row>
    <row r="39" spans="13:19" x14ac:dyDescent="0.2">
      <c r="M39" s="148"/>
      <c r="N39" s="218"/>
      <c r="O39" s="218"/>
      <c r="P39" s="218"/>
      <c r="Q39" s="218"/>
      <c r="R39" s="218"/>
      <c r="S39" s="218"/>
    </row>
    <row r="40" spans="13:19" x14ac:dyDescent="0.2">
      <c r="M40" s="193" t="s">
        <v>35</v>
      </c>
      <c r="N40" s="217">
        <v>12</v>
      </c>
      <c r="O40" s="217">
        <v>24</v>
      </c>
      <c r="P40" s="217">
        <v>36</v>
      </c>
      <c r="Q40" s="218"/>
      <c r="R40" s="218"/>
      <c r="S40" s="218"/>
    </row>
    <row r="41" spans="13:19" x14ac:dyDescent="0.2">
      <c r="M41" s="188">
        <v>2010</v>
      </c>
      <c r="N41" s="216">
        <f>O41/N34</f>
        <v>42</v>
      </c>
      <c r="O41" s="216">
        <f>P41/N35</f>
        <v>40</v>
      </c>
      <c r="P41" s="216">
        <f>P30</f>
        <v>50</v>
      </c>
      <c r="Q41" s="218"/>
      <c r="R41" s="218"/>
      <c r="S41" s="218"/>
    </row>
    <row r="42" spans="13:19" x14ac:dyDescent="0.2">
      <c r="M42" s="188">
        <v>2011</v>
      </c>
      <c r="N42" s="216">
        <f>O42/N34</f>
        <v>63</v>
      </c>
      <c r="O42" s="216">
        <f>O31</f>
        <v>60</v>
      </c>
      <c r="P42" s="216"/>
    </row>
    <row r="43" spans="13:19" x14ac:dyDescent="0.2">
      <c r="M43" s="188">
        <v>2012</v>
      </c>
      <c r="N43" s="216">
        <f>N32</f>
        <v>60</v>
      </c>
      <c r="O43" s="216"/>
      <c r="P43" s="216"/>
    </row>
    <row r="45" spans="13:19" x14ac:dyDescent="0.2">
      <c r="M45" s="215" t="s">
        <v>351</v>
      </c>
      <c r="N45" s="146"/>
    </row>
    <row r="46" spans="13:19" x14ac:dyDescent="0.2">
      <c r="N46" s="143"/>
    </row>
    <row r="47" spans="13:19" x14ac:dyDescent="0.2">
      <c r="M47" s="193" t="s">
        <v>35</v>
      </c>
      <c r="N47" s="217">
        <v>12</v>
      </c>
      <c r="O47" s="217">
        <v>24</v>
      </c>
      <c r="P47" s="217">
        <v>36</v>
      </c>
    </row>
    <row r="48" spans="13:19" x14ac:dyDescent="0.2">
      <c r="M48" s="188">
        <v>2010</v>
      </c>
      <c r="N48" s="216">
        <f>N41</f>
        <v>42</v>
      </c>
      <c r="O48" s="216">
        <f>O41-N41</f>
        <v>-2</v>
      </c>
      <c r="P48" s="216">
        <f>P41-O41</f>
        <v>10</v>
      </c>
    </row>
    <row r="49" spans="13:19" x14ac:dyDescent="0.2">
      <c r="M49" s="188">
        <v>2011</v>
      </c>
      <c r="N49" s="216">
        <f>N42</f>
        <v>63</v>
      </c>
      <c r="O49" s="216">
        <f>O42-N42</f>
        <v>-3</v>
      </c>
      <c r="P49" s="216"/>
    </row>
    <row r="50" spans="13:19" x14ac:dyDescent="0.2">
      <c r="M50" s="188">
        <v>2012</v>
      </c>
      <c r="N50" s="216">
        <f>N43</f>
        <v>60</v>
      </c>
      <c r="O50" s="216"/>
      <c r="P50" s="216"/>
    </row>
    <row r="52" spans="13:19" x14ac:dyDescent="0.2">
      <c r="M52" s="215" t="s">
        <v>350</v>
      </c>
    </row>
    <row r="53" spans="13:19" ht="17" thickBot="1" x14ac:dyDescent="0.25"/>
    <row r="54" spans="13:19" ht="17" thickBot="1" x14ac:dyDescent="0.25">
      <c r="M54" s="214" t="s">
        <v>349</v>
      </c>
      <c r="N54" s="213">
        <f>(D7-O48)/SQRT(ABS(O48))</f>
        <v>-5.6568542494923797</v>
      </c>
      <c r="O54" t="s">
        <v>348</v>
      </c>
    </row>
    <row r="55" spans="13:19" x14ac:dyDescent="0.2">
      <c r="N55" s="143"/>
    </row>
    <row r="56" spans="13:19" x14ac:dyDescent="0.2">
      <c r="N56" s="144"/>
    </row>
    <row r="58" spans="13:19" ht="19" x14ac:dyDescent="0.25">
      <c r="M58" s="150" t="s">
        <v>262</v>
      </c>
    </row>
    <row r="59" spans="13:19" x14ac:dyDescent="0.2">
      <c r="M59" s="433" t="s">
        <v>347</v>
      </c>
      <c r="N59" s="433"/>
      <c r="O59" s="433"/>
      <c r="P59" s="433"/>
      <c r="Q59" s="433"/>
      <c r="R59" s="433"/>
      <c r="S59" s="433"/>
    </row>
    <row r="60" spans="13:19" x14ac:dyDescent="0.2">
      <c r="M60" s="433"/>
      <c r="N60" s="433"/>
      <c r="O60" s="433"/>
      <c r="P60" s="433"/>
      <c r="Q60" s="433"/>
      <c r="R60" s="433"/>
      <c r="S60" s="433"/>
    </row>
    <row r="61" spans="13:19" x14ac:dyDescent="0.2">
      <c r="M61" s="433"/>
      <c r="N61" s="433"/>
      <c r="O61" s="433"/>
      <c r="P61" s="433"/>
      <c r="Q61" s="433"/>
      <c r="R61" s="433"/>
      <c r="S61" s="433"/>
    </row>
    <row r="62" spans="13:19" x14ac:dyDescent="0.2">
      <c r="M62" s="433"/>
      <c r="N62" s="433"/>
      <c r="O62" s="433"/>
      <c r="P62" s="433"/>
      <c r="Q62" s="433"/>
      <c r="R62" s="433"/>
      <c r="S62" s="433"/>
    </row>
    <row r="63" spans="13:19" x14ac:dyDescent="0.2">
      <c r="M63" s="433"/>
      <c r="N63" s="433"/>
      <c r="O63" s="433"/>
      <c r="P63" s="433"/>
      <c r="Q63" s="433"/>
      <c r="R63" s="433"/>
      <c r="S63" s="433"/>
    </row>
    <row r="64" spans="13:19" x14ac:dyDescent="0.2">
      <c r="M64" s="433"/>
      <c r="N64" s="433"/>
      <c r="O64" s="433"/>
      <c r="P64" s="433"/>
      <c r="Q64" s="433"/>
      <c r="R64" s="433"/>
      <c r="S64" s="433"/>
    </row>
    <row r="65" spans="13:19" x14ac:dyDescent="0.2">
      <c r="M65" s="433"/>
      <c r="N65" s="433"/>
      <c r="O65" s="433"/>
      <c r="P65" s="433"/>
      <c r="Q65" s="433"/>
      <c r="R65" s="433"/>
      <c r="S65" s="433"/>
    </row>
    <row r="67" spans="13:19" ht="19" x14ac:dyDescent="0.25">
      <c r="M67" s="150" t="s">
        <v>303</v>
      </c>
      <c r="N67" s="143"/>
    </row>
    <row r="68" spans="13:19" x14ac:dyDescent="0.2">
      <c r="M68" t="s">
        <v>299</v>
      </c>
    </row>
  </sheetData>
  <mergeCells count="8">
    <mergeCell ref="B15:I16"/>
    <mergeCell ref="M23:S25"/>
    <mergeCell ref="M59:S65"/>
    <mergeCell ref="C5:E5"/>
    <mergeCell ref="M5:S6"/>
    <mergeCell ref="M8:S9"/>
    <mergeCell ref="M11:S13"/>
    <mergeCell ref="B5:B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C15C2-5169-A344-BFCD-11C1CC43066E}">
  <dimension ref="A1:S65"/>
  <sheetViews>
    <sheetView workbookViewId="0"/>
  </sheetViews>
  <sheetFormatPr baseColWidth="10" defaultColWidth="11" defaultRowHeight="16" outlineLevelCol="1" x14ac:dyDescent="0.2"/>
  <cols>
    <col min="1" max="1" width="4.5" customWidth="1"/>
    <col min="3" max="3" width="11" customWidth="1"/>
    <col min="8" max="10" width="11" customWidth="1"/>
    <col min="12" max="12" width="11.1640625" bestFit="1" customWidth="1"/>
    <col min="13" max="13" width="13.83203125" hidden="1" customWidth="1" outlineLevel="1"/>
    <col min="14" max="18" width="10.83203125" hidden="1" customWidth="1" outlineLevel="1"/>
    <col min="19" max="19" width="10.83203125" customWidth="1" collapsed="1"/>
    <col min="20" max="23" width="10.83203125" customWidth="1"/>
  </cols>
  <sheetData>
    <row r="1" spans="1:17" ht="19" x14ac:dyDescent="0.25">
      <c r="A1" s="202" t="s">
        <v>382</v>
      </c>
      <c r="B1" s="201"/>
      <c r="C1" s="200"/>
      <c r="D1" s="200"/>
      <c r="E1" s="200"/>
      <c r="F1" s="199"/>
      <c r="G1" s="199"/>
      <c r="H1" s="199"/>
      <c r="I1" s="199"/>
      <c r="J1" s="198"/>
      <c r="L1" s="197" t="s">
        <v>265</v>
      </c>
    </row>
    <row r="2" spans="1:17" x14ac:dyDescent="0.2">
      <c r="A2" s="159"/>
      <c r="B2" s="157"/>
      <c r="C2" s="157"/>
      <c r="D2" s="157"/>
      <c r="E2" s="157"/>
      <c r="F2" s="157"/>
      <c r="G2" s="157"/>
      <c r="H2" s="157"/>
      <c r="I2" s="157"/>
      <c r="J2" s="156"/>
      <c r="M2" s="180" t="s">
        <v>326</v>
      </c>
      <c r="N2" s="196"/>
    </row>
    <row r="3" spans="1:17" x14ac:dyDescent="0.2">
      <c r="A3" s="159"/>
      <c r="B3" s="157" t="s">
        <v>381</v>
      </c>
      <c r="C3" s="157"/>
      <c r="D3" s="157"/>
      <c r="E3" s="157"/>
      <c r="F3" s="157"/>
      <c r="G3" s="157"/>
      <c r="H3" s="157"/>
      <c r="I3" s="157"/>
      <c r="J3" s="156"/>
      <c r="N3" s="195"/>
    </row>
    <row r="4" spans="1:17" x14ac:dyDescent="0.2">
      <c r="A4" s="159"/>
      <c r="B4" s="157"/>
      <c r="C4" s="157"/>
      <c r="D4" s="157"/>
      <c r="E4" s="157"/>
      <c r="F4" s="157"/>
      <c r="G4" s="157"/>
      <c r="H4" s="157"/>
      <c r="I4" s="157"/>
      <c r="J4" s="156"/>
      <c r="M4" s="215" t="s">
        <v>380</v>
      </c>
      <c r="N4" s="195"/>
    </row>
    <row r="5" spans="1:17" x14ac:dyDescent="0.2">
      <c r="A5" s="159"/>
      <c r="B5" s="157"/>
      <c r="C5" s="430" t="s">
        <v>35</v>
      </c>
      <c r="D5" s="427" t="s">
        <v>379</v>
      </c>
      <c r="E5" s="428"/>
      <c r="F5" s="428"/>
      <c r="G5" s="429"/>
      <c r="H5" s="157"/>
      <c r="I5" s="157"/>
      <c r="J5" s="156"/>
      <c r="N5" s="195"/>
    </row>
    <row r="6" spans="1:17" x14ac:dyDescent="0.2">
      <c r="A6" s="159"/>
      <c r="B6" s="157"/>
      <c r="C6" s="431"/>
      <c r="D6" s="190" t="s">
        <v>321</v>
      </c>
      <c r="E6" s="190" t="s">
        <v>320</v>
      </c>
      <c r="F6" s="190" t="s">
        <v>319</v>
      </c>
      <c r="G6" s="189" t="s">
        <v>378</v>
      </c>
      <c r="H6" s="157"/>
      <c r="I6" s="157"/>
      <c r="J6" s="156"/>
      <c r="M6" s="193" t="s">
        <v>35</v>
      </c>
      <c r="N6" s="239">
        <v>12</v>
      </c>
      <c r="O6" s="239">
        <v>24</v>
      </c>
      <c r="P6" s="239">
        <v>36</v>
      </c>
      <c r="Q6" s="239">
        <v>48</v>
      </c>
    </row>
    <row r="7" spans="1:17" x14ac:dyDescent="0.2">
      <c r="A7" s="159"/>
      <c r="B7" s="157"/>
      <c r="C7" s="183">
        <v>2011</v>
      </c>
      <c r="D7" s="171">
        <v>50</v>
      </c>
      <c r="E7" s="171">
        <v>80</v>
      </c>
      <c r="F7" s="171">
        <v>100</v>
      </c>
      <c r="G7" s="228">
        <v>105</v>
      </c>
      <c r="H7" s="157"/>
      <c r="I7" s="157"/>
      <c r="J7" s="156"/>
      <c r="M7" s="188">
        <v>2011</v>
      </c>
      <c r="N7">
        <f>D7</f>
        <v>50</v>
      </c>
      <c r="O7">
        <f>E7-D7</f>
        <v>30</v>
      </c>
      <c r="P7">
        <f>F7-E7</f>
        <v>20</v>
      </c>
      <c r="Q7">
        <f>G7-F7</f>
        <v>5</v>
      </c>
    </row>
    <row r="8" spans="1:17" x14ac:dyDescent="0.2">
      <c r="A8" s="159"/>
      <c r="B8" s="157"/>
      <c r="C8" s="183">
        <v>2012</v>
      </c>
      <c r="D8" s="171">
        <v>60</v>
      </c>
      <c r="E8" s="171">
        <v>140</v>
      </c>
      <c r="F8" s="171">
        <v>155</v>
      </c>
      <c r="G8" s="228"/>
      <c r="H8" s="157"/>
      <c r="I8" s="157"/>
      <c r="J8" s="156"/>
      <c r="M8" s="188">
        <v>2012</v>
      </c>
      <c r="N8">
        <f>D8</f>
        <v>60</v>
      </c>
      <c r="O8" s="238">
        <f>E8-D8</f>
        <v>80</v>
      </c>
      <c r="P8">
        <f>F8-E8</f>
        <v>15</v>
      </c>
    </row>
    <row r="9" spans="1:17" x14ac:dyDescent="0.2">
      <c r="A9" s="159"/>
      <c r="B9" s="157"/>
      <c r="C9" s="183">
        <v>2013</v>
      </c>
      <c r="D9" s="171">
        <v>80</v>
      </c>
      <c r="E9" s="171">
        <v>110</v>
      </c>
      <c r="F9" s="171"/>
      <c r="G9" s="228"/>
      <c r="H9" s="157"/>
      <c r="I9" s="157"/>
      <c r="J9" s="156"/>
      <c r="M9" s="188">
        <v>2013</v>
      </c>
      <c r="N9">
        <f>D9</f>
        <v>80</v>
      </c>
      <c r="O9">
        <f>E9-D9</f>
        <v>30</v>
      </c>
    </row>
    <row r="10" spans="1:17" x14ac:dyDescent="0.2">
      <c r="A10" s="159"/>
      <c r="B10" s="157"/>
      <c r="C10" s="179">
        <v>2014</v>
      </c>
      <c r="D10" s="186">
        <v>70</v>
      </c>
      <c r="E10" s="186"/>
      <c r="F10" s="186"/>
      <c r="G10" s="185"/>
      <c r="H10" s="157"/>
      <c r="I10" s="157"/>
      <c r="J10" s="156"/>
      <c r="M10" s="188">
        <v>2014</v>
      </c>
      <c r="N10">
        <f>D10</f>
        <v>70</v>
      </c>
    </row>
    <row r="11" spans="1:17" x14ac:dyDescent="0.2">
      <c r="A11" s="159"/>
      <c r="B11" s="157"/>
      <c r="C11" s="157"/>
      <c r="D11" s="157"/>
      <c r="E11" s="157"/>
      <c r="F11" s="157"/>
      <c r="G11" s="157"/>
      <c r="H11" s="157"/>
      <c r="I11" s="157"/>
      <c r="J11" s="156"/>
      <c r="N11" s="195"/>
    </row>
    <row r="12" spans="1:17" x14ac:dyDescent="0.2">
      <c r="A12" s="159"/>
      <c r="B12" s="206" t="s">
        <v>0</v>
      </c>
      <c r="C12" s="157"/>
      <c r="D12" s="157"/>
      <c r="E12" s="157"/>
      <c r="F12" s="157"/>
      <c r="G12" s="157"/>
      <c r="H12" s="157"/>
      <c r="I12" s="157"/>
      <c r="J12" s="156"/>
      <c r="M12" t="s">
        <v>377</v>
      </c>
      <c r="N12" s="195"/>
    </row>
    <row r="13" spans="1:17" x14ac:dyDescent="0.2">
      <c r="A13" s="159"/>
      <c r="B13" s="206" t="s">
        <v>376</v>
      </c>
      <c r="C13" s="206"/>
      <c r="D13" s="157"/>
      <c r="E13" s="157"/>
      <c r="F13" s="157"/>
      <c r="G13" s="157"/>
      <c r="H13" s="157"/>
      <c r="I13" s="157"/>
      <c r="J13" s="156"/>
      <c r="N13" s="195"/>
    </row>
    <row r="14" spans="1:17" x14ac:dyDescent="0.2">
      <c r="A14" s="159"/>
      <c r="B14" s="171"/>
      <c r="C14" s="206"/>
      <c r="D14" s="157"/>
      <c r="E14" s="157"/>
      <c r="F14" s="157"/>
      <c r="G14" s="157"/>
      <c r="H14" s="157"/>
      <c r="I14" s="157"/>
      <c r="J14" s="156"/>
      <c r="M14" s="215" t="s">
        <v>372</v>
      </c>
      <c r="N14" s="195"/>
    </row>
    <row r="15" spans="1:17" x14ac:dyDescent="0.2">
      <c r="A15" s="159"/>
      <c r="B15" s="206" t="s">
        <v>1</v>
      </c>
      <c r="C15" s="157"/>
      <c r="D15" s="157"/>
      <c r="E15" s="157"/>
      <c r="F15" s="157"/>
      <c r="G15" s="157"/>
      <c r="H15" s="157"/>
      <c r="I15" s="157"/>
      <c r="J15" s="156"/>
      <c r="N15" s="195"/>
    </row>
    <row r="16" spans="1:17" x14ac:dyDescent="0.2">
      <c r="A16" s="159"/>
      <c r="B16" s="206" t="s">
        <v>375</v>
      </c>
      <c r="C16" s="206"/>
      <c r="D16" s="157"/>
      <c r="E16" s="157"/>
      <c r="F16" s="157"/>
      <c r="G16" s="157"/>
      <c r="H16" s="157"/>
      <c r="I16" s="157"/>
      <c r="J16" s="156"/>
      <c r="M16" t="s">
        <v>354</v>
      </c>
      <c r="N16" s="145">
        <f>(E7+E9)/(D7+D9)</f>
        <v>1.4615384615384615</v>
      </c>
      <c r="O16" t="s">
        <v>371</v>
      </c>
    </row>
    <row r="17" spans="1:18" x14ac:dyDescent="0.2">
      <c r="A17" s="159"/>
      <c r="B17" s="171"/>
      <c r="C17" s="206"/>
      <c r="D17" s="157"/>
      <c r="E17" s="157"/>
      <c r="F17" s="157"/>
      <c r="G17" s="157"/>
      <c r="H17" s="157"/>
      <c r="I17" s="157"/>
      <c r="J17" s="156"/>
      <c r="M17" t="s">
        <v>314</v>
      </c>
      <c r="N17" s="145">
        <f>SUM(F7:F8)/SUM(E7:E8)</f>
        <v>1.1590909090909092</v>
      </c>
    </row>
    <row r="18" spans="1:18" x14ac:dyDescent="0.2">
      <c r="A18" s="159"/>
      <c r="B18" s="206" t="s">
        <v>2</v>
      </c>
      <c r="C18" s="157"/>
      <c r="D18" s="157"/>
      <c r="E18" s="157"/>
      <c r="F18" s="157"/>
      <c r="G18" s="157"/>
      <c r="H18" s="157"/>
      <c r="I18" s="157"/>
      <c r="J18" s="156"/>
      <c r="M18" t="s">
        <v>369</v>
      </c>
      <c r="N18" s="145">
        <f>G7/F7</f>
        <v>1.05</v>
      </c>
    </row>
    <row r="19" spans="1:18" x14ac:dyDescent="0.2">
      <c r="A19" s="159"/>
      <c r="B19" s="435" t="s">
        <v>374</v>
      </c>
      <c r="C19" s="435"/>
      <c r="D19" s="435"/>
      <c r="E19" s="435"/>
      <c r="F19" s="435"/>
      <c r="G19" s="435"/>
      <c r="H19" s="435"/>
      <c r="I19" s="435"/>
      <c r="J19" s="156"/>
      <c r="N19" s="195"/>
    </row>
    <row r="20" spans="1:18" x14ac:dyDescent="0.2">
      <c r="A20" s="159"/>
      <c r="B20" s="435"/>
      <c r="C20" s="435"/>
      <c r="D20" s="435"/>
      <c r="E20" s="435"/>
      <c r="F20" s="435"/>
      <c r="G20" s="435"/>
      <c r="H20" s="435"/>
      <c r="I20" s="435"/>
      <c r="J20" s="156"/>
      <c r="M20" s="215" t="s">
        <v>368</v>
      </c>
      <c r="N20" s="195"/>
    </row>
    <row r="21" spans="1:18" ht="17" thickBot="1" x14ac:dyDescent="0.25">
      <c r="A21" s="159"/>
      <c r="B21" s="158"/>
      <c r="C21" s="157"/>
      <c r="D21" s="157"/>
      <c r="E21" s="157"/>
      <c r="F21" s="157"/>
      <c r="G21" s="157"/>
      <c r="H21" s="157"/>
      <c r="I21" s="157"/>
      <c r="J21" s="156"/>
      <c r="M21" s="219" t="s">
        <v>367</v>
      </c>
      <c r="N21" s="148"/>
      <c r="O21" s="148"/>
      <c r="P21" s="148"/>
      <c r="Q21" s="148"/>
      <c r="R21" s="148"/>
    </row>
    <row r="22" spans="1:18" ht="17" thickBot="1" x14ac:dyDescent="0.25">
      <c r="A22" s="155" t="s">
        <v>266</v>
      </c>
      <c r="B22" s="154"/>
      <c r="C22" s="154"/>
      <c r="D22" s="154"/>
      <c r="E22" s="154"/>
      <c r="F22" s="154"/>
      <c r="G22" s="154"/>
      <c r="H22" s="154"/>
      <c r="I22" s="154"/>
      <c r="J22" s="153"/>
      <c r="N22" s="146"/>
    </row>
    <row r="23" spans="1:18" x14ac:dyDescent="0.2">
      <c r="M23" s="175" t="s">
        <v>35</v>
      </c>
      <c r="N23" s="226">
        <v>12</v>
      </c>
      <c r="O23" s="226">
        <v>24</v>
      </c>
      <c r="P23" s="226">
        <v>36</v>
      </c>
      <c r="Q23" s="225">
        <v>48</v>
      </c>
    </row>
    <row r="24" spans="1:18" x14ac:dyDescent="0.2">
      <c r="M24" s="169">
        <v>2011</v>
      </c>
      <c r="N24" s="237">
        <f>O24/N16</f>
        <v>59.029927760577912</v>
      </c>
      <c r="O24" s="237">
        <f>P24/N17</f>
        <v>86.274509803921561</v>
      </c>
      <c r="P24" s="237">
        <f>Q24/N18</f>
        <v>100</v>
      </c>
      <c r="Q24" s="236">
        <f>G7</f>
        <v>105</v>
      </c>
    </row>
    <row r="25" spans="1:18" x14ac:dyDescent="0.2">
      <c r="M25" s="169">
        <v>2012</v>
      </c>
      <c r="N25" s="237">
        <f>O25/N16</f>
        <v>91.496388028895765</v>
      </c>
      <c r="O25" s="237">
        <f>P25/N17</f>
        <v>133.72549019607843</v>
      </c>
      <c r="P25" s="237">
        <f>F8</f>
        <v>155</v>
      </c>
      <c r="Q25" s="236"/>
    </row>
    <row r="26" spans="1:18" x14ac:dyDescent="0.2">
      <c r="M26" s="169">
        <v>2013</v>
      </c>
      <c r="N26" s="237">
        <f>O26/N16</f>
        <v>75.26315789473685</v>
      </c>
      <c r="O26" s="237">
        <f>E9</f>
        <v>110</v>
      </c>
      <c r="P26" s="237"/>
      <c r="Q26" s="236"/>
    </row>
    <row r="27" spans="1:18" ht="17" thickBot="1" x14ac:dyDescent="0.25">
      <c r="M27" s="166">
        <v>2014</v>
      </c>
      <c r="N27" s="235">
        <f>D10</f>
        <v>70</v>
      </c>
      <c r="O27" s="235"/>
      <c r="P27" s="235"/>
      <c r="Q27" s="234"/>
    </row>
    <row r="29" spans="1:18" x14ac:dyDescent="0.2">
      <c r="M29" s="180" t="s">
        <v>316</v>
      </c>
      <c r="N29" s="143"/>
    </row>
    <row r="30" spans="1:18" x14ac:dyDescent="0.2">
      <c r="N30" s="144"/>
    </row>
    <row r="31" spans="1:18" x14ac:dyDescent="0.2">
      <c r="M31" s="215" t="s">
        <v>372</v>
      </c>
      <c r="N31" s="195"/>
    </row>
    <row r="32" spans="1:18" x14ac:dyDescent="0.2">
      <c r="N32" s="195"/>
    </row>
    <row r="33" spans="13:18" x14ac:dyDescent="0.2">
      <c r="M33" t="s">
        <v>354</v>
      </c>
      <c r="N33" s="145">
        <f>SUM(E7:E9)/SUM(D7:D9)</f>
        <v>1.736842105263158</v>
      </c>
    </row>
    <row r="34" spans="13:18" x14ac:dyDescent="0.2">
      <c r="M34" t="s">
        <v>314</v>
      </c>
      <c r="N34" s="145">
        <f>F7/E7</f>
        <v>1.25</v>
      </c>
      <c r="O34" t="s">
        <v>370</v>
      </c>
      <c r="R34" s="148"/>
    </row>
    <row r="35" spans="13:18" x14ac:dyDescent="0.2">
      <c r="M35" t="s">
        <v>369</v>
      </c>
      <c r="N35" s="145">
        <f>G7/F7</f>
        <v>1.05</v>
      </c>
      <c r="R35" s="147"/>
    </row>
    <row r="36" spans="13:18" x14ac:dyDescent="0.2">
      <c r="N36" s="195"/>
      <c r="R36" s="147"/>
    </row>
    <row r="37" spans="13:18" x14ac:dyDescent="0.2">
      <c r="M37" s="215" t="s">
        <v>368</v>
      </c>
      <c r="N37" s="195"/>
      <c r="R37" s="147"/>
    </row>
    <row r="38" spans="13:18" x14ac:dyDescent="0.2">
      <c r="M38" s="219" t="s">
        <v>367</v>
      </c>
      <c r="N38" s="148"/>
      <c r="O38" s="148"/>
      <c r="P38" s="148"/>
      <c r="Q38" s="148"/>
      <c r="R38" s="147"/>
    </row>
    <row r="39" spans="13:18" ht="17" thickBot="1" x14ac:dyDescent="0.25">
      <c r="N39" s="146"/>
      <c r="R39" s="147"/>
    </row>
    <row r="40" spans="13:18" x14ac:dyDescent="0.2">
      <c r="M40" s="175" t="s">
        <v>35</v>
      </c>
      <c r="N40" s="233">
        <v>12</v>
      </c>
      <c r="O40" s="233">
        <v>24</v>
      </c>
      <c r="P40" s="233">
        <v>36</v>
      </c>
      <c r="Q40" s="232">
        <v>48</v>
      </c>
    </row>
    <row r="41" spans="13:18" x14ac:dyDescent="0.2">
      <c r="M41" s="169">
        <v>2011</v>
      </c>
      <c r="N41" s="144">
        <f>O41/N33</f>
        <v>46.060606060606055</v>
      </c>
      <c r="O41" s="144">
        <f>P41/N34</f>
        <v>80</v>
      </c>
      <c r="P41" s="144">
        <f>Q41/N35</f>
        <v>100</v>
      </c>
      <c r="Q41" s="231">
        <f>G7</f>
        <v>105</v>
      </c>
    </row>
    <row r="42" spans="13:18" x14ac:dyDescent="0.2">
      <c r="M42" s="169">
        <v>2012</v>
      </c>
      <c r="N42" s="144">
        <f>O42/N33</f>
        <v>71.393939393939391</v>
      </c>
      <c r="O42" s="144">
        <f>P42/N34</f>
        <v>124</v>
      </c>
      <c r="P42" s="144">
        <f>F8</f>
        <v>155</v>
      </c>
      <c r="Q42" s="231"/>
    </row>
    <row r="43" spans="13:18" x14ac:dyDescent="0.2">
      <c r="M43" s="169">
        <v>2013</v>
      </c>
      <c r="N43" s="144">
        <f>O43/N33</f>
        <v>63.333333333333329</v>
      </c>
      <c r="O43" s="144">
        <f>E9</f>
        <v>110</v>
      </c>
      <c r="P43" s="144"/>
      <c r="Q43" s="231"/>
    </row>
    <row r="44" spans="13:18" ht="17" thickBot="1" x14ac:dyDescent="0.25">
      <c r="M44" s="166">
        <v>2014</v>
      </c>
      <c r="N44" s="230">
        <f>D10</f>
        <v>70</v>
      </c>
      <c r="O44" s="230"/>
      <c r="P44" s="230"/>
      <c r="Q44" s="229"/>
    </row>
    <row r="45" spans="13:18" x14ac:dyDescent="0.2">
      <c r="N45" s="144"/>
    </row>
    <row r="46" spans="13:18" x14ac:dyDescent="0.2">
      <c r="M46" s="180" t="s">
        <v>373</v>
      </c>
    </row>
    <row r="48" spans="13:18" x14ac:dyDescent="0.2">
      <c r="M48" s="215" t="s">
        <v>372</v>
      </c>
      <c r="N48" s="195"/>
    </row>
    <row r="49" spans="13:17" x14ac:dyDescent="0.2">
      <c r="N49" s="195"/>
    </row>
    <row r="50" spans="13:17" x14ac:dyDescent="0.2">
      <c r="M50" t="s">
        <v>354</v>
      </c>
      <c r="N50" s="145">
        <f>N16</f>
        <v>1.4615384615384615</v>
      </c>
      <c r="O50" t="s">
        <v>371</v>
      </c>
    </row>
    <row r="51" spans="13:17" x14ac:dyDescent="0.2">
      <c r="M51" t="s">
        <v>314</v>
      </c>
      <c r="N51" s="145">
        <f>N34</f>
        <v>1.25</v>
      </c>
      <c r="O51" t="s">
        <v>370</v>
      </c>
    </row>
    <row r="52" spans="13:17" x14ac:dyDescent="0.2">
      <c r="M52" t="s">
        <v>369</v>
      </c>
      <c r="N52" s="145">
        <f>N35</f>
        <v>1.05</v>
      </c>
    </row>
    <row r="53" spans="13:17" x14ac:dyDescent="0.2">
      <c r="N53" s="195"/>
    </row>
    <row r="54" spans="13:17" x14ac:dyDescent="0.2">
      <c r="M54" s="215" t="s">
        <v>368</v>
      </c>
      <c r="N54" s="195"/>
    </row>
    <row r="55" spans="13:17" x14ac:dyDescent="0.2">
      <c r="M55" s="219" t="s">
        <v>367</v>
      </c>
      <c r="N55" s="148"/>
      <c r="O55" s="148"/>
      <c r="P55" s="148"/>
      <c r="Q55" s="148"/>
    </row>
    <row r="56" spans="13:17" ht="17" thickBot="1" x14ac:dyDescent="0.25">
      <c r="N56" s="146"/>
    </row>
    <row r="57" spans="13:17" x14ac:dyDescent="0.2">
      <c r="M57" s="175" t="s">
        <v>35</v>
      </c>
      <c r="N57" s="233">
        <v>12</v>
      </c>
      <c r="O57" s="233">
        <v>24</v>
      </c>
      <c r="P57" s="233">
        <v>36</v>
      </c>
      <c r="Q57" s="232">
        <v>48</v>
      </c>
    </row>
    <row r="58" spans="13:17" x14ac:dyDescent="0.2">
      <c r="M58" s="169">
        <v>2011</v>
      </c>
      <c r="N58" s="144">
        <f>O58/N50</f>
        <v>54.736842105263165</v>
      </c>
      <c r="O58" s="144">
        <f>P58/N51</f>
        <v>80</v>
      </c>
      <c r="P58" s="144">
        <f>Q58/N52</f>
        <v>100</v>
      </c>
      <c r="Q58" s="231">
        <f>G7</f>
        <v>105</v>
      </c>
    </row>
    <row r="59" spans="13:17" x14ac:dyDescent="0.2">
      <c r="M59" s="169">
        <v>2012</v>
      </c>
      <c r="N59" s="144">
        <f>O59/N50</f>
        <v>84.842105263157904</v>
      </c>
      <c r="O59" s="144">
        <f>P59/N51</f>
        <v>124</v>
      </c>
      <c r="P59" s="144">
        <f>F8</f>
        <v>155</v>
      </c>
      <c r="Q59" s="231"/>
    </row>
    <row r="60" spans="13:17" x14ac:dyDescent="0.2">
      <c r="M60" s="169">
        <v>2013</v>
      </c>
      <c r="N60" s="144">
        <f>O60/N50</f>
        <v>75.26315789473685</v>
      </c>
      <c r="O60" s="144">
        <f>E9</f>
        <v>110</v>
      </c>
      <c r="P60" s="144"/>
      <c r="Q60" s="231"/>
    </row>
    <row r="61" spans="13:17" ht="17" thickBot="1" x14ac:dyDescent="0.25">
      <c r="M61" s="166">
        <v>2014</v>
      </c>
      <c r="N61" s="230">
        <f>D10</f>
        <v>70</v>
      </c>
      <c r="O61" s="230"/>
      <c r="P61" s="230"/>
      <c r="Q61" s="229"/>
    </row>
    <row r="64" spans="13:17" ht="19" x14ac:dyDescent="0.25">
      <c r="M64" s="197" t="s">
        <v>262</v>
      </c>
      <c r="N64" s="143"/>
    </row>
    <row r="65" spans="13:13" x14ac:dyDescent="0.2">
      <c r="M65" t="s">
        <v>366</v>
      </c>
    </row>
  </sheetData>
  <mergeCells count="3">
    <mergeCell ref="B19:I20"/>
    <mergeCell ref="D5:G5"/>
    <mergeCell ref="C5:C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CE1D-D952-F947-82A3-C178A8BA6DEE}">
  <dimension ref="A1:T70"/>
  <sheetViews>
    <sheetView workbookViewId="0"/>
  </sheetViews>
  <sheetFormatPr baseColWidth="10" defaultColWidth="11" defaultRowHeight="16" outlineLevelCol="1" x14ac:dyDescent="0.2"/>
  <cols>
    <col min="1" max="1" width="4.5" customWidth="1"/>
    <col min="3" max="10" width="11" customWidth="1"/>
    <col min="12" max="12" width="11.1640625" bestFit="1" customWidth="1"/>
    <col min="13" max="19" width="10.83203125" hidden="1" customWidth="1" outlineLevel="1"/>
    <col min="20" max="20" width="10.83203125" customWidth="1" collapsed="1"/>
    <col min="21" max="24" width="10.83203125" customWidth="1"/>
  </cols>
  <sheetData>
    <row r="1" spans="1:20" ht="19" x14ac:dyDescent="0.25">
      <c r="A1" s="202" t="s">
        <v>392</v>
      </c>
      <c r="B1" s="201"/>
      <c r="C1" s="200"/>
      <c r="D1" s="200"/>
      <c r="E1" s="200"/>
      <c r="F1" s="199"/>
      <c r="G1" s="199"/>
      <c r="H1" s="199"/>
      <c r="I1" s="199"/>
      <c r="J1" s="198"/>
      <c r="L1" s="197" t="s">
        <v>265</v>
      </c>
    </row>
    <row r="2" spans="1:20" x14ac:dyDescent="0.2">
      <c r="A2" s="159"/>
      <c r="B2" s="157"/>
      <c r="C2" s="157"/>
      <c r="D2" s="157"/>
      <c r="E2" s="157"/>
      <c r="F2" s="157"/>
      <c r="G2" s="157"/>
      <c r="H2" s="157"/>
      <c r="I2" s="157"/>
      <c r="J2" s="156"/>
    </row>
    <row r="3" spans="1:20" x14ac:dyDescent="0.2">
      <c r="A3" s="159"/>
      <c r="B3" s="435" t="s">
        <v>391</v>
      </c>
      <c r="C3" s="435"/>
      <c r="D3" s="435"/>
      <c r="E3" s="435"/>
      <c r="F3" s="435"/>
      <c r="G3" s="435"/>
      <c r="H3" s="435"/>
      <c r="I3" s="435"/>
      <c r="J3" s="156"/>
      <c r="M3" s="180" t="s">
        <v>326</v>
      </c>
      <c r="N3" s="196"/>
    </row>
    <row r="4" spans="1:20" x14ac:dyDescent="0.2">
      <c r="A4" s="159"/>
      <c r="B4" s="435"/>
      <c r="C4" s="435"/>
      <c r="D4" s="435"/>
      <c r="E4" s="435"/>
      <c r="F4" s="435"/>
      <c r="G4" s="435"/>
      <c r="H4" s="435"/>
      <c r="I4" s="435"/>
      <c r="J4" s="156"/>
      <c r="N4" s="195"/>
    </row>
    <row r="5" spans="1:20" x14ac:dyDescent="0.2">
      <c r="A5" s="159"/>
      <c r="B5" s="157"/>
      <c r="C5" s="157"/>
      <c r="D5" s="157"/>
      <c r="E5" s="157"/>
      <c r="F5" s="157"/>
      <c r="G5" s="157"/>
      <c r="H5" s="157"/>
      <c r="I5" s="157"/>
      <c r="J5" s="156"/>
      <c r="M5" s="193" t="s">
        <v>35</v>
      </c>
      <c r="N5" s="258" t="s">
        <v>390</v>
      </c>
    </row>
    <row r="6" spans="1:20" x14ac:dyDescent="0.2">
      <c r="A6" s="159"/>
      <c r="B6" s="445" t="s">
        <v>35</v>
      </c>
      <c r="C6" s="428" t="s">
        <v>140</v>
      </c>
      <c r="D6" s="428"/>
      <c r="E6" s="429"/>
      <c r="F6" s="157"/>
      <c r="G6" s="157"/>
      <c r="H6" s="157"/>
      <c r="I6" s="157"/>
      <c r="J6" s="156"/>
      <c r="M6" s="188">
        <v>2010</v>
      </c>
      <c r="N6" s="257">
        <f>SUMPRODUCT(C20:E20,C11:E11)</f>
        <v>4.5</v>
      </c>
    </row>
    <row r="7" spans="1:20" s="250" customFormat="1" ht="17" customHeight="1" x14ac:dyDescent="0.2">
      <c r="A7" s="159"/>
      <c r="B7" s="446"/>
      <c r="C7" s="442" t="s">
        <v>387</v>
      </c>
      <c r="D7" s="439" t="s">
        <v>386</v>
      </c>
      <c r="E7" s="436" t="s">
        <v>385</v>
      </c>
      <c r="F7" s="157"/>
      <c r="G7" s="157"/>
      <c r="H7" s="157"/>
      <c r="I7" s="157"/>
      <c r="J7" s="156"/>
      <c r="M7" s="188">
        <v>2011</v>
      </c>
      <c r="N7" s="257">
        <f>SUMPRODUCT(C21:E21,C12:E12)</f>
        <v>25.625</v>
      </c>
      <c r="O7"/>
      <c r="P7"/>
      <c r="Q7"/>
      <c r="R7"/>
      <c r="S7"/>
      <c r="T7"/>
    </row>
    <row r="8" spans="1:20" ht="17" thickBot="1" x14ac:dyDescent="0.25">
      <c r="A8" s="159"/>
      <c r="B8" s="446"/>
      <c r="C8" s="443"/>
      <c r="D8" s="440"/>
      <c r="E8" s="437"/>
      <c r="F8" s="157"/>
      <c r="G8" s="157"/>
      <c r="H8" s="157"/>
      <c r="I8" s="157"/>
      <c r="J8" s="156"/>
      <c r="M8" s="188">
        <v>2012</v>
      </c>
      <c r="N8" s="257">
        <f>SUMPRODUCT(C22:E22,C13:E13)</f>
        <v>44.375</v>
      </c>
    </row>
    <row r="9" spans="1:20" ht="17" thickBot="1" x14ac:dyDescent="0.25">
      <c r="A9" s="256"/>
      <c r="B9" s="447"/>
      <c r="C9" s="444"/>
      <c r="D9" s="441"/>
      <c r="E9" s="438"/>
      <c r="F9" s="255"/>
      <c r="G9" s="255"/>
      <c r="H9" s="255"/>
      <c r="I9" s="255"/>
      <c r="J9" s="254"/>
      <c r="M9" s="253" t="s">
        <v>157</v>
      </c>
      <c r="N9" s="252">
        <f>SUM(N6:N8)</f>
        <v>74.5</v>
      </c>
      <c r="T9" s="250"/>
    </row>
    <row r="10" spans="1:20" x14ac:dyDescent="0.2">
      <c r="A10" s="159"/>
      <c r="B10" s="183">
        <v>2009</v>
      </c>
      <c r="C10" s="246">
        <v>1</v>
      </c>
      <c r="D10" s="246">
        <v>0</v>
      </c>
      <c r="E10" s="249">
        <v>0</v>
      </c>
      <c r="F10" s="157"/>
      <c r="G10" s="157"/>
      <c r="H10" s="157"/>
      <c r="I10" s="157"/>
      <c r="J10" s="156"/>
      <c r="M10" s="250"/>
      <c r="N10" s="251"/>
      <c r="O10" s="250"/>
      <c r="P10" s="250"/>
      <c r="Q10" s="250"/>
      <c r="R10" s="250"/>
      <c r="S10" s="250"/>
    </row>
    <row r="11" spans="1:20" x14ac:dyDescent="0.2">
      <c r="A11" s="159"/>
      <c r="B11" s="183">
        <v>2010</v>
      </c>
      <c r="C11" s="246">
        <v>0.5</v>
      </c>
      <c r="D11" s="246">
        <v>0.25</v>
      </c>
      <c r="E11" s="249">
        <v>0.25</v>
      </c>
      <c r="F11" s="157"/>
      <c r="G11" s="157"/>
      <c r="H11" s="157"/>
      <c r="I11" s="157"/>
      <c r="J11" s="156"/>
      <c r="M11" s="180" t="s">
        <v>316</v>
      </c>
      <c r="N11" s="195"/>
    </row>
    <row r="12" spans="1:20" x14ac:dyDescent="0.2">
      <c r="A12" s="159"/>
      <c r="B12" s="183">
        <v>2011</v>
      </c>
      <c r="C12" s="246">
        <v>0.25</v>
      </c>
      <c r="D12" s="246">
        <v>0.375</v>
      </c>
      <c r="E12" s="249">
        <v>0.375</v>
      </c>
      <c r="F12" s="157"/>
      <c r="G12" s="157"/>
      <c r="H12" s="157"/>
      <c r="I12" s="157"/>
      <c r="J12" s="156"/>
      <c r="N12" s="195"/>
    </row>
    <row r="13" spans="1:20" x14ac:dyDescent="0.2">
      <c r="A13" s="159"/>
      <c r="B13" s="179">
        <v>2012</v>
      </c>
      <c r="C13" s="248">
        <v>0.25</v>
      </c>
      <c r="D13" s="248">
        <v>0.375</v>
      </c>
      <c r="E13" s="247">
        <v>0.375</v>
      </c>
      <c r="F13" s="157"/>
      <c r="G13" s="157"/>
      <c r="H13" s="157"/>
      <c r="I13" s="157"/>
      <c r="J13" s="156"/>
      <c r="M13" s="434" t="s">
        <v>389</v>
      </c>
      <c r="N13" s="434"/>
      <c r="O13" s="434"/>
      <c r="P13" s="434"/>
      <c r="Q13" s="434"/>
      <c r="R13" s="434"/>
      <c r="S13" s="434"/>
    </row>
    <row r="14" spans="1:20" x14ac:dyDescent="0.2">
      <c r="A14" s="159"/>
      <c r="B14" s="171"/>
      <c r="C14" s="246"/>
      <c r="D14" s="246"/>
      <c r="E14" s="246"/>
      <c r="F14" s="157"/>
      <c r="G14" s="157"/>
      <c r="H14" s="157"/>
      <c r="I14" s="157"/>
      <c r="J14" s="156"/>
      <c r="M14" s="434"/>
      <c r="N14" s="434"/>
      <c r="O14" s="434"/>
      <c r="P14" s="434"/>
      <c r="Q14" s="434"/>
      <c r="R14" s="434"/>
      <c r="S14" s="434"/>
    </row>
    <row r="15" spans="1:20" x14ac:dyDescent="0.2">
      <c r="A15" s="159"/>
      <c r="B15" s="445" t="s">
        <v>35</v>
      </c>
      <c r="C15" s="428" t="s">
        <v>388</v>
      </c>
      <c r="D15" s="428"/>
      <c r="E15" s="429"/>
      <c r="F15" s="157"/>
      <c r="G15" s="157"/>
      <c r="H15" s="157"/>
      <c r="I15" s="157"/>
      <c r="J15" s="156"/>
      <c r="N15" s="195"/>
    </row>
    <row r="16" spans="1:20" ht="16" customHeight="1" x14ac:dyDescent="0.2">
      <c r="A16" s="159"/>
      <c r="B16" s="446"/>
      <c r="C16" s="442" t="s">
        <v>387</v>
      </c>
      <c r="D16" s="439" t="s">
        <v>386</v>
      </c>
      <c r="E16" s="436" t="s">
        <v>385</v>
      </c>
      <c r="F16" s="157"/>
      <c r="G16" s="157"/>
      <c r="H16" s="157"/>
      <c r="I16" s="157"/>
      <c r="J16" s="156"/>
      <c r="N16" s="195"/>
    </row>
    <row r="17" spans="1:19" x14ac:dyDescent="0.2">
      <c r="A17" s="159"/>
      <c r="B17" s="446"/>
      <c r="C17" s="443"/>
      <c r="D17" s="440"/>
      <c r="E17" s="437"/>
      <c r="F17" s="157"/>
      <c r="G17" s="157"/>
      <c r="H17" s="157"/>
      <c r="I17" s="157"/>
      <c r="J17" s="156"/>
      <c r="M17" s="149"/>
      <c r="N17" s="195"/>
    </row>
    <row r="18" spans="1:19" ht="19" x14ac:dyDescent="0.25">
      <c r="A18" s="159"/>
      <c r="B18" s="447"/>
      <c r="C18" s="444"/>
      <c r="D18" s="441"/>
      <c r="E18" s="438"/>
      <c r="F18" s="157"/>
      <c r="G18" s="157"/>
      <c r="H18" s="157"/>
      <c r="I18" s="157"/>
      <c r="J18" s="156"/>
      <c r="M18" s="150" t="s">
        <v>303</v>
      </c>
      <c r="N18" s="195"/>
    </row>
    <row r="19" spans="1:19" x14ac:dyDescent="0.2">
      <c r="A19" s="159"/>
      <c r="B19" s="183">
        <v>2009</v>
      </c>
      <c r="C19" s="242">
        <v>0</v>
      </c>
      <c r="D19" s="242">
        <v>0</v>
      </c>
      <c r="E19" s="245">
        <v>0</v>
      </c>
      <c r="F19" s="157"/>
      <c r="G19" s="157"/>
      <c r="H19" s="157"/>
      <c r="I19" s="157"/>
      <c r="J19" s="156"/>
      <c r="M19" t="s">
        <v>301</v>
      </c>
      <c r="N19" s="195"/>
    </row>
    <row r="20" spans="1:19" x14ac:dyDescent="0.2">
      <c r="A20" s="159"/>
      <c r="B20" s="183">
        <v>2010</v>
      </c>
      <c r="C20" s="242">
        <v>5</v>
      </c>
      <c r="D20" s="242">
        <v>4</v>
      </c>
      <c r="E20" s="245">
        <v>4</v>
      </c>
      <c r="F20" s="157"/>
      <c r="G20" s="157"/>
      <c r="H20" s="157"/>
      <c r="I20" s="157"/>
      <c r="J20" s="156"/>
      <c r="M20" s="149"/>
      <c r="N20" s="195"/>
    </row>
    <row r="21" spans="1:19" x14ac:dyDescent="0.2">
      <c r="A21" s="159"/>
      <c r="B21" s="183">
        <v>2011</v>
      </c>
      <c r="C21" s="242">
        <v>20</v>
      </c>
      <c r="D21" s="242">
        <v>30</v>
      </c>
      <c r="E21" s="245">
        <v>25</v>
      </c>
      <c r="F21" s="157"/>
      <c r="G21" s="157"/>
      <c r="H21" s="157"/>
      <c r="I21" s="157"/>
      <c r="J21" s="156"/>
      <c r="M21" s="149"/>
      <c r="N21" s="195"/>
    </row>
    <row r="22" spans="1:19" x14ac:dyDescent="0.2">
      <c r="A22" s="159"/>
      <c r="B22" s="179">
        <v>2012</v>
      </c>
      <c r="C22" s="244">
        <v>50</v>
      </c>
      <c r="D22" s="244">
        <v>40</v>
      </c>
      <c r="E22" s="243">
        <v>45</v>
      </c>
      <c r="F22" s="157"/>
      <c r="G22" s="157"/>
      <c r="H22" s="157"/>
      <c r="I22" s="157"/>
      <c r="J22" s="156"/>
      <c r="N22" s="195"/>
    </row>
    <row r="23" spans="1:19" x14ac:dyDescent="0.2">
      <c r="A23" s="159"/>
      <c r="B23" s="171"/>
      <c r="C23" s="242"/>
      <c r="D23" s="242"/>
      <c r="E23" s="242"/>
      <c r="F23" s="157"/>
      <c r="G23" s="157"/>
      <c r="H23" s="157"/>
      <c r="I23" s="157"/>
      <c r="J23" s="156"/>
      <c r="N23" s="195"/>
    </row>
    <row r="24" spans="1:19" x14ac:dyDescent="0.2">
      <c r="A24" s="159"/>
      <c r="B24" s="206" t="s">
        <v>0</v>
      </c>
      <c r="C24" s="157"/>
      <c r="D24" s="242"/>
      <c r="E24" s="242"/>
      <c r="F24" s="157"/>
      <c r="G24" s="157"/>
      <c r="H24" s="157"/>
      <c r="I24" s="157"/>
      <c r="J24" s="156"/>
      <c r="N24" s="195"/>
    </row>
    <row r="25" spans="1:19" x14ac:dyDescent="0.2">
      <c r="A25" s="159"/>
      <c r="B25" s="241" t="s">
        <v>384</v>
      </c>
      <c r="C25" s="241"/>
      <c r="D25" s="242"/>
      <c r="E25" s="242"/>
      <c r="F25" s="157"/>
      <c r="G25" s="157"/>
      <c r="H25" s="157"/>
      <c r="I25" s="157"/>
      <c r="J25" s="156"/>
      <c r="N25" s="195"/>
    </row>
    <row r="26" spans="1:19" x14ac:dyDescent="0.2">
      <c r="A26" s="159"/>
      <c r="B26" s="171"/>
      <c r="C26" s="241"/>
      <c r="D26" s="242"/>
      <c r="E26" s="242"/>
      <c r="F26" s="157"/>
      <c r="G26" s="157"/>
      <c r="H26" s="157"/>
      <c r="I26" s="157"/>
      <c r="J26" s="156"/>
      <c r="N26" s="195"/>
    </row>
    <row r="27" spans="1:19" x14ac:dyDescent="0.2">
      <c r="A27" s="159"/>
      <c r="B27" s="206" t="s">
        <v>1</v>
      </c>
      <c r="C27" s="157"/>
      <c r="D27" s="242"/>
      <c r="E27" s="242"/>
      <c r="F27" s="157"/>
      <c r="G27" s="157"/>
      <c r="H27" s="157"/>
      <c r="I27" s="157"/>
      <c r="J27" s="156"/>
      <c r="M27" s="149"/>
      <c r="N27" s="148"/>
      <c r="O27" s="148"/>
      <c r="P27" s="148"/>
      <c r="Q27" s="148"/>
      <c r="R27" s="148"/>
      <c r="S27" s="148"/>
    </row>
    <row r="28" spans="1:19" x14ac:dyDescent="0.2">
      <c r="A28" s="159"/>
      <c r="B28" s="241" t="s">
        <v>383</v>
      </c>
      <c r="C28" s="157"/>
      <c r="D28" s="157"/>
      <c r="E28" s="157"/>
      <c r="F28" s="157"/>
      <c r="G28" s="157"/>
      <c r="H28" s="157"/>
      <c r="I28" s="157"/>
      <c r="J28" s="156"/>
      <c r="N28" s="146"/>
    </row>
    <row r="29" spans="1:19" ht="17" thickBot="1" x14ac:dyDescent="0.25">
      <c r="A29" s="159"/>
      <c r="B29" s="158"/>
      <c r="C29" s="157"/>
      <c r="D29" s="157"/>
      <c r="E29" s="157"/>
      <c r="F29" s="157"/>
      <c r="G29" s="157"/>
      <c r="H29" s="157"/>
      <c r="I29" s="157"/>
      <c r="J29" s="156"/>
      <c r="M29" s="149"/>
      <c r="N29" s="143"/>
    </row>
    <row r="30" spans="1:19" ht="17" thickBot="1" x14ac:dyDescent="0.25">
      <c r="A30" s="155" t="s">
        <v>266</v>
      </c>
      <c r="B30" s="154"/>
      <c r="C30" s="154"/>
      <c r="D30" s="154"/>
      <c r="E30" s="154"/>
      <c r="F30" s="154"/>
      <c r="G30" s="154"/>
      <c r="H30" s="154"/>
      <c r="I30" s="154"/>
      <c r="J30" s="153"/>
      <c r="M30" s="149"/>
      <c r="N30" s="144"/>
    </row>
    <row r="32" spans="1:19" x14ac:dyDescent="0.2">
      <c r="M32" s="219"/>
    </row>
    <row r="35" spans="13:19" x14ac:dyDescent="0.2">
      <c r="N35" s="143"/>
    </row>
    <row r="36" spans="13:19" x14ac:dyDescent="0.2">
      <c r="N36" s="144"/>
    </row>
    <row r="38" spans="13:19" x14ac:dyDescent="0.2">
      <c r="M38" s="215"/>
    </row>
    <row r="40" spans="13:19" x14ac:dyDescent="0.2">
      <c r="M40" s="148"/>
      <c r="N40" s="148"/>
      <c r="O40" s="148"/>
      <c r="P40" s="148"/>
      <c r="Q40" s="148"/>
      <c r="R40" s="148"/>
      <c r="S40" s="148"/>
    </row>
    <row r="41" spans="13:19" x14ac:dyDescent="0.2">
      <c r="M41" s="148"/>
      <c r="N41" s="218"/>
      <c r="O41" s="218"/>
      <c r="P41" s="218"/>
      <c r="Q41" s="218"/>
      <c r="R41" s="218"/>
      <c r="S41" s="218"/>
    </row>
    <row r="42" spans="13:19" x14ac:dyDescent="0.2">
      <c r="M42" s="148"/>
      <c r="N42" s="218"/>
      <c r="O42" s="218"/>
      <c r="P42" s="218"/>
      <c r="Q42" s="218"/>
      <c r="R42" s="218"/>
      <c r="S42" s="218"/>
    </row>
    <row r="43" spans="13:19" x14ac:dyDescent="0.2">
      <c r="M43" s="148"/>
      <c r="N43" s="218"/>
      <c r="O43" s="218"/>
      <c r="P43" s="218"/>
      <c r="Q43" s="218"/>
      <c r="R43" s="218"/>
      <c r="S43" s="218"/>
    </row>
    <row r="44" spans="13:19" x14ac:dyDescent="0.2">
      <c r="M44" s="148"/>
      <c r="N44" s="218"/>
      <c r="O44" s="218"/>
      <c r="P44" s="218"/>
      <c r="Q44" s="218"/>
      <c r="R44" s="218"/>
      <c r="S44" s="218"/>
    </row>
    <row r="45" spans="13:19" x14ac:dyDescent="0.2">
      <c r="M45" s="148"/>
      <c r="N45" s="218"/>
      <c r="O45" s="218"/>
      <c r="P45" s="218"/>
      <c r="Q45" s="218"/>
      <c r="R45" s="218"/>
      <c r="S45" s="218"/>
    </row>
    <row r="47" spans="13:19" x14ac:dyDescent="0.2">
      <c r="M47" s="215"/>
    </row>
    <row r="49" spans="14:14" x14ac:dyDescent="0.2">
      <c r="N49" s="146"/>
    </row>
    <row r="50" spans="14:14" x14ac:dyDescent="0.2">
      <c r="N50" s="143"/>
    </row>
    <row r="51" spans="14:14" x14ac:dyDescent="0.2">
      <c r="N51" s="144"/>
    </row>
    <row r="58" spans="14:14" x14ac:dyDescent="0.2">
      <c r="N58" s="240"/>
    </row>
    <row r="59" spans="14:14" x14ac:dyDescent="0.2">
      <c r="N59" s="143"/>
    </row>
    <row r="60" spans="14:14" x14ac:dyDescent="0.2">
      <c r="N60" s="144"/>
    </row>
    <row r="65" spans="14:14" x14ac:dyDescent="0.2">
      <c r="N65" s="143"/>
    </row>
    <row r="66" spans="14:14" x14ac:dyDescent="0.2">
      <c r="N66" s="143"/>
    </row>
    <row r="70" spans="14:14" x14ac:dyDescent="0.2">
      <c r="N70" s="143"/>
    </row>
  </sheetData>
  <mergeCells count="12">
    <mergeCell ref="M13:S14"/>
    <mergeCell ref="B6:B9"/>
    <mergeCell ref="B15:B18"/>
    <mergeCell ref="C6:E6"/>
    <mergeCell ref="C15:E15"/>
    <mergeCell ref="B3:I4"/>
    <mergeCell ref="E16:E18"/>
    <mergeCell ref="D16:D18"/>
    <mergeCell ref="C16:C18"/>
    <mergeCell ref="E7:E9"/>
    <mergeCell ref="D7:D9"/>
    <mergeCell ref="C7:C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C17C-9F62-364F-9E97-7C33A47879AE}">
  <dimension ref="A1:S60"/>
  <sheetViews>
    <sheetView workbookViewId="0"/>
  </sheetViews>
  <sheetFormatPr baseColWidth="10" defaultColWidth="11" defaultRowHeight="16" outlineLevelCol="1" x14ac:dyDescent="0.2"/>
  <cols>
    <col min="1" max="1" width="4.5" customWidth="1"/>
    <col min="2" max="10" width="11" customWidth="1"/>
    <col min="12" max="12" width="11.1640625" bestFit="1" customWidth="1"/>
    <col min="13" max="13" width="13.83203125" hidden="1" customWidth="1" outlineLevel="1"/>
    <col min="14" max="18" width="10.83203125" hidden="1" customWidth="1" outlineLevel="1"/>
    <col min="19" max="19" width="10.83203125" customWidth="1" collapsed="1"/>
    <col min="20" max="23" width="10.83203125" customWidth="1"/>
  </cols>
  <sheetData>
    <row r="1" spans="1:15" ht="19" x14ac:dyDescent="0.25">
      <c r="A1" s="202" t="s">
        <v>400</v>
      </c>
      <c r="B1" s="201"/>
      <c r="C1" s="200"/>
      <c r="D1" s="200"/>
      <c r="E1" s="200"/>
      <c r="F1" s="199"/>
      <c r="G1" s="199"/>
      <c r="H1" s="199"/>
      <c r="I1" s="199"/>
      <c r="J1" s="198"/>
      <c r="L1" s="197" t="s">
        <v>265</v>
      </c>
    </row>
    <row r="2" spans="1:15" x14ac:dyDescent="0.2">
      <c r="A2" s="159"/>
      <c r="B2" s="157"/>
      <c r="C2" s="157"/>
      <c r="D2" s="157"/>
      <c r="E2" s="157"/>
      <c r="F2" s="157"/>
      <c r="G2" s="157"/>
      <c r="H2" s="157"/>
      <c r="I2" s="157"/>
      <c r="J2" s="156"/>
    </row>
    <row r="3" spans="1:15" x14ac:dyDescent="0.2">
      <c r="A3" s="159"/>
      <c r="B3" s="157" t="s">
        <v>399</v>
      </c>
      <c r="C3" s="171"/>
      <c r="D3" s="157"/>
      <c r="E3" s="157"/>
      <c r="F3" s="157"/>
      <c r="G3" s="157"/>
      <c r="H3" s="157"/>
      <c r="I3" s="157"/>
      <c r="J3" s="156"/>
      <c r="M3" t="s">
        <v>354</v>
      </c>
      <c r="N3" s="145">
        <f>SUM(D8:D10)/SUM(C8:C10)</f>
        <v>1.6166666666666667</v>
      </c>
    </row>
    <row r="4" spans="1:15" x14ac:dyDescent="0.2">
      <c r="A4" s="159"/>
      <c r="B4" s="157"/>
      <c r="C4" s="171"/>
      <c r="D4" s="157"/>
      <c r="E4" s="157"/>
      <c r="F4" s="157"/>
      <c r="G4" s="157"/>
      <c r="H4" s="157"/>
      <c r="I4" s="157"/>
      <c r="J4" s="156"/>
      <c r="M4" t="s">
        <v>314</v>
      </c>
      <c r="N4" s="145">
        <f>SUM(E7:E9)/SUM(D7:D9)</f>
        <v>1.2234042553191489</v>
      </c>
    </row>
    <row r="5" spans="1:15" x14ac:dyDescent="0.2">
      <c r="A5" s="159"/>
      <c r="B5" s="430" t="s">
        <v>35</v>
      </c>
      <c r="C5" s="428" t="s">
        <v>398</v>
      </c>
      <c r="D5" s="428"/>
      <c r="E5" s="428"/>
      <c r="F5" s="428"/>
      <c r="G5" s="429"/>
      <c r="H5" s="157"/>
      <c r="I5" s="157"/>
      <c r="J5" s="156"/>
      <c r="M5" t="s">
        <v>369</v>
      </c>
      <c r="N5" s="145">
        <f>SUM(F7:F8)/SUM(E7:E8)</f>
        <v>1.1153846153846154</v>
      </c>
    </row>
    <row r="6" spans="1:15" x14ac:dyDescent="0.2">
      <c r="A6" s="159"/>
      <c r="B6" s="431"/>
      <c r="C6" s="190" t="s">
        <v>321</v>
      </c>
      <c r="D6" s="190" t="s">
        <v>320</v>
      </c>
      <c r="E6" s="190" t="s">
        <v>319</v>
      </c>
      <c r="F6" s="190" t="s">
        <v>378</v>
      </c>
      <c r="G6" s="189" t="s">
        <v>397</v>
      </c>
      <c r="H6" s="157"/>
      <c r="I6" s="157"/>
      <c r="J6" s="156"/>
      <c r="M6" t="s">
        <v>396</v>
      </c>
      <c r="N6" s="145">
        <f>G7/F7</f>
        <v>1.05</v>
      </c>
    </row>
    <row r="7" spans="1:15" ht="17" thickBot="1" x14ac:dyDescent="0.25">
      <c r="A7" s="159"/>
      <c r="B7" s="183">
        <v>2008</v>
      </c>
      <c r="C7" s="171">
        <v>500</v>
      </c>
      <c r="D7" s="171">
        <v>800</v>
      </c>
      <c r="E7" s="242">
        <v>1000</v>
      </c>
      <c r="F7" s="242">
        <v>1100</v>
      </c>
      <c r="G7" s="245">
        <v>1155</v>
      </c>
      <c r="H7" s="157"/>
      <c r="I7" s="157"/>
      <c r="J7" s="156"/>
      <c r="N7" s="195"/>
    </row>
    <row r="8" spans="1:15" ht="17" thickBot="1" x14ac:dyDescent="0.25">
      <c r="A8" s="159"/>
      <c r="B8" s="183">
        <v>2009</v>
      </c>
      <c r="C8" s="171">
        <v>525</v>
      </c>
      <c r="D8" s="171">
        <v>800</v>
      </c>
      <c r="E8" s="171">
        <v>950</v>
      </c>
      <c r="F8" s="242">
        <v>1075</v>
      </c>
      <c r="G8" s="228"/>
      <c r="H8" s="157"/>
      <c r="I8" s="157"/>
      <c r="J8" s="156"/>
      <c r="M8" s="152" t="s">
        <v>395</v>
      </c>
      <c r="N8" s="262">
        <f>E9/(N4*N3)</f>
        <v>467.68265351860157</v>
      </c>
      <c r="O8" t="s">
        <v>394</v>
      </c>
    </row>
    <row r="9" spans="1:15" x14ac:dyDescent="0.2">
      <c r="A9" s="159"/>
      <c r="B9" s="183">
        <v>2010</v>
      </c>
      <c r="C9" s="171">
        <v>475</v>
      </c>
      <c r="D9" s="171">
        <v>750</v>
      </c>
      <c r="E9" s="171">
        <v>925</v>
      </c>
      <c r="F9" s="171"/>
      <c r="G9" s="228"/>
      <c r="H9" s="157"/>
      <c r="I9" s="157"/>
      <c r="J9" s="156"/>
      <c r="N9" s="195"/>
    </row>
    <row r="10" spans="1:15" x14ac:dyDescent="0.2">
      <c r="A10" s="159"/>
      <c r="B10" s="183">
        <v>2011</v>
      </c>
      <c r="C10" s="171">
        <v>500</v>
      </c>
      <c r="D10" s="171">
        <v>875</v>
      </c>
      <c r="E10" s="171"/>
      <c r="F10" s="171"/>
      <c r="G10" s="228"/>
      <c r="H10" s="157"/>
      <c r="I10" s="157"/>
      <c r="J10" s="156"/>
      <c r="N10" s="195"/>
    </row>
    <row r="11" spans="1:15" x14ac:dyDescent="0.2">
      <c r="A11" s="159"/>
      <c r="B11" s="179">
        <v>2012</v>
      </c>
      <c r="C11" s="186">
        <v>600</v>
      </c>
      <c r="D11" s="186"/>
      <c r="E11" s="186"/>
      <c r="F11" s="186"/>
      <c r="G11" s="185"/>
      <c r="H11" s="157"/>
      <c r="I11" s="157"/>
      <c r="J11" s="156"/>
      <c r="N11" s="195"/>
    </row>
    <row r="12" spans="1:15" x14ac:dyDescent="0.2">
      <c r="A12" s="159"/>
      <c r="B12" s="157"/>
      <c r="C12" s="171"/>
      <c r="D12" s="157"/>
      <c r="E12" s="157"/>
      <c r="F12" s="157"/>
      <c r="G12" s="157"/>
      <c r="H12" s="157"/>
      <c r="I12" s="157"/>
      <c r="J12" s="156"/>
      <c r="M12" s="149"/>
      <c r="N12" s="195"/>
    </row>
    <row r="13" spans="1:15" ht="19" x14ac:dyDescent="0.25">
      <c r="A13" s="159"/>
      <c r="B13" s="432" t="s">
        <v>393</v>
      </c>
      <c r="C13" s="432"/>
      <c r="D13" s="432"/>
      <c r="E13" s="432"/>
      <c r="F13" s="432"/>
      <c r="G13" s="432"/>
      <c r="H13" s="432"/>
      <c r="I13" s="432"/>
      <c r="J13" s="156"/>
      <c r="M13" s="150" t="s">
        <v>303</v>
      </c>
      <c r="N13" s="195"/>
    </row>
    <row r="14" spans="1:15" x14ac:dyDescent="0.2">
      <c r="A14" s="159"/>
      <c r="B14" s="432"/>
      <c r="C14" s="432"/>
      <c r="D14" s="432"/>
      <c r="E14" s="432"/>
      <c r="F14" s="432"/>
      <c r="G14" s="432"/>
      <c r="H14" s="432"/>
      <c r="I14" s="432"/>
      <c r="J14" s="156"/>
      <c r="M14" t="s">
        <v>298</v>
      </c>
      <c r="N14" s="195"/>
    </row>
    <row r="15" spans="1:15" ht="17" thickBot="1" x14ac:dyDescent="0.25">
      <c r="A15" s="159"/>
      <c r="B15" s="157"/>
      <c r="C15" s="171"/>
      <c r="D15" s="157"/>
      <c r="E15" s="157"/>
      <c r="F15" s="157"/>
      <c r="G15" s="157"/>
      <c r="H15" s="157"/>
      <c r="I15" s="157"/>
      <c r="J15" s="156"/>
      <c r="N15" s="195"/>
    </row>
    <row r="16" spans="1:15" ht="17" thickBot="1" x14ac:dyDescent="0.25">
      <c r="A16" s="155" t="s">
        <v>266</v>
      </c>
      <c r="B16" s="261"/>
      <c r="C16" s="154"/>
      <c r="D16" s="154"/>
      <c r="E16" s="154"/>
      <c r="F16" s="154"/>
      <c r="G16" s="154"/>
      <c r="H16" s="154"/>
      <c r="I16" s="154"/>
      <c r="J16" s="153"/>
      <c r="N16" s="195"/>
    </row>
    <row r="17" spans="2:18" x14ac:dyDescent="0.2">
      <c r="B17" s="260"/>
      <c r="R17" s="148"/>
    </row>
    <row r="18" spans="2:18" x14ac:dyDescent="0.2">
      <c r="N18" s="259"/>
      <c r="P18" s="148"/>
      <c r="Q18" s="148"/>
    </row>
    <row r="19" spans="2:18" x14ac:dyDescent="0.2">
      <c r="P19" s="148"/>
      <c r="Q19" s="148"/>
    </row>
    <row r="21" spans="2:18" x14ac:dyDescent="0.2">
      <c r="N21" s="148"/>
      <c r="O21" s="148"/>
    </row>
    <row r="22" spans="2:18" x14ac:dyDescent="0.2">
      <c r="N22" s="148"/>
      <c r="O22" s="148"/>
    </row>
    <row r="23" spans="2:18" x14ac:dyDescent="0.2">
      <c r="N23" s="146"/>
    </row>
    <row r="24" spans="2:18" x14ac:dyDescent="0.2">
      <c r="N24" s="259"/>
    </row>
    <row r="25" spans="2:18" x14ac:dyDescent="0.2">
      <c r="M25" s="149"/>
    </row>
    <row r="27" spans="2:18" x14ac:dyDescent="0.2">
      <c r="N27" s="143"/>
    </row>
    <row r="28" spans="2:18" x14ac:dyDescent="0.2">
      <c r="N28" s="144"/>
    </row>
    <row r="29" spans="2:18" x14ac:dyDescent="0.2">
      <c r="N29" s="144"/>
    </row>
    <row r="30" spans="2:18" x14ac:dyDescent="0.2">
      <c r="N30" s="144"/>
      <c r="R30" s="148"/>
    </row>
    <row r="31" spans="2:18" x14ac:dyDescent="0.2">
      <c r="R31" s="147"/>
    </row>
    <row r="32" spans="2:18" x14ac:dyDescent="0.2">
      <c r="P32" s="148"/>
      <c r="Q32" s="148"/>
      <c r="R32" s="147"/>
    </row>
    <row r="33" spans="13:18" x14ac:dyDescent="0.2">
      <c r="M33" s="148"/>
      <c r="N33" s="147"/>
      <c r="O33" s="147"/>
      <c r="P33" s="147"/>
      <c r="Q33" s="147"/>
      <c r="R33" s="147"/>
    </row>
    <row r="34" spans="13:18" x14ac:dyDescent="0.2">
      <c r="M34" s="149"/>
      <c r="N34" s="147"/>
      <c r="O34" s="147"/>
      <c r="P34" s="147"/>
      <c r="Q34" s="147"/>
      <c r="R34" s="147"/>
    </row>
    <row r="35" spans="13:18" x14ac:dyDescent="0.2">
      <c r="M35" s="149"/>
      <c r="N35" s="147"/>
      <c r="O35" s="147"/>
      <c r="P35" s="147"/>
      <c r="Q35" s="147"/>
      <c r="R35" s="147"/>
    </row>
    <row r="36" spans="13:18" x14ac:dyDescent="0.2">
      <c r="N36" s="144"/>
    </row>
    <row r="39" spans="13:18" x14ac:dyDescent="0.2">
      <c r="N39" s="146"/>
    </row>
    <row r="40" spans="13:18" x14ac:dyDescent="0.2">
      <c r="N40" s="143"/>
    </row>
    <row r="41" spans="13:18" x14ac:dyDescent="0.2">
      <c r="N41" s="144"/>
    </row>
    <row r="48" spans="13:18" x14ac:dyDescent="0.2">
      <c r="N48" s="145"/>
    </row>
    <row r="49" spans="14:14" x14ac:dyDescent="0.2">
      <c r="N49" s="143"/>
    </row>
    <row r="50" spans="14:14" x14ac:dyDescent="0.2">
      <c r="N50" s="144"/>
    </row>
    <row r="55" spans="14:14" x14ac:dyDescent="0.2">
      <c r="N55" s="143"/>
    </row>
    <row r="56" spans="14:14" x14ac:dyDescent="0.2">
      <c r="N56" s="143"/>
    </row>
    <row r="60" spans="14:14" x14ac:dyDescent="0.2">
      <c r="N60" s="143"/>
    </row>
  </sheetData>
  <mergeCells count="3">
    <mergeCell ref="C5:G5"/>
    <mergeCell ref="B5:B6"/>
    <mergeCell ref="B13:I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951D-658F-1647-B79F-1DD4A9971302}">
  <dimension ref="A1:U93"/>
  <sheetViews>
    <sheetView workbookViewId="0"/>
  </sheetViews>
  <sheetFormatPr baseColWidth="10" defaultColWidth="11" defaultRowHeight="16" outlineLevelCol="1" x14ac:dyDescent="0.2"/>
  <cols>
    <col min="1" max="1" width="4.5" customWidth="1"/>
    <col min="3" max="3" width="11" customWidth="1"/>
    <col min="8" max="10" width="11" customWidth="1"/>
    <col min="12" max="12" width="11.1640625" bestFit="1" customWidth="1"/>
    <col min="13" max="13" width="18.33203125" hidden="1" customWidth="1" outlineLevel="1"/>
    <col min="14" max="18" width="10.83203125" hidden="1" customWidth="1" outlineLevel="1"/>
    <col min="19" max="19" width="10.83203125" customWidth="1" collapsed="1"/>
    <col min="20" max="23" width="10.83203125" customWidth="1"/>
  </cols>
  <sheetData>
    <row r="1" spans="1:18" ht="19" x14ac:dyDescent="0.25">
      <c r="A1" s="202" t="s">
        <v>442</v>
      </c>
      <c r="B1" s="201"/>
      <c r="C1" s="200"/>
      <c r="D1" s="200"/>
      <c r="E1" s="200"/>
      <c r="F1" s="199"/>
      <c r="G1" s="199"/>
      <c r="H1" s="199"/>
      <c r="I1" s="199"/>
      <c r="J1" s="198"/>
      <c r="L1" s="197" t="s">
        <v>265</v>
      </c>
    </row>
    <row r="2" spans="1:18" x14ac:dyDescent="0.2">
      <c r="A2" s="159"/>
      <c r="B2" s="157"/>
      <c r="C2" s="157"/>
      <c r="D2" s="157"/>
      <c r="E2" s="157"/>
      <c r="F2" s="157"/>
      <c r="G2" s="157"/>
      <c r="H2" s="157"/>
      <c r="I2" s="157"/>
      <c r="J2" s="156"/>
    </row>
    <row r="3" spans="1:18" x14ac:dyDescent="0.2">
      <c r="A3" s="159"/>
      <c r="B3" s="435" t="s">
        <v>441</v>
      </c>
      <c r="C3" s="435"/>
      <c r="D3" s="435"/>
      <c r="E3" s="435"/>
      <c r="F3" s="435"/>
      <c r="G3" s="435"/>
      <c r="H3" s="435"/>
      <c r="I3" s="435"/>
      <c r="J3" s="156"/>
      <c r="M3" s="180" t="s">
        <v>326</v>
      </c>
      <c r="N3" s="240"/>
    </row>
    <row r="4" spans="1:18" x14ac:dyDescent="0.2">
      <c r="A4" s="159"/>
      <c r="B4" s="435"/>
      <c r="C4" s="435"/>
      <c r="D4" s="435"/>
      <c r="E4" s="435"/>
      <c r="F4" s="435"/>
      <c r="G4" s="435"/>
      <c r="H4" s="435"/>
      <c r="I4" s="435"/>
      <c r="J4" s="156"/>
      <c r="N4" s="240"/>
    </row>
    <row r="5" spans="1:18" x14ac:dyDescent="0.2">
      <c r="A5" s="159"/>
      <c r="B5" s="157"/>
      <c r="C5" s="171"/>
      <c r="D5" s="157"/>
      <c r="E5" s="157"/>
      <c r="F5" s="157"/>
      <c r="G5" s="157"/>
      <c r="H5" s="157"/>
      <c r="I5" s="157"/>
      <c r="J5" s="156"/>
      <c r="M5" s="434" t="s">
        <v>440</v>
      </c>
      <c r="N5" s="434"/>
      <c r="O5" s="434"/>
      <c r="P5" s="434"/>
      <c r="Q5" s="434"/>
      <c r="R5" s="434"/>
    </row>
    <row r="6" spans="1:18" x14ac:dyDescent="0.2">
      <c r="A6" s="159"/>
      <c r="B6" s="268"/>
      <c r="C6" s="428" t="s">
        <v>62</v>
      </c>
      <c r="D6" s="428"/>
      <c r="E6" s="428"/>
      <c r="F6" s="428"/>
      <c r="G6" s="429"/>
      <c r="H6" s="157"/>
      <c r="I6" s="157"/>
      <c r="J6" s="156"/>
      <c r="M6" s="434"/>
      <c r="N6" s="434"/>
      <c r="O6" s="434"/>
      <c r="P6" s="434"/>
      <c r="Q6" s="434"/>
      <c r="R6" s="434"/>
    </row>
    <row r="7" spans="1:18" x14ac:dyDescent="0.2">
      <c r="A7" s="159"/>
      <c r="B7" s="268" t="s">
        <v>35</v>
      </c>
      <c r="C7" s="190" t="s">
        <v>321</v>
      </c>
      <c r="D7" s="190" t="s">
        <v>320</v>
      </c>
      <c r="E7" s="190" t="s">
        <v>319</v>
      </c>
      <c r="F7" s="190" t="s">
        <v>378</v>
      </c>
      <c r="G7" s="189" t="s">
        <v>397</v>
      </c>
      <c r="H7" s="157"/>
      <c r="I7" s="157"/>
      <c r="J7" s="156"/>
      <c r="N7" s="240"/>
    </row>
    <row r="8" spans="1:18" x14ac:dyDescent="0.2">
      <c r="A8" s="159"/>
      <c r="B8" s="183">
        <v>2012</v>
      </c>
      <c r="C8" s="171">
        <v>259</v>
      </c>
      <c r="D8" s="171">
        <v>53</v>
      </c>
      <c r="E8" s="242">
        <v>-61</v>
      </c>
      <c r="F8" s="242">
        <v>-60</v>
      </c>
      <c r="G8" s="245">
        <v>0</v>
      </c>
      <c r="H8" s="157"/>
      <c r="I8" s="157"/>
      <c r="J8" s="156"/>
      <c r="M8" s="215" t="s">
        <v>421</v>
      </c>
      <c r="N8" s="195"/>
    </row>
    <row r="9" spans="1:18" x14ac:dyDescent="0.2">
      <c r="A9" s="159"/>
      <c r="B9" s="183">
        <v>2013</v>
      </c>
      <c r="C9" s="171">
        <v>-23</v>
      </c>
      <c r="D9" s="171">
        <v>-73</v>
      </c>
      <c r="E9" s="171">
        <v>125</v>
      </c>
      <c r="F9" s="242">
        <v>64</v>
      </c>
      <c r="G9" s="228"/>
      <c r="H9" s="157"/>
      <c r="I9" s="157"/>
      <c r="J9" s="156"/>
      <c r="N9" s="259"/>
    </row>
    <row r="10" spans="1:18" x14ac:dyDescent="0.2">
      <c r="A10" s="159"/>
      <c r="B10" s="183">
        <v>2014</v>
      </c>
      <c r="C10" s="171">
        <v>-317</v>
      </c>
      <c r="D10" s="171">
        <v>-83</v>
      </c>
      <c r="E10" s="171">
        <v>-63</v>
      </c>
      <c r="F10" s="171"/>
      <c r="G10" s="228"/>
      <c r="H10" s="157"/>
      <c r="I10" s="157"/>
      <c r="J10" s="156"/>
      <c r="M10" s="149" t="s">
        <v>418</v>
      </c>
      <c r="N10" s="147">
        <f>D32/D24</f>
        <v>0.6300326029266814</v>
      </c>
      <c r="O10" t="s">
        <v>439</v>
      </c>
    </row>
    <row r="11" spans="1:18" x14ac:dyDescent="0.2">
      <c r="A11" s="159"/>
      <c r="B11" s="183">
        <v>2015</v>
      </c>
      <c r="C11" s="171">
        <v>75</v>
      </c>
      <c r="D11" s="171">
        <v>120</v>
      </c>
      <c r="E11" s="171"/>
      <c r="F11" s="171"/>
      <c r="G11" s="228"/>
      <c r="H11" s="157"/>
      <c r="I11" s="157"/>
      <c r="J11" s="156"/>
      <c r="M11" s="149" t="s">
        <v>416</v>
      </c>
      <c r="N11" s="147">
        <f>D32/D30</f>
        <v>1.5145356784835504</v>
      </c>
      <c r="O11" t="s">
        <v>438</v>
      </c>
    </row>
    <row r="12" spans="1:18" x14ac:dyDescent="0.2">
      <c r="A12" s="159"/>
      <c r="B12" s="179">
        <v>2016</v>
      </c>
      <c r="C12" s="186">
        <v>0</v>
      </c>
      <c r="D12" s="186"/>
      <c r="E12" s="186"/>
      <c r="F12" s="186"/>
      <c r="G12" s="185"/>
      <c r="H12" s="157"/>
      <c r="I12" s="157"/>
      <c r="J12" s="156"/>
      <c r="N12" s="195"/>
    </row>
    <row r="13" spans="1:18" x14ac:dyDescent="0.2">
      <c r="A13" s="159"/>
      <c r="B13" s="157"/>
      <c r="C13" s="171"/>
      <c r="D13" s="157"/>
      <c r="E13" s="157"/>
      <c r="F13" s="157"/>
      <c r="G13" s="157"/>
      <c r="H13" s="157"/>
      <c r="I13" s="157"/>
      <c r="J13" s="156"/>
      <c r="M13" s="215" t="s">
        <v>413</v>
      </c>
      <c r="N13" s="195"/>
    </row>
    <row r="14" spans="1:18" x14ac:dyDescent="0.2">
      <c r="A14" s="159"/>
      <c r="B14" s="268"/>
      <c r="C14" s="428" t="s">
        <v>437</v>
      </c>
      <c r="D14" s="428"/>
      <c r="E14" s="428"/>
      <c r="F14" s="428"/>
      <c r="G14" s="429"/>
      <c r="H14" s="157"/>
      <c r="I14" s="157"/>
      <c r="J14" s="156"/>
      <c r="N14" s="195"/>
    </row>
    <row r="15" spans="1:18" ht="17" thickBot="1" x14ac:dyDescent="0.25">
      <c r="A15" s="159"/>
      <c r="B15" s="268" t="s">
        <v>35</v>
      </c>
      <c r="C15" s="190" t="s">
        <v>321</v>
      </c>
      <c r="D15" s="190" t="s">
        <v>320</v>
      </c>
      <c r="E15" s="190" t="s">
        <v>319</v>
      </c>
      <c r="F15" s="190" t="s">
        <v>378</v>
      </c>
      <c r="G15" s="189" t="s">
        <v>397</v>
      </c>
      <c r="H15" s="157"/>
      <c r="I15" s="157"/>
      <c r="J15" s="156"/>
      <c r="M15" t="s">
        <v>412</v>
      </c>
      <c r="N15" s="195"/>
    </row>
    <row r="16" spans="1:18" ht="17" thickBot="1" x14ac:dyDescent="0.25">
      <c r="A16" s="159"/>
      <c r="B16" s="183">
        <v>2012</v>
      </c>
      <c r="C16" s="171">
        <v>345</v>
      </c>
      <c r="D16" s="171">
        <v>70</v>
      </c>
      <c r="E16" s="242">
        <v>-109</v>
      </c>
      <c r="F16" s="242">
        <v>-90</v>
      </c>
      <c r="G16" s="245">
        <v>0</v>
      </c>
      <c r="H16" s="157"/>
      <c r="I16" s="157"/>
      <c r="J16" s="156"/>
      <c r="M16" s="152" t="s">
        <v>410</v>
      </c>
      <c r="N16" s="264">
        <f>N11*E16</f>
        <v>-165.08438895470701</v>
      </c>
    </row>
    <row r="17" spans="1:21" x14ac:dyDescent="0.2">
      <c r="A17" s="159"/>
      <c r="B17" s="183">
        <v>2013</v>
      </c>
      <c r="C17" s="171">
        <v>-70</v>
      </c>
      <c r="D17" s="171">
        <v>-110</v>
      </c>
      <c r="E17" s="171">
        <v>166</v>
      </c>
      <c r="F17" s="242">
        <v>85</v>
      </c>
      <c r="G17" s="228"/>
      <c r="H17" s="157"/>
      <c r="I17" s="157"/>
      <c r="J17" s="156"/>
      <c r="N17" s="195"/>
    </row>
    <row r="18" spans="1:21" x14ac:dyDescent="0.2">
      <c r="A18" s="159"/>
      <c r="B18" s="183">
        <v>2014</v>
      </c>
      <c r="C18" s="171">
        <v>-380</v>
      </c>
      <c r="D18" s="171">
        <v>-100</v>
      </c>
      <c r="E18" s="171">
        <v>-64</v>
      </c>
      <c r="F18" s="171"/>
      <c r="G18" s="228"/>
      <c r="H18" s="157"/>
      <c r="I18" s="157"/>
      <c r="J18" s="156"/>
      <c r="M18" s="180" t="s">
        <v>316</v>
      </c>
      <c r="N18" s="195"/>
    </row>
    <row r="19" spans="1:21" x14ac:dyDescent="0.2">
      <c r="A19" s="159"/>
      <c r="B19" s="183">
        <v>2015</v>
      </c>
      <c r="C19" s="171">
        <v>100</v>
      </c>
      <c r="D19" s="171">
        <v>150</v>
      </c>
      <c r="E19" s="171"/>
      <c r="F19" s="171"/>
      <c r="G19" s="228"/>
      <c r="H19" s="157"/>
      <c r="I19" s="157"/>
      <c r="J19" s="156"/>
      <c r="N19" s="195"/>
    </row>
    <row r="20" spans="1:21" x14ac:dyDescent="0.2">
      <c r="A20" s="159"/>
      <c r="B20" s="179">
        <v>2016</v>
      </c>
      <c r="C20" s="186">
        <v>0</v>
      </c>
      <c r="D20" s="186"/>
      <c r="E20" s="186"/>
      <c r="F20" s="186"/>
      <c r="G20" s="185"/>
      <c r="H20" s="157"/>
      <c r="I20" s="157"/>
      <c r="J20" s="156"/>
      <c r="M20" t="s">
        <v>436</v>
      </c>
      <c r="N20" s="267">
        <v>15</v>
      </c>
      <c r="O20" t="s">
        <v>435</v>
      </c>
    </row>
    <row r="21" spans="1:21" x14ac:dyDescent="0.2">
      <c r="A21" s="159"/>
      <c r="B21" s="157"/>
      <c r="C21" s="171"/>
      <c r="D21" s="157"/>
      <c r="E21" s="157"/>
      <c r="F21" s="157"/>
      <c r="G21" s="157"/>
      <c r="H21" s="157"/>
      <c r="I21" s="157"/>
      <c r="J21" s="156"/>
      <c r="M21" t="s">
        <v>434</v>
      </c>
      <c r="N21" s="267">
        <f>5+4+1</f>
        <v>10</v>
      </c>
      <c r="O21" t="s">
        <v>433</v>
      </c>
    </row>
    <row r="22" spans="1:21" s="250" customFormat="1" x14ac:dyDescent="0.2">
      <c r="A22" s="159"/>
      <c r="B22" s="442" t="s">
        <v>432</v>
      </c>
      <c r="C22" s="436"/>
      <c r="D22" s="442" t="s">
        <v>431</v>
      </c>
      <c r="E22" s="436"/>
      <c r="F22" s="157"/>
      <c r="G22" s="157"/>
      <c r="H22" s="157"/>
      <c r="I22" s="157"/>
      <c r="J22" s="156"/>
      <c r="M22"/>
      <c r="N22" s="195"/>
      <c r="O22"/>
      <c r="P22"/>
      <c r="Q22"/>
      <c r="R22"/>
      <c r="S22"/>
      <c r="T22"/>
      <c r="U22"/>
    </row>
    <row r="23" spans="1:21" ht="16" customHeight="1" x14ac:dyDescent="0.2">
      <c r="A23" s="256"/>
      <c r="B23" s="444"/>
      <c r="C23" s="438"/>
      <c r="D23" s="444"/>
      <c r="E23" s="438"/>
      <c r="F23" s="255"/>
      <c r="G23" s="255"/>
      <c r="H23" s="255"/>
      <c r="I23" s="255"/>
      <c r="J23" s="254"/>
      <c r="M23" t="s">
        <v>430</v>
      </c>
      <c r="N23" s="265">
        <f>(SUMPRODUCT(C8:G8,C8:G8)+SUMPRODUCT(C9:F9,C9:F9)+SUMPRODUCT(C10:E10,C10:E10)+SUMPRODUCT(C11:D11,C11:D11)+C12^2)/(N20-N21)</f>
        <v>46832.4</v>
      </c>
      <c r="O23" t="s">
        <v>429</v>
      </c>
    </row>
    <row r="24" spans="1:21" x14ac:dyDescent="0.2">
      <c r="A24" s="159"/>
      <c r="B24" s="451">
        <v>12</v>
      </c>
      <c r="C24" s="450"/>
      <c r="D24" s="449">
        <v>263.77999999999997</v>
      </c>
      <c r="E24" s="450"/>
      <c r="F24" s="157"/>
      <c r="G24" s="157"/>
      <c r="H24" s="157"/>
      <c r="I24" s="157"/>
      <c r="J24" s="156"/>
      <c r="M24" s="250"/>
      <c r="N24" s="251"/>
      <c r="O24" s="250"/>
      <c r="P24" s="250"/>
      <c r="Q24" s="250"/>
      <c r="R24" s="250"/>
      <c r="S24" s="250"/>
      <c r="T24" s="250"/>
      <c r="U24" s="250"/>
    </row>
    <row r="25" spans="1:21" x14ac:dyDescent="0.2">
      <c r="A25" s="159"/>
      <c r="B25" s="451">
        <v>24</v>
      </c>
      <c r="C25" s="450"/>
      <c r="D25" s="449">
        <v>128.41999999999999</v>
      </c>
      <c r="E25" s="450"/>
      <c r="F25" s="157"/>
      <c r="G25" s="157"/>
      <c r="H25" s="157"/>
      <c r="I25" s="157"/>
      <c r="J25" s="156"/>
      <c r="M25" s="215" t="s">
        <v>428</v>
      </c>
    </row>
    <row r="26" spans="1:21" x14ac:dyDescent="0.2">
      <c r="A26" s="159"/>
      <c r="B26" s="451">
        <v>36</v>
      </c>
      <c r="C26" s="450"/>
      <c r="D26" s="449">
        <v>147.51</v>
      </c>
      <c r="E26" s="450"/>
      <c r="F26" s="157"/>
      <c r="G26" s="157"/>
      <c r="H26" s="157"/>
      <c r="I26" s="157"/>
      <c r="J26" s="156"/>
    </row>
    <row r="27" spans="1:21" x14ac:dyDescent="0.2">
      <c r="A27" s="159"/>
      <c r="B27" s="451">
        <v>48</v>
      </c>
      <c r="C27" s="450"/>
      <c r="D27" s="449">
        <v>123.74</v>
      </c>
      <c r="E27" s="450"/>
      <c r="F27" s="157"/>
      <c r="G27" s="157"/>
      <c r="H27" s="157"/>
      <c r="I27" s="157"/>
      <c r="J27" s="156"/>
      <c r="M27" t="s">
        <v>427</v>
      </c>
      <c r="N27" s="265">
        <f>(N20/(N20-N21))*(SUMPRODUCT(C8:C12,C8:C12))/5</f>
        <v>104234.4</v>
      </c>
      <c r="O27" t="s">
        <v>426</v>
      </c>
    </row>
    <row r="28" spans="1:21" x14ac:dyDescent="0.2">
      <c r="A28" s="159"/>
      <c r="B28" s="452" t="s">
        <v>177</v>
      </c>
      <c r="C28" s="450"/>
      <c r="D28" s="449">
        <v>202.43</v>
      </c>
      <c r="E28" s="450"/>
      <c r="F28" s="157"/>
      <c r="G28" s="157"/>
      <c r="H28" s="157"/>
      <c r="I28" s="157"/>
      <c r="J28" s="156"/>
      <c r="M28" t="s">
        <v>425</v>
      </c>
      <c r="N28" s="265">
        <f>(N20/(N20-N21))*(SUMPRODUCT(D8:D11,D8:D11)+SUMPRODUCT(E8:E10,E8:E10)+SUMPRODUCT(F8:F9,F8:F9)+G8^2)/10</f>
        <v>18131.400000000001</v>
      </c>
      <c r="O28" t="s">
        <v>424</v>
      </c>
    </row>
    <row r="29" spans="1:21" x14ac:dyDescent="0.2">
      <c r="A29" s="159"/>
      <c r="B29" s="452" t="s">
        <v>423</v>
      </c>
      <c r="C29" s="450"/>
      <c r="D29" s="449">
        <v>183.74</v>
      </c>
      <c r="E29" s="450"/>
      <c r="F29" s="157"/>
      <c r="G29" s="157"/>
      <c r="H29" s="157"/>
      <c r="I29" s="157"/>
      <c r="J29" s="156"/>
      <c r="N29" s="195"/>
    </row>
    <row r="30" spans="1:21" x14ac:dyDescent="0.2">
      <c r="A30" s="159"/>
      <c r="B30" s="452" t="s">
        <v>422</v>
      </c>
      <c r="C30" s="450"/>
      <c r="D30" s="449">
        <v>109.73</v>
      </c>
      <c r="E30" s="450"/>
      <c r="F30" s="157"/>
      <c r="G30" s="157"/>
      <c r="H30" s="157"/>
      <c r="I30" s="157"/>
      <c r="J30" s="156"/>
      <c r="M30" s="215" t="s">
        <v>421</v>
      </c>
      <c r="N30" s="195"/>
    </row>
    <row r="31" spans="1:21" x14ac:dyDescent="0.2">
      <c r="A31" s="159"/>
      <c r="B31" s="452" t="s">
        <v>420</v>
      </c>
      <c r="C31" s="450"/>
      <c r="D31" s="449">
        <v>108.47</v>
      </c>
      <c r="E31" s="450"/>
      <c r="F31" s="157"/>
      <c r="G31" s="157"/>
      <c r="H31" s="157"/>
      <c r="I31" s="157"/>
      <c r="J31" s="156"/>
      <c r="N31" s="259"/>
    </row>
    <row r="32" spans="1:21" x14ac:dyDescent="0.2">
      <c r="A32" s="159"/>
      <c r="B32" s="453" t="s">
        <v>419</v>
      </c>
      <c r="C32" s="454"/>
      <c r="D32" s="455">
        <v>166.19</v>
      </c>
      <c r="E32" s="454"/>
      <c r="F32" s="157"/>
      <c r="G32" s="157"/>
      <c r="H32" s="157"/>
      <c r="I32" s="157"/>
      <c r="J32" s="156"/>
      <c r="M32" t="s">
        <v>418</v>
      </c>
      <c r="N32" s="145">
        <f>SQRT(N23)/SQRT(N27)</f>
        <v>0.67029761143177113</v>
      </c>
      <c r="O32" t="s">
        <v>417</v>
      </c>
    </row>
    <row r="33" spans="1:18" x14ac:dyDescent="0.2">
      <c r="A33" s="159"/>
      <c r="B33" s="157"/>
      <c r="C33" s="171"/>
      <c r="D33" s="157"/>
      <c r="E33" s="157"/>
      <c r="F33" s="157"/>
      <c r="G33" s="157"/>
      <c r="H33" s="157"/>
      <c r="I33" s="157"/>
      <c r="J33" s="156"/>
      <c r="M33" t="s">
        <v>416</v>
      </c>
      <c r="N33" s="145">
        <f>SQRT(N23)/SQRT(N28)</f>
        <v>1.6071541634556026</v>
      </c>
      <c r="O33" t="s">
        <v>415</v>
      </c>
    </row>
    <row r="34" spans="1:18" x14ac:dyDescent="0.2">
      <c r="A34" s="159"/>
      <c r="B34" s="206" t="s">
        <v>0</v>
      </c>
      <c r="C34" s="157"/>
      <c r="D34" s="157"/>
      <c r="E34" s="157"/>
      <c r="F34" s="157"/>
      <c r="G34" s="157"/>
      <c r="H34" s="157"/>
      <c r="I34" s="157"/>
      <c r="J34" s="156"/>
      <c r="N34" s="195"/>
    </row>
    <row r="35" spans="1:18" x14ac:dyDescent="0.2">
      <c r="A35" s="159"/>
      <c r="B35" s="206" t="s">
        <v>414</v>
      </c>
      <c r="C35" s="206"/>
      <c r="D35" s="157"/>
      <c r="E35" s="157"/>
      <c r="F35" s="157"/>
      <c r="G35" s="157"/>
      <c r="H35" s="157"/>
      <c r="I35" s="157"/>
      <c r="J35" s="156"/>
      <c r="M35" s="215" t="s">
        <v>413</v>
      </c>
      <c r="N35" s="195"/>
    </row>
    <row r="36" spans="1:18" x14ac:dyDescent="0.2">
      <c r="A36" s="159"/>
      <c r="B36" s="171"/>
      <c r="C36" s="206"/>
      <c r="D36" s="157"/>
      <c r="E36" s="157"/>
      <c r="F36" s="157"/>
      <c r="G36" s="157"/>
      <c r="H36" s="157"/>
      <c r="I36" s="157"/>
      <c r="J36" s="156"/>
      <c r="N36" s="195"/>
    </row>
    <row r="37" spans="1:18" ht="17" thickBot="1" x14ac:dyDescent="0.25">
      <c r="A37" s="159"/>
      <c r="B37" s="206" t="s">
        <v>1</v>
      </c>
      <c r="C37" s="157"/>
      <c r="D37" s="157"/>
      <c r="E37" s="157"/>
      <c r="F37" s="157"/>
      <c r="G37" s="157"/>
      <c r="H37" s="157"/>
      <c r="I37" s="157"/>
      <c r="J37" s="156"/>
      <c r="M37" t="s">
        <v>412</v>
      </c>
      <c r="N37" s="195"/>
    </row>
    <row r="38" spans="1:18" ht="17" thickBot="1" x14ac:dyDescent="0.25">
      <c r="A38" s="159"/>
      <c r="B38" s="206" t="s">
        <v>411</v>
      </c>
      <c r="C38" s="206"/>
      <c r="D38" s="157"/>
      <c r="E38" s="157"/>
      <c r="F38" s="157"/>
      <c r="G38" s="157"/>
      <c r="H38" s="157"/>
      <c r="I38" s="157"/>
      <c r="J38" s="156"/>
      <c r="M38" s="152" t="s">
        <v>410</v>
      </c>
      <c r="N38" s="264">
        <f>N33*E16</f>
        <v>-175.17980381666069</v>
      </c>
    </row>
    <row r="39" spans="1:18" x14ac:dyDescent="0.2">
      <c r="A39" s="159"/>
      <c r="B39" s="171"/>
      <c r="C39" s="206"/>
      <c r="D39" s="157"/>
      <c r="E39" s="157"/>
      <c r="F39" s="157"/>
      <c r="G39" s="157"/>
      <c r="H39" s="157"/>
      <c r="I39" s="157"/>
      <c r="J39" s="156"/>
      <c r="N39" s="195"/>
    </row>
    <row r="40" spans="1:18" x14ac:dyDescent="0.2">
      <c r="A40" s="159"/>
      <c r="B40" s="206" t="s">
        <v>2</v>
      </c>
      <c r="C40" s="206"/>
      <c r="D40" s="157"/>
      <c r="E40" s="157"/>
      <c r="F40" s="157"/>
      <c r="G40" s="157"/>
      <c r="H40" s="157"/>
      <c r="I40" s="157"/>
      <c r="J40" s="156"/>
      <c r="M40" s="448" t="s">
        <v>409</v>
      </c>
      <c r="N40" s="448"/>
      <c r="O40" s="448"/>
      <c r="P40" s="448"/>
      <c r="Q40" s="448"/>
      <c r="R40" s="448"/>
    </row>
    <row r="41" spans="1:18" x14ac:dyDescent="0.2">
      <c r="A41" s="159"/>
      <c r="B41" s="435" t="s">
        <v>408</v>
      </c>
      <c r="C41" s="435"/>
      <c r="D41" s="435"/>
      <c r="E41" s="435"/>
      <c r="F41" s="435"/>
      <c r="G41" s="435"/>
      <c r="H41" s="435"/>
      <c r="I41" s="435"/>
      <c r="J41" s="156"/>
      <c r="M41" s="448"/>
      <c r="N41" s="448"/>
      <c r="O41" s="448"/>
      <c r="P41" s="448"/>
      <c r="Q41" s="448"/>
      <c r="R41" s="448"/>
    </row>
    <row r="42" spans="1:18" x14ac:dyDescent="0.2">
      <c r="A42" s="159"/>
      <c r="B42" s="435"/>
      <c r="C42" s="435"/>
      <c r="D42" s="435"/>
      <c r="E42" s="435"/>
      <c r="F42" s="435"/>
      <c r="G42" s="435"/>
      <c r="H42" s="435"/>
      <c r="I42" s="435"/>
      <c r="J42" s="156"/>
      <c r="M42" s="448"/>
      <c r="N42" s="448"/>
      <c r="O42" s="448"/>
      <c r="P42" s="448"/>
      <c r="Q42" s="448"/>
      <c r="R42" s="448"/>
    </row>
    <row r="43" spans="1:18" x14ac:dyDescent="0.2">
      <c r="A43" s="159"/>
      <c r="B43" s="435"/>
      <c r="C43" s="435"/>
      <c r="D43" s="435"/>
      <c r="E43" s="435"/>
      <c r="F43" s="435"/>
      <c r="G43" s="435"/>
      <c r="H43" s="435"/>
      <c r="I43" s="435"/>
      <c r="J43" s="156"/>
      <c r="N43" s="195"/>
    </row>
    <row r="44" spans="1:18" x14ac:dyDescent="0.2">
      <c r="A44" s="159"/>
      <c r="B44" s="171"/>
      <c r="C44" s="206"/>
      <c r="D44" s="157"/>
      <c r="E44" s="157"/>
      <c r="F44" s="157"/>
      <c r="G44" s="157"/>
      <c r="H44" s="157"/>
      <c r="I44" s="157"/>
      <c r="J44" s="156"/>
      <c r="M44" s="180" t="s">
        <v>373</v>
      </c>
      <c r="N44" s="195"/>
    </row>
    <row r="45" spans="1:18" ht="15.75" customHeight="1" x14ac:dyDescent="0.2">
      <c r="A45" s="159"/>
      <c r="B45" s="206" t="s">
        <v>91</v>
      </c>
      <c r="C45" s="206"/>
      <c r="D45" s="157"/>
      <c r="E45" s="157"/>
      <c r="F45" s="157"/>
      <c r="G45" s="157"/>
      <c r="H45" s="157"/>
      <c r="I45" s="157"/>
      <c r="J45" s="156"/>
      <c r="N45" s="195"/>
    </row>
    <row r="46" spans="1:18" x14ac:dyDescent="0.2">
      <c r="A46" s="159"/>
      <c r="B46" s="435" t="s">
        <v>407</v>
      </c>
      <c r="C46" s="435"/>
      <c r="D46" s="435"/>
      <c r="E46" s="435"/>
      <c r="F46" s="435"/>
      <c r="G46" s="435"/>
      <c r="H46" s="435"/>
      <c r="I46" s="435"/>
      <c r="J46" s="156"/>
      <c r="M46" s="434" t="s">
        <v>406</v>
      </c>
      <c r="N46" s="434"/>
      <c r="O46" s="434"/>
      <c r="P46" s="434"/>
      <c r="Q46" s="434"/>
      <c r="R46" s="434"/>
    </row>
    <row r="47" spans="1:18" x14ac:dyDescent="0.2">
      <c r="A47" s="159"/>
      <c r="B47" s="435"/>
      <c r="C47" s="435"/>
      <c r="D47" s="435"/>
      <c r="E47" s="435"/>
      <c r="F47" s="435"/>
      <c r="G47" s="435"/>
      <c r="H47" s="435"/>
      <c r="I47" s="435"/>
      <c r="J47" s="156"/>
      <c r="M47" s="434"/>
      <c r="N47" s="434"/>
      <c r="O47" s="434"/>
      <c r="P47" s="434"/>
      <c r="Q47" s="434"/>
      <c r="R47" s="434"/>
    </row>
    <row r="48" spans="1:18" x14ac:dyDescent="0.2">
      <c r="A48" s="159"/>
      <c r="B48" s="435"/>
      <c r="C48" s="435"/>
      <c r="D48" s="435"/>
      <c r="E48" s="435"/>
      <c r="F48" s="435"/>
      <c r="G48" s="435"/>
      <c r="H48" s="435"/>
      <c r="I48" s="435"/>
      <c r="J48" s="156"/>
      <c r="M48" s="434"/>
      <c r="N48" s="434"/>
      <c r="O48" s="434"/>
      <c r="P48" s="434"/>
      <c r="Q48" s="434"/>
      <c r="R48" s="434"/>
    </row>
    <row r="49" spans="1:18" ht="17" thickBot="1" x14ac:dyDescent="0.25">
      <c r="A49" s="159"/>
      <c r="B49" s="255"/>
      <c r="C49" s="255"/>
      <c r="D49" s="255"/>
      <c r="E49" s="255"/>
      <c r="F49" s="255"/>
      <c r="G49" s="255"/>
      <c r="H49" s="255"/>
      <c r="I49" s="255"/>
      <c r="J49" s="156"/>
      <c r="N49" s="195"/>
    </row>
    <row r="50" spans="1:18" ht="17" thickBot="1" x14ac:dyDescent="0.25">
      <c r="A50" s="155" t="s">
        <v>266</v>
      </c>
      <c r="B50" s="204"/>
      <c r="C50" s="154"/>
      <c r="D50" s="154"/>
      <c r="E50" s="154"/>
      <c r="F50" s="154"/>
      <c r="G50" s="154"/>
      <c r="H50" s="154"/>
      <c r="I50" s="154"/>
      <c r="J50" s="153"/>
      <c r="M50" s="152" t="s">
        <v>404</v>
      </c>
      <c r="N50" s="263">
        <f>N16/N10*SQRT(175000)+175000</f>
        <v>65387.014416712525</v>
      </c>
      <c r="O50" t="s">
        <v>403</v>
      </c>
      <c r="R50" s="148"/>
    </row>
    <row r="51" spans="1:18" x14ac:dyDescent="0.2">
      <c r="N51" s="259"/>
      <c r="P51" s="148"/>
      <c r="Q51" s="148"/>
    </row>
    <row r="52" spans="1:18" x14ac:dyDescent="0.2">
      <c r="M52" s="180" t="s">
        <v>405</v>
      </c>
      <c r="N52" s="195"/>
      <c r="P52" s="148"/>
      <c r="Q52" s="148"/>
    </row>
    <row r="53" spans="1:18" ht="17" thickBot="1" x14ac:dyDescent="0.25">
      <c r="N53" s="195"/>
    </row>
    <row r="54" spans="1:18" ht="17" thickBot="1" x14ac:dyDescent="0.25">
      <c r="M54" s="152" t="s">
        <v>404</v>
      </c>
      <c r="N54" s="263">
        <f>N38/N32*SQRT(175000)+175000</f>
        <v>65670.996875243771</v>
      </c>
      <c r="O54" t="s">
        <v>403</v>
      </c>
    </row>
    <row r="55" spans="1:18" x14ac:dyDescent="0.2">
      <c r="N55" s="195"/>
    </row>
    <row r="56" spans="1:18" x14ac:dyDescent="0.2">
      <c r="N56" s="195"/>
    </row>
    <row r="57" spans="1:18" x14ac:dyDescent="0.2">
      <c r="N57" s="195"/>
    </row>
    <row r="58" spans="1:18" ht="19" x14ac:dyDescent="0.25">
      <c r="M58" s="150" t="s">
        <v>303</v>
      </c>
    </row>
    <row r="59" spans="1:18" x14ac:dyDescent="0.2">
      <c r="M59" t="s">
        <v>402</v>
      </c>
    </row>
    <row r="60" spans="1:18" x14ac:dyDescent="0.2">
      <c r="M60" t="s">
        <v>401</v>
      </c>
      <c r="N60" s="143"/>
    </row>
    <row r="61" spans="1:18" x14ac:dyDescent="0.2">
      <c r="M61" s="149"/>
      <c r="N61" s="144"/>
    </row>
    <row r="62" spans="1:18" x14ac:dyDescent="0.2">
      <c r="N62" s="144"/>
    </row>
    <row r="63" spans="1:18" x14ac:dyDescent="0.2">
      <c r="N63" s="144"/>
      <c r="R63" s="148"/>
    </row>
    <row r="64" spans="1:18" x14ac:dyDescent="0.2">
      <c r="R64" s="147"/>
    </row>
    <row r="65" spans="13:18" x14ac:dyDescent="0.2">
      <c r="P65" s="148"/>
      <c r="Q65" s="148"/>
      <c r="R65" s="147"/>
    </row>
    <row r="66" spans="13:18" x14ac:dyDescent="0.2">
      <c r="M66" s="148"/>
      <c r="N66" s="147"/>
      <c r="O66" s="147"/>
      <c r="P66" s="147"/>
      <c r="Q66" s="147"/>
      <c r="R66" s="147"/>
    </row>
    <row r="67" spans="13:18" x14ac:dyDescent="0.2">
      <c r="M67" s="149"/>
      <c r="N67" s="147"/>
      <c r="O67" s="147"/>
      <c r="P67" s="147"/>
      <c r="Q67" s="147"/>
      <c r="R67" s="147"/>
    </row>
    <row r="68" spans="13:18" x14ac:dyDescent="0.2">
      <c r="M68" s="149"/>
      <c r="N68" s="147"/>
      <c r="O68" s="147"/>
      <c r="P68" s="147"/>
      <c r="Q68" s="147"/>
      <c r="R68" s="147"/>
    </row>
    <row r="69" spans="13:18" x14ac:dyDescent="0.2">
      <c r="N69" s="144"/>
    </row>
    <row r="72" spans="13:18" x14ac:dyDescent="0.2">
      <c r="N72" s="146"/>
    </row>
    <row r="73" spans="13:18" x14ac:dyDescent="0.2">
      <c r="N73" s="143"/>
    </row>
    <row r="74" spans="13:18" x14ac:dyDescent="0.2">
      <c r="N74" s="144"/>
    </row>
    <row r="81" spans="14:14" x14ac:dyDescent="0.2">
      <c r="N81" s="145"/>
    </row>
    <row r="82" spans="14:14" x14ac:dyDescent="0.2">
      <c r="N82" s="143"/>
    </row>
    <row r="83" spans="14:14" x14ac:dyDescent="0.2">
      <c r="N83" s="144"/>
    </row>
    <row r="88" spans="14:14" x14ac:dyDescent="0.2">
      <c r="N88" s="143"/>
    </row>
    <row r="89" spans="14:14" x14ac:dyDescent="0.2">
      <c r="N89" s="143"/>
    </row>
    <row r="93" spans="14:14" x14ac:dyDescent="0.2">
      <c r="N93" s="143"/>
    </row>
  </sheetData>
  <mergeCells count="28">
    <mergeCell ref="B3:I4"/>
    <mergeCell ref="B41:I43"/>
    <mergeCell ref="B46:I48"/>
    <mergeCell ref="B31:C31"/>
    <mergeCell ref="B25:C25"/>
    <mergeCell ref="D25:E25"/>
    <mergeCell ref="D24:E24"/>
    <mergeCell ref="B32:C32"/>
    <mergeCell ref="D32:E32"/>
    <mergeCell ref="D31:E31"/>
    <mergeCell ref="D30:E30"/>
    <mergeCell ref="D29:E29"/>
    <mergeCell ref="D28:E28"/>
    <mergeCell ref="M5:R6"/>
    <mergeCell ref="M40:R42"/>
    <mergeCell ref="M46:R48"/>
    <mergeCell ref="D27:E27"/>
    <mergeCell ref="D26:E26"/>
    <mergeCell ref="C6:G6"/>
    <mergeCell ref="C14:G14"/>
    <mergeCell ref="B24:C24"/>
    <mergeCell ref="B26:C26"/>
    <mergeCell ref="B27:C27"/>
    <mergeCell ref="B28:C28"/>
    <mergeCell ref="B29:C29"/>
    <mergeCell ref="B30:C30"/>
    <mergeCell ref="D22:E23"/>
    <mergeCell ref="B22:C2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5E41-73D5-7948-954E-9470B0584CE5}">
  <dimension ref="A1:S76"/>
  <sheetViews>
    <sheetView workbookViewId="0"/>
  </sheetViews>
  <sheetFormatPr baseColWidth="10" defaultColWidth="11" defaultRowHeight="16" outlineLevelCol="1" x14ac:dyDescent="0.2"/>
  <cols>
    <col min="1" max="1" width="4.5" customWidth="1"/>
    <col min="3" max="3" width="11" customWidth="1"/>
    <col min="8" max="10" width="11" customWidth="1"/>
    <col min="12" max="12" width="11.1640625" bestFit="1" customWidth="1"/>
    <col min="13" max="13" width="13.83203125" hidden="1" customWidth="1" outlineLevel="1"/>
    <col min="14" max="18" width="10.83203125" hidden="1" customWidth="1" outlineLevel="1"/>
    <col min="19" max="19" width="10.83203125" customWidth="1" collapsed="1"/>
    <col min="20" max="23" width="10.83203125" customWidth="1"/>
  </cols>
  <sheetData>
    <row r="1" spans="1:18" ht="19" x14ac:dyDescent="0.25">
      <c r="A1" s="202" t="s">
        <v>455</v>
      </c>
      <c r="B1" s="201"/>
      <c r="C1" s="200"/>
      <c r="D1" s="200"/>
      <c r="E1" s="200"/>
      <c r="F1" s="199"/>
      <c r="G1" s="199"/>
      <c r="H1" s="199"/>
      <c r="I1" s="199"/>
      <c r="J1" s="198"/>
      <c r="L1" s="197" t="s">
        <v>265</v>
      </c>
    </row>
    <row r="2" spans="1:18" x14ac:dyDescent="0.2">
      <c r="A2" s="159"/>
      <c r="B2" s="157"/>
      <c r="C2" s="157"/>
      <c r="D2" s="157"/>
      <c r="E2" s="157"/>
      <c r="F2" s="157"/>
      <c r="G2" s="157"/>
      <c r="H2" s="157"/>
      <c r="I2" s="157"/>
      <c r="J2" s="156"/>
    </row>
    <row r="3" spans="1:18" x14ac:dyDescent="0.2">
      <c r="A3" s="159"/>
      <c r="B3" s="157" t="s">
        <v>454</v>
      </c>
      <c r="C3" s="171"/>
      <c r="D3" s="157"/>
      <c r="E3" s="157"/>
      <c r="F3" s="157"/>
      <c r="G3" s="157"/>
      <c r="H3" s="157"/>
      <c r="I3" s="157"/>
      <c r="J3" s="156"/>
      <c r="M3" s="180" t="s">
        <v>326</v>
      </c>
      <c r="N3" s="240"/>
    </row>
    <row r="4" spans="1:18" x14ac:dyDescent="0.2">
      <c r="A4" s="159"/>
      <c r="B4" s="157"/>
      <c r="C4" s="171"/>
      <c r="D4" s="157"/>
      <c r="E4" s="157"/>
      <c r="F4" s="157"/>
      <c r="G4" s="157"/>
      <c r="H4" s="157"/>
      <c r="I4" s="157"/>
      <c r="J4" s="156"/>
      <c r="N4" s="240"/>
    </row>
    <row r="5" spans="1:18" x14ac:dyDescent="0.2">
      <c r="A5" s="159"/>
      <c r="B5" s="157"/>
      <c r="C5" s="171"/>
      <c r="D5" s="157"/>
      <c r="E5" s="157"/>
      <c r="F5" s="157"/>
      <c r="G5" s="157"/>
      <c r="H5" s="157"/>
      <c r="I5" s="157"/>
      <c r="J5" s="156"/>
      <c r="M5" s="434" t="s">
        <v>453</v>
      </c>
      <c r="N5" s="434"/>
      <c r="O5" s="434"/>
      <c r="P5" s="434"/>
      <c r="Q5" s="434"/>
      <c r="R5" s="434"/>
    </row>
    <row r="6" spans="1:18" x14ac:dyDescent="0.2">
      <c r="A6" s="159"/>
      <c r="B6" s="157"/>
      <c r="C6" s="171"/>
      <c r="D6" s="157"/>
      <c r="E6" s="157"/>
      <c r="F6" s="157"/>
      <c r="G6" s="157"/>
      <c r="H6" s="157"/>
      <c r="I6" s="157"/>
      <c r="J6" s="156"/>
      <c r="M6" s="434"/>
      <c r="N6" s="434"/>
      <c r="O6" s="434"/>
      <c r="P6" s="434"/>
      <c r="Q6" s="434"/>
      <c r="R6" s="434"/>
    </row>
    <row r="7" spans="1:18" x14ac:dyDescent="0.2">
      <c r="A7" s="159"/>
      <c r="B7" s="157"/>
      <c r="C7" s="171"/>
      <c r="D7" s="157"/>
      <c r="E7" s="157"/>
      <c r="F7" s="157"/>
      <c r="G7" s="157"/>
      <c r="H7" s="157"/>
      <c r="I7" s="157"/>
      <c r="J7" s="156"/>
      <c r="N7" s="145"/>
    </row>
    <row r="8" spans="1:18" x14ac:dyDescent="0.2">
      <c r="A8" s="159"/>
      <c r="B8" s="157"/>
      <c r="C8" s="171"/>
      <c r="D8" s="157"/>
      <c r="E8" s="157"/>
      <c r="F8" s="157"/>
      <c r="G8" s="157"/>
      <c r="H8" s="157"/>
      <c r="I8" s="157"/>
      <c r="J8" s="156"/>
      <c r="M8" s="180" t="s">
        <v>316</v>
      </c>
      <c r="N8" s="145"/>
    </row>
    <row r="9" spans="1:18" x14ac:dyDescent="0.2">
      <c r="A9" s="159"/>
      <c r="B9" s="157"/>
      <c r="C9" s="171"/>
      <c r="D9" s="157"/>
      <c r="E9" s="157"/>
      <c r="F9" s="157"/>
      <c r="G9" s="157"/>
      <c r="H9" s="157"/>
      <c r="I9" s="157"/>
      <c r="J9" s="156"/>
      <c r="N9" s="145"/>
    </row>
    <row r="10" spans="1:18" x14ac:dyDescent="0.2">
      <c r="A10" s="159"/>
      <c r="B10" s="157"/>
      <c r="C10" s="171"/>
      <c r="D10" s="157"/>
      <c r="E10" s="157"/>
      <c r="F10" s="157"/>
      <c r="G10" s="157"/>
      <c r="H10" s="157"/>
      <c r="I10" s="157"/>
      <c r="J10" s="156"/>
      <c r="M10" t="s">
        <v>452</v>
      </c>
      <c r="N10" s="145"/>
    </row>
    <row r="11" spans="1:18" x14ac:dyDescent="0.2">
      <c r="A11" s="159"/>
      <c r="B11" s="157"/>
      <c r="C11" s="171"/>
      <c r="D11" s="157"/>
      <c r="E11" s="157"/>
      <c r="F11" s="157"/>
      <c r="G11" s="157"/>
      <c r="H11" s="157"/>
      <c r="I11" s="157"/>
      <c r="J11" s="156"/>
      <c r="M11" t="s">
        <v>451</v>
      </c>
      <c r="N11" s="145"/>
    </row>
    <row r="12" spans="1:18" x14ac:dyDescent="0.2">
      <c r="A12" s="159"/>
      <c r="B12" s="157"/>
      <c r="C12" s="171"/>
      <c r="D12" s="157"/>
      <c r="E12" s="157"/>
      <c r="F12" s="157"/>
      <c r="G12" s="157"/>
      <c r="H12" s="157"/>
      <c r="I12" s="157"/>
      <c r="J12" s="156"/>
      <c r="M12" s="434" t="s">
        <v>450</v>
      </c>
      <c r="N12" s="434"/>
      <c r="O12" s="434"/>
      <c r="P12" s="434"/>
      <c r="Q12" s="434"/>
      <c r="R12" s="434"/>
    </row>
    <row r="13" spans="1:18" x14ac:dyDescent="0.2">
      <c r="A13" s="159"/>
      <c r="B13" s="157"/>
      <c r="C13" s="171"/>
      <c r="D13" s="157"/>
      <c r="E13" s="157"/>
      <c r="F13" s="157"/>
      <c r="G13" s="157"/>
      <c r="H13" s="157"/>
      <c r="I13" s="157"/>
      <c r="J13" s="156"/>
      <c r="M13" s="434"/>
      <c r="N13" s="434"/>
      <c r="O13" s="434"/>
      <c r="P13" s="434"/>
      <c r="Q13" s="434"/>
      <c r="R13" s="434"/>
    </row>
    <row r="14" spans="1:18" x14ac:dyDescent="0.2">
      <c r="A14" s="159"/>
      <c r="B14" s="157"/>
      <c r="C14" s="171"/>
      <c r="D14" s="157"/>
      <c r="E14" s="157"/>
      <c r="F14" s="157"/>
      <c r="G14" s="157"/>
      <c r="H14" s="157"/>
      <c r="I14" s="157"/>
      <c r="J14" s="156"/>
      <c r="M14" s="434" t="s">
        <v>449</v>
      </c>
      <c r="N14" s="434"/>
      <c r="O14" s="434"/>
      <c r="P14" s="434"/>
      <c r="Q14" s="434"/>
      <c r="R14" s="434"/>
    </row>
    <row r="15" spans="1:18" x14ac:dyDescent="0.2">
      <c r="A15" s="159"/>
      <c r="B15" s="157"/>
      <c r="C15" s="171"/>
      <c r="D15" s="157"/>
      <c r="E15" s="157"/>
      <c r="F15" s="157"/>
      <c r="G15" s="157"/>
      <c r="H15" s="157"/>
      <c r="I15" s="157"/>
      <c r="J15" s="156"/>
      <c r="M15" s="434"/>
      <c r="N15" s="434"/>
      <c r="O15" s="434"/>
      <c r="P15" s="434"/>
      <c r="Q15" s="434"/>
      <c r="R15" s="434"/>
    </row>
    <row r="16" spans="1:18" x14ac:dyDescent="0.2">
      <c r="A16" s="159"/>
      <c r="B16" s="157"/>
      <c r="C16" s="171"/>
      <c r="D16" s="157"/>
      <c r="E16" s="157"/>
      <c r="F16" s="157"/>
      <c r="G16" s="157"/>
      <c r="H16" s="157"/>
      <c r="I16" s="157"/>
      <c r="J16" s="156"/>
      <c r="N16" s="145"/>
    </row>
    <row r="17" spans="1:18" x14ac:dyDescent="0.2">
      <c r="A17" s="159"/>
      <c r="B17" s="157"/>
      <c r="C17" s="171"/>
      <c r="D17" s="157"/>
      <c r="E17" s="157"/>
      <c r="F17" s="157"/>
      <c r="G17" s="157"/>
      <c r="H17" s="157"/>
      <c r="I17" s="157"/>
      <c r="J17" s="156"/>
      <c r="M17" s="180" t="s">
        <v>373</v>
      </c>
      <c r="N17" s="145"/>
    </row>
    <row r="18" spans="1:18" x14ac:dyDescent="0.2">
      <c r="A18" s="159"/>
      <c r="B18" s="157"/>
      <c r="C18" s="171"/>
      <c r="D18" s="157"/>
      <c r="E18" s="157"/>
      <c r="F18" s="157"/>
      <c r="G18" s="157"/>
      <c r="H18" s="157"/>
      <c r="I18" s="157"/>
      <c r="J18" s="156"/>
      <c r="N18" s="145"/>
    </row>
    <row r="19" spans="1:18" x14ac:dyDescent="0.2">
      <c r="A19" s="159"/>
      <c r="B19" s="157"/>
      <c r="C19" s="171"/>
      <c r="D19" s="157"/>
      <c r="E19" s="157"/>
      <c r="F19" s="157"/>
      <c r="G19" s="157"/>
      <c r="H19" s="157"/>
      <c r="I19" s="157"/>
      <c r="J19" s="156"/>
      <c r="M19" s="434" t="s">
        <v>448</v>
      </c>
      <c r="N19" s="434"/>
      <c r="O19" s="434"/>
      <c r="P19" s="434"/>
      <c r="Q19" s="434"/>
      <c r="R19" s="434"/>
    </row>
    <row r="20" spans="1:18" x14ac:dyDescent="0.2">
      <c r="A20" s="159"/>
      <c r="B20" s="157"/>
      <c r="C20" s="171"/>
      <c r="D20" s="157"/>
      <c r="E20" s="157"/>
      <c r="F20" s="157"/>
      <c r="G20" s="157"/>
      <c r="H20" s="157"/>
      <c r="I20" s="157"/>
      <c r="J20" s="156"/>
      <c r="M20" s="434"/>
      <c r="N20" s="434"/>
      <c r="O20" s="434"/>
      <c r="P20" s="434"/>
      <c r="Q20" s="434"/>
      <c r="R20" s="434"/>
    </row>
    <row r="21" spans="1:18" x14ac:dyDescent="0.2">
      <c r="A21" s="159"/>
      <c r="B21" s="157"/>
      <c r="C21" s="171"/>
      <c r="D21" s="157"/>
      <c r="E21" s="157"/>
      <c r="F21" s="157"/>
      <c r="G21" s="157"/>
      <c r="H21" s="157"/>
      <c r="I21" s="157"/>
      <c r="J21" s="156"/>
      <c r="M21" s="434"/>
      <c r="N21" s="434"/>
      <c r="O21" s="434"/>
      <c r="P21" s="434"/>
      <c r="Q21" s="434"/>
      <c r="R21" s="434"/>
    </row>
    <row r="22" spans="1:18" x14ac:dyDescent="0.2">
      <c r="A22" s="159"/>
      <c r="B22" s="157"/>
      <c r="C22" s="171"/>
      <c r="D22" s="157"/>
      <c r="E22" s="157"/>
      <c r="F22" s="157"/>
      <c r="G22" s="157"/>
      <c r="H22" s="157"/>
      <c r="I22" s="157"/>
      <c r="J22" s="156"/>
      <c r="M22" s="434"/>
      <c r="N22" s="434"/>
      <c r="O22" s="434"/>
      <c r="P22" s="434"/>
      <c r="Q22" s="434"/>
      <c r="R22" s="434"/>
    </row>
    <row r="23" spans="1:18" x14ac:dyDescent="0.2">
      <c r="A23" s="159"/>
      <c r="B23" s="157"/>
      <c r="C23" s="171"/>
      <c r="D23" s="157"/>
      <c r="E23" s="157"/>
      <c r="F23" s="157"/>
      <c r="G23" s="157"/>
      <c r="H23" s="157"/>
      <c r="I23" s="157"/>
      <c r="J23" s="156"/>
      <c r="N23" s="195"/>
    </row>
    <row r="24" spans="1:18" x14ac:dyDescent="0.2">
      <c r="A24" s="159"/>
      <c r="B24" s="206" t="s">
        <v>0</v>
      </c>
      <c r="C24" s="157"/>
      <c r="D24" s="157"/>
      <c r="E24" s="157"/>
      <c r="F24" s="157"/>
      <c r="G24" s="157"/>
      <c r="H24" s="157"/>
      <c r="I24" s="157"/>
      <c r="J24" s="156"/>
      <c r="M24" s="180" t="s">
        <v>405</v>
      </c>
      <c r="N24" s="195"/>
    </row>
    <row r="25" spans="1:18" x14ac:dyDescent="0.2">
      <c r="A25" s="159"/>
      <c r="B25" s="206" t="s">
        <v>447</v>
      </c>
      <c r="C25" s="206"/>
      <c r="D25" s="157"/>
      <c r="E25" s="157"/>
      <c r="F25" s="157"/>
      <c r="G25" s="157"/>
      <c r="H25" s="157"/>
      <c r="I25" s="157"/>
      <c r="J25" s="156"/>
      <c r="N25" s="195"/>
    </row>
    <row r="26" spans="1:18" x14ac:dyDescent="0.2">
      <c r="A26" s="159"/>
      <c r="B26" s="171"/>
      <c r="C26" s="206"/>
      <c r="D26" s="157"/>
      <c r="E26" s="157"/>
      <c r="F26" s="157"/>
      <c r="G26" s="157"/>
      <c r="H26" s="157"/>
      <c r="I26" s="157"/>
      <c r="J26" s="156"/>
      <c r="M26" s="434" t="s">
        <v>446</v>
      </c>
      <c r="N26" s="434"/>
      <c r="O26" s="434"/>
      <c r="P26" s="434"/>
      <c r="Q26" s="434"/>
      <c r="R26" s="434"/>
    </row>
    <row r="27" spans="1:18" x14ac:dyDescent="0.2">
      <c r="A27" s="159"/>
      <c r="B27" s="206" t="s">
        <v>1</v>
      </c>
      <c r="C27" s="157"/>
      <c r="D27" s="157"/>
      <c r="E27" s="157"/>
      <c r="F27" s="157"/>
      <c r="G27" s="157"/>
      <c r="H27" s="157"/>
      <c r="I27" s="157"/>
      <c r="J27" s="156"/>
      <c r="M27" s="434"/>
      <c r="N27" s="434"/>
      <c r="O27" s="434"/>
      <c r="P27" s="434"/>
      <c r="Q27" s="434"/>
      <c r="R27" s="434"/>
    </row>
    <row r="28" spans="1:18" x14ac:dyDescent="0.2">
      <c r="A28" s="159"/>
      <c r="B28" s="206" t="s">
        <v>445</v>
      </c>
      <c r="C28" s="206"/>
      <c r="D28" s="157"/>
      <c r="E28" s="157"/>
      <c r="F28" s="157"/>
      <c r="G28" s="157"/>
      <c r="H28" s="157"/>
      <c r="I28" s="157"/>
      <c r="J28" s="156"/>
      <c r="M28" s="434"/>
      <c r="N28" s="434"/>
      <c r="O28" s="434"/>
      <c r="P28" s="434"/>
      <c r="Q28" s="434"/>
      <c r="R28" s="434"/>
    </row>
    <row r="29" spans="1:18" x14ac:dyDescent="0.2">
      <c r="A29" s="159"/>
      <c r="B29" s="171"/>
      <c r="C29" s="206"/>
      <c r="D29" s="157"/>
      <c r="E29" s="157"/>
      <c r="F29" s="157"/>
      <c r="G29" s="157"/>
      <c r="H29" s="157"/>
      <c r="I29" s="157"/>
      <c r="J29" s="156"/>
      <c r="M29" s="269"/>
      <c r="N29" s="195"/>
    </row>
    <row r="30" spans="1:18" x14ac:dyDescent="0.2">
      <c r="A30" s="159"/>
      <c r="B30" s="206" t="s">
        <v>2</v>
      </c>
      <c r="C30" s="157"/>
      <c r="D30" s="157"/>
      <c r="E30" s="157"/>
      <c r="F30" s="157"/>
      <c r="G30" s="157"/>
      <c r="H30" s="157"/>
      <c r="I30" s="157"/>
      <c r="J30" s="156"/>
      <c r="N30" s="195"/>
    </row>
    <row r="31" spans="1:18" x14ac:dyDescent="0.2">
      <c r="A31" s="159"/>
      <c r="B31" s="206" t="s">
        <v>444</v>
      </c>
      <c r="C31" s="206"/>
      <c r="D31" s="157"/>
      <c r="E31" s="157"/>
      <c r="F31" s="157"/>
      <c r="G31" s="157"/>
      <c r="H31" s="157"/>
      <c r="I31" s="157"/>
      <c r="J31" s="156"/>
      <c r="N31" s="195"/>
    </row>
    <row r="32" spans="1:18" x14ac:dyDescent="0.2">
      <c r="A32" s="159"/>
      <c r="B32" s="171"/>
      <c r="C32" s="206"/>
      <c r="D32" s="157"/>
      <c r="E32" s="157"/>
      <c r="F32" s="157"/>
      <c r="G32" s="157"/>
      <c r="H32" s="157"/>
      <c r="I32" s="157"/>
      <c r="J32" s="156"/>
      <c r="N32" s="195"/>
    </row>
    <row r="33" spans="1:18" x14ac:dyDescent="0.2">
      <c r="A33" s="159"/>
      <c r="B33" s="206" t="s">
        <v>91</v>
      </c>
      <c r="C33" s="157"/>
      <c r="D33" s="157"/>
      <c r="E33" s="157"/>
      <c r="F33" s="157"/>
      <c r="G33" s="157"/>
      <c r="H33" s="157"/>
      <c r="I33" s="157"/>
      <c r="J33" s="156"/>
      <c r="N33" s="144"/>
      <c r="R33" s="148"/>
    </row>
    <row r="34" spans="1:18" x14ac:dyDescent="0.2">
      <c r="A34" s="159"/>
      <c r="B34" s="206" t="s">
        <v>443</v>
      </c>
      <c r="C34" s="157"/>
      <c r="D34" s="157"/>
      <c r="E34" s="157"/>
      <c r="F34" s="157"/>
      <c r="G34" s="157"/>
      <c r="H34" s="157"/>
      <c r="I34" s="157"/>
      <c r="J34" s="156"/>
      <c r="N34" s="259"/>
      <c r="P34" s="148"/>
      <c r="Q34" s="148"/>
    </row>
    <row r="35" spans="1:18" ht="17" thickBot="1" x14ac:dyDescent="0.25">
      <c r="A35" s="159"/>
      <c r="B35" s="158"/>
      <c r="C35" s="157"/>
      <c r="D35" s="157"/>
      <c r="E35" s="157"/>
      <c r="F35" s="157"/>
      <c r="G35" s="157"/>
      <c r="H35" s="157"/>
      <c r="I35" s="157"/>
      <c r="J35" s="156"/>
      <c r="N35" s="195"/>
      <c r="P35" s="148"/>
      <c r="Q35" s="148"/>
    </row>
    <row r="36" spans="1:18" ht="17" thickBot="1" x14ac:dyDescent="0.25">
      <c r="A36" s="155" t="s">
        <v>266</v>
      </c>
      <c r="B36" s="154"/>
      <c r="C36" s="154"/>
      <c r="D36" s="154"/>
      <c r="E36" s="154"/>
      <c r="F36" s="154"/>
      <c r="G36" s="154"/>
      <c r="H36" s="154"/>
      <c r="I36" s="154"/>
      <c r="J36" s="153"/>
      <c r="M36" s="149"/>
      <c r="N36" s="195"/>
    </row>
    <row r="37" spans="1:18" x14ac:dyDescent="0.2">
      <c r="M37" s="149"/>
      <c r="N37" s="144"/>
    </row>
    <row r="38" spans="1:18" x14ac:dyDescent="0.2">
      <c r="N38" s="195"/>
    </row>
    <row r="39" spans="1:18" x14ac:dyDescent="0.2">
      <c r="N39" s="195"/>
    </row>
    <row r="40" spans="1:18" x14ac:dyDescent="0.2">
      <c r="N40" s="195"/>
    </row>
    <row r="43" spans="1:18" x14ac:dyDescent="0.2">
      <c r="N43" s="143"/>
    </row>
    <row r="44" spans="1:18" x14ac:dyDescent="0.2">
      <c r="N44" s="144"/>
    </row>
    <row r="45" spans="1:18" x14ac:dyDescent="0.2">
      <c r="N45" s="144"/>
    </row>
    <row r="46" spans="1:18" x14ac:dyDescent="0.2">
      <c r="N46" s="144"/>
      <c r="R46" s="148"/>
    </row>
    <row r="47" spans="1:18" x14ac:dyDescent="0.2">
      <c r="R47" s="147"/>
    </row>
    <row r="48" spans="1:18" x14ac:dyDescent="0.2">
      <c r="P48" s="148"/>
      <c r="Q48" s="148"/>
      <c r="R48" s="147"/>
    </row>
    <row r="49" spans="13:18" x14ac:dyDescent="0.2">
      <c r="M49" s="148"/>
      <c r="N49" s="147"/>
      <c r="O49" s="147"/>
      <c r="P49" s="147"/>
      <c r="Q49" s="147"/>
      <c r="R49" s="147"/>
    </row>
    <row r="50" spans="13:18" x14ac:dyDescent="0.2">
      <c r="M50" s="149"/>
      <c r="N50" s="147"/>
      <c r="O50" s="147"/>
      <c r="P50" s="147"/>
      <c r="Q50" s="147"/>
      <c r="R50" s="147"/>
    </row>
    <row r="51" spans="13:18" x14ac:dyDescent="0.2">
      <c r="M51" s="149"/>
      <c r="N51" s="147"/>
      <c r="O51" s="147"/>
      <c r="P51" s="147"/>
      <c r="Q51" s="147"/>
      <c r="R51" s="147"/>
    </row>
    <row r="52" spans="13:18" x14ac:dyDescent="0.2">
      <c r="N52" s="144"/>
    </row>
    <row r="55" spans="13:18" x14ac:dyDescent="0.2">
      <c r="N55" s="146"/>
    </row>
    <row r="56" spans="13:18" x14ac:dyDescent="0.2">
      <c r="N56" s="143"/>
    </row>
    <row r="57" spans="13:18" x14ac:dyDescent="0.2">
      <c r="N57" s="144"/>
    </row>
    <row r="64" spans="13:18" x14ac:dyDescent="0.2">
      <c r="N64" s="145"/>
    </row>
    <row r="65" spans="14:14" x14ac:dyDescent="0.2">
      <c r="N65" s="143"/>
    </row>
    <row r="66" spans="14:14" x14ac:dyDescent="0.2">
      <c r="N66" s="144"/>
    </row>
    <row r="71" spans="14:14" x14ac:dyDescent="0.2">
      <c r="N71" s="143"/>
    </row>
    <row r="72" spans="14:14" x14ac:dyDescent="0.2">
      <c r="N72" s="143"/>
    </row>
    <row r="76" spans="14:14" x14ac:dyDescent="0.2">
      <c r="N76" s="143"/>
    </row>
  </sheetData>
  <mergeCells count="5">
    <mergeCell ref="M5:R6"/>
    <mergeCell ref="M12:R13"/>
    <mergeCell ref="M14:R15"/>
    <mergeCell ref="M19:R22"/>
    <mergeCell ref="M26:R28"/>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F927-2364-5449-BF7D-C3F0B356604F}">
  <dimension ref="A1:W54"/>
  <sheetViews>
    <sheetView workbookViewId="0"/>
  </sheetViews>
  <sheetFormatPr baseColWidth="10" defaultColWidth="11" defaultRowHeight="16" outlineLevelCol="1" x14ac:dyDescent="0.2"/>
  <cols>
    <col min="1" max="1" width="4.5" customWidth="1"/>
    <col min="3" max="3" width="11" customWidth="1"/>
    <col min="8" max="10" width="11" customWidth="1"/>
    <col min="12" max="12" width="11.1640625" bestFit="1" customWidth="1"/>
    <col min="13" max="13" width="13.83203125" hidden="1" customWidth="1" outlineLevel="1"/>
    <col min="14" max="22" width="10.83203125" hidden="1" customWidth="1" outlineLevel="1"/>
    <col min="23" max="23" width="10.83203125" customWidth="1" collapsed="1"/>
  </cols>
  <sheetData>
    <row r="1" spans="1:18" ht="19" x14ac:dyDescent="0.25">
      <c r="A1" s="202" t="s">
        <v>488</v>
      </c>
      <c r="B1" s="201"/>
      <c r="C1" s="200"/>
      <c r="D1" s="200"/>
      <c r="E1" s="200"/>
      <c r="F1" s="199"/>
      <c r="G1" s="199"/>
      <c r="H1" s="199"/>
      <c r="I1" s="199"/>
      <c r="J1" s="198"/>
      <c r="L1" s="197" t="s">
        <v>265</v>
      </c>
    </row>
    <row r="2" spans="1:18" x14ac:dyDescent="0.2">
      <c r="A2" s="159"/>
      <c r="B2" s="157"/>
      <c r="C2" s="157"/>
      <c r="D2" s="157"/>
      <c r="E2" s="157"/>
      <c r="F2" s="157"/>
      <c r="G2" s="157"/>
      <c r="H2" s="157"/>
      <c r="I2" s="157"/>
      <c r="J2" s="156"/>
    </row>
    <row r="3" spans="1:18" x14ac:dyDescent="0.2">
      <c r="A3" s="159"/>
      <c r="B3" s="206" t="s">
        <v>0</v>
      </c>
      <c r="C3" s="157"/>
      <c r="D3" s="157"/>
      <c r="E3" s="157"/>
      <c r="F3" s="157"/>
      <c r="G3" s="157"/>
      <c r="H3" s="157"/>
      <c r="I3" s="157"/>
      <c r="J3" s="156"/>
      <c r="M3" s="180" t="s">
        <v>326</v>
      </c>
      <c r="N3" s="240"/>
    </row>
    <row r="4" spans="1:18" x14ac:dyDescent="0.2">
      <c r="A4" s="159"/>
      <c r="B4" s="435" t="s">
        <v>487</v>
      </c>
      <c r="C4" s="435"/>
      <c r="D4" s="435"/>
      <c r="E4" s="435"/>
      <c r="F4" s="435"/>
      <c r="G4" s="435"/>
      <c r="H4" s="435"/>
      <c r="I4" s="435"/>
      <c r="J4" s="156"/>
      <c r="N4" s="240"/>
    </row>
    <row r="5" spans="1:18" x14ac:dyDescent="0.2">
      <c r="A5" s="159"/>
      <c r="B5" s="435"/>
      <c r="C5" s="435"/>
      <c r="D5" s="435"/>
      <c r="E5" s="435"/>
      <c r="F5" s="435"/>
      <c r="G5" s="435"/>
      <c r="H5" s="435"/>
      <c r="I5" s="435"/>
      <c r="J5" s="156"/>
      <c r="M5" t="s">
        <v>486</v>
      </c>
      <c r="N5" s="195"/>
    </row>
    <row r="6" spans="1:18" x14ac:dyDescent="0.2">
      <c r="A6" s="159"/>
      <c r="B6" s="171"/>
      <c r="C6" s="206"/>
      <c r="D6" s="157"/>
      <c r="E6" s="157"/>
      <c r="F6" s="157"/>
      <c r="G6" s="157"/>
      <c r="H6" s="157"/>
      <c r="I6" s="157"/>
      <c r="J6" s="156"/>
      <c r="M6" t="s">
        <v>485</v>
      </c>
      <c r="N6" s="195"/>
    </row>
    <row r="7" spans="1:18" x14ac:dyDescent="0.2">
      <c r="A7" s="159"/>
      <c r="B7" s="206" t="s">
        <v>1</v>
      </c>
      <c r="C7" s="157"/>
      <c r="D7" s="157"/>
      <c r="E7" s="157"/>
      <c r="F7" s="157"/>
      <c r="G7" s="157"/>
      <c r="H7" s="157"/>
      <c r="I7" s="157"/>
      <c r="J7" s="156"/>
      <c r="M7" t="s">
        <v>484</v>
      </c>
      <c r="N7" s="195"/>
    </row>
    <row r="8" spans="1:18" x14ac:dyDescent="0.2">
      <c r="A8" s="159"/>
      <c r="B8" s="206" t="s">
        <v>483</v>
      </c>
      <c r="C8" s="206"/>
      <c r="D8" s="157"/>
      <c r="E8" s="157"/>
      <c r="F8" s="157"/>
      <c r="G8" s="157"/>
      <c r="H8" s="157"/>
      <c r="I8" s="157"/>
      <c r="J8" s="156"/>
      <c r="M8" t="s">
        <v>482</v>
      </c>
      <c r="N8" s="168"/>
    </row>
    <row r="9" spans="1:18" x14ac:dyDescent="0.2">
      <c r="A9" s="159"/>
      <c r="B9" s="171"/>
      <c r="C9" s="206"/>
      <c r="D9" s="157"/>
      <c r="E9" s="157"/>
      <c r="F9" s="157"/>
      <c r="G9" s="157"/>
      <c r="H9" s="157"/>
      <c r="I9" s="157"/>
      <c r="J9" s="156"/>
      <c r="M9" t="s">
        <v>481</v>
      </c>
      <c r="N9" s="195"/>
    </row>
    <row r="10" spans="1:18" x14ac:dyDescent="0.2">
      <c r="A10" s="159"/>
      <c r="B10" s="206" t="s">
        <v>2</v>
      </c>
      <c r="C10" s="157"/>
      <c r="D10" s="157"/>
      <c r="E10" s="157"/>
      <c r="F10" s="157"/>
      <c r="G10" s="157"/>
      <c r="H10" s="157"/>
      <c r="I10" s="157"/>
      <c r="J10" s="156"/>
      <c r="M10" t="s">
        <v>480</v>
      </c>
      <c r="N10" s="195"/>
    </row>
    <row r="11" spans="1:18" x14ac:dyDescent="0.2">
      <c r="A11" s="159"/>
      <c r="B11" s="206" t="s">
        <v>479</v>
      </c>
      <c r="C11" s="157"/>
      <c r="D11" s="157"/>
      <c r="E11" s="157"/>
      <c r="F11" s="157"/>
      <c r="G11" s="157"/>
      <c r="H11" s="157"/>
      <c r="I11" s="157"/>
      <c r="J11" s="156"/>
      <c r="M11" t="s">
        <v>478</v>
      </c>
      <c r="N11" s="144"/>
      <c r="R11" s="148"/>
    </row>
    <row r="12" spans="1:18" ht="17" thickBot="1" x14ac:dyDescent="0.25">
      <c r="A12" s="159"/>
      <c r="B12" s="158"/>
      <c r="C12" s="157"/>
      <c r="D12" s="157"/>
      <c r="E12" s="157"/>
      <c r="F12" s="157"/>
      <c r="G12" s="157"/>
      <c r="H12" s="157"/>
      <c r="I12" s="157"/>
      <c r="J12" s="156"/>
      <c r="M12" t="s">
        <v>477</v>
      </c>
      <c r="N12" s="259"/>
      <c r="P12" s="148"/>
      <c r="Q12" s="148"/>
    </row>
    <row r="13" spans="1:18" ht="17" thickBot="1" x14ac:dyDescent="0.25">
      <c r="A13" s="155" t="s">
        <v>266</v>
      </c>
      <c r="B13" s="154"/>
      <c r="C13" s="154"/>
      <c r="D13" s="154"/>
      <c r="E13" s="154"/>
      <c r="F13" s="154"/>
      <c r="G13" s="154"/>
      <c r="H13" s="154"/>
      <c r="I13" s="154"/>
      <c r="J13" s="153"/>
      <c r="M13" t="s">
        <v>476</v>
      </c>
      <c r="N13" s="195"/>
      <c r="P13" s="148"/>
      <c r="Q13" s="148"/>
    </row>
    <row r="14" spans="1:18" x14ac:dyDescent="0.2">
      <c r="M14" t="s">
        <v>475</v>
      </c>
      <c r="N14" s="195"/>
    </row>
    <row r="15" spans="1:18" x14ac:dyDescent="0.2">
      <c r="N15" s="144"/>
    </row>
    <row r="16" spans="1:18" x14ac:dyDescent="0.2">
      <c r="M16" s="180" t="s">
        <v>316</v>
      </c>
      <c r="N16" s="195"/>
    </row>
    <row r="17" spans="13:21" x14ac:dyDescent="0.2">
      <c r="N17" s="195"/>
    </row>
    <row r="18" spans="13:21" x14ac:dyDescent="0.2">
      <c r="M18" t="s">
        <v>474</v>
      </c>
      <c r="N18" s="195"/>
    </row>
    <row r="20" spans="13:21" x14ac:dyDescent="0.2">
      <c r="M20" s="148" t="s">
        <v>46</v>
      </c>
      <c r="O20" s="456" t="s">
        <v>47</v>
      </c>
      <c r="P20" s="456"/>
      <c r="Q20" s="456"/>
      <c r="R20" s="456"/>
      <c r="S20" s="456"/>
      <c r="T20" s="456"/>
      <c r="U20" s="456"/>
    </row>
    <row r="21" spans="13:21" x14ac:dyDescent="0.2">
      <c r="M21" s="272" t="s">
        <v>473</v>
      </c>
      <c r="N21" s="143"/>
      <c r="O21" s="278">
        <v>1</v>
      </c>
      <c r="P21" s="277">
        <v>0</v>
      </c>
      <c r="Q21" s="277">
        <v>0</v>
      </c>
      <c r="R21" s="277">
        <v>0</v>
      </c>
      <c r="S21" s="277">
        <v>0</v>
      </c>
      <c r="T21" s="277">
        <v>0</v>
      </c>
      <c r="U21" s="276">
        <v>0</v>
      </c>
    </row>
    <row r="22" spans="13:21" x14ac:dyDescent="0.2">
      <c r="M22" s="271" t="s">
        <v>472</v>
      </c>
      <c r="N22" s="144"/>
      <c r="O22" s="275">
        <v>0</v>
      </c>
      <c r="P22" s="148">
        <v>1</v>
      </c>
      <c r="Q22" s="148">
        <v>0</v>
      </c>
      <c r="R22" s="148">
        <v>0</v>
      </c>
      <c r="S22" s="148">
        <v>0</v>
      </c>
      <c r="T22" s="148">
        <v>0</v>
      </c>
      <c r="U22" s="188">
        <v>0</v>
      </c>
    </row>
    <row r="23" spans="13:21" x14ac:dyDescent="0.2">
      <c r="M23" s="271" t="s">
        <v>471</v>
      </c>
      <c r="N23" s="144"/>
      <c r="O23" s="275">
        <v>0</v>
      </c>
      <c r="P23" s="148">
        <v>0</v>
      </c>
      <c r="Q23" s="148">
        <v>1</v>
      </c>
      <c r="R23" s="148">
        <v>0</v>
      </c>
      <c r="S23" s="148">
        <v>0</v>
      </c>
      <c r="T23" s="148">
        <v>0</v>
      </c>
      <c r="U23" s="188">
        <v>0</v>
      </c>
    </row>
    <row r="24" spans="13:21" x14ac:dyDescent="0.2">
      <c r="M24" s="271" t="s">
        <v>470</v>
      </c>
      <c r="N24" s="144"/>
      <c r="O24" s="275">
        <v>0</v>
      </c>
      <c r="P24" s="148">
        <v>0</v>
      </c>
      <c r="Q24" s="148">
        <v>0</v>
      </c>
      <c r="R24" s="148">
        <v>1</v>
      </c>
      <c r="S24" s="148">
        <v>0</v>
      </c>
      <c r="T24" s="148">
        <v>0</v>
      </c>
      <c r="U24" s="188">
        <v>0</v>
      </c>
    </row>
    <row r="25" spans="13:21" x14ac:dyDescent="0.2">
      <c r="M25" s="271" t="s">
        <v>469</v>
      </c>
      <c r="O25" s="275">
        <v>1</v>
      </c>
      <c r="P25" s="148">
        <v>0</v>
      </c>
      <c r="Q25" s="148">
        <v>0</v>
      </c>
      <c r="R25" s="148">
        <v>0</v>
      </c>
      <c r="S25" s="148">
        <v>1</v>
      </c>
      <c r="T25" s="148">
        <v>0</v>
      </c>
      <c r="U25" s="188">
        <v>0</v>
      </c>
    </row>
    <row r="26" spans="13:21" x14ac:dyDescent="0.2">
      <c r="M26" s="271" t="s">
        <v>468</v>
      </c>
      <c r="O26" s="275">
        <v>0</v>
      </c>
      <c r="P26" s="148">
        <v>1</v>
      </c>
      <c r="Q26" s="148">
        <v>0</v>
      </c>
      <c r="R26" s="148">
        <v>0</v>
      </c>
      <c r="S26" s="148">
        <v>1</v>
      </c>
      <c r="T26" s="148">
        <v>0</v>
      </c>
      <c r="U26" s="188">
        <v>0</v>
      </c>
    </row>
    <row r="27" spans="13:21" x14ac:dyDescent="0.2">
      <c r="M27" s="271" t="s">
        <v>467</v>
      </c>
      <c r="N27" s="147"/>
      <c r="O27" s="275">
        <v>0</v>
      </c>
      <c r="P27" s="148">
        <v>0</v>
      </c>
      <c r="Q27" s="148">
        <v>1</v>
      </c>
      <c r="R27" s="148">
        <v>0</v>
      </c>
      <c r="S27" s="148">
        <v>1</v>
      </c>
      <c r="T27" s="148">
        <v>0</v>
      </c>
      <c r="U27" s="188">
        <v>0</v>
      </c>
    </row>
    <row r="28" spans="13:21" x14ac:dyDescent="0.2">
      <c r="M28" s="271" t="s">
        <v>466</v>
      </c>
      <c r="N28" s="147"/>
      <c r="O28" s="275">
        <v>1</v>
      </c>
      <c r="P28" s="148">
        <v>0</v>
      </c>
      <c r="Q28" s="148">
        <v>0</v>
      </c>
      <c r="R28" s="148">
        <v>0</v>
      </c>
      <c r="S28" s="148">
        <v>1</v>
      </c>
      <c r="T28" s="148">
        <v>1</v>
      </c>
      <c r="U28" s="188">
        <v>0</v>
      </c>
    </row>
    <row r="29" spans="13:21" x14ac:dyDescent="0.2">
      <c r="M29" s="271" t="s">
        <v>465</v>
      </c>
      <c r="N29" s="147"/>
      <c r="O29" s="275">
        <v>0</v>
      </c>
      <c r="P29" s="148">
        <v>1</v>
      </c>
      <c r="Q29" s="148">
        <v>0</v>
      </c>
      <c r="R29" s="148">
        <v>0</v>
      </c>
      <c r="S29" s="148">
        <v>1</v>
      </c>
      <c r="T29" s="148">
        <v>1</v>
      </c>
      <c r="U29" s="188">
        <v>0</v>
      </c>
    </row>
    <row r="30" spans="13:21" x14ac:dyDescent="0.2">
      <c r="M30" s="270" t="s">
        <v>464</v>
      </c>
      <c r="N30" s="144"/>
      <c r="O30" s="274">
        <v>1</v>
      </c>
      <c r="P30" s="191">
        <v>0</v>
      </c>
      <c r="Q30" s="191">
        <v>0</v>
      </c>
      <c r="R30" s="191">
        <v>0</v>
      </c>
      <c r="S30" s="191">
        <v>1</v>
      </c>
      <c r="T30" s="191">
        <v>1</v>
      </c>
      <c r="U30" s="193">
        <v>1</v>
      </c>
    </row>
    <row r="31" spans="13:21" x14ac:dyDescent="0.2">
      <c r="S31" s="273"/>
    </row>
    <row r="32" spans="13:21" x14ac:dyDescent="0.2">
      <c r="M32" s="148" t="s">
        <v>48</v>
      </c>
    </row>
    <row r="33" spans="13:14" x14ac:dyDescent="0.2">
      <c r="M33" s="272" t="s">
        <v>463</v>
      </c>
      <c r="N33" s="146"/>
    </row>
    <row r="34" spans="13:14" x14ac:dyDescent="0.2">
      <c r="M34" s="271" t="s">
        <v>462</v>
      </c>
      <c r="N34" s="143"/>
    </row>
    <row r="35" spans="13:14" x14ac:dyDescent="0.2">
      <c r="M35" s="271" t="s">
        <v>461</v>
      </c>
      <c r="N35" s="144"/>
    </row>
    <row r="36" spans="13:14" x14ac:dyDescent="0.2">
      <c r="M36" s="271" t="s">
        <v>460</v>
      </c>
    </row>
    <row r="37" spans="13:14" x14ac:dyDescent="0.2">
      <c r="M37" s="271" t="s">
        <v>459</v>
      </c>
    </row>
    <row r="38" spans="13:14" x14ac:dyDescent="0.2">
      <c r="M38" s="271" t="s">
        <v>458</v>
      </c>
    </row>
    <row r="39" spans="13:14" x14ac:dyDescent="0.2">
      <c r="M39" s="270" t="s">
        <v>457</v>
      </c>
    </row>
    <row r="41" spans="13:14" x14ac:dyDescent="0.2">
      <c r="M41" s="161" t="s">
        <v>373</v>
      </c>
    </row>
    <row r="42" spans="13:14" x14ac:dyDescent="0.2">
      <c r="N42" s="145"/>
    </row>
    <row r="43" spans="13:14" x14ac:dyDescent="0.2">
      <c r="M43" t="s">
        <v>456</v>
      </c>
      <c r="N43" s="143"/>
    </row>
    <row r="44" spans="13:14" x14ac:dyDescent="0.2">
      <c r="N44" s="144"/>
    </row>
    <row r="47" spans="13:14" ht="19" x14ac:dyDescent="0.25">
      <c r="M47" s="150" t="s">
        <v>303</v>
      </c>
    </row>
    <row r="48" spans="13:14" x14ac:dyDescent="0.2">
      <c r="M48" t="s">
        <v>295</v>
      </c>
    </row>
    <row r="49" spans="13:14" x14ac:dyDescent="0.2">
      <c r="N49" s="143"/>
    </row>
    <row r="50" spans="13:14" x14ac:dyDescent="0.2">
      <c r="M50" s="149"/>
      <c r="N50" s="143"/>
    </row>
    <row r="54" spans="13:14" x14ac:dyDescent="0.2">
      <c r="N54" s="143"/>
    </row>
  </sheetData>
  <mergeCells count="2">
    <mergeCell ref="O20:U20"/>
    <mergeCell ref="B4:I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C781C-22C4-9248-B278-86B6E9A52139}">
  <dimension ref="A1:Y50"/>
  <sheetViews>
    <sheetView zoomScaleNormal="100" workbookViewId="0"/>
  </sheetViews>
  <sheetFormatPr baseColWidth="10" defaultColWidth="11" defaultRowHeight="16" outlineLevelCol="1" x14ac:dyDescent="0.2"/>
  <cols>
    <col min="1" max="1" width="4" style="149" customWidth="1"/>
    <col min="2" max="2" width="11.5" customWidth="1"/>
    <col min="3" max="3" width="11.6640625" customWidth="1"/>
    <col min="12" max="18" width="10.83203125" hidden="1" customWidth="1" outlineLevel="1"/>
    <col min="19" max="19" width="11" collapsed="1"/>
  </cols>
  <sheetData>
    <row r="1" spans="1:15" x14ac:dyDescent="0.2">
      <c r="A1" s="313"/>
      <c r="B1" s="201" t="s">
        <v>711</v>
      </c>
      <c r="C1" s="200" t="s">
        <v>732</v>
      </c>
      <c r="D1" s="200" t="s">
        <v>710</v>
      </c>
      <c r="E1" s="200" t="s">
        <v>709</v>
      </c>
      <c r="F1" s="199"/>
      <c r="G1" s="199"/>
      <c r="H1" s="199"/>
      <c r="I1" s="199"/>
      <c r="J1" s="198"/>
      <c r="K1" s="180" t="s">
        <v>265</v>
      </c>
      <c r="L1" s="180"/>
    </row>
    <row r="2" spans="1:15" x14ac:dyDescent="0.2">
      <c r="A2" s="285"/>
      <c r="B2" s="312" t="s">
        <v>708</v>
      </c>
      <c r="C2" s="311">
        <v>2</v>
      </c>
      <c r="D2" s="157"/>
      <c r="E2" s="157"/>
      <c r="F2" s="157"/>
      <c r="G2" s="157"/>
      <c r="H2" s="157"/>
      <c r="I2" s="157"/>
      <c r="J2" s="156"/>
    </row>
    <row r="3" spans="1:15" x14ac:dyDescent="0.2">
      <c r="A3" s="285"/>
      <c r="B3" s="157"/>
      <c r="C3" s="157"/>
      <c r="D3" s="157"/>
      <c r="E3" s="157"/>
      <c r="F3" s="157"/>
      <c r="G3" s="157"/>
      <c r="H3" s="157"/>
      <c r="I3" s="157"/>
      <c r="J3" s="156"/>
      <c r="L3" s="180" t="s">
        <v>707</v>
      </c>
    </row>
    <row r="4" spans="1:15" x14ac:dyDescent="0.2">
      <c r="A4" s="285"/>
      <c r="B4" s="157"/>
      <c r="C4" s="157" t="s">
        <v>731</v>
      </c>
      <c r="D4" s="157"/>
      <c r="E4" s="157"/>
      <c r="F4" s="157"/>
      <c r="G4" s="157"/>
      <c r="H4" s="157"/>
      <c r="I4" s="157"/>
      <c r="J4" s="156"/>
    </row>
    <row r="5" spans="1:15" x14ac:dyDescent="0.2">
      <c r="A5" s="285"/>
      <c r="B5" s="157"/>
      <c r="C5" s="157" t="s">
        <v>730</v>
      </c>
      <c r="D5" s="157"/>
      <c r="E5" s="157"/>
      <c r="F5" s="157"/>
      <c r="G5" s="157"/>
      <c r="H5" s="157"/>
      <c r="I5" s="157"/>
      <c r="J5" s="156"/>
      <c r="L5" s="458" t="s">
        <v>729</v>
      </c>
      <c r="M5" s="459"/>
      <c r="N5" s="459"/>
      <c r="O5" s="459"/>
    </row>
    <row r="6" spans="1:15" x14ac:dyDescent="0.2">
      <c r="A6" s="285"/>
      <c r="B6" s="157"/>
      <c r="C6" s="157"/>
      <c r="D6" s="157"/>
      <c r="E6" s="157"/>
      <c r="F6" s="157"/>
      <c r="G6" s="157"/>
      <c r="H6" s="157"/>
      <c r="I6" s="157"/>
      <c r="J6" s="156"/>
      <c r="L6" s="319" t="s">
        <v>35</v>
      </c>
      <c r="M6" s="318">
        <v>12</v>
      </c>
      <c r="N6" s="318">
        <v>24</v>
      </c>
      <c r="O6" s="318">
        <v>36</v>
      </c>
    </row>
    <row r="7" spans="1:15" x14ac:dyDescent="0.2">
      <c r="A7" s="285"/>
      <c r="B7" s="157"/>
      <c r="C7" s="157"/>
      <c r="D7" s="427" t="s">
        <v>728</v>
      </c>
      <c r="E7" s="428"/>
      <c r="F7" s="428"/>
      <c r="G7" s="429"/>
      <c r="H7" s="157"/>
      <c r="I7" s="157"/>
      <c r="J7" s="156"/>
      <c r="L7" s="316">
        <v>2010</v>
      </c>
      <c r="M7" s="315">
        <f>LN(E9)</f>
        <v>12.206072645530174</v>
      </c>
      <c r="N7" s="315">
        <f>LN(F9-E9)</f>
        <v>10.126631103850338</v>
      </c>
      <c r="O7" s="315">
        <f>LN(G9-F9)</f>
        <v>10.126631103850338</v>
      </c>
    </row>
    <row r="8" spans="1:15" x14ac:dyDescent="0.2">
      <c r="A8" s="285"/>
      <c r="B8" s="157"/>
      <c r="C8" s="157"/>
      <c r="D8" s="268" t="s">
        <v>35</v>
      </c>
      <c r="E8" s="190">
        <v>12</v>
      </c>
      <c r="F8" s="190">
        <v>24</v>
      </c>
      <c r="G8" s="189">
        <v>36</v>
      </c>
      <c r="H8" s="157"/>
      <c r="I8" s="157"/>
      <c r="J8" s="156"/>
      <c r="L8" s="316">
        <v>2011</v>
      </c>
      <c r="M8" s="315">
        <f>LN(E10)</f>
        <v>12.611537753638338</v>
      </c>
      <c r="N8" s="315">
        <f>LN(F10-E10)</f>
        <v>10.126631103850338</v>
      </c>
    </row>
    <row r="9" spans="1:15" x14ac:dyDescent="0.2">
      <c r="A9" s="285"/>
      <c r="B9" s="157"/>
      <c r="C9" s="157"/>
      <c r="D9" s="184">
        <v>2010</v>
      </c>
      <c r="E9" s="323">
        <v>200000</v>
      </c>
      <c r="F9" s="323">
        <v>225000</v>
      </c>
      <c r="G9" s="322">
        <v>250000</v>
      </c>
      <c r="H9" s="157"/>
      <c r="I9" s="157"/>
      <c r="J9" s="156"/>
      <c r="L9" s="316">
        <v>2012</v>
      </c>
      <c r="M9" s="315">
        <f>LN(E11)</f>
        <v>13.017002861746503</v>
      </c>
    </row>
    <row r="10" spans="1:15" x14ac:dyDescent="0.2">
      <c r="A10" s="285"/>
      <c r="B10" s="157"/>
      <c r="C10" s="157"/>
      <c r="D10" s="183">
        <v>2011</v>
      </c>
      <c r="E10" s="242">
        <v>300000</v>
      </c>
      <c r="F10" s="242">
        <v>325000</v>
      </c>
      <c r="G10" s="245"/>
      <c r="H10" s="157"/>
      <c r="I10" s="157"/>
      <c r="J10" s="156"/>
      <c r="L10" s="180"/>
    </row>
    <row r="11" spans="1:15" x14ac:dyDescent="0.2">
      <c r="A11" s="285"/>
      <c r="B11" s="157"/>
      <c r="C11" s="157"/>
      <c r="D11" s="179">
        <v>2012</v>
      </c>
      <c r="E11" s="244">
        <v>450000</v>
      </c>
      <c r="F11" s="244"/>
      <c r="G11" s="243"/>
      <c r="H11" s="157"/>
      <c r="I11" s="157"/>
      <c r="J11" s="156"/>
      <c r="L11" s="180" t="s">
        <v>706</v>
      </c>
    </row>
    <row r="12" spans="1:15" x14ac:dyDescent="0.2">
      <c r="A12" s="285"/>
      <c r="B12" s="157"/>
      <c r="C12" s="157"/>
      <c r="D12" s="157"/>
      <c r="E12" s="157"/>
      <c r="F12" s="157"/>
      <c r="G12" s="157"/>
      <c r="H12" s="157"/>
      <c r="I12" s="157"/>
      <c r="J12" s="156"/>
      <c r="L12" s="458" t="s">
        <v>727</v>
      </c>
      <c r="M12" s="459"/>
      <c r="N12" s="459"/>
      <c r="O12" s="459"/>
    </row>
    <row r="13" spans="1:15" x14ac:dyDescent="0.2">
      <c r="A13" s="285" t="s">
        <v>0</v>
      </c>
      <c r="B13" s="206" t="s">
        <v>705</v>
      </c>
      <c r="C13" s="157" t="s">
        <v>726</v>
      </c>
      <c r="D13" s="157"/>
      <c r="E13" s="157"/>
      <c r="F13" s="157"/>
      <c r="G13" s="157"/>
      <c r="H13" s="157"/>
      <c r="I13" s="157"/>
      <c r="J13" s="156"/>
      <c r="L13" s="319" t="s">
        <v>35</v>
      </c>
      <c r="M13" s="318">
        <v>12</v>
      </c>
      <c r="N13" s="318">
        <v>24</v>
      </c>
      <c r="O13" s="318">
        <v>36</v>
      </c>
    </row>
    <row r="14" spans="1:15" x14ac:dyDescent="0.2">
      <c r="A14" s="285"/>
      <c r="B14" s="206"/>
      <c r="C14" s="157"/>
      <c r="D14" s="157"/>
      <c r="E14" s="157"/>
      <c r="F14" s="157"/>
      <c r="G14" s="157"/>
      <c r="H14" s="157"/>
      <c r="I14" s="157"/>
      <c r="J14" s="156"/>
      <c r="L14" s="316">
        <v>2010</v>
      </c>
      <c r="M14" s="310">
        <f>E9</f>
        <v>200000</v>
      </c>
      <c r="N14" s="321">
        <f>(170000-E9)</f>
        <v>-30000</v>
      </c>
      <c r="O14" s="310">
        <f>(G9-170000)</f>
        <v>80000</v>
      </c>
    </row>
    <row r="15" spans="1:15" x14ac:dyDescent="0.2">
      <c r="A15" s="285" t="s">
        <v>1</v>
      </c>
      <c r="B15" s="206" t="s">
        <v>704</v>
      </c>
      <c r="C15" s="157" t="s">
        <v>725</v>
      </c>
      <c r="D15" s="157"/>
      <c r="E15" s="157"/>
      <c r="F15" s="157"/>
      <c r="G15" s="157"/>
      <c r="H15" s="157"/>
      <c r="I15" s="157"/>
      <c r="J15" s="156"/>
      <c r="L15" s="316">
        <v>2011</v>
      </c>
      <c r="M15" s="310">
        <f>E10</f>
        <v>300000</v>
      </c>
      <c r="N15" s="320">
        <f>(F10-E10)</f>
        <v>25000</v>
      </c>
      <c r="O15" s="196"/>
    </row>
    <row r="16" spans="1:15" x14ac:dyDescent="0.2">
      <c r="A16" s="285"/>
      <c r="B16" s="206"/>
      <c r="C16" s="157" t="s">
        <v>724</v>
      </c>
      <c r="D16" s="157"/>
      <c r="E16" s="157"/>
      <c r="F16" s="157"/>
      <c r="G16" s="157"/>
      <c r="H16" s="157"/>
      <c r="I16" s="157"/>
      <c r="J16" s="156"/>
      <c r="L16" s="316">
        <v>2012</v>
      </c>
      <c r="M16" s="310">
        <f>E11</f>
        <v>450000</v>
      </c>
      <c r="N16" s="196"/>
      <c r="O16" s="196"/>
    </row>
    <row r="17" spans="1:18" x14ac:dyDescent="0.2">
      <c r="A17" s="285"/>
      <c r="B17" s="206"/>
      <c r="C17" s="157" t="s">
        <v>723</v>
      </c>
      <c r="D17" s="157"/>
      <c r="E17" s="157"/>
      <c r="F17" s="157"/>
      <c r="G17" s="157"/>
      <c r="H17" s="157"/>
      <c r="I17" s="157"/>
      <c r="J17" s="156"/>
    </row>
    <row r="18" spans="1:18" x14ac:dyDescent="0.2">
      <c r="A18" s="285"/>
      <c r="B18" s="206"/>
      <c r="C18" s="157"/>
      <c r="D18" s="157"/>
      <c r="E18" s="157"/>
      <c r="F18" s="157"/>
      <c r="G18" s="157"/>
      <c r="H18" s="157"/>
      <c r="I18" s="157"/>
      <c r="J18" s="156"/>
      <c r="L18" s="433" t="s">
        <v>722</v>
      </c>
      <c r="M18" s="433"/>
      <c r="N18" s="433"/>
      <c r="O18" s="433"/>
      <c r="P18" s="433"/>
      <c r="Q18" s="433"/>
      <c r="R18" s="433"/>
    </row>
    <row r="19" spans="1:18" x14ac:dyDescent="0.2">
      <c r="A19" s="285" t="s">
        <v>2</v>
      </c>
      <c r="B19" s="206" t="s">
        <v>705</v>
      </c>
      <c r="C19" s="157" t="s">
        <v>721</v>
      </c>
      <c r="D19" s="157"/>
      <c r="E19" s="157"/>
      <c r="F19" s="157"/>
      <c r="G19" s="157"/>
      <c r="H19" s="157"/>
      <c r="I19" s="157"/>
      <c r="J19" s="156"/>
      <c r="L19" s="433"/>
      <c r="M19" s="433"/>
      <c r="N19" s="433"/>
      <c r="O19" s="433"/>
      <c r="P19" s="433"/>
      <c r="Q19" s="433"/>
      <c r="R19" s="433"/>
    </row>
    <row r="20" spans="1:18" x14ac:dyDescent="0.2">
      <c r="A20" s="285"/>
      <c r="B20" s="171"/>
      <c r="C20" s="157" t="s">
        <v>720</v>
      </c>
      <c r="D20" s="157"/>
      <c r="E20" s="157"/>
      <c r="F20" s="157"/>
      <c r="G20" s="157"/>
      <c r="H20" s="157"/>
      <c r="I20" s="157"/>
      <c r="J20" s="156"/>
      <c r="L20" s="433"/>
      <c r="M20" s="433"/>
      <c r="N20" s="433"/>
      <c r="O20" s="433"/>
      <c r="P20" s="433"/>
      <c r="Q20" s="433"/>
      <c r="R20" s="433"/>
    </row>
    <row r="21" spans="1:18" x14ac:dyDescent="0.2">
      <c r="A21" s="285"/>
      <c r="B21" s="171"/>
      <c r="C21" s="157" t="s">
        <v>719</v>
      </c>
      <c r="D21" s="157"/>
      <c r="E21" s="157"/>
      <c r="F21" s="157"/>
      <c r="G21" s="157"/>
      <c r="H21" s="157"/>
      <c r="I21" s="157"/>
      <c r="J21" s="156"/>
    </row>
    <row r="22" spans="1:18" ht="17" thickBot="1" x14ac:dyDescent="0.25">
      <c r="A22" s="285"/>
      <c r="B22" s="171"/>
      <c r="C22" s="157"/>
      <c r="D22" s="157"/>
      <c r="E22" s="157"/>
      <c r="F22" s="157"/>
      <c r="G22" s="157"/>
      <c r="H22" s="157"/>
      <c r="I22" s="157"/>
      <c r="J22" s="156"/>
      <c r="L22" s="180" t="s">
        <v>718</v>
      </c>
    </row>
    <row r="23" spans="1:18" ht="17" thickBot="1" x14ac:dyDescent="0.25">
      <c r="A23" s="305" t="s">
        <v>266</v>
      </c>
      <c r="B23" s="154"/>
      <c r="C23" s="261"/>
      <c r="D23" s="154"/>
      <c r="E23" s="154"/>
      <c r="F23" s="154"/>
      <c r="G23" s="154"/>
      <c r="H23" s="154"/>
      <c r="I23" s="154"/>
      <c r="J23" s="153"/>
      <c r="L23" s="433" t="s">
        <v>717</v>
      </c>
      <c r="M23" s="433"/>
      <c r="N23" s="433"/>
      <c r="O23" s="433"/>
      <c r="P23" s="433"/>
      <c r="Q23" s="433"/>
      <c r="R23" s="433"/>
    </row>
    <row r="25" spans="1:18" ht="16" customHeight="1" x14ac:dyDescent="0.2">
      <c r="L25" s="148" t="s">
        <v>716</v>
      </c>
      <c r="M25" s="196">
        <f>N14</f>
        <v>-30000</v>
      </c>
    </row>
    <row r="26" spans="1:18" x14ac:dyDescent="0.2">
      <c r="L26" s="203"/>
      <c r="M26" s="203"/>
      <c r="N26" s="203"/>
      <c r="O26" s="203"/>
      <c r="P26" s="203"/>
      <c r="Q26" s="203"/>
      <c r="R26" s="203"/>
    </row>
    <row r="27" spans="1:18" x14ac:dyDescent="0.2">
      <c r="L27" s="458" t="s">
        <v>715</v>
      </c>
      <c r="M27" s="459"/>
      <c r="N27" s="459"/>
      <c r="O27" s="459"/>
    </row>
    <row r="28" spans="1:18" x14ac:dyDescent="0.2">
      <c r="L28" s="319" t="s">
        <v>35</v>
      </c>
      <c r="M28" s="318">
        <v>12</v>
      </c>
      <c r="N28" s="318">
        <v>24</v>
      </c>
      <c r="O28" s="318">
        <v>36</v>
      </c>
    </row>
    <row r="29" spans="1:18" x14ac:dyDescent="0.2">
      <c r="L29" s="316">
        <v>2010</v>
      </c>
      <c r="M29" s="310">
        <f>M14-$M$25</f>
        <v>230000</v>
      </c>
      <c r="N29" s="310">
        <f>N14-$M$25</f>
        <v>0</v>
      </c>
      <c r="O29" s="310">
        <f>O14-$M$25</f>
        <v>110000</v>
      </c>
    </row>
    <row r="30" spans="1:18" ht="15.75" customHeight="1" x14ac:dyDescent="0.2">
      <c r="L30" s="316">
        <v>2011</v>
      </c>
      <c r="M30" s="310">
        <f>M15-$M$25</f>
        <v>330000</v>
      </c>
      <c r="N30" s="310">
        <f>N15-$M$25</f>
        <v>55000</v>
      </c>
      <c r="O30" s="310"/>
    </row>
    <row r="31" spans="1:18" ht="15.75" customHeight="1" x14ac:dyDescent="0.2">
      <c r="L31" s="316">
        <v>2012</v>
      </c>
      <c r="M31" s="310">
        <f>M16-$M$25</f>
        <v>480000</v>
      </c>
      <c r="N31" s="310"/>
      <c r="O31" s="310"/>
    </row>
    <row r="33" spans="12:19" x14ac:dyDescent="0.2">
      <c r="L33" s="458" t="s">
        <v>714</v>
      </c>
      <c r="M33" s="459"/>
      <c r="N33" s="459"/>
      <c r="O33" s="459"/>
    </row>
    <row r="34" spans="12:19" x14ac:dyDescent="0.2">
      <c r="L34" s="319" t="s">
        <v>35</v>
      </c>
      <c r="M34" s="318">
        <v>12</v>
      </c>
      <c r="N34" s="318">
        <v>24</v>
      </c>
      <c r="O34" s="318">
        <v>36</v>
      </c>
    </row>
    <row r="35" spans="12:19" x14ac:dyDescent="0.2">
      <c r="L35" s="316">
        <v>2010</v>
      </c>
      <c r="M35" s="315">
        <f>LN(M29)</f>
        <v>12.345834587905333</v>
      </c>
      <c r="N35" s="317">
        <f>IFERROR(LN(N29),0)</f>
        <v>0</v>
      </c>
      <c r="O35" s="315">
        <f>LN(O29)</f>
        <v>11.608235644774552</v>
      </c>
    </row>
    <row r="36" spans="12:19" x14ac:dyDescent="0.2">
      <c r="L36" s="316">
        <v>2011</v>
      </c>
      <c r="M36" s="315">
        <f>LN(M30)</f>
        <v>12.706847933442663</v>
      </c>
      <c r="N36" s="315">
        <f>LN(N30)</f>
        <v>10.915088464214607</v>
      </c>
    </row>
    <row r="37" spans="12:19" x14ac:dyDescent="0.2">
      <c r="L37" s="316">
        <v>2012</v>
      </c>
      <c r="M37" s="315">
        <f>LN(M31)</f>
        <v>13.081541382884074</v>
      </c>
    </row>
    <row r="39" spans="12:19" x14ac:dyDescent="0.2">
      <c r="L39" s="457" t="s">
        <v>1039</v>
      </c>
      <c r="M39" s="457"/>
      <c r="N39" s="457"/>
      <c r="O39" s="457"/>
      <c r="P39" s="457"/>
      <c r="Q39" s="457"/>
      <c r="R39" s="457"/>
    </row>
    <row r="40" spans="12:19" x14ac:dyDescent="0.2">
      <c r="L40" s="457"/>
      <c r="M40" s="457"/>
      <c r="N40" s="457"/>
      <c r="O40" s="457"/>
      <c r="P40" s="457"/>
      <c r="Q40" s="457"/>
      <c r="R40" s="457"/>
    </row>
    <row r="42" spans="12:19" ht="19" x14ac:dyDescent="0.2">
      <c r="L42" s="308" t="s">
        <v>303</v>
      </c>
    </row>
    <row r="43" spans="12:19" x14ac:dyDescent="0.2">
      <c r="L43" s="307" t="s">
        <v>713</v>
      </c>
      <c r="M43" s="307"/>
      <c r="N43" s="307"/>
      <c r="O43" s="307"/>
      <c r="P43" s="307"/>
      <c r="Q43" s="307"/>
      <c r="R43" s="307"/>
      <c r="S43" s="314"/>
    </row>
    <row r="44" spans="12:19" x14ac:dyDescent="0.2">
      <c r="L44" s="307" t="s">
        <v>712</v>
      </c>
      <c r="M44" s="307"/>
      <c r="N44" s="307"/>
      <c r="O44" s="307"/>
      <c r="P44" s="307"/>
      <c r="Q44" s="307"/>
      <c r="R44" s="307"/>
    </row>
    <row r="48" spans="12:19" ht="21" customHeight="1" x14ac:dyDescent="0.2"/>
    <row r="49" spans="20:25" ht="15.75" customHeight="1" x14ac:dyDescent="0.2"/>
    <row r="50" spans="20:25" x14ac:dyDescent="0.2">
      <c r="T50" s="314"/>
      <c r="U50" s="314"/>
      <c r="V50" s="314"/>
      <c r="W50" s="314"/>
      <c r="X50" s="314"/>
      <c r="Y50" s="314"/>
    </row>
  </sheetData>
  <mergeCells count="8">
    <mergeCell ref="L5:O5"/>
    <mergeCell ref="L27:O27"/>
    <mergeCell ref="L33:O33"/>
    <mergeCell ref="L39:R40"/>
    <mergeCell ref="L23:R23"/>
    <mergeCell ref="L18:R20"/>
    <mergeCell ref="D7:G7"/>
    <mergeCell ref="L12:O12"/>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79891-948C-654B-B466-8354ADAE4E31}">
  <dimension ref="A1:S37"/>
  <sheetViews>
    <sheetView workbookViewId="0"/>
  </sheetViews>
  <sheetFormatPr baseColWidth="10" defaultColWidth="11" defaultRowHeight="16" outlineLevelCol="1" x14ac:dyDescent="0.2"/>
  <cols>
    <col min="1" max="1" width="4" style="149" customWidth="1"/>
    <col min="2" max="2" width="11.5" customWidth="1"/>
    <col min="12" max="18" width="10.83203125" hidden="1" customWidth="1" outlineLevel="1"/>
    <col min="19" max="19" width="11" collapsed="1"/>
  </cols>
  <sheetData>
    <row r="1" spans="1:19" x14ac:dyDescent="0.2">
      <c r="A1" s="313"/>
      <c r="B1" s="201" t="s">
        <v>711</v>
      </c>
      <c r="C1" s="200" t="s">
        <v>736</v>
      </c>
      <c r="D1" s="200" t="s">
        <v>710</v>
      </c>
      <c r="E1" s="200" t="s">
        <v>709</v>
      </c>
      <c r="F1" s="199"/>
      <c r="G1" s="199"/>
      <c r="H1" s="199"/>
      <c r="I1" s="199"/>
      <c r="J1" s="198"/>
      <c r="K1" s="180" t="s">
        <v>265</v>
      </c>
      <c r="L1" s="180"/>
    </row>
    <row r="2" spans="1:19" ht="19" x14ac:dyDescent="0.2">
      <c r="A2" s="285"/>
      <c r="B2" s="312" t="s">
        <v>708</v>
      </c>
      <c r="C2" s="311">
        <v>2</v>
      </c>
      <c r="D2" s="157"/>
      <c r="E2" s="157"/>
      <c r="F2" s="157"/>
      <c r="G2" s="157"/>
      <c r="H2" s="157"/>
      <c r="I2" s="157"/>
      <c r="J2" s="156"/>
      <c r="S2" s="308"/>
    </row>
    <row r="3" spans="1:19" x14ac:dyDescent="0.2">
      <c r="A3" s="285"/>
      <c r="B3" s="157"/>
      <c r="C3" s="157"/>
      <c r="D3" s="157"/>
      <c r="E3" s="157"/>
      <c r="F3" s="157"/>
      <c r="G3" s="157"/>
      <c r="H3" s="157"/>
      <c r="I3" s="157"/>
      <c r="J3" s="156"/>
      <c r="L3" s="457" t="s">
        <v>735</v>
      </c>
      <c r="M3" s="457"/>
      <c r="N3" s="457"/>
      <c r="O3" s="457"/>
      <c r="P3" s="457"/>
      <c r="Q3" s="457"/>
      <c r="R3" s="457"/>
    </row>
    <row r="4" spans="1:19" ht="15.75" customHeight="1" x14ac:dyDescent="0.2">
      <c r="A4" s="285"/>
      <c r="B4" s="157"/>
      <c r="C4" s="157" t="s">
        <v>734</v>
      </c>
      <c r="D4" s="157"/>
      <c r="E4" s="157"/>
      <c r="F4" s="157"/>
      <c r="G4" s="157"/>
      <c r="H4" s="157"/>
      <c r="I4" s="157"/>
      <c r="J4" s="156"/>
      <c r="L4" s="457"/>
      <c r="M4" s="457"/>
      <c r="N4" s="457"/>
      <c r="O4" s="457"/>
      <c r="P4" s="457"/>
      <c r="Q4" s="457"/>
      <c r="R4" s="457"/>
    </row>
    <row r="5" spans="1:19" x14ac:dyDescent="0.2">
      <c r="A5" s="285"/>
      <c r="B5" s="157"/>
      <c r="C5" s="157" t="s">
        <v>1052</v>
      </c>
      <c r="D5" s="157"/>
      <c r="E5" s="157"/>
      <c r="F5" s="157"/>
      <c r="G5" s="157"/>
      <c r="H5" s="157"/>
      <c r="I5" s="157"/>
      <c r="J5" s="156"/>
      <c r="L5" s="457"/>
      <c r="M5" s="457"/>
      <c r="N5" s="457"/>
      <c r="O5" s="457"/>
      <c r="P5" s="457"/>
      <c r="Q5" s="457"/>
      <c r="R5" s="457"/>
    </row>
    <row r="6" spans="1:19" ht="17" thickBot="1" x14ac:dyDescent="0.25">
      <c r="A6" s="285"/>
      <c r="B6" s="157"/>
      <c r="C6" s="157"/>
      <c r="D6" s="157"/>
      <c r="E6" s="157"/>
      <c r="F6" s="157"/>
      <c r="G6" s="157"/>
      <c r="H6" s="157"/>
      <c r="I6" s="157"/>
      <c r="J6" s="156"/>
      <c r="L6" s="457"/>
      <c r="M6" s="457"/>
      <c r="N6" s="457"/>
      <c r="O6" s="457"/>
      <c r="P6" s="457"/>
      <c r="Q6" s="457"/>
      <c r="R6" s="457"/>
    </row>
    <row r="7" spans="1:19" ht="17" thickBot="1" x14ac:dyDescent="0.25">
      <c r="A7" s="305" t="s">
        <v>266</v>
      </c>
      <c r="B7" s="154"/>
      <c r="C7" s="261"/>
      <c r="D7" s="154"/>
      <c r="E7" s="154"/>
      <c r="F7" s="154"/>
      <c r="G7" s="154"/>
      <c r="H7" s="154"/>
      <c r="I7" s="154"/>
      <c r="J7" s="153"/>
      <c r="L7" s="457"/>
      <c r="M7" s="457"/>
      <c r="N7" s="457"/>
      <c r="O7" s="457"/>
      <c r="P7" s="457"/>
      <c r="Q7" s="457"/>
      <c r="R7" s="457"/>
    </row>
    <row r="8" spans="1:19" x14ac:dyDescent="0.2">
      <c r="L8" s="457"/>
      <c r="M8" s="457"/>
      <c r="N8" s="457"/>
      <c r="O8" s="457"/>
      <c r="P8" s="457"/>
      <c r="Q8" s="457"/>
      <c r="R8" s="457"/>
    </row>
    <row r="9" spans="1:19" x14ac:dyDescent="0.2">
      <c r="L9" s="457"/>
      <c r="M9" s="457"/>
      <c r="N9" s="457"/>
      <c r="O9" s="457"/>
      <c r="P9" s="457"/>
      <c r="Q9" s="457"/>
      <c r="R9" s="457"/>
    </row>
    <row r="10" spans="1:19" x14ac:dyDescent="0.2">
      <c r="L10" s="457"/>
      <c r="M10" s="457"/>
      <c r="N10" s="457"/>
      <c r="O10" s="457"/>
      <c r="P10" s="457"/>
      <c r="Q10" s="457"/>
      <c r="R10" s="457"/>
    </row>
    <row r="11" spans="1:19" x14ac:dyDescent="0.2">
      <c r="L11" s="457"/>
      <c r="M11" s="457"/>
      <c r="N11" s="457"/>
      <c r="O11" s="457"/>
      <c r="P11" s="457"/>
      <c r="Q11" s="457"/>
      <c r="R11" s="457"/>
    </row>
    <row r="12" spans="1:19" x14ac:dyDescent="0.2">
      <c r="L12" s="457"/>
      <c r="M12" s="457"/>
      <c r="N12" s="457"/>
      <c r="O12" s="457"/>
      <c r="P12" s="457"/>
      <c r="Q12" s="457"/>
      <c r="R12" s="457"/>
    </row>
    <row r="13" spans="1:19" x14ac:dyDescent="0.2">
      <c r="L13" s="457"/>
      <c r="M13" s="457"/>
      <c r="N13" s="457"/>
      <c r="O13" s="457"/>
      <c r="P13" s="457"/>
      <c r="Q13" s="457"/>
      <c r="R13" s="457"/>
    </row>
    <row r="14" spans="1:19" x14ac:dyDescent="0.2">
      <c r="L14" s="457"/>
      <c r="M14" s="457"/>
      <c r="N14" s="457"/>
      <c r="O14" s="457"/>
      <c r="P14" s="457"/>
      <c r="Q14" s="457"/>
      <c r="R14" s="457"/>
    </row>
    <row r="15" spans="1:19" x14ac:dyDescent="0.2">
      <c r="L15" s="457"/>
      <c r="M15" s="457"/>
      <c r="N15" s="457"/>
      <c r="O15" s="457"/>
      <c r="P15" s="457"/>
      <c r="Q15" s="457"/>
      <c r="R15" s="457"/>
    </row>
    <row r="16" spans="1:19" x14ac:dyDescent="0.2">
      <c r="L16" s="457"/>
      <c r="M16" s="457"/>
      <c r="N16" s="457"/>
      <c r="O16" s="457"/>
      <c r="P16" s="457"/>
      <c r="Q16" s="457"/>
      <c r="R16" s="457"/>
    </row>
    <row r="17" spans="12:18" x14ac:dyDescent="0.2">
      <c r="L17" s="457"/>
      <c r="M17" s="457"/>
      <c r="N17" s="457"/>
      <c r="O17" s="457"/>
      <c r="P17" s="457"/>
      <c r="Q17" s="457"/>
      <c r="R17" s="457"/>
    </row>
    <row r="18" spans="12:18" x14ac:dyDescent="0.2">
      <c r="L18" s="314"/>
      <c r="M18" s="314"/>
      <c r="N18" s="314"/>
      <c r="O18" s="314"/>
      <c r="P18" s="314"/>
      <c r="Q18" s="314"/>
      <c r="R18" s="314"/>
    </row>
    <row r="20" spans="12:18" ht="19" x14ac:dyDescent="0.25">
      <c r="L20" s="197" t="s">
        <v>262</v>
      </c>
    </row>
    <row r="21" spans="12:18" x14ac:dyDescent="0.2">
      <c r="L21" s="457" t="s">
        <v>733</v>
      </c>
      <c r="M21" s="457"/>
      <c r="N21" s="457"/>
      <c r="O21" s="457"/>
      <c r="P21" s="457"/>
      <c r="Q21" s="457"/>
      <c r="R21" s="457"/>
    </row>
    <row r="22" spans="12:18" x14ac:dyDescent="0.2">
      <c r="L22" s="457"/>
      <c r="M22" s="457"/>
      <c r="N22" s="457"/>
      <c r="O22" s="457"/>
      <c r="P22" s="457"/>
      <c r="Q22" s="457"/>
      <c r="R22" s="457"/>
    </row>
    <row r="23" spans="12:18" x14ac:dyDescent="0.2">
      <c r="L23" s="457"/>
      <c r="M23" s="457"/>
      <c r="N23" s="457"/>
      <c r="O23" s="457"/>
      <c r="P23" s="457"/>
      <c r="Q23" s="457"/>
      <c r="R23" s="457"/>
    </row>
    <row r="24" spans="12:18" x14ac:dyDescent="0.2">
      <c r="L24" s="457"/>
      <c r="M24" s="457"/>
      <c r="N24" s="457"/>
      <c r="O24" s="457"/>
      <c r="P24" s="457"/>
      <c r="Q24" s="457"/>
      <c r="R24" s="457"/>
    </row>
    <row r="25" spans="12:18" x14ac:dyDescent="0.2">
      <c r="L25" s="457"/>
      <c r="M25" s="457"/>
      <c r="N25" s="457"/>
      <c r="O25" s="457"/>
      <c r="P25" s="457"/>
      <c r="Q25" s="457"/>
      <c r="R25" s="457"/>
    </row>
    <row r="26" spans="12:18" x14ac:dyDescent="0.2">
      <c r="L26" s="457"/>
      <c r="M26" s="457"/>
      <c r="N26" s="457"/>
      <c r="O26" s="457"/>
      <c r="P26" s="457"/>
      <c r="Q26" s="457"/>
      <c r="R26" s="457"/>
    </row>
    <row r="27" spans="12:18" x14ac:dyDescent="0.2">
      <c r="L27" s="457"/>
      <c r="M27" s="457"/>
      <c r="N27" s="457"/>
      <c r="O27" s="457"/>
      <c r="P27" s="457"/>
      <c r="Q27" s="457"/>
      <c r="R27" s="457"/>
    </row>
    <row r="28" spans="12:18" x14ac:dyDescent="0.2">
      <c r="L28" s="457"/>
      <c r="M28" s="457"/>
      <c r="N28" s="457"/>
      <c r="O28" s="457"/>
      <c r="P28" s="457"/>
      <c r="Q28" s="457"/>
      <c r="R28" s="457"/>
    </row>
    <row r="29" spans="12:18" x14ac:dyDescent="0.2">
      <c r="L29" s="457"/>
      <c r="M29" s="457"/>
      <c r="N29" s="457"/>
      <c r="O29" s="457"/>
      <c r="P29" s="457"/>
      <c r="Q29" s="457"/>
      <c r="R29" s="457"/>
    </row>
    <row r="30" spans="12:18" x14ac:dyDescent="0.2">
      <c r="L30" s="457"/>
      <c r="M30" s="457"/>
      <c r="N30" s="457"/>
      <c r="O30" s="457"/>
      <c r="P30" s="457"/>
      <c r="Q30" s="457"/>
      <c r="R30" s="457"/>
    </row>
    <row r="31" spans="12:18" x14ac:dyDescent="0.2">
      <c r="L31" s="457"/>
      <c r="M31" s="457"/>
      <c r="N31" s="457"/>
      <c r="O31" s="457"/>
      <c r="P31" s="457"/>
      <c r="Q31" s="457"/>
      <c r="R31" s="457"/>
    </row>
    <row r="32" spans="12:18" x14ac:dyDescent="0.2">
      <c r="L32" s="457"/>
      <c r="M32" s="457"/>
      <c r="N32" s="457"/>
      <c r="O32" s="457"/>
      <c r="P32" s="457"/>
      <c r="Q32" s="457"/>
      <c r="R32" s="457"/>
    </row>
    <row r="33" spans="12:18" x14ac:dyDescent="0.2">
      <c r="L33" s="457"/>
      <c r="M33" s="457"/>
      <c r="N33" s="457"/>
      <c r="O33" s="457"/>
      <c r="P33" s="457"/>
      <c r="Q33" s="457"/>
      <c r="R33" s="457"/>
    </row>
    <row r="34" spans="12:18" x14ac:dyDescent="0.2">
      <c r="L34" s="457"/>
      <c r="M34" s="457"/>
      <c r="N34" s="457"/>
      <c r="O34" s="457"/>
      <c r="P34" s="457"/>
      <c r="Q34" s="457"/>
      <c r="R34" s="457"/>
    </row>
    <row r="35" spans="12:18" x14ac:dyDescent="0.2">
      <c r="L35" s="457"/>
      <c r="M35" s="457"/>
      <c r="N35" s="457"/>
      <c r="O35" s="457"/>
      <c r="P35" s="457"/>
      <c r="Q35" s="457"/>
      <c r="R35" s="457"/>
    </row>
    <row r="36" spans="12:18" x14ac:dyDescent="0.2">
      <c r="L36" s="457"/>
      <c r="M36" s="457"/>
      <c r="N36" s="457"/>
      <c r="O36" s="457"/>
      <c r="P36" s="457"/>
      <c r="Q36" s="457"/>
      <c r="R36" s="457"/>
    </row>
    <row r="37" spans="12:18" x14ac:dyDescent="0.2">
      <c r="L37" s="457"/>
      <c r="M37" s="457"/>
      <c r="N37" s="457"/>
      <c r="O37" s="457"/>
      <c r="P37" s="457"/>
      <c r="Q37" s="457"/>
      <c r="R37" s="457"/>
    </row>
  </sheetData>
  <mergeCells count="2">
    <mergeCell ref="L3:R17"/>
    <mergeCell ref="L21:R3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7562-1915-F046-8D83-73F583AC29C1}">
  <dimension ref="A1:S32"/>
  <sheetViews>
    <sheetView workbookViewId="0">
      <selection activeCell="B1" sqref="B1"/>
    </sheetView>
  </sheetViews>
  <sheetFormatPr baseColWidth="10" defaultColWidth="11" defaultRowHeight="16" outlineLevelCol="1" x14ac:dyDescent="0.2"/>
  <cols>
    <col min="1" max="1" width="4" style="149" customWidth="1"/>
    <col min="2" max="2" width="11.5" customWidth="1"/>
    <col min="12" max="18" width="10.83203125" hidden="1" customWidth="1" outlineLevel="1"/>
    <col min="19" max="19" width="11.6640625" bestFit="1" customWidth="1" collapsed="1"/>
  </cols>
  <sheetData>
    <row r="1" spans="1:19" x14ac:dyDescent="0.2">
      <c r="A1" s="313"/>
      <c r="B1" s="201" t="s">
        <v>711</v>
      </c>
      <c r="C1" s="200" t="s">
        <v>736</v>
      </c>
      <c r="D1" s="200" t="s">
        <v>710</v>
      </c>
      <c r="E1" s="200" t="s">
        <v>746</v>
      </c>
      <c r="F1" s="199"/>
      <c r="G1" s="199"/>
      <c r="H1" s="199"/>
      <c r="I1" s="199"/>
      <c r="J1" s="198"/>
      <c r="K1" s="180" t="s">
        <v>265</v>
      </c>
      <c r="L1" s="180"/>
    </row>
    <row r="2" spans="1:19" ht="19" x14ac:dyDescent="0.2">
      <c r="A2" s="285"/>
      <c r="B2" s="312" t="s">
        <v>708</v>
      </c>
      <c r="C2" s="311">
        <v>2</v>
      </c>
      <c r="D2" s="157"/>
      <c r="E2" s="157"/>
      <c r="F2" s="157"/>
      <c r="G2" s="157"/>
      <c r="H2" s="157"/>
      <c r="I2" s="157"/>
      <c r="J2" s="156"/>
      <c r="S2" s="308"/>
    </row>
    <row r="3" spans="1:19" ht="16" customHeight="1" x14ac:dyDescent="0.2">
      <c r="A3" s="285"/>
      <c r="B3" s="157"/>
      <c r="C3" s="157"/>
      <c r="D3" s="157"/>
      <c r="E3" s="157"/>
      <c r="F3" s="157"/>
      <c r="G3" s="157"/>
      <c r="H3" s="157"/>
      <c r="I3" s="157"/>
      <c r="J3" s="156"/>
      <c r="L3" s="433" t="s">
        <v>745</v>
      </c>
      <c r="M3" s="433"/>
      <c r="N3" s="433"/>
      <c r="O3" s="433"/>
      <c r="P3" s="433"/>
      <c r="Q3" s="433"/>
      <c r="R3" s="433"/>
    </row>
    <row r="4" spans="1:19" ht="15.75" customHeight="1" x14ac:dyDescent="0.2">
      <c r="A4" s="285"/>
      <c r="B4" s="157"/>
      <c r="C4" s="157" t="s">
        <v>744</v>
      </c>
      <c r="D4" s="157"/>
      <c r="E4" s="157"/>
      <c r="F4" s="157"/>
      <c r="G4" s="157"/>
      <c r="H4" s="157"/>
      <c r="I4" s="157"/>
      <c r="J4" s="156"/>
      <c r="L4" s="433"/>
      <c r="M4" s="433"/>
      <c r="N4" s="433"/>
      <c r="O4" s="433"/>
      <c r="P4" s="433"/>
      <c r="Q4" s="433"/>
      <c r="R4" s="433"/>
    </row>
    <row r="5" spans="1:19" x14ac:dyDescent="0.2">
      <c r="A5" s="285"/>
      <c r="B5" s="157"/>
      <c r="C5" s="157"/>
      <c r="D5" s="157"/>
      <c r="E5" s="157"/>
      <c r="F5" s="157"/>
      <c r="G5" s="157"/>
      <c r="H5" s="157"/>
      <c r="I5" s="157"/>
      <c r="J5" s="156"/>
      <c r="L5" s="433"/>
      <c r="M5" s="433"/>
      <c r="N5" s="433"/>
      <c r="O5" s="433"/>
      <c r="P5" s="433"/>
      <c r="Q5" s="433"/>
      <c r="R5" s="433"/>
    </row>
    <row r="6" spans="1:19" ht="16" customHeight="1" x14ac:dyDescent="0.2">
      <c r="A6" s="285"/>
      <c r="B6" s="157"/>
      <c r="C6" s="445" t="s">
        <v>743</v>
      </c>
      <c r="D6" s="442" t="s">
        <v>742</v>
      </c>
      <c r="E6" s="439" t="s">
        <v>741</v>
      </c>
      <c r="F6" s="436" t="s">
        <v>740</v>
      </c>
      <c r="G6" s="157"/>
      <c r="H6" s="157"/>
      <c r="I6" s="157"/>
      <c r="J6" s="156"/>
      <c r="L6" s="433"/>
      <c r="M6" s="433"/>
      <c r="N6" s="433"/>
      <c r="O6" s="433"/>
      <c r="P6" s="433"/>
      <c r="Q6" s="433"/>
      <c r="R6" s="433"/>
    </row>
    <row r="7" spans="1:19" x14ac:dyDescent="0.2">
      <c r="A7" s="285"/>
      <c r="B7" s="157"/>
      <c r="C7" s="431"/>
      <c r="D7" s="444"/>
      <c r="E7" s="441"/>
      <c r="F7" s="438"/>
      <c r="G7" s="157"/>
      <c r="H7" s="157"/>
      <c r="I7" s="157"/>
      <c r="J7" s="156"/>
      <c r="L7" s="433"/>
      <c r="M7" s="433"/>
      <c r="N7" s="433"/>
      <c r="O7" s="433"/>
      <c r="P7" s="433"/>
      <c r="Q7" s="433"/>
      <c r="R7" s="433"/>
    </row>
    <row r="8" spans="1:19" x14ac:dyDescent="0.2">
      <c r="A8" s="285"/>
      <c r="B8" s="157"/>
      <c r="C8" s="183">
        <v>2008</v>
      </c>
      <c r="D8" s="171">
        <v>63</v>
      </c>
      <c r="E8" s="171">
        <v>35</v>
      </c>
      <c r="F8" s="228">
        <v>0.55600000000000005</v>
      </c>
      <c r="G8" s="157"/>
      <c r="H8" s="157"/>
      <c r="I8" s="157"/>
      <c r="J8" s="156"/>
      <c r="L8" s="433"/>
      <c r="M8" s="433"/>
      <c r="N8" s="433"/>
      <c r="O8" s="433"/>
      <c r="P8" s="433"/>
      <c r="Q8" s="433"/>
      <c r="R8" s="433"/>
    </row>
    <row r="9" spans="1:19" x14ac:dyDescent="0.2">
      <c r="A9" s="285"/>
      <c r="B9" s="157"/>
      <c r="C9" s="183">
        <v>2009</v>
      </c>
      <c r="D9" s="171">
        <v>632</v>
      </c>
      <c r="E9" s="171">
        <v>260</v>
      </c>
      <c r="F9" s="228">
        <v>0.41099999999999998</v>
      </c>
      <c r="G9" s="157"/>
      <c r="H9" s="157"/>
      <c r="I9" s="157"/>
      <c r="J9" s="156"/>
      <c r="L9" s="433"/>
      <c r="M9" s="433"/>
      <c r="N9" s="433"/>
      <c r="O9" s="433"/>
      <c r="P9" s="433"/>
      <c r="Q9" s="433"/>
      <c r="R9" s="433"/>
    </row>
    <row r="10" spans="1:19" x14ac:dyDescent="0.2">
      <c r="A10" s="285"/>
      <c r="B10" s="157"/>
      <c r="C10" s="183">
        <v>2010</v>
      </c>
      <c r="D10" s="242">
        <v>2130</v>
      </c>
      <c r="E10" s="171">
        <v>641</v>
      </c>
      <c r="F10" s="228">
        <v>0.30099999999999999</v>
      </c>
      <c r="G10" s="157"/>
      <c r="H10" s="157"/>
      <c r="I10" s="157"/>
      <c r="J10" s="156"/>
      <c r="L10" s="433"/>
      <c r="M10" s="433"/>
      <c r="N10" s="433"/>
      <c r="O10" s="433"/>
      <c r="P10" s="433"/>
      <c r="Q10" s="433"/>
      <c r="R10" s="433"/>
    </row>
    <row r="11" spans="1:19" x14ac:dyDescent="0.2">
      <c r="A11" s="285"/>
      <c r="B11" s="157"/>
      <c r="C11" s="183">
        <v>2011</v>
      </c>
      <c r="D11" s="242">
        <v>4721</v>
      </c>
      <c r="E11" s="242">
        <v>1265</v>
      </c>
      <c r="F11" s="228">
        <v>0.26800000000000002</v>
      </c>
      <c r="G11" s="157"/>
      <c r="H11" s="157"/>
      <c r="I11" s="157"/>
      <c r="J11" s="156"/>
      <c r="L11" s="433"/>
      <c r="M11" s="433"/>
      <c r="N11" s="433"/>
      <c r="O11" s="433"/>
      <c r="P11" s="433"/>
      <c r="Q11" s="433"/>
      <c r="R11" s="433"/>
    </row>
    <row r="12" spans="1:19" x14ac:dyDescent="0.2">
      <c r="A12" s="285"/>
      <c r="B12" s="157"/>
      <c r="C12" s="183">
        <v>2012</v>
      </c>
      <c r="D12" s="242">
        <v>7011</v>
      </c>
      <c r="E12" s="242">
        <v>2825</v>
      </c>
      <c r="F12" s="228">
        <v>0.40300000000000002</v>
      </c>
      <c r="G12" s="157"/>
      <c r="H12" s="157"/>
      <c r="I12" s="157"/>
      <c r="J12" s="156"/>
      <c r="L12" s="433"/>
      <c r="M12" s="433"/>
      <c r="N12" s="433"/>
      <c r="O12" s="433"/>
      <c r="P12" s="433"/>
      <c r="Q12" s="433"/>
      <c r="R12" s="433"/>
    </row>
    <row r="13" spans="1:19" x14ac:dyDescent="0.2">
      <c r="A13" s="285"/>
      <c r="B13" s="171"/>
      <c r="C13" s="268" t="s">
        <v>739</v>
      </c>
      <c r="D13" s="324">
        <v>14557</v>
      </c>
      <c r="E13" s="324">
        <v>4024</v>
      </c>
      <c r="F13" s="189">
        <v>0.27600000000000002</v>
      </c>
      <c r="G13" s="157"/>
      <c r="H13" s="157"/>
      <c r="I13" s="157"/>
      <c r="J13" s="156"/>
      <c r="L13" s="433"/>
      <c r="M13" s="433"/>
      <c r="N13" s="433"/>
      <c r="O13" s="433"/>
      <c r="P13" s="433"/>
      <c r="Q13" s="433"/>
      <c r="R13" s="433"/>
    </row>
    <row r="14" spans="1:19" x14ac:dyDescent="0.2">
      <c r="A14" s="285"/>
      <c r="B14" s="171"/>
      <c r="C14" s="157"/>
      <c r="D14" s="157"/>
      <c r="E14" s="157"/>
      <c r="F14" s="157"/>
      <c r="G14" s="157"/>
      <c r="H14" s="157"/>
      <c r="I14" s="157"/>
      <c r="J14" s="156"/>
      <c r="L14" s="433"/>
      <c r="M14" s="433"/>
      <c r="N14" s="433"/>
      <c r="O14" s="433"/>
      <c r="P14" s="433"/>
      <c r="Q14" s="433"/>
      <c r="R14" s="433"/>
    </row>
    <row r="15" spans="1:19" x14ac:dyDescent="0.2">
      <c r="A15" s="285"/>
      <c r="B15" s="171"/>
      <c r="C15" s="157" t="s">
        <v>738</v>
      </c>
      <c r="D15" s="157"/>
      <c r="E15" s="157"/>
      <c r="F15" s="157"/>
      <c r="G15" s="157"/>
      <c r="H15" s="157"/>
      <c r="I15" s="157"/>
      <c r="J15" s="156"/>
      <c r="L15" s="433"/>
      <c r="M15" s="433"/>
      <c r="N15" s="433"/>
      <c r="O15" s="433"/>
      <c r="P15" s="433"/>
      <c r="Q15" s="433"/>
      <c r="R15" s="433"/>
    </row>
    <row r="16" spans="1:19" ht="17" thickBot="1" x14ac:dyDescent="0.25">
      <c r="A16" s="285"/>
      <c r="B16" s="171"/>
      <c r="C16" s="157"/>
      <c r="D16" s="157"/>
      <c r="E16" s="157"/>
      <c r="F16" s="157"/>
      <c r="G16" s="157"/>
      <c r="H16" s="157"/>
      <c r="I16" s="157"/>
      <c r="J16" s="156"/>
      <c r="L16" s="433"/>
      <c r="M16" s="433"/>
      <c r="N16" s="433"/>
      <c r="O16" s="433"/>
      <c r="P16" s="433"/>
      <c r="Q16" s="433"/>
      <c r="R16" s="433"/>
    </row>
    <row r="17" spans="1:18" ht="17" thickBot="1" x14ac:dyDescent="0.25">
      <c r="A17" s="305" t="s">
        <v>266</v>
      </c>
      <c r="B17" s="154"/>
      <c r="C17" s="261"/>
      <c r="D17" s="154"/>
      <c r="E17" s="154"/>
      <c r="F17" s="154"/>
      <c r="G17" s="154"/>
      <c r="H17" s="154"/>
      <c r="I17" s="154"/>
      <c r="J17" s="153"/>
      <c r="L17" s="433"/>
      <c r="M17" s="433"/>
      <c r="N17" s="433"/>
      <c r="O17" s="433"/>
      <c r="P17" s="433"/>
      <c r="Q17" s="433"/>
      <c r="R17" s="433"/>
    </row>
    <row r="18" spans="1:18" x14ac:dyDescent="0.2">
      <c r="L18" s="433"/>
      <c r="M18" s="433"/>
      <c r="N18" s="433"/>
      <c r="O18" s="433"/>
      <c r="P18" s="433"/>
      <c r="Q18" s="433"/>
      <c r="R18" s="433"/>
    </row>
    <row r="19" spans="1:18" x14ac:dyDescent="0.2">
      <c r="L19" s="433"/>
      <c r="M19" s="433"/>
      <c r="N19" s="433"/>
      <c r="O19" s="433"/>
      <c r="P19" s="433"/>
      <c r="Q19" s="433"/>
      <c r="R19" s="433"/>
    </row>
    <row r="22" spans="1:18" ht="19" x14ac:dyDescent="0.25">
      <c r="L22" s="197" t="s">
        <v>262</v>
      </c>
    </row>
    <row r="23" spans="1:18" x14ac:dyDescent="0.2">
      <c r="L23" s="457" t="s">
        <v>737</v>
      </c>
      <c r="M23" s="457"/>
      <c r="N23" s="457"/>
      <c r="O23" s="457"/>
      <c r="P23" s="457"/>
      <c r="Q23" s="457"/>
      <c r="R23" s="457"/>
    </row>
    <row r="24" spans="1:18" x14ac:dyDescent="0.2">
      <c r="L24" s="457"/>
      <c r="M24" s="457"/>
      <c r="N24" s="457"/>
      <c r="O24" s="457"/>
      <c r="P24" s="457"/>
      <c r="Q24" s="457"/>
      <c r="R24" s="457"/>
    </row>
    <row r="25" spans="1:18" x14ac:dyDescent="0.2">
      <c r="L25" s="457"/>
      <c r="M25" s="457"/>
      <c r="N25" s="457"/>
      <c r="O25" s="457"/>
      <c r="P25" s="457"/>
      <c r="Q25" s="457"/>
      <c r="R25" s="457"/>
    </row>
    <row r="26" spans="1:18" x14ac:dyDescent="0.2">
      <c r="L26" s="457"/>
      <c r="M26" s="457"/>
      <c r="N26" s="457"/>
      <c r="O26" s="457"/>
      <c r="P26" s="457"/>
      <c r="Q26" s="457"/>
      <c r="R26" s="457"/>
    </row>
    <row r="27" spans="1:18" x14ac:dyDescent="0.2">
      <c r="L27" s="457"/>
      <c r="M27" s="457"/>
      <c r="N27" s="457"/>
      <c r="O27" s="457"/>
      <c r="P27" s="457"/>
      <c r="Q27" s="457"/>
      <c r="R27" s="457"/>
    </row>
    <row r="28" spans="1:18" x14ac:dyDescent="0.2">
      <c r="L28" s="457"/>
      <c r="M28" s="457"/>
      <c r="N28" s="457"/>
      <c r="O28" s="457"/>
      <c r="P28" s="457"/>
      <c r="Q28" s="457"/>
      <c r="R28" s="457"/>
    </row>
    <row r="29" spans="1:18" x14ac:dyDescent="0.2">
      <c r="L29" s="457"/>
      <c r="M29" s="457"/>
      <c r="N29" s="457"/>
      <c r="O29" s="457"/>
      <c r="P29" s="457"/>
      <c r="Q29" s="457"/>
      <c r="R29" s="457"/>
    </row>
    <row r="30" spans="1:18" x14ac:dyDescent="0.2">
      <c r="L30" s="457"/>
      <c r="M30" s="457"/>
      <c r="N30" s="457"/>
      <c r="O30" s="457"/>
      <c r="P30" s="457"/>
      <c r="Q30" s="457"/>
      <c r="R30" s="457"/>
    </row>
    <row r="31" spans="1:18" x14ac:dyDescent="0.2">
      <c r="L31" s="457"/>
      <c r="M31" s="457"/>
      <c r="N31" s="457"/>
      <c r="O31" s="457"/>
      <c r="P31" s="457"/>
      <c r="Q31" s="457"/>
      <c r="R31" s="457"/>
    </row>
    <row r="32" spans="1:18" x14ac:dyDescent="0.2">
      <c r="L32" s="457"/>
      <c r="M32" s="457"/>
      <c r="N32" s="457"/>
      <c r="O32" s="457"/>
      <c r="P32" s="457"/>
      <c r="Q32" s="457"/>
      <c r="R32" s="457"/>
    </row>
  </sheetData>
  <mergeCells count="6">
    <mergeCell ref="L23:R32"/>
    <mergeCell ref="C6:C7"/>
    <mergeCell ref="D6:D7"/>
    <mergeCell ref="E6:E7"/>
    <mergeCell ref="F6:F7"/>
    <mergeCell ref="L3:R1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49CD-54DC-4D4B-8580-7FEAF282B687}">
  <dimension ref="A1:S42"/>
  <sheetViews>
    <sheetView workbookViewId="0">
      <selection activeCell="B1" sqref="B1"/>
    </sheetView>
  </sheetViews>
  <sheetFormatPr baseColWidth="10" defaultColWidth="11" defaultRowHeight="16" outlineLevelCol="1" x14ac:dyDescent="0.2"/>
  <cols>
    <col min="1" max="1" width="4" style="149" customWidth="1"/>
    <col min="2" max="2" width="11.5" customWidth="1"/>
    <col min="12" max="18" width="10.83203125" hidden="1" customWidth="1" outlineLevel="1"/>
    <col min="19" max="19" width="11" collapsed="1"/>
  </cols>
  <sheetData>
    <row r="1" spans="1:18" x14ac:dyDescent="0.2">
      <c r="A1" s="313"/>
      <c r="B1" s="201" t="s">
        <v>711</v>
      </c>
      <c r="C1" s="200" t="s">
        <v>760</v>
      </c>
      <c r="D1" s="200" t="s">
        <v>710</v>
      </c>
      <c r="E1" s="200" t="s">
        <v>759</v>
      </c>
      <c r="F1" s="199"/>
      <c r="G1" s="199"/>
      <c r="H1" s="199"/>
      <c r="I1" s="199"/>
      <c r="J1" s="198"/>
      <c r="K1" s="180" t="s">
        <v>265</v>
      </c>
      <c r="L1" s="180"/>
    </row>
    <row r="2" spans="1:18" x14ac:dyDescent="0.2">
      <c r="A2" s="285"/>
      <c r="B2" s="312" t="s">
        <v>708</v>
      </c>
      <c r="C2" s="311">
        <v>2</v>
      </c>
      <c r="D2" s="157"/>
      <c r="E2" s="157"/>
      <c r="F2" s="157"/>
      <c r="G2" s="157"/>
      <c r="H2" s="157"/>
      <c r="I2" s="157"/>
      <c r="J2" s="156"/>
    </row>
    <row r="3" spans="1:18" ht="15.75" customHeight="1" x14ac:dyDescent="0.2">
      <c r="A3" s="285"/>
      <c r="B3" s="157"/>
      <c r="C3" s="157"/>
      <c r="D3" s="157"/>
      <c r="E3" s="157"/>
      <c r="F3" s="157"/>
      <c r="G3" s="157"/>
      <c r="H3" s="157"/>
      <c r="I3" s="157"/>
      <c r="J3" s="156"/>
      <c r="L3" s="325" t="s">
        <v>707</v>
      </c>
    </row>
    <row r="4" spans="1:18" x14ac:dyDescent="0.2">
      <c r="A4" s="285"/>
      <c r="B4" s="157"/>
      <c r="C4" s="157" t="s">
        <v>758</v>
      </c>
      <c r="D4" s="157"/>
      <c r="E4" s="157"/>
      <c r="F4" s="157"/>
      <c r="G4" s="157"/>
      <c r="H4" s="157"/>
      <c r="I4" s="157"/>
      <c r="J4" s="156"/>
      <c r="L4" s="460" t="s">
        <v>757</v>
      </c>
      <c r="M4" s="460"/>
      <c r="N4" s="460"/>
      <c r="O4" s="460"/>
      <c r="P4" s="460"/>
      <c r="Q4" s="460"/>
      <c r="R4" s="460"/>
    </row>
    <row r="5" spans="1:18" x14ac:dyDescent="0.2">
      <c r="A5" s="285"/>
      <c r="B5" s="157"/>
      <c r="C5" s="157"/>
      <c r="D5" s="157"/>
      <c r="E5" s="157"/>
      <c r="F5" s="157"/>
      <c r="G5" s="157"/>
      <c r="H5" s="157"/>
      <c r="I5" s="157"/>
      <c r="J5" s="156"/>
      <c r="L5" s="460"/>
      <c r="M5" s="460"/>
      <c r="N5" s="460"/>
      <c r="O5" s="460"/>
      <c r="P5" s="460"/>
      <c r="Q5" s="460"/>
      <c r="R5" s="460"/>
    </row>
    <row r="6" spans="1:18" x14ac:dyDescent="0.2">
      <c r="A6" s="285"/>
      <c r="B6" s="157"/>
      <c r="C6" s="157"/>
      <c r="D6" s="157"/>
      <c r="E6" s="157"/>
      <c r="F6" s="157"/>
      <c r="G6" s="157"/>
      <c r="H6" s="157"/>
      <c r="I6" s="157"/>
      <c r="J6" s="156"/>
    </row>
    <row r="7" spans="1:18" x14ac:dyDescent="0.2">
      <c r="A7" s="285"/>
      <c r="B7" s="157"/>
      <c r="C7" s="157"/>
      <c r="D7" s="157"/>
      <c r="E7" s="157"/>
      <c r="F7" s="157"/>
      <c r="G7" s="157"/>
      <c r="H7" s="157"/>
      <c r="I7" s="157"/>
      <c r="J7" s="156"/>
      <c r="L7" s="460" t="s">
        <v>756</v>
      </c>
      <c r="M7" s="460"/>
      <c r="N7" s="460"/>
      <c r="O7" s="460"/>
      <c r="P7" s="460"/>
      <c r="Q7" s="460"/>
      <c r="R7" s="460"/>
    </row>
    <row r="8" spans="1:18" x14ac:dyDescent="0.2">
      <c r="A8" s="285"/>
      <c r="B8" s="157"/>
      <c r="C8" s="157"/>
      <c r="D8" s="157"/>
      <c r="E8" s="157"/>
      <c r="F8" s="157"/>
      <c r="G8" s="157"/>
      <c r="H8" s="157"/>
      <c r="I8" s="157"/>
      <c r="J8" s="156"/>
      <c r="L8" s="460"/>
      <c r="M8" s="460"/>
      <c r="N8" s="460"/>
      <c r="O8" s="460"/>
      <c r="P8" s="460"/>
      <c r="Q8" s="460"/>
      <c r="R8" s="460"/>
    </row>
    <row r="9" spans="1:18" x14ac:dyDescent="0.2">
      <c r="A9" s="285"/>
      <c r="B9" s="157"/>
      <c r="C9" s="157"/>
      <c r="D9" s="157"/>
      <c r="E9" s="157"/>
      <c r="F9" s="157"/>
      <c r="G9" s="157"/>
      <c r="H9" s="157"/>
      <c r="I9" s="157"/>
      <c r="J9" s="156"/>
    </row>
    <row r="10" spans="1:18" ht="17" x14ac:dyDescent="0.2">
      <c r="A10" s="285"/>
      <c r="B10" s="157"/>
      <c r="C10" s="157"/>
      <c r="D10" s="157"/>
      <c r="E10" s="157"/>
      <c r="F10" s="157"/>
      <c r="G10" s="157"/>
      <c r="H10" s="157"/>
      <c r="I10" s="157"/>
      <c r="J10" s="156"/>
      <c r="L10" s="325" t="s">
        <v>706</v>
      </c>
    </row>
    <row r="11" spans="1:18" x14ac:dyDescent="0.2">
      <c r="A11" s="285"/>
      <c r="B11" s="157"/>
      <c r="C11" s="157"/>
      <c r="D11" s="157"/>
      <c r="E11" s="157"/>
      <c r="F11" s="157"/>
      <c r="G11" s="157"/>
      <c r="H11" s="157"/>
      <c r="I11" s="157"/>
      <c r="J11" s="156"/>
      <c r="L11" s="460" t="s">
        <v>755</v>
      </c>
      <c r="M11" s="460"/>
      <c r="N11" s="460"/>
      <c r="O11" s="460"/>
      <c r="P11" s="460"/>
      <c r="Q11" s="460"/>
      <c r="R11" s="460"/>
    </row>
    <row r="12" spans="1:18" x14ac:dyDescent="0.2">
      <c r="A12" s="285"/>
      <c r="B12" s="157"/>
      <c r="C12" s="157"/>
      <c r="D12" s="157"/>
      <c r="E12" s="157"/>
      <c r="F12" s="157"/>
      <c r="G12" s="157"/>
      <c r="H12" s="157"/>
      <c r="I12" s="157"/>
      <c r="J12" s="156"/>
      <c r="L12" s="460"/>
      <c r="M12" s="460"/>
      <c r="N12" s="460"/>
      <c r="O12" s="460"/>
      <c r="P12" s="460"/>
      <c r="Q12" s="460"/>
      <c r="R12" s="460"/>
    </row>
    <row r="13" spans="1:18" x14ac:dyDescent="0.2">
      <c r="A13" s="285"/>
      <c r="B13" s="171"/>
      <c r="C13" s="157"/>
      <c r="D13" s="157"/>
      <c r="E13" s="157"/>
      <c r="F13" s="157"/>
      <c r="G13" s="157"/>
      <c r="H13" s="157"/>
      <c r="I13" s="157"/>
      <c r="J13" s="156"/>
      <c r="L13" s="460"/>
      <c r="M13" s="460"/>
      <c r="N13" s="460"/>
      <c r="O13" s="460"/>
      <c r="P13" s="460"/>
      <c r="Q13" s="460"/>
      <c r="R13" s="460"/>
    </row>
    <row r="14" spans="1:18" x14ac:dyDescent="0.2">
      <c r="A14" s="285"/>
      <c r="B14" s="171"/>
      <c r="C14" s="157"/>
      <c r="D14" s="157"/>
      <c r="E14" s="157"/>
      <c r="F14" s="157"/>
      <c r="G14" s="157"/>
      <c r="H14" s="157"/>
      <c r="I14" s="157"/>
      <c r="J14" s="156"/>
    </row>
    <row r="15" spans="1:18" ht="17" x14ac:dyDescent="0.2">
      <c r="A15" s="285"/>
      <c r="B15" s="171"/>
      <c r="C15" s="157"/>
      <c r="D15" s="157"/>
      <c r="E15" s="157"/>
      <c r="F15" s="157"/>
      <c r="G15" s="157"/>
      <c r="H15" s="157"/>
      <c r="I15" s="157"/>
      <c r="J15" s="156"/>
      <c r="L15" s="325" t="s">
        <v>718</v>
      </c>
    </row>
    <row r="16" spans="1:18" x14ac:dyDescent="0.2">
      <c r="A16" s="285"/>
      <c r="B16" s="171"/>
      <c r="C16" s="157"/>
      <c r="D16" s="157"/>
      <c r="E16" s="157"/>
      <c r="F16" s="157"/>
      <c r="G16" s="157"/>
      <c r="H16" s="157"/>
      <c r="I16" s="157"/>
      <c r="J16" s="156"/>
      <c r="L16" s="460" t="s">
        <v>754</v>
      </c>
      <c r="M16" s="460"/>
      <c r="N16" s="460"/>
      <c r="O16" s="460"/>
      <c r="P16" s="460"/>
      <c r="Q16" s="460"/>
      <c r="R16" s="460"/>
    </row>
    <row r="17" spans="1:18" x14ac:dyDescent="0.2">
      <c r="A17" s="285"/>
      <c r="B17" s="171"/>
      <c r="C17" s="157"/>
      <c r="D17" s="157"/>
      <c r="E17" s="157"/>
      <c r="F17" s="157"/>
      <c r="G17" s="157"/>
      <c r="H17" s="157"/>
      <c r="I17" s="157"/>
      <c r="J17" s="156"/>
      <c r="L17" s="460"/>
      <c r="M17" s="460"/>
      <c r="N17" s="460"/>
      <c r="O17" s="460"/>
      <c r="P17" s="460"/>
      <c r="Q17" s="460"/>
      <c r="R17" s="460"/>
    </row>
    <row r="18" spans="1:18" ht="15.75" customHeight="1" x14ac:dyDescent="0.2">
      <c r="A18" s="285"/>
      <c r="B18" s="171"/>
      <c r="C18" s="157"/>
      <c r="D18" s="157"/>
      <c r="E18" s="157"/>
      <c r="F18" s="157"/>
      <c r="G18" s="157"/>
      <c r="H18" s="157"/>
      <c r="I18" s="157"/>
      <c r="J18" s="156"/>
    </row>
    <row r="19" spans="1:18" ht="16" customHeight="1" x14ac:dyDescent="0.2">
      <c r="A19" s="285"/>
      <c r="B19" s="171"/>
      <c r="C19" s="157"/>
      <c r="D19" s="157"/>
      <c r="E19" s="157"/>
      <c r="F19" s="157"/>
      <c r="G19" s="157"/>
      <c r="H19" s="157"/>
      <c r="I19" s="157"/>
      <c r="J19" s="156"/>
      <c r="L19" s="461" t="s">
        <v>753</v>
      </c>
      <c r="M19" s="461"/>
      <c r="N19" s="461"/>
      <c r="O19" s="461"/>
      <c r="P19" s="461"/>
      <c r="Q19" s="461"/>
      <c r="R19" s="461"/>
    </row>
    <row r="20" spans="1:18" x14ac:dyDescent="0.2">
      <c r="A20" s="285"/>
      <c r="B20" s="171"/>
      <c r="C20" s="157"/>
      <c r="D20" s="157"/>
      <c r="E20" s="157"/>
      <c r="F20" s="157"/>
      <c r="G20" s="157"/>
      <c r="H20" s="157"/>
      <c r="I20" s="157"/>
      <c r="J20" s="156"/>
      <c r="L20" s="461"/>
      <c r="M20" s="461"/>
      <c r="N20" s="461"/>
      <c r="O20" s="461"/>
      <c r="P20" s="461"/>
      <c r="Q20" s="461"/>
      <c r="R20" s="461"/>
    </row>
    <row r="21" spans="1:18" x14ac:dyDescent="0.2">
      <c r="A21" s="285"/>
      <c r="B21" s="171"/>
      <c r="C21" s="157"/>
      <c r="D21" s="157"/>
      <c r="E21" s="157"/>
      <c r="F21" s="157"/>
      <c r="G21" s="157"/>
      <c r="H21" s="157"/>
      <c r="I21" s="157"/>
      <c r="J21" s="156"/>
      <c r="L21" s="461"/>
      <c r="M21" s="461"/>
      <c r="N21" s="461"/>
      <c r="O21" s="461"/>
      <c r="P21" s="461"/>
      <c r="Q21" s="461"/>
      <c r="R21" s="461"/>
    </row>
    <row r="22" spans="1:18" x14ac:dyDescent="0.2">
      <c r="A22" s="285"/>
      <c r="B22" s="171"/>
      <c r="C22" s="157"/>
      <c r="D22" s="157"/>
      <c r="E22" s="157"/>
      <c r="F22" s="157"/>
      <c r="G22" s="157"/>
      <c r="H22" s="157"/>
      <c r="I22" s="157"/>
      <c r="J22" s="156"/>
      <c r="L22" s="461"/>
      <c r="M22" s="461"/>
      <c r="N22" s="461"/>
      <c r="O22" s="461"/>
      <c r="P22" s="461"/>
      <c r="Q22" s="461"/>
      <c r="R22" s="461"/>
    </row>
    <row r="23" spans="1:18" x14ac:dyDescent="0.2">
      <c r="A23" s="285"/>
      <c r="B23" s="171"/>
      <c r="C23" s="157"/>
      <c r="D23" s="157"/>
      <c r="E23" s="157"/>
      <c r="F23" s="157"/>
      <c r="G23" s="157"/>
      <c r="H23" s="157"/>
      <c r="I23" s="157"/>
      <c r="J23" s="156"/>
      <c r="L23" s="461"/>
      <c r="M23" s="461"/>
      <c r="N23" s="461"/>
      <c r="O23" s="461"/>
      <c r="P23" s="461"/>
      <c r="Q23" s="461"/>
      <c r="R23" s="461"/>
    </row>
    <row r="24" spans="1:18" x14ac:dyDescent="0.2">
      <c r="A24" s="285"/>
      <c r="B24" s="171"/>
      <c r="C24" s="157"/>
      <c r="D24" s="157"/>
      <c r="E24" s="157"/>
      <c r="F24" s="157"/>
      <c r="G24" s="157"/>
      <c r="H24" s="157"/>
      <c r="I24" s="157"/>
      <c r="J24" s="156"/>
    </row>
    <row r="25" spans="1:18" x14ac:dyDescent="0.2">
      <c r="A25" s="285"/>
      <c r="B25" s="171"/>
      <c r="C25" s="157"/>
      <c r="D25" s="157"/>
      <c r="E25" s="157"/>
      <c r="F25" s="157"/>
      <c r="G25" s="157"/>
      <c r="H25" s="157"/>
      <c r="I25" s="157"/>
      <c r="J25" s="156"/>
    </row>
    <row r="26" spans="1:18" x14ac:dyDescent="0.2">
      <c r="A26" s="285"/>
      <c r="B26" s="171"/>
      <c r="C26" s="157"/>
      <c r="D26" s="157"/>
      <c r="E26" s="157"/>
      <c r="F26" s="157"/>
      <c r="G26" s="157"/>
      <c r="H26" s="157"/>
      <c r="I26" s="157"/>
      <c r="J26" s="156"/>
    </row>
    <row r="27" spans="1:18" x14ac:dyDescent="0.2">
      <c r="A27" s="285"/>
      <c r="B27" s="171"/>
      <c r="C27" s="157"/>
      <c r="D27" s="157"/>
      <c r="E27" s="157"/>
      <c r="F27" s="157"/>
      <c r="G27" s="157"/>
      <c r="H27" s="157"/>
      <c r="I27" s="157"/>
      <c r="J27" s="156"/>
    </row>
    <row r="28" spans="1:18" x14ac:dyDescent="0.2">
      <c r="A28" s="285"/>
      <c r="B28" s="171"/>
      <c r="C28" s="157"/>
      <c r="D28" s="157"/>
      <c r="E28" s="157"/>
      <c r="F28" s="157"/>
      <c r="G28" s="157"/>
      <c r="H28" s="157"/>
      <c r="I28" s="157"/>
      <c r="J28" s="156"/>
    </row>
    <row r="29" spans="1:18" x14ac:dyDescent="0.2">
      <c r="A29" s="285"/>
      <c r="B29" s="171"/>
      <c r="C29" s="157"/>
      <c r="D29" s="157"/>
      <c r="E29" s="157"/>
      <c r="F29" s="157"/>
      <c r="G29" s="157"/>
      <c r="H29" s="157"/>
      <c r="I29" s="157"/>
      <c r="J29" s="156"/>
    </row>
    <row r="30" spans="1:18" x14ac:dyDescent="0.2">
      <c r="A30" s="285"/>
      <c r="B30" s="171"/>
      <c r="C30" s="157"/>
      <c r="D30" s="157"/>
      <c r="E30" s="157"/>
      <c r="F30" s="157"/>
      <c r="G30" s="157"/>
      <c r="H30" s="157"/>
      <c r="I30" s="157"/>
      <c r="J30" s="156"/>
    </row>
    <row r="31" spans="1:18" x14ac:dyDescent="0.2">
      <c r="A31" s="285"/>
      <c r="B31" s="171"/>
      <c r="C31" s="157"/>
      <c r="D31" s="157"/>
      <c r="E31" s="157"/>
      <c r="F31" s="157"/>
      <c r="G31" s="157"/>
      <c r="H31" s="157"/>
      <c r="I31" s="157"/>
      <c r="J31" s="156"/>
    </row>
    <row r="32" spans="1:18" x14ac:dyDescent="0.2">
      <c r="A32" s="285"/>
      <c r="B32" s="171"/>
      <c r="C32" s="157"/>
      <c r="D32" s="157"/>
      <c r="E32" s="157"/>
      <c r="F32" s="157"/>
      <c r="G32" s="157"/>
      <c r="H32" s="157"/>
      <c r="I32" s="157"/>
      <c r="J32" s="156"/>
    </row>
    <row r="33" spans="1:13" x14ac:dyDescent="0.2">
      <c r="A33" s="285" t="s">
        <v>0</v>
      </c>
      <c r="B33" s="206" t="s">
        <v>704</v>
      </c>
      <c r="C33" s="157" t="s">
        <v>752</v>
      </c>
      <c r="D33" s="157"/>
      <c r="E33" s="157"/>
      <c r="F33" s="157"/>
      <c r="G33" s="157"/>
      <c r="H33" s="157"/>
      <c r="I33" s="157"/>
      <c r="J33" s="156"/>
    </row>
    <row r="34" spans="1:13" x14ac:dyDescent="0.2">
      <c r="A34" s="285"/>
      <c r="B34" s="171"/>
      <c r="C34" s="157" t="s">
        <v>751</v>
      </c>
      <c r="D34" s="157"/>
      <c r="E34" s="157"/>
      <c r="F34" s="157"/>
      <c r="G34" s="157"/>
      <c r="H34" s="157"/>
      <c r="I34" s="157"/>
      <c r="J34" s="156"/>
    </row>
    <row r="35" spans="1:13" x14ac:dyDescent="0.2">
      <c r="A35" s="285"/>
      <c r="B35" s="171"/>
      <c r="C35" s="157"/>
      <c r="D35" s="157"/>
      <c r="E35" s="157"/>
      <c r="F35" s="157"/>
      <c r="G35" s="157"/>
      <c r="H35" s="157"/>
      <c r="I35" s="157"/>
      <c r="J35" s="156"/>
    </row>
    <row r="36" spans="1:13" x14ac:dyDescent="0.2">
      <c r="A36" s="285" t="s">
        <v>1</v>
      </c>
      <c r="B36" s="206" t="s">
        <v>704</v>
      </c>
      <c r="C36" s="157" t="s">
        <v>750</v>
      </c>
      <c r="D36" s="157"/>
      <c r="E36" s="157"/>
      <c r="F36" s="157"/>
      <c r="G36" s="157"/>
      <c r="H36" s="157"/>
      <c r="I36" s="157"/>
      <c r="J36" s="156"/>
    </row>
    <row r="37" spans="1:13" x14ac:dyDescent="0.2">
      <c r="A37" s="285"/>
      <c r="B37" s="171"/>
      <c r="C37" s="157" t="s">
        <v>749</v>
      </c>
      <c r="D37" s="157"/>
      <c r="E37" s="157"/>
      <c r="F37" s="157"/>
      <c r="G37" s="157"/>
      <c r="H37" s="157"/>
      <c r="I37" s="157"/>
      <c r="J37" s="156"/>
      <c r="M37" s="306"/>
    </row>
    <row r="38" spans="1:13" x14ac:dyDescent="0.2">
      <c r="A38" s="285"/>
      <c r="B38" s="171"/>
      <c r="C38" s="157"/>
      <c r="D38" s="157"/>
      <c r="E38" s="157"/>
      <c r="F38" s="157"/>
      <c r="G38" s="157"/>
      <c r="H38" s="157"/>
      <c r="I38" s="157"/>
      <c r="J38" s="156"/>
      <c r="M38" s="306"/>
    </row>
    <row r="39" spans="1:13" x14ac:dyDescent="0.2">
      <c r="A39" s="285" t="s">
        <v>2</v>
      </c>
      <c r="B39" s="206" t="s">
        <v>748</v>
      </c>
      <c r="C39" s="157" t="s">
        <v>747</v>
      </c>
      <c r="D39" s="157"/>
      <c r="E39" s="157"/>
      <c r="F39" s="157"/>
      <c r="G39" s="157"/>
      <c r="H39" s="157"/>
      <c r="I39" s="157"/>
      <c r="J39" s="156"/>
      <c r="M39" s="306"/>
    </row>
    <row r="40" spans="1:13" ht="17" thickBot="1" x14ac:dyDescent="0.25">
      <c r="A40" s="285"/>
      <c r="B40" s="171"/>
      <c r="C40" s="157"/>
      <c r="D40" s="157"/>
      <c r="E40" s="157"/>
      <c r="F40" s="157"/>
      <c r="G40" s="157"/>
      <c r="H40" s="157"/>
      <c r="I40" s="157"/>
      <c r="J40" s="156"/>
      <c r="M40" s="306"/>
    </row>
    <row r="41" spans="1:13" ht="17" thickBot="1" x14ac:dyDescent="0.25">
      <c r="A41" s="305" t="s">
        <v>266</v>
      </c>
      <c r="B41" s="154"/>
      <c r="C41" s="261"/>
      <c r="D41" s="154"/>
      <c r="E41" s="154"/>
      <c r="F41" s="154"/>
      <c r="G41" s="154"/>
      <c r="H41" s="154"/>
      <c r="I41" s="154"/>
      <c r="J41" s="153"/>
    </row>
    <row r="42" spans="1:13" x14ac:dyDescent="0.2">
      <c r="L42" s="180"/>
      <c r="M42" s="304"/>
    </row>
  </sheetData>
  <mergeCells count="5">
    <mergeCell ref="L4:R5"/>
    <mergeCell ref="L7:R8"/>
    <mergeCell ref="L11:R13"/>
    <mergeCell ref="L16:R17"/>
    <mergeCell ref="L19:R23"/>
  </mergeCells>
  <pageMargins left="0.7" right="0.7" top="0.75" bottom="0.75" header="0.3" footer="0.3"/>
  <pageSetup orientation="portrait" horizontalDpi="300" verticalDpi="3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35D64-EF92-0441-81B1-448E186AF19C}">
  <dimension ref="A1:U29"/>
  <sheetViews>
    <sheetView workbookViewId="0">
      <selection activeCell="B1" sqref="B1"/>
    </sheetView>
  </sheetViews>
  <sheetFormatPr baseColWidth="10" defaultColWidth="11" defaultRowHeight="16" outlineLevelCol="1" x14ac:dyDescent="0.2"/>
  <cols>
    <col min="1" max="1" width="4" style="149" customWidth="1"/>
    <col min="2" max="2" width="11.5" customWidth="1"/>
    <col min="12" max="17" width="10.83203125" hidden="1" customWidth="1" outlineLevel="1"/>
    <col min="18" max="18" width="11" collapsed="1"/>
  </cols>
  <sheetData>
    <row r="1" spans="1:17" x14ac:dyDescent="0.2">
      <c r="A1" s="313"/>
      <c r="B1" s="201" t="s">
        <v>711</v>
      </c>
      <c r="C1" s="200" t="s">
        <v>760</v>
      </c>
      <c r="D1" s="200" t="s">
        <v>710</v>
      </c>
      <c r="E1" s="200" t="s">
        <v>780</v>
      </c>
      <c r="F1" s="199"/>
      <c r="G1" s="199"/>
      <c r="H1" s="199"/>
      <c r="I1" s="199"/>
      <c r="J1" s="198"/>
      <c r="K1" s="180" t="s">
        <v>265</v>
      </c>
      <c r="L1" s="180"/>
    </row>
    <row r="2" spans="1:17" x14ac:dyDescent="0.2">
      <c r="A2" s="285"/>
      <c r="B2" s="312" t="s">
        <v>708</v>
      </c>
      <c r="C2" s="311">
        <v>1.5</v>
      </c>
      <c r="D2" s="157"/>
      <c r="E2" s="157"/>
      <c r="F2" s="157"/>
      <c r="G2" s="157"/>
      <c r="H2" s="157"/>
      <c r="I2" s="157"/>
      <c r="J2" s="156"/>
    </row>
    <row r="3" spans="1:17" ht="17" x14ac:dyDescent="0.2">
      <c r="A3" s="285"/>
      <c r="B3" s="157"/>
      <c r="C3" s="157"/>
      <c r="D3" s="157"/>
      <c r="E3" s="157"/>
      <c r="F3" s="157"/>
      <c r="G3" s="157"/>
      <c r="H3" s="157"/>
      <c r="I3" s="157"/>
      <c r="J3" s="156"/>
      <c r="L3" s="325" t="s">
        <v>707</v>
      </c>
    </row>
    <row r="4" spans="1:17" x14ac:dyDescent="0.2">
      <c r="A4" s="285"/>
      <c r="B4" s="157"/>
      <c r="C4" s="157" t="s">
        <v>779</v>
      </c>
      <c r="D4" s="157"/>
      <c r="E4" s="157"/>
      <c r="F4" s="157"/>
      <c r="G4" s="157"/>
      <c r="H4" s="157"/>
      <c r="I4" s="157"/>
      <c r="J4" s="156"/>
      <c r="L4" s="328" t="s">
        <v>778</v>
      </c>
      <c r="M4" s="328"/>
      <c r="N4" s="328"/>
      <c r="O4" s="328"/>
      <c r="P4" s="328"/>
      <c r="Q4" s="328"/>
    </row>
    <row r="5" spans="1:17" x14ac:dyDescent="0.2">
      <c r="A5" s="285"/>
      <c r="B5" s="157"/>
      <c r="C5" s="157" t="s">
        <v>777</v>
      </c>
      <c r="D5" s="157"/>
      <c r="E5" s="157"/>
      <c r="F5" s="157"/>
      <c r="G5" s="157"/>
      <c r="H5" s="157"/>
      <c r="I5" s="157"/>
      <c r="J5" s="156"/>
    </row>
    <row r="6" spans="1:17" ht="15.75" customHeight="1" x14ac:dyDescent="0.2">
      <c r="A6" s="285"/>
      <c r="B6" s="157"/>
      <c r="C6" s="157"/>
      <c r="D6" s="157"/>
      <c r="E6" s="157"/>
      <c r="F6" s="157"/>
      <c r="G6" s="157"/>
      <c r="H6" s="157"/>
      <c r="I6" s="157"/>
      <c r="J6" s="156"/>
      <c r="L6" s="325" t="s">
        <v>706</v>
      </c>
    </row>
    <row r="7" spans="1:17" x14ac:dyDescent="0.2">
      <c r="A7" s="285"/>
      <c r="B7" s="157"/>
      <c r="C7" s="268" t="s">
        <v>776</v>
      </c>
      <c r="D7" s="190" t="s">
        <v>775</v>
      </c>
      <c r="E7" s="190" t="s">
        <v>774</v>
      </c>
      <c r="F7" s="190" t="s">
        <v>773</v>
      </c>
      <c r="G7" s="190" t="s">
        <v>772</v>
      </c>
      <c r="H7" s="189" t="s">
        <v>771</v>
      </c>
      <c r="I7" s="157"/>
      <c r="J7" s="156"/>
      <c r="L7" s="460" t="s">
        <v>770</v>
      </c>
      <c r="M7" s="460"/>
      <c r="N7" s="460"/>
      <c r="O7" s="460"/>
      <c r="P7" s="460"/>
      <c r="Q7" s="460"/>
    </row>
    <row r="8" spans="1:17" x14ac:dyDescent="0.2">
      <c r="A8" s="285"/>
      <c r="B8" s="157"/>
      <c r="C8" s="183">
        <v>1</v>
      </c>
      <c r="D8" s="171">
        <v>50</v>
      </c>
      <c r="E8" s="171">
        <v>100</v>
      </c>
      <c r="F8" s="171">
        <v>0</v>
      </c>
      <c r="G8" s="171">
        <v>0</v>
      </c>
      <c r="H8" s="228">
        <v>0</v>
      </c>
      <c r="I8" s="157"/>
      <c r="J8" s="156"/>
      <c r="L8" s="460"/>
      <c r="M8" s="460"/>
      <c r="N8" s="460"/>
      <c r="O8" s="460"/>
      <c r="P8" s="460"/>
      <c r="Q8" s="460"/>
    </row>
    <row r="9" spans="1:17" x14ac:dyDescent="0.2">
      <c r="A9" s="285"/>
      <c r="B9" s="157"/>
      <c r="C9" s="183">
        <v>2</v>
      </c>
      <c r="D9" s="171">
        <v>250</v>
      </c>
      <c r="E9" s="171">
        <v>450</v>
      </c>
      <c r="F9" s="171">
        <v>20</v>
      </c>
      <c r="G9" s="171">
        <v>50</v>
      </c>
      <c r="H9" s="228">
        <v>0</v>
      </c>
      <c r="I9" s="157"/>
      <c r="J9" s="156"/>
    </row>
    <row r="10" spans="1:17" ht="17" x14ac:dyDescent="0.2">
      <c r="A10" s="285"/>
      <c r="B10" s="157"/>
      <c r="C10" s="183">
        <v>3</v>
      </c>
      <c r="D10" s="171">
        <v>300</v>
      </c>
      <c r="E10" s="171">
        <v>500</v>
      </c>
      <c r="F10" s="171">
        <v>250</v>
      </c>
      <c r="G10" s="171">
        <v>-20</v>
      </c>
      <c r="H10" s="228">
        <v>0</v>
      </c>
      <c r="I10" s="157"/>
      <c r="J10" s="156"/>
      <c r="L10" s="325" t="s">
        <v>718</v>
      </c>
    </row>
    <row r="11" spans="1:17" ht="16" customHeight="1" x14ac:dyDescent="0.2">
      <c r="A11" s="285"/>
      <c r="B11" s="157"/>
      <c r="C11" s="183">
        <v>4</v>
      </c>
      <c r="D11" s="171">
        <v>250</v>
      </c>
      <c r="E11" s="242">
        <v>1000</v>
      </c>
      <c r="F11" s="171">
        <v>100</v>
      </c>
      <c r="G11" s="171">
        <v>-50</v>
      </c>
      <c r="H11" s="228"/>
      <c r="I11" s="157"/>
      <c r="J11" s="156"/>
      <c r="L11" s="433" t="s">
        <v>769</v>
      </c>
      <c r="M11" s="433"/>
      <c r="N11" s="433"/>
      <c r="O11" s="433"/>
      <c r="P11" s="433"/>
      <c r="Q11" s="433"/>
    </row>
    <row r="12" spans="1:17" x14ac:dyDescent="0.2">
      <c r="A12" s="285"/>
      <c r="B12" s="171"/>
      <c r="C12" s="183">
        <v>5</v>
      </c>
      <c r="D12" s="171">
        <v>300</v>
      </c>
      <c r="E12" s="171">
        <v>500</v>
      </c>
      <c r="F12" s="171">
        <v>250</v>
      </c>
      <c r="G12" s="171"/>
      <c r="H12" s="228"/>
      <c r="I12" s="157"/>
      <c r="J12" s="156"/>
      <c r="L12" s="433"/>
      <c r="M12" s="433"/>
      <c r="N12" s="433"/>
      <c r="O12" s="433"/>
      <c r="P12" s="433"/>
      <c r="Q12" s="433"/>
    </row>
    <row r="13" spans="1:17" x14ac:dyDescent="0.2">
      <c r="A13" s="285"/>
      <c r="B13" s="171"/>
      <c r="C13" s="183">
        <v>6</v>
      </c>
      <c r="D13" s="171">
        <v>350</v>
      </c>
      <c r="E13" s="171">
        <v>400</v>
      </c>
      <c r="F13" s="171"/>
      <c r="G13" s="171"/>
      <c r="H13" s="228"/>
      <c r="I13" s="157"/>
      <c r="J13" s="156"/>
      <c r="L13" s="433"/>
      <c r="M13" s="433"/>
      <c r="N13" s="433"/>
      <c r="O13" s="433"/>
      <c r="P13" s="433"/>
      <c r="Q13" s="433"/>
    </row>
    <row r="14" spans="1:17" x14ac:dyDescent="0.2">
      <c r="A14" s="285"/>
      <c r="B14" s="171"/>
      <c r="C14" s="179">
        <v>7</v>
      </c>
      <c r="D14" s="186">
        <v>300</v>
      </c>
      <c r="E14" s="186"/>
      <c r="F14" s="186"/>
      <c r="G14" s="186"/>
      <c r="H14" s="185"/>
      <c r="I14" s="157"/>
      <c r="J14" s="156"/>
      <c r="L14" s="433"/>
      <c r="M14" s="433"/>
      <c r="N14" s="433"/>
      <c r="O14" s="433"/>
      <c r="P14" s="433"/>
      <c r="Q14" s="433"/>
    </row>
    <row r="15" spans="1:17" x14ac:dyDescent="0.2">
      <c r="A15" s="285"/>
      <c r="B15" s="171"/>
      <c r="C15" s="157"/>
      <c r="D15" s="157"/>
      <c r="E15" s="157"/>
      <c r="F15" s="157"/>
      <c r="G15" s="157"/>
      <c r="H15" s="157"/>
      <c r="I15" s="157"/>
      <c r="J15" s="156"/>
      <c r="L15" s="433"/>
      <c r="M15" s="433"/>
      <c r="N15" s="433"/>
      <c r="O15" s="433"/>
      <c r="P15" s="433"/>
      <c r="Q15" s="433"/>
    </row>
    <row r="16" spans="1:17" x14ac:dyDescent="0.2">
      <c r="A16" s="285" t="s">
        <v>0</v>
      </c>
      <c r="B16" s="206" t="s">
        <v>768</v>
      </c>
      <c r="C16" s="157" t="s">
        <v>767</v>
      </c>
      <c r="D16" s="157"/>
      <c r="E16" s="157"/>
      <c r="F16" s="157"/>
      <c r="G16" s="157"/>
      <c r="H16" s="157"/>
      <c r="I16" s="157"/>
      <c r="J16" s="156"/>
      <c r="L16" s="433"/>
      <c r="M16" s="433"/>
      <c r="N16" s="433"/>
      <c r="O16" s="433"/>
      <c r="P16" s="433"/>
      <c r="Q16" s="433"/>
    </row>
    <row r="17" spans="1:21" x14ac:dyDescent="0.2">
      <c r="A17" s="285"/>
      <c r="B17" s="206"/>
      <c r="C17" s="157"/>
      <c r="D17" s="157"/>
      <c r="E17" s="157"/>
      <c r="F17" s="157"/>
      <c r="G17" s="157"/>
      <c r="H17" s="157"/>
      <c r="I17" s="157"/>
      <c r="J17" s="156"/>
      <c r="L17" s="433"/>
      <c r="M17" s="433"/>
      <c r="N17" s="433"/>
      <c r="O17" s="433"/>
      <c r="P17" s="433"/>
      <c r="Q17" s="433"/>
      <c r="R17" s="327"/>
      <c r="S17" s="327"/>
      <c r="T17" s="327"/>
      <c r="U17" s="327"/>
    </row>
    <row r="18" spans="1:21" x14ac:dyDescent="0.2">
      <c r="A18" s="285" t="s">
        <v>1</v>
      </c>
      <c r="B18" s="206" t="s">
        <v>704</v>
      </c>
      <c r="C18" s="157" t="s">
        <v>766</v>
      </c>
      <c r="D18" s="157"/>
      <c r="E18" s="157"/>
      <c r="F18" s="157"/>
      <c r="G18" s="157"/>
      <c r="H18" s="157"/>
      <c r="I18" s="157"/>
      <c r="J18" s="156"/>
      <c r="L18" s="433"/>
      <c r="M18" s="433"/>
      <c r="N18" s="433"/>
      <c r="O18" s="433"/>
      <c r="P18" s="433"/>
      <c r="Q18" s="433"/>
    </row>
    <row r="19" spans="1:21" ht="15.75" customHeight="1" x14ac:dyDescent="0.2">
      <c r="A19" s="285"/>
      <c r="B19" s="206"/>
      <c r="C19" s="157"/>
      <c r="D19" s="157"/>
      <c r="E19" s="157"/>
      <c r="F19" s="157"/>
      <c r="G19" s="157"/>
      <c r="H19" s="157"/>
      <c r="I19" s="157"/>
      <c r="J19" s="156"/>
      <c r="L19" s="433"/>
      <c r="M19" s="433"/>
      <c r="N19" s="433"/>
      <c r="O19" s="433"/>
      <c r="P19" s="433"/>
      <c r="Q19" s="433"/>
    </row>
    <row r="20" spans="1:21" x14ac:dyDescent="0.2">
      <c r="A20" s="285" t="s">
        <v>2</v>
      </c>
      <c r="B20" s="206" t="s">
        <v>705</v>
      </c>
      <c r="C20" s="157" t="s">
        <v>765</v>
      </c>
      <c r="D20" s="157"/>
      <c r="E20" s="157"/>
      <c r="F20" s="157"/>
      <c r="G20" s="157"/>
      <c r="H20" s="157"/>
      <c r="I20" s="157"/>
      <c r="J20" s="156"/>
      <c r="M20" s="306"/>
    </row>
    <row r="21" spans="1:21" x14ac:dyDescent="0.2">
      <c r="A21" s="285"/>
      <c r="B21" s="171"/>
      <c r="C21" s="157" t="s">
        <v>764</v>
      </c>
      <c r="D21" s="157"/>
      <c r="E21" s="157"/>
      <c r="F21" s="157"/>
      <c r="G21" s="157"/>
      <c r="H21" s="157"/>
      <c r="I21" s="157"/>
      <c r="J21" s="156"/>
      <c r="M21" s="306"/>
    </row>
    <row r="22" spans="1:21" ht="20" thickBot="1" x14ac:dyDescent="0.3">
      <c r="A22" s="285"/>
      <c r="B22" s="157"/>
      <c r="C22" s="157"/>
      <c r="D22" s="157"/>
      <c r="E22" s="157"/>
      <c r="F22" s="157"/>
      <c r="G22" s="157"/>
      <c r="H22" s="157"/>
      <c r="I22" s="157"/>
      <c r="J22" s="156"/>
      <c r="L22" s="197" t="s">
        <v>262</v>
      </c>
      <c r="M22" s="306"/>
    </row>
    <row r="23" spans="1:21" ht="17" thickBot="1" x14ac:dyDescent="0.25">
      <c r="A23" s="305" t="s">
        <v>266</v>
      </c>
      <c r="B23" s="154"/>
      <c r="C23" s="261"/>
      <c r="D23" s="154"/>
      <c r="E23" s="154"/>
      <c r="F23" s="154"/>
      <c r="G23" s="154"/>
      <c r="H23" s="154"/>
      <c r="I23" s="154"/>
      <c r="J23" s="153"/>
      <c r="L23" t="s">
        <v>763</v>
      </c>
    </row>
    <row r="25" spans="1:21" x14ac:dyDescent="0.2">
      <c r="L25" t="s">
        <v>762</v>
      </c>
      <c r="M25" s="304"/>
    </row>
    <row r="26" spans="1:21" x14ac:dyDescent="0.2">
      <c r="L26" t="s">
        <v>761</v>
      </c>
      <c r="R26" s="326"/>
      <c r="S26" s="326"/>
      <c r="T26" s="326"/>
      <c r="U26" s="326"/>
    </row>
    <row r="27" spans="1:21" x14ac:dyDescent="0.2">
      <c r="R27" s="326"/>
      <c r="S27" s="326"/>
      <c r="T27" s="326"/>
      <c r="U27" s="326"/>
    </row>
    <row r="28" spans="1:21" x14ac:dyDescent="0.2">
      <c r="R28" s="326"/>
      <c r="S28" s="326"/>
      <c r="T28" s="326"/>
      <c r="U28" s="326"/>
    </row>
    <row r="29" spans="1:21" x14ac:dyDescent="0.2">
      <c r="R29" s="326"/>
      <c r="S29" s="326"/>
      <c r="T29" s="326"/>
      <c r="U29" s="326"/>
    </row>
  </sheetData>
  <mergeCells count="2">
    <mergeCell ref="L7:Q8"/>
    <mergeCell ref="L11:Q1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1CEC-EF5A-8A46-8528-6EEC7C274F7A}">
  <dimension ref="A1:S32"/>
  <sheetViews>
    <sheetView workbookViewId="0"/>
  </sheetViews>
  <sheetFormatPr baseColWidth="10" defaultColWidth="11" defaultRowHeight="16" outlineLevelCol="1" x14ac:dyDescent="0.2"/>
  <cols>
    <col min="1" max="1" width="4" style="149" customWidth="1"/>
    <col min="2" max="2" width="11.5" customWidth="1"/>
    <col min="12" max="18" width="10.83203125" hidden="1" customWidth="1" outlineLevel="1"/>
    <col min="19" max="19" width="11" collapsed="1"/>
  </cols>
  <sheetData>
    <row r="1" spans="1:18" x14ac:dyDescent="0.2">
      <c r="A1" s="313"/>
      <c r="B1" s="201" t="s">
        <v>711</v>
      </c>
      <c r="C1" s="200" t="s">
        <v>802</v>
      </c>
      <c r="D1" s="200" t="s">
        <v>710</v>
      </c>
      <c r="E1" s="200" t="s">
        <v>801</v>
      </c>
      <c r="F1" s="199"/>
      <c r="G1" s="199"/>
      <c r="H1" s="199"/>
      <c r="I1" s="199"/>
      <c r="J1" s="198"/>
      <c r="K1" s="180" t="s">
        <v>265</v>
      </c>
      <c r="L1" s="180"/>
    </row>
    <row r="2" spans="1:18" x14ac:dyDescent="0.2">
      <c r="A2" s="285"/>
      <c r="B2" s="312" t="s">
        <v>708</v>
      </c>
      <c r="C2" s="311">
        <v>1.75</v>
      </c>
      <c r="D2" s="157"/>
      <c r="E2" s="157"/>
      <c r="F2" s="157"/>
      <c r="G2" s="157"/>
      <c r="H2" s="157"/>
      <c r="I2" s="157"/>
      <c r="J2" s="156"/>
    </row>
    <row r="3" spans="1:18" x14ac:dyDescent="0.2">
      <c r="A3" s="285"/>
      <c r="B3" s="157"/>
      <c r="C3" s="157"/>
      <c r="D3" s="157"/>
      <c r="E3" s="157"/>
      <c r="F3" s="157"/>
      <c r="G3" s="157"/>
      <c r="H3" s="157"/>
      <c r="I3" s="157"/>
      <c r="J3" s="156"/>
      <c r="L3" s="180" t="s">
        <v>707</v>
      </c>
      <c r="M3" s="267"/>
    </row>
    <row r="4" spans="1:18" x14ac:dyDescent="0.2">
      <c r="A4" s="285"/>
      <c r="B4" s="157"/>
      <c r="C4" s="157"/>
      <c r="D4" s="157"/>
      <c r="E4" s="157"/>
      <c r="F4" s="157"/>
      <c r="G4" s="157"/>
      <c r="H4" s="157"/>
      <c r="I4" s="157"/>
      <c r="J4" s="156"/>
      <c r="L4" s="215" t="s">
        <v>800</v>
      </c>
      <c r="M4" s="267"/>
    </row>
    <row r="5" spans="1:18" x14ac:dyDescent="0.2">
      <c r="A5" s="285" t="s">
        <v>0</v>
      </c>
      <c r="B5" s="157" t="s">
        <v>748</v>
      </c>
      <c r="C5" s="157" t="s">
        <v>799</v>
      </c>
      <c r="D5" s="157"/>
      <c r="E5" s="157"/>
      <c r="F5" s="157"/>
      <c r="G5" s="157"/>
      <c r="H5" s="157"/>
      <c r="I5" s="157"/>
      <c r="J5" s="156"/>
    </row>
    <row r="6" spans="1:18" x14ac:dyDescent="0.2">
      <c r="A6" s="285"/>
      <c r="B6" s="157"/>
      <c r="C6" s="157" t="s">
        <v>798</v>
      </c>
      <c r="D6" s="157"/>
      <c r="E6" s="157"/>
      <c r="F6" s="157"/>
      <c r="G6" s="157"/>
      <c r="H6" s="157"/>
      <c r="I6" s="157"/>
      <c r="J6" s="156"/>
      <c r="L6" t="s">
        <v>797</v>
      </c>
      <c r="M6" s="145"/>
    </row>
    <row r="7" spans="1:18" x14ac:dyDescent="0.2">
      <c r="A7" s="285"/>
      <c r="B7" s="157"/>
      <c r="C7" s="157" t="s">
        <v>796</v>
      </c>
      <c r="D7" s="157"/>
      <c r="E7" s="157"/>
      <c r="F7" s="157"/>
      <c r="G7" s="157"/>
      <c r="H7" s="157"/>
      <c r="I7" s="157"/>
      <c r="J7" s="156"/>
      <c r="L7" t="s">
        <v>795</v>
      </c>
      <c r="M7" s="144"/>
    </row>
    <row r="8" spans="1:18" x14ac:dyDescent="0.2">
      <c r="A8" s="285"/>
      <c r="B8" s="157"/>
      <c r="C8" s="157"/>
      <c r="D8" s="157"/>
      <c r="E8" s="157"/>
      <c r="F8" s="157"/>
      <c r="G8" s="157"/>
      <c r="H8" s="157"/>
      <c r="I8" s="157"/>
      <c r="J8" s="156"/>
      <c r="L8" s="339" t="s">
        <v>794</v>
      </c>
    </row>
    <row r="9" spans="1:18" x14ac:dyDescent="0.2">
      <c r="A9" s="285" t="s">
        <v>1</v>
      </c>
      <c r="B9" s="157" t="s">
        <v>705</v>
      </c>
      <c r="C9" s="157" t="s">
        <v>793</v>
      </c>
      <c r="D9" s="157"/>
      <c r="E9" s="157"/>
      <c r="F9" s="157"/>
      <c r="G9" s="157"/>
      <c r="H9" s="157"/>
      <c r="I9" s="157"/>
      <c r="J9" s="156"/>
      <c r="L9" s="339"/>
    </row>
    <row r="10" spans="1:18" x14ac:dyDescent="0.2">
      <c r="A10" s="285"/>
      <c r="B10" s="157"/>
      <c r="C10" s="157" t="s">
        <v>792</v>
      </c>
      <c r="D10" s="157"/>
      <c r="E10" s="157"/>
      <c r="F10" s="157"/>
      <c r="G10" s="157"/>
      <c r="H10" s="157"/>
      <c r="I10" s="157"/>
      <c r="J10" s="156"/>
      <c r="L10" s="339" t="s">
        <v>791</v>
      </c>
    </row>
    <row r="11" spans="1:18" x14ac:dyDescent="0.2">
      <c r="A11" s="285"/>
      <c r="B11" s="157"/>
      <c r="C11" s="157"/>
      <c r="D11" s="157"/>
      <c r="E11" s="157"/>
      <c r="F11" s="157"/>
      <c r="G11" s="157"/>
      <c r="H11" s="157"/>
      <c r="I11" s="157"/>
      <c r="J11" s="156"/>
      <c r="M11" s="304"/>
    </row>
    <row r="12" spans="1:18" x14ac:dyDescent="0.2">
      <c r="A12" s="285"/>
      <c r="B12" s="157"/>
      <c r="C12" s="157"/>
      <c r="D12" s="184" t="s">
        <v>581</v>
      </c>
      <c r="E12" s="338">
        <v>12</v>
      </c>
      <c r="F12" s="292">
        <v>24</v>
      </c>
      <c r="G12" s="292">
        <v>36</v>
      </c>
      <c r="H12" s="291">
        <v>48</v>
      </c>
      <c r="I12" s="157"/>
      <c r="J12" s="156"/>
      <c r="L12" s="215" t="s">
        <v>790</v>
      </c>
    </row>
    <row r="13" spans="1:18" x14ac:dyDescent="0.2">
      <c r="A13" s="285"/>
      <c r="B13" s="157"/>
      <c r="C13" s="157"/>
      <c r="D13" s="179" t="s">
        <v>776</v>
      </c>
      <c r="E13" s="187" t="s">
        <v>789</v>
      </c>
      <c r="F13" s="186" t="s">
        <v>789</v>
      </c>
      <c r="G13" s="186" t="s">
        <v>789</v>
      </c>
      <c r="H13" s="185" t="s">
        <v>788</v>
      </c>
      <c r="I13" s="157"/>
      <c r="J13" s="156"/>
      <c r="L13" s="180"/>
    </row>
    <row r="14" spans="1:18" x14ac:dyDescent="0.2">
      <c r="A14" s="285"/>
      <c r="B14" s="171"/>
      <c r="C14" s="157"/>
      <c r="D14" s="184">
        <v>2011</v>
      </c>
      <c r="E14" s="337">
        <v>1500</v>
      </c>
      <c r="F14" s="323">
        <v>1300</v>
      </c>
      <c r="G14" s="323">
        <v>1200</v>
      </c>
      <c r="H14" s="322">
        <v>1250</v>
      </c>
      <c r="I14" s="157"/>
      <c r="J14" s="156"/>
      <c r="L14" s="434" t="s">
        <v>787</v>
      </c>
      <c r="M14" s="434"/>
      <c r="N14" s="434"/>
      <c r="O14" s="434"/>
      <c r="P14" s="434"/>
      <c r="Q14" s="434"/>
      <c r="R14" s="434"/>
    </row>
    <row r="15" spans="1:18" x14ac:dyDescent="0.2">
      <c r="A15" s="285"/>
      <c r="B15" s="171"/>
      <c r="C15" s="157"/>
      <c r="D15" s="183">
        <v>2012</v>
      </c>
      <c r="E15" s="336">
        <v>2000</v>
      </c>
      <c r="F15" s="242">
        <v>1500</v>
      </c>
      <c r="G15" s="242">
        <v>1750</v>
      </c>
      <c r="H15" s="245"/>
      <c r="I15" s="157"/>
      <c r="J15" s="156"/>
      <c r="L15" s="434"/>
      <c r="M15" s="434"/>
      <c r="N15" s="434"/>
      <c r="O15" s="434"/>
      <c r="P15" s="434"/>
      <c r="Q15" s="434"/>
      <c r="R15" s="434"/>
    </row>
    <row r="16" spans="1:18" x14ac:dyDescent="0.2">
      <c r="A16" s="285"/>
      <c r="B16" s="171"/>
      <c r="C16" s="157"/>
      <c r="D16" s="183">
        <v>2013</v>
      </c>
      <c r="E16" s="336">
        <v>1750</v>
      </c>
      <c r="F16" s="242">
        <v>2000</v>
      </c>
      <c r="G16" s="242"/>
      <c r="H16" s="245"/>
      <c r="I16" s="157"/>
      <c r="J16" s="156"/>
      <c r="L16" s="434"/>
      <c r="M16" s="434"/>
      <c r="N16" s="434"/>
      <c r="O16" s="434"/>
      <c r="P16" s="434"/>
      <c r="Q16" s="434"/>
      <c r="R16" s="434"/>
    </row>
    <row r="17" spans="1:18" x14ac:dyDescent="0.2">
      <c r="A17" s="285"/>
      <c r="B17" s="171"/>
      <c r="C17" s="157"/>
      <c r="D17" s="179">
        <v>2014</v>
      </c>
      <c r="E17" s="335">
        <v>2200</v>
      </c>
      <c r="F17" s="244"/>
      <c r="G17" s="244"/>
      <c r="H17" s="243"/>
      <c r="I17" s="157"/>
      <c r="J17" s="156"/>
    </row>
    <row r="18" spans="1:18" x14ac:dyDescent="0.2">
      <c r="A18" s="285"/>
      <c r="B18" s="171"/>
      <c r="C18" s="157"/>
      <c r="D18" s="157"/>
      <c r="E18" s="157"/>
      <c r="F18" s="157"/>
      <c r="G18" s="157"/>
      <c r="H18" s="157"/>
      <c r="I18" s="157"/>
      <c r="J18" s="156"/>
      <c r="L18" s="180" t="s">
        <v>706</v>
      </c>
    </row>
    <row r="19" spans="1:18" ht="16" customHeight="1" x14ac:dyDescent="0.2">
      <c r="A19" s="285"/>
      <c r="B19" s="171"/>
      <c r="C19" s="157" t="s">
        <v>786</v>
      </c>
      <c r="D19" s="157"/>
      <c r="E19" s="157"/>
      <c r="F19" s="157"/>
      <c r="G19" s="157"/>
      <c r="H19" s="157"/>
      <c r="I19" s="157"/>
      <c r="J19" s="156"/>
      <c r="L19" t="s">
        <v>1049</v>
      </c>
    </row>
    <row r="20" spans="1:18" x14ac:dyDescent="0.2">
      <c r="A20" s="285"/>
      <c r="B20" s="171"/>
      <c r="C20" s="157" t="s">
        <v>785</v>
      </c>
      <c r="D20" s="157"/>
      <c r="E20" s="157"/>
      <c r="F20" s="157"/>
      <c r="G20" s="157"/>
      <c r="H20" s="157"/>
      <c r="I20" s="157"/>
      <c r="J20" s="156"/>
    </row>
    <row r="21" spans="1:18" ht="18" thickBot="1" x14ac:dyDescent="0.25">
      <c r="A21" s="285"/>
      <c r="B21" s="171"/>
      <c r="C21" s="157"/>
      <c r="D21" s="157"/>
      <c r="E21" s="157"/>
      <c r="F21" s="157"/>
      <c r="G21" s="157"/>
      <c r="H21" s="157"/>
      <c r="I21" s="157"/>
      <c r="J21" s="156"/>
      <c r="L21" s="227"/>
      <c r="M21" s="331" t="s">
        <v>35</v>
      </c>
      <c r="N21" s="330" t="s">
        <v>784</v>
      </c>
      <c r="O21" s="227"/>
      <c r="P21" s="227"/>
      <c r="Q21" s="227"/>
      <c r="R21" s="227"/>
    </row>
    <row r="22" spans="1:18" ht="17" thickBot="1" x14ac:dyDescent="0.25">
      <c r="A22" s="305" t="s">
        <v>266</v>
      </c>
      <c r="B22" s="154"/>
      <c r="C22" s="261"/>
      <c r="D22" s="154"/>
      <c r="E22" s="154"/>
      <c r="F22" s="154"/>
      <c r="G22" s="154"/>
      <c r="H22" s="154"/>
      <c r="I22" s="154"/>
      <c r="J22" s="153"/>
      <c r="M22" s="333">
        <v>2011</v>
      </c>
      <c r="N22" s="334">
        <f>F14-E14</f>
        <v>-200</v>
      </c>
      <c r="O22" s="227"/>
      <c r="P22" s="227"/>
      <c r="Q22" s="227"/>
      <c r="R22" s="227"/>
    </row>
    <row r="23" spans="1:18" x14ac:dyDescent="0.2">
      <c r="M23" s="333">
        <v>2012</v>
      </c>
      <c r="N23" s="332">
        <f>F15-E15</f>
        <v>-500</v>
      </c>
      <c r="O23" s="227"/>
      <c r="P23" s="227"/>
      <c r="Q23" s="227"/>
      <c r="R23" s="227"/>
    </row>
    <row r="24" spans="1:18" x14ac:dyDescent="0.2">
      <c r="M24" s="331">
        <v>2013</v>
      </c>
      <c r="N24" s="330">
        <f>F16-E16</f>
        <v>250</v>
      </c>
      <c r="O24" s="227"/>
      <c r="P24" s="227"/>
      <c r="Q24" s="227"/>
      <c r="R24" s="227"/>
    </row>
    <row r="25" spans="1:18" x14ac:dyDescent="0.2">
      <c r="M25" s="188" t="s">
        <v>783</v>
      </c>
      <c r="N25" s="329">
        <f>SUM(N22:N24)</f>
        <v>-450</v>
      </c>
      <c r="O25" s="227"/>
      <c r="P25" s="227"/>
      <c r="Q25" s="227"/>
      <c r="R25" s="227"/>
    </row>
    <row r="27" spans="1:18" x14ac:dyDescent="0.2">
      <c r="L27" s="434" t="s">
        <v>782</v>
      </c>
      <c r="M27" s="434"/>
      <c r="N27" s="434"/>
      <c r="O27" s="434"/>
      <c r="P27" s="434"/>
      <c r="Q27" s="434"/>
      <c r="R27" s="434"/>
    </row>
    <row r="28" spans="1:18" x14ac:dyDescent="0.2">
      <c r="L28" s="434"/>
      <c r="M28" s="434"/>
      <c r="N28" s="434"/>
      <c r="O28" s="434"/>
      <c r="P28" s="434"/>
      <c r="Q28" s="434"/>
      <c r="R28" s="434"/>
    </row>
    <row r="31" spans="1:18" ht="19" x14ac:dyDescent="0.25">
      <c r="L31" s="197" t="s">
        <v>303</v>
      </c>
    </row>
    <row r="32" spans="1:18" x14ac:dyDescent="0.2">
      <c r="L32" t="s">
        <v>781</v>
      </c>
    </row>
  </sheetData>
  <mergeCells count="2">
    <mergeCell ref="L14:R16"/>
    <mergeCell ref="L27:R2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6580B-4005-194F-83D8-7D2E50BEC265}">
  <dimension ref="A1:S22"/>
  <sheetViews>
    <sheetView workbookViewId="0">
      <selection activeCell="B1" sqref="B1"/>
    </sheetView>
  </sheetViews>
  <sheetFormatPr baseColWidth="10" defaultColWidth="11" defaultRowHeight="16" outlineLevelCol="1" x14ac:dyDescent="0.2"/>
  <cols>
    <col min="1" max="1" width="4" style="149" customWidth="1"/>
    <col min="2" max="2" width="11.5" customWidth="1"/>
    <col min="12" max="18" width="10.83203125" hidden="1" customWidth="1" outlineLevel="1"/>
    <col min="19" max="19" width="11" collapsed="1"/>
  </cols>
  <sheetData>
    <row r="1" spans="1:13" x14ac:dyDescent="0.2">
      <c r="A1" s="313"/>
      <c r="B1" s="201" t="s">
        <v>711</v>
      </c>
      <c r="C1" s="200" t="s">
        <v>802</v>
      </c>
      <c r="D1" s="200" t="s">
        <v>710</v>
      </c>
      <c r="E1" s="200" t="s">
        <v>823</v>
      </c>
      <c r="F1" s="199"/>
      <c r="G1" s="199"/>
      <c r="H1" s="199"/>
      <c r="I1" s="199"/>
      <c r="J1" s="198"/>
      <c r="K1" s="180" t="s">
        <v>265</v>
      </c>
      <c r="L1" s="180"/>
    </row>
    <row r="2" spans="1:13" x14ac:dyDescent="0.2">
      <c r="A2" s="285"/>
      <c r="B2" s="312" t="s">
        <v>708</v>
      </c>
      <c r="C2" s="311">
        <v>1.5</v>
      </c>
      <c r="D2" s="157"/>
      <c r="E2" s="157"/>
      <c r="F2" s="157"/>
      <c r="G2" s="157"/>
      <c r="H2" s="157"/>
      <c r="I2" s="157"/>
      <c r="J2" s="156"/>
    </row>
    <row r="3" spans="1:13" x14ac:dyDescent="0.2">
      <c r="A3" s="285"/>
      <c r="B3" s="157"/>
      <c r="C3" s="157"/>
      <c r="D3" s="157"/>
      <c r="E3" s="157"/>
      <c r="F3" s="157"/>
      <c r="G3" s="157"/>
      <c r="H3" s="157"/>
      <c r="I3" s="157"/>
      <c r="J3" s="156"/>
      <c r="L3" s="180" t="s">
        <v>707</v>
      </c>
      <c r="M3" s="267"/>
    </row>
    <row r="4" spans="1:13" x14ac:dyDescent="0.2">
      <c r="A4" s="285"/>
      <c r="B4" s="157"/>
      <c r="C4" s="157" t="s">
        <v>822</v>
      </c>
      <c r="D4" s="157"/>
      <c r="E4" s="157"/>
      <c r="F4" s="157"/>
      <c r="G4" s="157"/>
      <c r="H4" s="157"/>
      <c r="I4" s="157"/>
      <c r="J4" s="156"/>
      <c r="L4" s="340" t="s">
        <v>812</v>
      </c>
      <c r="M4" s="267"/>
    </row>
    <row r="5" spans="1:13" x14ac:dyDescent="0.2">
      <c r="A5" s="285"/>
      <c r="B5" s="157"/>
      <c r="C5" s="157" t="s">
        <v>821</v>
      </c>
      <c r="D5" s="157"/>
      <c r="E5" s="157"/>
      <c r="F5" s="157"/>
      <c r="G5" s="157"/>
      <c r="H5" s="157"/>
      <c r="I5" s="157"/>
      <c r="J5" s="156"/>
      <c r="L5" t="s">
        <v>820</v>
      </c>
      <c r="M5" s="267"/>
    </row>
    <row r="6" spans="1:13" x14ac:dyDescent="0.2">
      <c r="A6" s="285"/>
      <c r="B6" s="157"/>
      <c r="C6" s="157"/>
      <c r="D6" s="157"/>
      <c r="E6" s="157"/>
      <c r="F6" s="157"/>
      <c r="G6" s="157"/>
      <c r="H6" s="157"/>
      <c r="I6" s="157"/>
      <c r="J6" s="156"/>
      <c r="L6" t="s">
        <v>819</v>
      </c>
      <c r="M6" s="267"/>
    </row>
    <row r="7" spans="1:13" x14ac:dyDescent="0.2">
      <c r="A7" s="285"/>
      <c r="B7" s="157"/>
      <c r="C7" s="157"/>
      <c r="D7" s="157"/>
      <c r="E7" s="157"/>
      <c r="F7" s="157"/>
      <c r="G7" s="157"/>
      <c r="H7" s="157"/>
      <c r="I7" s="157"/>
      <c r="J7" s="156"/>
      <c r="L7" t="s">
        <v>818</v>
      </c>
      <c r="M7" s="267"/>
    </row>
    <row r="8" spans="1:13" x14ac:dyDescent="0.2">
      <c r="A8" s="285" t="s">
        <v>0</v>
      </c>
      <c r="B8" s="157" t="s">
        <v>704</v>
      </c>
      <c r="C8" s="157" t="s">
        <v>817</v>
      </c>
      <c r="D8" s="157"/>
      <c r="E8" s="157"/>
      <c r="F8" s="157"/>
      <c r="G8" s="157"/>
      <c r="H8" s="157"/>
      <c r="I8" s="157"/>
      <c r="J8" s="156"/>
      <c r="L8" t="s">
        <v>816</v>
      </c>
      <c r="M8" s="267"/>
    </row>
    <row r="9" spans="1:13" x14ac:dyDescent="0.2">
      <c r="A9" s="285"/>
      <c r="B9" s="157"/>
      <c r="C9" s="157"/>
      <c r="D9" s="157"/>
      <c r="E9" s="157"/>
      <c r="F9" s="157"/>
      <c r="G9" s="157"/>
      <c r="H9" s="157"/>
      <c r="I9" s="157"/>
      <c r="J9" s="156"/>
      <c r="L9" t="s">
        <v>815</v>
      </c>
      <c r="M9" s="267"/>
    </row>
    <row r="10" spans="1:13" x14ac:dyDescent="0.2">
      <c r="A10" s="285" t="s">
        <v>1</v>
      </c>
      <c r="B10" s="157" t="s">
        <v>704</v>
      </c>
      <c r="C10" s="157" t="s">
        <v>814</v>
      </c>
      <c r="D10" s="157"/>
      <c r="E10" s="157"/>
      <c r="F10" s="157"/>
      <c r="G10" s="157"/>
      <c r="H10" s="157"/>
      <c r="I10" s="157"/>
      <c r="J10" s="156"/>
      <c r="M10" s="267"/>
    </row>
    <row r="11" spans="1:13" x14ac:dyDescent="0.2">
      <c r="A11" s="285"/>
      <c r="B11" s="157"/>
      <c r="C11" s="157" t="s">
        <v>813</v>
      </c>
      <c r="D11" s="157"/>
      <c r="E11" s="157"/>
      <c r="F11" s="157"/>
      <c r="G11" s="157"/>
      <c r="H11" s="157"/>
      <c r="I11" s="157"/>
      <c r="J11" s="156"/>
      <c r="L11" s="180" t="s">
        <v>706</v>
      </c>
      <c r="M11" s="267"/>
    </row>
    <row r="12" spans="1:13" x14ac:dyDescent="0.2">
      <c r="A12" s="285"/>
      <c r="B12" s="157"/>
      <c r="C12" s="157"/>
      <c r="D12" s="157"/>
      <c r="E12" s="157"/>
      <c r="F12" s="157"/>
      <c r="G12" s="157"/>
      <c r="H12" s="157"/>
      <c r="I12" s="157"/>
      <c r="J12" s="156"/>
      <c r="L12" s="340" t="s">
        <v>812</v>
      </c>
    </row>
    <row r="13" spans="1:13" x14ac:dyDescent="0.2">
      <c r="A13" s="285" t="s">
        <v>2</v>
      </c>
      <c r="B13" s="157" t="s">
        <v>704</v>
      </c>
      <c r="C13" s="157" t="s">
        <v>811</v>
      </c>
      <c r="D13" s="157"/>
      <c r="E13" s="157"/>
      <c r="F13" s="157"/>
      <c r="G13" s="157"/>
      <c r="H13" s="157"/>
      <c r="I13" s="157"/>
      <c r="J13" s="156"/>
      <c r="L13" t="s">
        <v>810</v>
      </c>
      <c r="M13" s="145"/>
    </row>
    <row r="14" spans="1:13" x14ac:dyDescent="0.2">
      <c r="A14" s="285"/>
      <c r="B14" s="171"/>
      <c r="C14" s="157" t="s">
        <v>809</v>
      </c>
      <c r="D14" s="157"/>
      <c r="E14" s="157"/>
      <c r="F14" s="157"/>
      <c r="G14" s="157"/>
      <c r="H14" s="157"/>
      <c r="I14" s="157"/>
      <c r="J14" s="156"/>
      <c r="L14" t="s">
        <v>808</v>
      </c>
      <c r="M14" s="144"/>
    </row>
    <row r="15" spans="1:13" x14ac:dyDescent="0.2">
      <c r="A15" s="285"/>
      <c r="B15" s="171"/>
      <c r="C15" s="157" t="s">
        <v>807</v>
      </c>
      <c r="D15" s="157"/>
      <c r="E15" s="157"/>
      <c r="F15" s="157"/>
      <c r="G15" s="157"/>
      <c r="H15" s="157"/>
      <c r="I15" s="157"/>
      <c r="J15" s="156"/>
      <c r="L15" t="s">
        <v>806</v>
      </c>
    </row>
    <row r="16" spans="1:13" x14ac:dyDescent="0.2">
      <c r="A16" s="285"/>
      <c r="B16" s="171"/>
      <c r="C16" s="157" t="s">
        <v>805</v>
      </c>
      <c r="D16" s="157"/>
      <c r="E16" s="157"/>
      <c r="F16" s="157"/>
      <c r="G16" s="157"/>
      <c r="H16" s="157"/>
      <c r="I16" s="157"/>
      <c r="J16" s="156"/>
      <c r="M16" s="304"/>
    </row>
    <row r="17" spans="1:18" x14ac:dyDescent="0.2">
      <c r="A17" s="285"/>
      <c r="B17" s="171"/>
      <c r="C17" s="157"/>
      <c r="D17" s="157"/>
      <c r="E17" s="157"/>
      <c r="F17" s="157"/>
      <c r="G17" s="157"/>
      <c r="H17" s="157"/>
      <c r="I17" s="157"/>
      <c r="J17" s="156"/>
      <c r="L17" s="180" t="s">
        <v>718</v>
      </c>
    </row>
    <row r="18" spans="1:18" x14ac:dyDescent="0.2">
      <c r="A18" s="285"/>
      <c r="B18" s="171"/>
      <c r="C18" s="157" t="s">
        <v>804</v>
      </c>
      <c r="D18" s="157"/>
      <c r="E18" s="157"/>
      <c r="F18" s="157"/>
      <c r="G18" s="157"/>
      <c r="H18" s="157"/>
      <c r="I18" s="157"/>
      <c r="J18" s="156"/>
      <c r="L18" s="433" t="s">
        <v>803</v>
      </c>
      <c r="M18" s="433"/>
      <c r="N18" s="433"/>
      <c r="O18" s="433"/>
      <c r="P18" s="433"/>
      <c r="Q18" s="433"/>
      <c r="R18" s="433"/>
    </row>
    <row r="19" spans="1:18" ht="17" thickBot="1" x14ac:dyDescent="0.25">
      <c r="A19" s="285"/>
      <c r="B19" s="171"/>
      <c r="C19" s="157"/>
      <c r="D19" s="157"/>
      <c r="E19" s="157"/>
      <c r="F19" s="157"/>
      <c r="G19" s="157"/>
      <c r="H19" s="157"/>
      <c r="I19" s="157"/>
      <c r="J19" s="156"/>
      <c r="L19" s="433"/>
      <c r="M19" s="433"/>
      <c r="N19" s="433"/>
      <c r="O19" s="433"/>
      <c r="P19" s="433"/>
      <c r="Q19" s="433"/>
      <c r="R19" s="433"/>
    </row>
    <row r="20" spans="1:18" ht="17" thickBot="1" x14ac:dyDescent="0.25">
      <c r="A20" s="305" t="s">
        <v>266</v>
      </c>
      <c r="B20" s="154"/>
      <c r="C20" s="261"/>
      <c r="D20" s="154"/>
      <c r="E20" s="154"/>
      <c r="F20" s="154"/>
      <c r="G20" s="154"/>
      <c r="H20" s="154"/>
      <c r="I20" s="154"/>
      <c r="J20" s="153"/>
      <c r="L20" s="433"/>
      <c r="M20" s="433"/>
      <c r="N20" s="433"/>
      <c r="O20" s="433"/>
      <c r="P20" s="433"/>
      <c r="Q20" s="433"/>
      <c r="R20" s="433"/>
    </row>
    <row r="21" spans="1:18" x14ac:dyDescent="0.2">
      <c r="L21" s="433"/>
      <c r="M21" s="433"/>
      <c r="N21" s="433"/>
      <c r="O21" s="433"/>
      <c r="P21" s="433"/>
      <c r="Q21" s="433"/>
      <c r="R21" s="433"/>
    </row>
    <row r="22" spans="1:18" x14ac:dyDescent="0.2">
      <c r="L22" s="180"/>
    </row>
  </sheetData>
  <mergeCells count="1">
    <mergeCell ref="L18:R2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D6B7E-CF53-3C43-A8A2-5357DFEEF9BE}">
  <dimension ref="A1:S55"/>
  <sheetViews>
    <sheetView zoomScaleNormal="100" workbookViewId="0"/>
  </sheetViews>
  <sheetFormatPr baseColWidth="10" defaultColWidth="11" defaultRowHeight="16" outlineLevelCol="1" x14ac:dyDescent="0.2"/>
  <cols>
    <col min="1" max="1" width="4" style="149" customWidth="1"/>
    <col min="2" max="2" width="11.5" customWidth="1"/>
    <col min="6" max="6" width="11.6640625" customWidth="1"/>
    <col min="12" max="12" width="11.33203125" hidden="1" customWidth="1" outlineLevel="1"/>
    <col min="13" max="18" width="10.83203125" hidden="1" customWidth="1" outlineLevel="1"/>
    <col min="19" max="19" width="11" collapsed="1"/>
  </cols>
  <sheetData>
    <row r="1" spans="1:14" x14ac:dyDescent="0.2">
      <c r="A1" s="313"/>
      <c r="B1" s="201" t="s">
        <v>711</v>
      </c>
      <c r="C1" s="200" t="s">
        <v>802</v>
      </c>
      <c r="D1" s="200" t="s">
        <v>710</v>
      </c>
      <c r="E1" s="200" t="s">
        <v>872</v>
      </c>
      <c r="F1" s="199"/>
      <c r="G1" s="199"/>
      <c r="H1" s="199"/>
      <c r="I1" s="199"/>
      <c r="J1" s="198"/>
      <c r="K1" s="180" t="s">
        <v>265</v>
      </c>
      <c r="L1" s="180"/>
    </row>
    <row r="2" spans="1:14" x14ac:dyDescent="0.2">
      <c r="A2" s="285"/>
      <c r="B2" s="312" t="s">
        <v>708</v>
      </c>
      <c r="C2" s="311">
        <v>2.75</v>
      </c>
      <c r="D2" s="157"/>
      <c r="E2" s="157"/>
      <c r="F2" s="157"/>
      <c r="G2" s="157"/>
      <c r="H2" s="157"/>
      <c r="I2" s="157"/>
      <c r="J2" s="156"/>
    </row>
    <row r="3" spans="1:14" x14ac:dyDescent="0.2">
      <c r="A3" s="285"/>
      <c r="B3" s="157"/>
      <c r="C3" s="157"/>
      <c r="D3" s="157"/>
      <c r="E3" s="157"/>
      <c r="F3" s="157"/>
      <c r="G3" s="157"/>
      <c r="H3" s="157"/>
      <c r="I3" s="157"/>
      <c r="J3" s="156"/>
      <c r="L3" s="180" t="s">
        <v>707</v>
      </c>
      <c r="M3" s="267"/>
    </row>
    <row r="4" spans="1:14" x14ac:dyDescent="0.2">
      <c r="A4" s="285"/>
      <c r="B4" s="157"/>
      <c r="C4" s="157" t="s">
        <v>871</v>
      </c>
      <c r="D4" s="157"/>
      <c r="E4" s="157"/>
      <c r="F4" s="157"/>
      <c r="G4" s="157"/>
      <c r="H4" s="157"/>
      <c r="I4" s="157"/>
      <c r="J4" s="156"/>
      <c r="L4" t="s">
        <v>870</v>
      </c>
      <c r="M4" s="267"/>
    </row>
    <row r="5" spans="1:14" x14ac:dyDescent="0.2">
      <c r="A5" s="285"/>
      <c r="B5" s="157"/>
      <c r="C5" s="157" t="s">
        <v>869</v>
      </c>
      <c r="D5" s="157"/>
      <c r="E5" s="157"/>
      <c r="F5" s="157"/>
      <c r="G5" s="157"/>
      <c r="H5" s="157"/>
      <c r="I5" s="157"/>
      <c r="J5" s="156"/>
    </row>
    <row r="6" spans="1:14" x14ac:dyDescent="0.2">
      <c r="A6" s="285"/>
      <c r="B6" s="157"/>
      <c r="C6" s="157"/>
      <c r="D6" s="157"/>
      <c r="E6" s="157"/>
      <c r="F6" s="157"/>
      <c r="G6" s="157"/>
      <c r="H6" s="157"/>
      <c r="I6" s="157"/>
      <c r="J6" s="156"/>
      <c r="L6" t="s">
        <v>421</v>
      </c>
      <c r="M6" s="145"/>
    </row>
    <row r="7" spans="1:14" x14ac:dyDescent="0.2">
      <c r="A7" s="285"/>
      <c r="B7" s="157"/>
      <c r="C7" s="430" t="s">
        <v>80</v>
      </c>
      <c r="D7" s="430"/>
      <c r="E7" s="430"/>
      <c r="F7" s="430"/>
      <c r="G7" s="430"/>
      <c r="H7" s="430"/>
      <c r="I7" s="430"/>
      <c r="J7" s="156"/>
      <c r="M7" s="145"/>
    </row>
    <row r="8" spans="1:14" x14ac:dyDescent="0.2">
      <c r="A8" s="285"/>
      <c r="B8" s="157"/>
      <c r="C8" s="184" t="s">
        <v>868</v>
      </c>
      <c r="D8" s="338">
        <v>12</v>
      </c>
      <c r="E8" s="292">
        <v>24</v>
      </c>
      <c r="F8" s="292">
        <v>36</v>
      </c>
      <c r="G8" s="292">
        <v>48</v>
      </c>
      <c r="H8" s="292">
        <v>60</v>
      </c>
      <c r="I8" s="291">
        <v>72</v>
      </c>
      <c r="J8" s="156"/>
      <c r="L8" s="193" t="s">
        <v>867</v>
      </c>
      <c r="M8" s="360" t="s">
        <v>186</v>
      </c>
    </row>
    <row r="9" spans="1:14" x14ac:dyDescent="0.2">
      <c r="A9" s="285"/>
      <c r="B9" s="157"/>
      <c r="C9" s="179" t="s">
        <v>776</v>
      </c>
      <c r="D9" s="187" t="s">
        <v>866</v>
      </c>
      <c r="E9" s="186" t="s">
        <v>866</v>
      </c>
      <c r="F9" s="186" t="s">
        <v>866</v>
      </c>
      <c r="G9" s="186" t="s">
        <v>866</v>
      </c>
      <c r="H9" s="186" t="s">
        <v>866</v>
      </c>
      <c r="I9" s="185" t="s">
        <v>866</v>
      </c>
      <c r="J9" s="156"/>
      <c r="L9" s="188" t="s">
        <v>865</v>
      </c>
      <c r="M9" s="349">
        <f>H25/H23</f>
        <v>0.86542923433874708</v>
      </c>
    </row>
    <row r="10" spans="1:14" x14ac:dyDescent="0.2">
      <c r="A10" s="285"/>
      <c r="B10" s="157"/>
      <c r="C10" s="184">
        <v>2010</v>
      </c>
      <c r="D10" s="359">
        <v>1.68</v>
      </c>
      <c r="E10" s="358">
        <v>2.65</v>
      </c>
      <c r="F10" s="358">
        <v>-4.7</v>
      </c>
      <c r="G10" s="358">
        <v>-2.78</v>
      </c>
      <c r="H10" s="358">
        <v>3.37</v>
      </c>
      <c r="I10" s="357">
        <v>0</v>
      </c>
      <c r="J10" s="156"/>
      <c r="L10" s="188" t="s">
        <v>864</v>
      </c>
      <c r="M10" s="349">
        <f>H25/H24</f>
        <v>2.6694860117111254</v>
      </c>
    </row>
    <row r="11" spans="1:14" x14ac:dyDescent="0.2">
      <c r="A11" s="285"/>
      <c r="B11" s="157"/>
      <c r="C11" s="183">
        <v>2011</v>
      </c>
      <c r="D11" s="356">
        <v>7.74</v>
      </c>
      <c r="E11" s="212">
        <v>-1.34</v>
      </c>
      <c r="F11" s="212">
        <v>-7.33</v>
      </c>
      <c r="G11" s="212">
        <v>-1.91</v>
      </c>
      <c r="H11" s="212">
        <v>-3.61</v>
      </c>
      <c r="I11" s="355"/>
      <c r="J11" s="156"/>
    </row>
    <row r="12" spans="1:14" x14ac:dyDescent="0.2">
      <c r="A12" s="285"/>
      <c r="B12" s="157"/>
      <c r="C12" s="183">
        <v>2012</v>
      </c>
      <c r="D12" s="356">
        <v>5.72</v>
      </c>
      <c r="E12" s="212">
        <v>1.94</v>
      </c>
      <c r="F12" s="212">
        <v>-6.91</v>
      </c>
      <c r="G12" s="212">
        <v>4.9800000000000004</v>
      </c>
      <c r="H12" s="212"/>
      <c r="I12" s="355"/>
      <c r="J12" s="156"/>
      <c r="L12" t="s">
        <v>863</v>
      </c>
    </row>
    <row r="13" spans="1:14" x14ac:dyDescent="0.2">
      <c r="A13" s="285"/>
      <c r="B13" s="171"/>
      <c r="C13" s="183">
        <v>2013</v>
      </c>
      <c r="D13" s="356">
        <v>-1.22</v>
      </c>
      <c r="E13" s="212">
        <v>0.12</v>
      </c>
      <c r="F13" s="212">
        <v>-1.94</v>
      </c>
      <c r="G13" s="212"/>
      <c r="H13" s="212"/>
      <c r="I13" s="355"/>
      <c r="J13" s="156"/>
    </row>
    <row r="14" spans="1:14" x14ac:dyDescent="0.2">
      <c r="A14" s="285"/>
      <c r="B14" s="171"/>
      <c r="C14" s="183">
        <v>2014</v>
      </c>
      <c r="D14" s="356">
        <v>1.67</v>
      </c>
      <c r="E14" s="212">
        <v>-1.87</v>
      </c>
      <c r="F14" s="212"/>
      <c r="G14" s="212"/>
      <c r="H14" s="212"/>
      <c r="I14" s="355"/>
      <c r="J14" s="156"/>
      <c r="L14" s="193" t="s">
        <v>35</v>
      </c>
      <c r="M14" s="191" t="s">
        <v>849</v>
      </c>
    </row>
    <row r="15" spans="1:14" x14ac:dyDescent="0.2">
      <c r="A15" s="285"/>
      <c r="B15" s="171"/>
      <c r="C15" s="179">
        <v>2015</v>
      </c>
      <c r="D15" s="354">
        <v>0</v>
      </c>
      <c r="E15" s="353"/>
      <c r="F15" s="353"/>
      <c r="G15" s="353"/>
      <c r="H15" s="353"/>
      <c r="I15" s="352"/>
      <c r="J15" s="156"/>
      <c r="L15" s="188">
        <v>2012</v>
      </c>
      <c r="M15" s="168">
        <f>D14*M10</f>
        <v>4.458041639557579</v>
      </c>
      <c r="N15" t="s">
        <v>862</v>
      </c>
    </row>
    <row r="16" spans="1:14" x14ac:dyDescent="0.2">
      <c r="A16" s="285"/>
      <c r="B16" s="171"/>
      <c r="C16" s="157"/>
      <c r="D16" s="157"/>
      <c r="E16" s="157"/>
      <c r="F16" s="157"/>
      <c r="G16" s="157"/>
      <c r="H16" s="157"/>
      <c r="I16" s="157"/>
      <c r="J16" s="156"/>
      <c r="L16" s="188">
        <v>2013</v>
      </c>
      <c r="M16" s="168">
        <f>F10*M9</f>
        <v>-4.0675174013921112</v>
      </c>
      <c r="N16" t="s">
        <v>861</v>
      </c>
    </row>
    <row r="17" spans="1:18" x14ac:dyDescent="0.2">
      <c r="A17" s="285"/>
      <c r="B17" s="171"/>
      <c r="C17" s="157"/>
      <c r="D17" s="430" t="s">
        <v>860</v>
      </c>
      <c r="E17" s="430"/>
      <c r="F17" s="430"/>
      <c r="G17" s="430"/>
      <c r="H17" s="430"/>
      <c r="I17" s="157"/>
      <c r="J17" s="156"/>
      <c r="L17" s="188">
        <v>2014</v>
      </c>
      <c r="M17" s="168">
        <f>F13*M10</f>
        <v>-5.178802862719583</v>
      </c>
      <c r="N17" t="s">
        <v>859</v>
      </c>
    </row>
    <row r="18" spans="1:18" x14ac:dyDescent="0.2">
      <c r="A18" s="285"/>
      <c r="B18" s="171"/>
      <c r="C18" s="157"/>
      <c r="D18" s="338" t="s">
        <v>581</v>
      </c>
      <c r="E18" s="291" t="s">
        <v>600</v>
      </c>
      <c r="F18" s="465" t="s">
        <v>858</v>
      </c>
      <c r="G18" s="466"/>
      <c r="H18" s="291" t="s">
        <v>600</v>
      </c>
      <c r="I18" s="157"/>
      <c r="J18" s="156"/>
    </row>
    <row r="19" spans="1:18" x14ac:dyDescent="0.2">
      <c r="A19" s="285"/>
      <c r="B19" s="171"/>
      <c r="C19" s="157"/>
      <c r="D19" s="187" t="s">
        <v>578</v>
      </c>
      <c r="E19" s="185" t="s">
        <v>857</v>
      </c>
      <c r="F19" s="464" t="s">
        <v>856</v>
      </c>
      <c r="G19" s="455"/>
      <c r="H19" s="185" t="s">
        <v>855</v>
      </c>
      <c r="I19" s="157"/>
      <c r="J19" s="156"/>
      <c r="L19" t="s">
        <v>854</v>
      </c>
    </row>
    <row r="20" spans="1:18" ht="17" thickBot="1" x14ac:dyDescent="0.25">
      <c r="A20" s="285"/>
      <c r="B20" s="171"/>
      <c r="C20" s="157"/>
      <c r="D20" s="338">
        <v>2010</v>
      </c>
      <c r="E20" s="291">
        <v>3.5710000000000002</v>
      </c>
      <c r="F20" s="465" t="s">
        <v>853</v>
      </c>
      <c r="G20" s="466"/>
      <c r="H20" s="291">
        <v>4.4630000000000001</v>
      </c>
      <c r="I20" s="157"/>
      <c r="J20" s="156"/>
    </row>
    <row r="21" spans="1:18" x14ac:dyDescent="0.2">
      <c r="A21" s="285"/>
      <c r="B21" s="171"/>
      <c r="C21" s="157"/>
      <c r="D21" s="266">
        <v>2011</v>
      </c>
      <c r="E21" s="228">
        <v>5.5629999999999997</v>
      </c>
      <c r="F21" s="451" t="s">
        <v>852</v>
      </c>
      <c r="G21" s="449"/>
      <c r="H21" s="228">
        <v>4.3449999999999998</v>
      </c>
      <c r="I21" s="157"/>
      <c r="J21" s="156"/>
      <c r="P21" s="462" t="s">
        <v>851</v>
      </c>
    </row>
    <row r="22" spans="1:18" x14ac:dyDescent="0.2">
      <c r="A22" s="285"/>
      <c r="B22" s="171"/>
      <c r="C22" s="157"/>
      <c r="D22" s="266">
        <v>2012</v>
      </c>
      <c r="E22" s="228">
        <v>5.7969999999999997</v>
      </c>
      <c r="F22" s="451" t="s">
        <v>850</v>
      </c>
      <c r="G22" s="449"/>
      <c r="H22" s="228">
        <v>2.5030000000000001</v>
      </c>
      <c r="I22" s="157"/>
      <c r="J22" s="156"/>
      <c r="L22" s="193" t="s">
        <v>35</v>
      </c>
      <c r="M22" s="191" t="s">
        <v>849</v>
      </c>
      <c r="N22" s="351" t="s">
        <v>186</v>
      </c>
      <c r="O22" s="351" t="s">
        <v>848</v>
      </c>
      <c r="P22" s="463"/>
    </row>
    <row r="23" spans="1:18" x14ac:dyDescent="0.2">
      <c r="A23" s="285"/>
      <c r="B23" s="171"/>
      <c r="C23" s="157"/>
      <c r="D23" s="266">
        <v>2013</v>
      </c>
      <c r="E23" s="228">
        <v>1.0449999999999999</v>
      </c>
      <c r="F23" s="451" t="s">
        <v>847</v>
      </c>
      <c r="G23" s="449"/>
      <c r="H23" s="228">
        <v>4.7409999999999997</v>
      </c>
      <c r="I23" s="157"/>
      <c r="J23" s="156"/>
      <c r="L23" s="188">
        <v>2012</v>
      </c>
      <c r="M23" s="168">
        <f>M15</f>
        <v>4.458041639557579</v>
      </c>
      <c r="N23" s="349">
        <f>M9</f>
        <v>0.86542923433874708</v>
      </c>
      <c r="O23" s="329">
        <f>F30-E30</f>
        <v>4112</v>
      </c>
      <c r="P23" s="350">
        <f>M23/N23*SQRT(O23)+O23</f>
        <v>4442.3232265094593</v>
      </c>
      <c r="Q23" t="s">
        <v>846</v>
      </c>
    </row>
    <row r="24" spans="1:18" x14ac:dyDescent="0.2">
      <c r="A24" s="285"/>
      <c r="B24" s="171"/>
      <c r="C24" s="157"/>
      <c r="D24" s="266">
        <v>2014</v>
      </c>
      <c r="E24" s="228">
        <v>2.5030000000000001</v>
      </c>
      <c r="F24" s="451" t="s">
        <v>845</v>
      </c>
      <c r="G24" s="449"/>
      <c r="H24" s="228">
        <v>1.5369999999999999</v>
      </c>
      <c r="I24" s="157"/>
      <c r="J24" s="156"/>
      <c r="L24" s="188">
        <v>2013</v>
      </c>
      <c r="M24" s="168">
        <f>M16</f>
        <v>-4.0675174013921112</v>
      </c>
      <c r="N24" s="349">
        <f>M10</f>
        <v>2.6694860117111254</v>
      </c>
      <c r="O24" s="329">
        <f>F31-E31</f>
        <v>4539</v>
      </c>
      <c r="P24" s="350">
        <f>M24/N24*SQRT(O24)+O24</f>
        <v>4436.3445853657631</v>
      </c>
      <c r="Q24" t="s">
        <v>844</v>
      </c>
    </row>
    <row r="25" spans="1:18" ht="17" thickBot="1" x14ac:dyDescent="0.25">
      <c r="A25" s="285"/>
      <c r="B25" s="171"/>
      <c r="C25" s="157"/>
      <c r="D25" s="187"/>
      <c r="E25" s="185"/>
      <c r="F25" s="464" t="s">
        <v>843</v>
      </c>
      <c r="G25" s="455"/>
      <c r="H25" s="185">
        <v>4.1029999999999998</v>
      </c>
      <c r="I25" s="157"/>
      <c r="J25" s="156"/>
      <c r="L25" s="188">
        <v>2014</v>
      </c>
      <c r="M25" s="168">
        <f>M17</f>
        <v>-5.178802862719583</v>
      </c>
      <c r="N25" s="349">
        <f>M10</f>
        <v>2.6694860117111254</v>
      </c>
      <c r="O25" s="329">
        <f>F32-E32</f>
        <v>5254</v>
      </c>
      <c r="P25" s="348">
        <f>M25/N25*SQRT(O25)+O25</f>
        <v>5113.3801066705</v>
      </c>
      <c r="Q25" t="s">
        <v>842</v>
      </c>
    </row>
    <row r="26" spans="1:18" x14ac:dyDescent="0.2">
      <c r="A26" s="285"/>
      <c r="B26" s="171"/>
      <c r="C26" s="157"/>
      <c r="D26" s="157"/>
      <c r="E26" s="157"/>
      <c r="F26" s="157"/>
      <c r="G26" s="157"/>
      <c r="H26" s="157"/>
      <c r="I26" s="157"/>
      <c r="J26" s="156"/>
    </row>
    <row r="27" spans="1:18" x14ac:dyDescent="0.2">
      <c r="A27" s="285"/>
      <c r="B27" s="171"/>
      <c r="C27" s="157"/>
      <c r="D27" s="430" t="s">
        <v>176</v>
      </c>
      <c r="E27" s="430"/>
      <c r="F27" s="430"/>
      <c r="G27" s="157"/>
      <c r="H27" s="157"/>
      <c r="I27" s="157"/>
      <c r="J27" s="156"/>
    </row>
    <row r="28" spans="1:18" x14ac:dyDescent="0.2">
      <c r="A28" s="285"/>
      <c r="B28" s="171"/>
      <c r="C28" s="157"/>
      <c r="D28" s="184" t="s">
        <v>581</v>
      </c>
      <c r="E28" s="338">
        <v>12</v>
      </c>
      <c r="F28" s="291">
        <v>24</v>
      </c>
      <c r="G28" s="157"/>
      <c r="H28" s="157"/>
      <c r="I28" s="157"/>
      <c r="J28" s="156"/>
    </row>
    <row r="29" spans="1:18" x14ac:dyDescent="0.2">
      <c r="A29" s="285"/>
      <c r="B29" s="171"/>
      <c r="C29" s="157"/>
      <c r="D29" s="179" t="s">
        <v>578</v>
      </c>
      <c r="E29" s="187" t="s">
        <v>788</v>
      </c>
      <c r="F29" s="185" t="s">
        <v>788</v>
      </c>
      <c r="G29" s="157"/>
      <c r="H29" s="157"/>
      <c r="I29" s="157"/>
      <c r="J29" s="156"/>
      <c r="L29" s="180" t="s">
        <v>706</v>
      </c>
    </row>
    <row r="30" spans="1:18" x14ac:dyDescent="0.2">
      <c r="A30" s="285"/>
      <c r="B30" s="171"/>
      <c r="C30" s="157"/>
      <c r="D30" s="184">
        <v>2012</v>
      </c>
      <c r="E30" s="337">
        <v>3500</v>
      </c>
      <c r="F30" s="322">
        <v>7612</v>
      </c>
      <c r="G30" s="157"/>
      <c r="H30" s="157"/>
      <c r="I30" s="157"/>
      <c r="J30" s="156"/>
      <c r="L30" s="434" t="s">
        <v>841</v>
      </c>
      <c r="M30" s="434"/>
      <c r="N30" s="434"/>
      <c r="O30" s="434"/>
      <c r="P30" s="434"/>
      <c r="Q30" s="434"/>
      <c r="R30" s="434"/>
    </row>
    <row r="31" spans="1:18" x14ac:dyDescent="0.2">
      <c r="A31" s="285"/>
      <c r="B31" s="171"/>
      <c r="C31" s="157"/>
      <c r="D31" s="183">
        <v>2013</v>
      </c>
      <c r="E31" s="336">
        <v>4210</v>
      </c>
      <c r="F31" s="245">
        <v>8749</v>
      </c>
      <c r="G31" s="157"/>
      <c r="H31" s="157"/>
      <c r="I31" s="157"/>
      <c r="J31" s="156"/>
      <c r="L31" s="434"/>
      <c r="M31" s="434"/>
      <c r="N31" s="434"/>
      <c r="O31" s="434"/>
      <c r="P31" s="434"/>
      <c r="Q31" s="434"/>
      <c r="R31" s="434"/>
    </row>
    <row r="32" spans="1:18" x14ac:dyDescent="0.2">
      <c r="A32" s="285"/>
      <c r="B32" s="171"/>
      <c r="C32" s="157"/>
      <c r="D32" s="179">
        <v>2014</v>
      </c>
      <c r="E32" s="335">
        <v>5400</v>
      </c>
      <c r="F32" s="243">
        <v>10654</v>
      </c>
      <c r="G32" s="157"/>
      <c r="H32" s="157"/>
      <c r="I32" s="157"/>
      <c r="J32" s="156"/>
    </row>
    <row r="33" spans="1:18" x14ac:dyDescent="0.2">
      <c r="A33" s="285"/>
      <c r="B33" s="171"/>
      <c r="C33" s="157"/>
      <c r="D33" s="171"/>
      <c r="E33" s="242"/>
      <c r="F33" s="242"/>
      <c r="G33" s="157"/>
      <c r="H33" s="157"/>
      <c r="I33" s="157"/>
      <c r="J33" s="156"/>
      <c r="M33" s="306"/>
    </row>
    <row r="34" spans="1:18" ht="19" x14ac:dyDescent="0.25">
      <c r="A34" s="285"/>
      <c r="B34" s="171"/>
      <c r="C34" s="157" t="s">
        <v>840</v>
      </c>
      <c r="D34" s="171"/>
      <c r="E34" s="242"/>
      <c r="F34" s="242"/>
      <c r="G34" s="157"/>
      <c r="H34" s="157"/>
      <c r="I34" s="157"/>
      <c r="J34" s="156"/>
      <c r="L34" s="197" t="s">
        <v>262</v>
      </c>
      <c r="M34" s="341"/>
    </row>
    <row r="35" spans="1:18" ht="16" customHeight="1" x14ac:dyDescent="0.2">
      <c r="A35" s="285"/>
      <c r="B35" s="171"/>
      <c r="C35" s="157" t="s">
        <v>839</v>
      </c>
      <c r="D35" s="171"/>
      <c r="E35" s="242"/>
      <c r="F35" s="242"/>
      <c r="G35" s="157"/>
      <c r="H35" s="157"/>
      <c r="I35" s="157"/>
      <c r="J35" s="156"/>
      <c r="L35" s="433" t="s">
        <v>838</v>
      </c>
      <c r="M35" s="433"/>
      <c r="N35" s="433"/>
      <c r="O35" s="433"/>
      <c r="P35" s="433"/>
      <c r="Q35" s="433"/>
      <c r="R35" s="433"/>
    </row>
    <row r="36" spans="1:18" x14ac:dyDescent="0.2">
      <c r="A36" s="285"/>
      <c r="B36" s="171"/>
      <c r="C36" s="157" t="s">
        <v>837</v>
      </c>
      <c r="D36" s="171"/>
      <c r="E36" s="242"/>
      <c r="F36" s="242"/>
      <c r="G36" s="157"/>
      <c r="H36" s="157"/>
      <c r="I36" s="157"/>
      <c r="J36" s="156"/>
      <c r="L36" s="433"/>
      <c r="M36" s="433"/>
      <c r="N36" s="433"/>
      <c r="O36" s="433"/>
      <c r="P36" s="433"/>
      <c r="Q36" s="433"/>
      <c r="R36" s="433"/>
    </row>
    <row r="37" spans="1:18" x14ac:dyDescent="0.2">
      <c r="A37" s="285"/>
      <c r="B37" s="171"/>
      <c r="C37" s="157"/>
      <c r="D37" s="171"/>
      <c r="E37" s="242"/>
      <c r="F37" s="242"/>
      <c r="G37" s="157"/>
      <c r="H37" s="157"/>
      <c r="I37" s="157"/>
      <c r="J37" s="156"/>
      <c r="L37" s="433"/>
      <c r="M37" s="433"/>
      <c r="N37" s="433"/>
      <c r="O37" s="433"/>
      <c r="P37" s="433"/>
      <c r="Q37" s="433"/>
      <c r="R37" s="433"/>
    </row>
    <row r="38" spans="1:18" x14ac:dyDescent="0.2">
      <c r="A38" s="285"/>
      <c r="B38" s="171"/>
      <c r="C38" s="157" t="s">
        <v>836</v>
      </c>
      <c r="D38" s="171"/>
      <c r="E38" s="242"/>
      <c r="F38" s="242"/>
      <c r="G38" s="157"/>
      <c r="H38" s="157"/>
      <c r="I38" s="157"/>
      <c r="J38" s="156"/>
      <c r="L38" s="433"/>
      <c r="M38" s="433"/>
      <c r="N38" s="433"/>
      <c r="O38" s="433"/>
      <c r="P38" s="433"/>
      <c r="Q38" s="433"/>
      <c r="R38" s="433"/>
    </row>
    <row r="39" spans="1:18" x14ac:dyDescent="0.2">
      <c r="A39" s="285"/>
      <c r="B39" s="171"/>
      <c r="C39" s="157"/>
      <c r="D39" s="171"/>
      <c r="E39" s="242"/>
      <c r="F39" s="242"/>
      <c r="G39" s="157"/>
      <c r="H39" s="157"/>
      <c r="I39" s="157"/>
      <c r="J39" s="156"/>
      <c r="L39" s="433"/>
      <c r="M39" s="433"/>
      <c r="N39" s="433"/>
      <c r="O39" s="433"/>
      <c r="P39" s="433"/>
      <c r="Q39" s="433"/>
      <c r="R39" s="433"/>
    </row>
    <row r="40" spans="1:18" x14ac:dyDescent="0.2">
      <c r="A40" s="285"/>
      <c r="B40" s="171"/>
      <c r="C40" s="157"/>
      <c r="D40" s="171"/>
      <c r="E40" s="337"/>
      <c r="F40" s="346" t="s">
        <v>835</v>
      </c>
      <c r="G40" s="157"/>
      <c r="H40" s="157"/>
      <c r="I40" s="157"/>
      <c r="J40" s="156"/>
    </row>
    <row r="41" spans="1:18" ht="19" x14ac:dyDescent="0.25">
      <c r="A41" s="285"/>
      <c r="B41" s="171"/>
      <c r="C41" s="157"/>
      <c r="D41" s="171"/>
      <c r="E41" s="336"/>
      <c r="F41" s="344" t="s">
        <v>834</v>
      </c>
      <c r="G41" s="157"/>
      <c r="H41" s="157"/>
      <c r="I41" s="157"/>
      <c r="J41" s="156"/>
      <c r="L41" s="197" t="s">
        <v>303</v>
      </c>
    </row>
    <row r="42" spans="1:18" x14ac:dyDescent="0.2">
      <c r="A42" s="285"/>
      <c r="B42" s="171"/>
      <c r="C42" s="157"/>
      <c r="D42" s="171"/>
      <c r="E42" s="336" t="s">
        <v>581</v>
      </c>
      <c r="F42" s="344" t="s">
        <v>833</v>
      </c>
      <c r="G42" s="157"/>
      <c r="H42" s="157"/>
      <c r="I42" s="157"/>
      <c r="J42" s="156"/>
      <c r="L42" t="s">
        <v>300</v>
      </c>
    </row>
    <row r="43" spans="1:18" x14ac:dyDescent="0.2">
      <c r="A43" s="285"/>
      <c r="B43" s="171"/>
      <c r="C43" s="157"/>
      <c r="D43" s="171"/>
      <c r="E43" s="336" t="s">
        <v>578</v>
      </c>
      <c r="F43" s="344" t="s">
        <v>832</v>
      </c>
      <c r="G43" s="157"/>
      <c r="H43" s="157"/>
      <c r="I43" s="157"/>
      <c r="J43" s="156"/>
    </row>
    <row r="44" spans="1:18" x14ac:dyDescent="0.2">
      <c r="A44" s="285"/>
      <c r="B44" s="171"/>
      <c r="C44" s="157"/>
      <c r="D44" s="171"/>
      <c r="E44" s="347">
        <v>2012</v>
      </c>
      <c r="F44" s="346" t="s">
        <v>831</v>
      </c>
      <c r="G44" s="157"/>
      <c r="H44" s="157"/>
      <c r="I44" s="157"/>
      <c r="J44" s="156"/>
    </row>
    <row r="45" spans="1:18" x14ac:dyDescent="0.2">
      <c r="A45" s="285"/>
      <c r="B45" s="171"/>
      <c r="C45" s="157"/>
      <c r="D45" s="171"/>
      <c r="E45" s="345">
        <v>2013</v>
      </c>
      <c r="F45" s="344" t="s">
        <v>830</v>
      </c>
      <c r="G45" s="157"/>
      <c r="H45" s="157"/>
      <c r="I45" s="157"/>
      <c r="J45" s="156"/>
    </row>
    <row r="46" spans="1:18" x14ac:dyDescent="0.2">
      <c r="A46" s="285"/>
      <c r="B46" s="171"/>
      <c r="C46" s="157"/>
      <c r="D46" s="171"/>
      <c r="E46" s="343">
        <v>2014</v>
      </c>
      <c r="F46" s="342" t="s">
        <v>829</v>
      </c>
      <c r="G46" s="157"/>
      <c r="H46" s="157"/>
      <c r="I46" s="157"/>
      <c r="J46" s="156"/>
    </row>
    <row r="47" spans="1:18" x14ac:dyDescent="0.2">
      <c r="A47" s="285"/>
      <c r="B47" s="171"/>
      <c r="C47" s="157"/>
      <c r="D47" s="171"/>
      <c r="E47" s="242"/>
      <c r="F47" s="242"/>
      <c r="G47" s="157"/>
      <c r="H47" s="157"/>
      <c r="I47" s="157"/>
      <c r="J47" s="156"/>
    </row>
    <row r="48" spans="1:18" x14ac:dyDescent="0.2">
      <c r="A48" s="285" t="s">
        <v>0</v>
      </c>
      <c r="B48" s="206" t="s">
        <v>828</v>
      </c>
      <c r="C48" s="157" t="s">
        <v>827</v>
      </c>
      <c r="D48" s="171"/>
      <c r="E48" s="242"/>
      <c r="F48" s="242"/>
      <c r="G48" s="157"/>
      <c r="H48" s="157"/>
      <c r="I48" s="157"/>
      <c r="J48" s="156"/>
    </row>
    <row r="49" spans="1:13" x14ac:dyDescent="0.2">
      <c r="A49" s="285"/>
      <c r="B49" s="171"/>
      <c r="C49" s="157" t="s">
        <v>826</v>
      </c>
      <c r="D49" s="171"/>
      <c r="E49" s="242"/>
      <c r="F49" s="242"/>
      <c r="G49" s="157"/>
      <c r="H49" s="157"/>
      <c r="I49" s="157"/>
      <c r="J49" s="156"/>
    </row>
    <row r="50" spans="1:13" x14ac:dyDescent="0.2">
      <c r="A50" s="285"/>
      <c r="B50" s="171"/>
      <c r="C50" s="157"/>
      <c r="D50" s="157"/>
      <c r="E50" s="157"/>
      <c r="F50" s="157"/>
      <c r="G50" s="157"/>
      <c r="H50" s="157"/>
      <c r="I50" s="157"/>
      <c r="J50" s="156"/>
      <c r="M50" s="306"/>
    </row>
    <row r="51" spans="1:13" x14ac:dyDescent="0.2">
      <c r="A51" s="285" t="s">
        <v>1</v>
      </c>
      <c r="B51" s="157" t="s">
        <v>704</v>
      </c>
      <c r="C51" s="157" t="s">
        <v>825</v>
      </c>
      <c r="D51" s="157"/>
      <c r="E51" s="157"/>
      <c r="F51" s="157"/>
      <c r="G51" s="157"/>
      <c r="H51" s="157"/>
      <c r="I51" s="157"/>
      <c r="J51" s="156"/>
    </row>
    <row r="52" spans="1:13" x14ac:dyDescent="0.2">
      <c r="A52" s="285"/>
      <c r="B52" s="157"/>
      <c r="C52" s="205" t="s">
        <v>824</v>
      </c>
      <c r="D52" s="157"/>
      <c r="E52" s="157"/>
      <c r="F52" s="157"/>
      <c r="G52" s="157"/>
      <c r="H52" s="157"/>
      <c r="I52" s="157"/>
      <c r="J52" s="156"/>
      <c r="M52" s="341"/>
    </row>
    <row r="53" spans="1:13" ht="17" thickBot="1" x14ac:dyDescent="0.25">
      <c r="A53" s="285"/>
      <c r="B53" s="157"/>
      <c r="C53" s="205"/>
      <c r="D53" s="157"/>
      <c r="E53" s="157"/>
      <c r="F53" s="157"/>
      <c r="G53" s="157"/>
      <c r="H53" s="157"/>
      <c r="I53" s="157"/>
      <c r="J53" s="156"/>
    </row>
    <row r="54" spans="1:13" ht="17" thickBot="1" x14ac:dyDescent="0.25">
      <c r="A54" s="305" t="s">
        <v>266</v>
      </c>
      <c r="B54" s="154"/>
      <c r="C54" s="261"/>
      <c r="D54" s="154"/>
      <c r="E54" s="154"/>
      <c r="F54" s="154"/>
      <c r="G54" s="154"/>
      <c r="H54" s="154"/>
      <c r="I54" s="154"/>
      <c r="J54" s="153"/>
    </row>
    <row r="55" spans="1:13" x14ac:dyDescent="0.2">
      <c r="L55" s="180"/>
      <c r="M55" s="304"/>
    </row>
  </sheetData>
  <mergeCells count="14">
    <mergeCell ref="D17:H17"/>
    <mergeCell ref="D27:F27"/>
    <mergeCell ref="F25:G25"/>
    <mergeCell ref="C7:I7"/>
    <mergeCell ref="F18:G18"/>
    <mergeCell ref="F19:G19"/>
    <mergeCell ref="F20:G20"/>
    <mergeCell ref="F21:G21"/>
    <mergeCell ref="L35:R39"/>
    <mergeCell ref="L30:R31"/>
    <mergeCell ref="F22:G22"/>
    <mergeCell ref="F23:G23"/>
    <mergeCell ref="F24:G24"/>
    <mergeCell ref="P21:P2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D74CF-49DB-8F44-B922-448B038114A5}">
  <dimension ref="A1:S43"/>
  <sheetViews>
    <sheetView workbookViewId="0">
      <selection activeCell="B1" sqref="B1"/>
    </sheetView>
  </sheetViews>
  <sheetFormatPr baseColWidth="10" defaultColWidth="11" defaultRowHeight="16" outlineLevelCol="1" x14ac:dyDescent="0.2"/>
  <cols>
    <col min="1" max="1" width="4" style="149" customWidth="1"/>
    <col min="2" max="2" width="11.5" customWidth="1"/>
    <col min="12" max="17" width="10.83203125" hidden="1" customWidth="1" outlineLevel="1"/>
    <col min="18" max="18" width="14.6640625" hidden="1" customWidth="1" outlineLevel="1"/>
    <col min="19" max="19" width="11" collapsed="1"/>
  </cols>
  <sheetData>
    <row r="1" spans="1:13" x14ac:dyDescent="0.2">
      <c r="A1" s="313"/>
      <c r="B1" s="201" t="s">
        <v>711</v>
      </c>
      <c r="C1" s="200" t="s">
        <v>884</v>
      </c>
      <c r="D1" s="200" t="s">
        <v>710</v>
      </c>
      <c r="E1" s="200" t="s">
        <v>759</v>
      </c>
      <c r="F1" s="199"/>
      <c r="G1" s="199"/>
      <c r="H1" s="199"/>
      <c r="I1" s="199"/>
      <c r="J1" s="198"/>
      <c r="K1" s="180" t="s">
        <v>265</v>
      </c>
      <c r="L1" s="180"/>
    </row>
    <row r="2" spans="1:13" x14ac:dyDescent="0.2">
      <c r="A2" s="285"/>
      <c r="B2" s="312" t="s">
        <v>708</v>
      </c>
      <c r="C2" s="311">
        <v>2</v>
      </c>
      <c r="D2" s="157"/>
      <c r="E2" s="157"/>
      <c r="F2" s="157"/>
      <c r="G2" s="157"/>
      <c r="H2" s="157"/>
      <c r="I2" s="157"/>
      <c r="J2" s="156"/>
    </row>
    <row r="3" spans="1:13" x14ac:dyDescent="0.2">
      <c r="A3" s="285"/>
      <c r="B3" s="157"/>
      <c r="C3" s="157"/>
      <c r="D3" s="157"/>
      <c r="E3" s="157"/>
      <c r="F3" s="157"/>
      <c r="G3" s="157"/>
      <c r="H3" s="157"/>
      <c r="I3" s="157"/>
      <c r="J3" s="156"/>
      <c r="L3" s="180" t="s">
        <v>707</v>
      </c>
      <c r="M3" s="267"/>
    </row>
    <row r="4" spans="1:13" x14ac:dyDescent="0.2">
      <c r="A4" s="285"/>
      <c r="B4" s="157"/>
      <c r="C4" s="157" t="s">
        <v>883</v>
      </c>
      <c r="D4" s="157"/>
      <c r="E4" s="157"/>
      <c r="F4" s="157"/>
      <c r="G4" s="157"/>
      <c r="H4" s="157"/>
      <c r="I4" s="157"/>
      <c r="J4" s="156"/>
      <c r="M4" s="267"/>
    </row>
    <row r="5" spans="1:13" x14ac:dyDescent="0.2">
      <c r="A5" s="285"/>
      <c r="B5" s="157"/>
      <c r="C5" s="157"/>
      <c r="D5" s="157"/>
      <c r="E5" s="157"/>
      <c r="F5" s="157"/>
      <c r="G5" s="157"/>
      <c r="H5" s="157"/>
      <c r="I5" s="157"/>
      <c r="J5" s="156"/>
      <c r="M5" s="267"/>
    </row>
    <row r="6" spans="1:13" x14ac:dyDescent="0.2">
      <c r="A6" s="285" t="s">
        <v>0</v>
      </c>
      <c r="B6" s="157" t="s">
        <v>748</v>
      </c>
      <c r="C6" s="157" t="s">
        <v>882</v>
      </c>
      <c r="D6" s="157"/>
      <c r="E6" s="157"/>
      <c r="F6" s="157"/>
      <c r="G6" s="157"/>
      <c r="H6" s="157"/>
      <c r="I6" s="157"/>
      <c r="J6" s="156"/>
    </row>
    <row r="7" spans="1:13" x14ac:dyDescent="0.2">
      <c r="A7" s="285"/>
      <c r="B7" s="157"/>
      <c r="C7" s="157" t="s">
        <v>881</v>
      </c>
      <c r="D7" s="157"/>
      <c r="E7" s="157"/>
      <c r="F7" s="157"/>
      <c r="G7" s="157"/>
      <c r="H7" s="157"/>
      <c r="I7" s="157"/>
      <c r="J7" s="156"/>
      <c r="M7" s="145"/>
    </row>
    <row r="8" spans="1:13" x14ac:dyDescent="0.2">
      <c r="A8" s="285"/>
      <c r="B8" s="157"/>
      <c r="C8" s="157" t="s">
        <v>880</v>
      </c>
      <c r="D8" s="157"/>
      <c r="E8" s="157"/>
      <c r="F8" s="157"/>
      <c r="G8" s="157"/>
      <c r="H8" s="157"/>
      <c r="I8" s="157"/>
      <c r="J8" s="156"/>
      <c r="M8" s="144"/>
    </row>
    <row r="9" spans="1:13" x14ac:dyDescent="0.2">
      <c r="A9" s="285"/>
      <c r="B9" s="157"/>
      <c r="C9" s="157"/>
      <c r="D9" s="157"/>
      <c r="E9" s="157"/>
      <c r="F9" s="157"/>
      <c r="G9" s="157"/>
      <c r="H9" s="157"/>
      <c r="I9" s="157"/>
      <c r="J9" s="156"/>
    </row>
    <row r="10" spans="1:13" x14ac:dyDescent="0.2">
      <c r="A10" s="285" t="s">
        <v>1</v>
      </c>
      <c r="B10" s="157" t="s">
        <v>748</v>
      </c>
      <c r="C10" s="157" t="s">
        <v>879</v>
      </c>
      <c r="D10" s="157"/>
      <c r="E10" s="157"/>
      <c r="F10" s="157"/>
      <c r="G10" s="157"/>
      <c r="H10" s="157"/>
      <c r="I10" s="157"/>
      <c r="J10" s="156"/>
      <c r="L10" s="180"/>
      <c r="M10" s="304"/>
    </row>
    <row r="11" spans="1:13" x14ac:dyDescent="0.2">
      <c r="A11" s="285"/>
      <c r="B11" s="157"/>
      <c r="C11" s="157" t="s">
        <v>878</v>
      </c>
      <c r="D11" s="157"/>
      <c r="E11" s="157"/>
      <c r="F11" s="157"/>
      <c r="G11" s="157"/>
      <c r="H11" s="157"/>
      <c r="I11" s="157"/>
      <c r="J11" s="156"/>
    </row>
    <row r="12" spans="1:13" x14ac:dyDescent="0.2">
      <c r="A12" s="285"/>
      <c r="B12" s="157"/>
      <c r="C12" s="157" t="s">
        <v>877</v>
      </c>
      <c r="D12" s="157"/>
      <c r="E12" s="157"/>
      <c r="F12" s="157"/>
      <c r="G12" s="157"/>
      <c r="H12" s="157"/>
      <c r="I12" s="157"/>
      <c r="J12" s="156"/>
      <c r="L12" s="180"/>
    </row>
    <row r="13" spans="1:13" ht="17" thickBot="1" x14ac:dyDescent="0.25">
      <c r="A13" s="285"/>
      <c r="B13" s="171"/>
      <c r="C13" s="157"/>
      <c r="D13" s="157"/>
      <c r="E13" s="157"/>
      <c r="F13" s="157"/>
      <c r="G13" s="157"/>
      <c r="H13" s="157"/>
      <c r="I13" s="157"/>
      <c r="J13" s="156"/>
    </row>
    <row r="14" spans="1:13" ht="17" thickBot="1" x14ac:dyDescent="0.25">
      <c r="A14" s="305" t="s">
        <v>266</v>
      </c>
      <c r="B14" s="154"/>
      <c r="C14" s="261"/>
      <c r="D14" s="154"/>
      <c r="E14" s="154"/>
      <c r="F14" s="154"/>
      <c r="G14" s="154"/>
      <c r="H14" s="154"/>
      <c r="I14" s="154"/>
      <c r="J14" s="153"/>
    </row>
    <row r="15" spans="1:13" x14ac:dyDescent="0.2">
      <c r="M15" s="304"/>
    </row>
    <row r="17" spans="2:18" x14ac:dyDescent="0.2">
      <c r="B17" s="180" t="s">
        <v>876</v>
      </c>
    </row>
    <row r="18" spans="2:18" ht="16" customHeight="1" x14ac:dyDescent="0.2">
      <c r="B18" s="434" t="s">
        <v>875</v>
      </c>
      <c r="C18" s="434"/>
      <c r="D18" s="434"/>
      <c r="E18" s="434"/>
      <c r="F18" s="434"/>
      <c r="G18" s="434"/>
      <c r="H18" s="434"/>
      <c r="I18" s="434"/>
    </row>
    <row r="19" spans="2:18" x14ac:dyDescent="0.2">
      <c r="B19" s="434"/>
      <c r="C19" s="434"/>
      <c r="D19" s="434"/>
      <c r="E19" s="434"/>
      <c r="F19" s="434"/>
      <c r="G19" s="434"/>
      <c r="H19" s="434"/>
      <c r="I19" s="434"/>
    </row>
    <row r="20" spans="2:18" x14ac:dyDescent="0.2">
      <c r="L20" s="433" t="s">
        <v>874</v>
      </c>
      <c r="M20" s="433"/>
      <c r="N20" s="433"/>
      <c r="O20" s="433"/>
      <c r="P20" s="433"/>
      <c r="Q20" s="433"/>
      <c r="R20" s="433"/>
    </row>
    <row r="21" spans="2:18" x14ac:dyDescent="0.2">
      <c r="L21" s="433"/>
      <c r="M21" s="433"/>
      <c r="N21" s="433"/>
      <c r="O21" s="433"/>
      <c r="P21" s="433"/>
      <c r="Q21" s="433"/>
      <c r="R21" s="433"/>
    </row>
    <row r="23" spans="2:18" x14ac:dyDescent="0.2">
      <c r="L23" s="180" t="s">
        <v>706</v>
      </c>
    </row>
    <row r="42" spans="12:18" x14ac:dyDescent="0.2">
      <c r="L42" s="433" t="s">
        <v>873</v>
      </c>
      <c r="M42" s="433"/>
      <c r="N42" s="433"/>
      <c r="O42" s="433"/>
      <c r="P42" s="433"/>
      <c r="Q42" s="433"/>
      <c r="R42" s="433"/>
    </row>
    <row r="43" spans="12:18" x14ac:dyDescent="0.2">
      <c r="L43" s="433"/>
      <c r="M43" s="433"/>
      <c r="N43" s="433"/>
      <c r="O43" s="433"/>
      <c r="P43" s="433"/>
      <c r="Q43" s="433"/>
      <c r="R43" s="433"/>
    </row>
  </sheetData>
  <mergeCells count="3">
    <mergeCell ref="B18:I19"/>
    <mergeCell ref="L20:R21"/>
    <mergeCell ref="L42:R4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6B3D-356A-AF4F-951C-318A293EDB07}">
  <dimension ref="A1:T25"/>
  <sheetViews>
    <sheetView workbookViewId="0"/>
  </sheetViews>
  <sheetFormatPr baseColWidth="10" defaultColWidth="11" defaultRowHeight="16" outlineLevelCol="1" x14ac:dyDescent="0.2"/>
  <cols>
    <col min="1" max="1" width="4" style="149" customWidth="1"/>
    <col min="2" max="2" width="11.5" customWidth="1"/>
    <col min="13" max="13" width="10.83203125" hidden="1" customWidth="1" outlineLevel="1"/>
    <col min="14" max="14" width="13.33203125" hidden="1" customWidth="1" outlineLevel="1"/>
    <col min="15" max="19" width="10.83203125" hidden="1" customWidth="1" outlineLevel="1"/>
    <col min="20" max="20" width="11" collapsed="1"/>
  </cols>
  <sheetData>
    <row r="1" spans="1:19" x14ac:dyDescent="0.2">
      <c r="A1" s="313"/>
      <c r="B1" s="201" t="s">
        <v>711</v>
      </c>
      <c r="C1" s="200" t="s">
        <v>884</v>
      </c>
      <c r="D1" s="200" t="s">
        <v>710</v>
      </c>
      <c r="E1" s="200" t="s">
        <v>801</v>
      </c>
      <c r="F1" s="199"/>
      <c r="G1" s="199"/>
      <c r="H1" s="199"/>
      <c r="I1" s="199"/>
      <c r="J1" s="199"/>
      <c r="K1" s="198"/>
      <c r="L1" s="180" t="s">
        <v>265</v>
      </c>
      <c r="M1" s="180"/>
    </row>
    <row r="2" spans="1:19" x14ac:dyDescent="0.2">
      <c r="A2" s="285"/>
      <c r="B2" s="312" t="s">
        <v>708</v>
      </c>
      <c r="C2" s="311">
        <v>2</v>
      </c>
      <c r="D2" s="157"/>
      <c r="E2" s="157"/>
      <c r="F2" s="157"/>
      <c r="G2" s="157"/>
      <c r="H2" s="157"/>
      <c r="I2" s="157"/>
      <c r="J2" s="157"/>
      <c r="K2" s="156"/>
    </row>
    <row r="3" spans="1:19" x14ac:dyDescent="0.2">
      <c r="A3" s="285"/>
      <c r="B3" s="157"/>
      <c r="C3" s="157"/>
      <c r="D3" s="157"/>
      <c r="E3" s="157"/>
      <c r="F3" s="157"/>
      <c r="G3" s="157"/>
      <c r="H3" s="157"/>
      <c r="I3" s="157"/>
      <c r="J3" s="157"/>
      <c r="K3" s="156"/>
      <c r="M3" s="180" t="s">
        <v>707</v>
      </c>
      <c r="N3" s="267"/>
    </row>
    <row r="4" spans="1:19" x14ac:dyDescent="0.2">
      <c r="A4" s="285"/>
      <c r="B4" s="157"/>
      <c r="C4" s="157" t="s">
        <v>900</v>
      </c>
      <c r="D4" s="157"/>
      <c r="E4" s="157"/>
      <c r="F4" s="157"/>
      <c r="G4" s="157"/>
      <c r="H4" s="157"/>
      <c r="I4" s="157"/>
      <c r="J4" s="157"/>
      <c r="K4" s="156"/>
      <c r="M4" t="s">
        <v>899</v>
      </c>
      <c r="N4" s="267"/>
    </row>
    <row r="5" spans="1:19" x14ac:dyDescent="0.2">
      <c r="A5" s="285"/>
      <c r="B5" s="157"/>
      <c r="C5" s="157"/>
      <c r="D5" s="157"/>
      <c r="E5" s="157"/>
      <c r="F5" s="157"/>
      <c r="G5" s="157"/>
      <c r="H5" s="157"/>
      <c r="I5" s="157"/>
      <c r="J5" s="157"/>
      <c r="K5" s="156"/>
      <c r="M5" t="s">
        <v>898</v>
      </c>
    </row>
    <row r="6" spans="1:19" x14ac:dyDescent="0.2">
      <c r="A6" s="285"/>
      <c r="B6" s="157"/>
      <c r="C6" s="430" t="s">
        <v>897</v>
      </c>
      <c r="D6" s="430"/>
      <c r="E6" s="430"/>
      <c r="F6" s="430"/>
      <c r="G6" s="430"/>
      <c r="H6" s="430"/>
      <c r="I6" s="430"/>
      <c r="J6" s="430"/>
      <c r="K6" s="156"/>
      <c r="M6" t="s">
        <v>1053</v>
      </c>
      <c r="N6" s="145"/>
    </row>
    <row r="7" spans="1:19" x14ac:dyDescent="0.2">
      <c r="A7" s="285"/>
      <c r="B7" s="157"/>
      <c r="C7" s="338" t="s">
        <v>581</v>
      </c>
      <c r="D7" s="338">
        <v>6</v>
      </c>
      <c r="E7" s="292">
        <v>18</v>
      </c>
      <c r="F7" s="292">
        <v>30</v>
      </c>
      <c r="G7" s="292">
        <v>42</v>
      </c>
      <c r="H7" s="292">
        <v>54</v>
      </c>
      <c r="I7" s="291">
        <v>66</v>
      </c>
      <c r="J7" s="291" t="s">
        <v>896</v>
      </c>
      <c r="K7" s="156"/>
      <c r="M7" t="s">
        <v>895</v>
      </c>
      <c r="N7" s="144"/>
    </row>
    <row r="8" spans="1:19" x14ac:dyDescent="0.2">
      <c r="A8" s="285"/>
      <c r="B8" s="157"/>
      <c r="C8" s="187" t="s">
        <v>578</v>
      </c>
      <c r="D8" s="187" t="s">
        <v>788</v>
      </c>
      <c r="E8" s="186" t="s">
        <v>788</v>
      </c>
      <c r="F8" s="186" t="s">
        <v>788</v>
      </c>
      <c r="G8" s="186" t="s">
        <v>788</v>
      </c>
      <c r="H8" s="186" t="s">
        <v>788</v>
      </c>
      <c r="I8" s="185" t="s">
        <v>788</v>
      </c>
      <c r="J8" s="185" t="s">
        <v>894</v>
      </c>
      <c r="K8" s="156"/>
    </row>
    <row r="9" spans="1:19" x14ac:dyDescent="0.2">
      <c r="A9" s="285"/>
      <c r="B9" s="157"/>
      <c r="C9" s="183">
        <v>2011</v>
      </c>
      <c r="D9" s="242"/>
      <c r="E9" s="242"/>
      <c r="F9" s="242">
        <v>2000</v>
      </c>
      <c r="G9" s="242">
        <v>2250</v>
      </c>
      <c r="H9" s="242">
        <v>2500</v>
      </c>
      <c r="I9" s="242">
        <v>2750</v>
      </c>
      <c r="J9" s="346">
        <v>90000</v>
      </c>
      <c r="K9" s="156"/>
      <c r="M9" s="180" t="s">
        <v>706</v>
      </c>
      <c r="N9" s="304"/>
    </row>
    <row r="10" spans="1:19" x14ac:dyDescent="0.2">
      <c r="A10" s="285"/>
      <c r="B10" s="157"/>
      <c r="C10" s="183">
        <v>2012</v>
      </c>
      <c r="D10" s="242"/>
      <c r="E10" s="242">
        <v>1750</v>
      </c>
      <c r="F10" s="242">
        <v>2250</v>
      </c>
      <c r="G10" s="242">
        <v>2500</v>
      </c>
      <c r="H10" s="242">
        <v>2650</v>
      </c>
      <c r="I10" s="242"/>
      <c r="J10" s="344">
        <v>100000</v>
      </c>
      <c r="K10" s="156"/>
      <c r="M10" t="s">
        <v>893</v>
      </c>
    </row>
    <row r="11" spans="1:19" x14ac:dyDescent="0.2">
      <c r="A11" s="285"/>
      <c r="B11" s="157"/>
      <c r="C11" s="183">
        <v>2013</v>
      </c>
      <c r="D11" s="242">
        <v>1750</v>
      </c>
      <c r="E11" s="242">
        <v>3250</v>
      </c>
      <c r="F11" s="242">
        <v>4000</v>
      </c>
      <c r="G11" s="242">
        <v>4750</v>
      </c>
      <c r="H11" s="242"/>
      <c r="I11" s="242"/>
      <c r="J11" s="344">
        <v>130000</v>
      </c>
      <c r="K11" s="156"/>
    </row>
    <row r="12" spans="1:19" x14ac:dyDescent="0.2">
      <c r="A12" s="285"/>
      <c r="B12" s="157"/>
      <c r="C12" s="183">
        <v>2014</v>
      </c>
      <c r="D12" s="242">
        <v>2000</v>
      </c>
      <c r="E12" s="242">
        <v>3750</v>
      </c>
      <c r="F12" s="242">
        <v>4500</v>
      </c>
      <c r="G12" s="242"/>
      <c r="H12" s="242"/>
      <c r="I12" s="242"/>
      <c r="J12" s="344">
        <v>200000</v>
      </c>
      <c r="K12" s="156"/>
      <c r="M12" s="434" t="s">
        <v>892</v>
      </c>
      <c r="N12" s="434"/>
      <c r="O12" s="434"/>
      <c r="P12" s="434"/>
      <c r="Q12" s="434"/>
      <c r="R12" s="434"/>
      <c r="S12" s="434"/>
    </row>
    <row r="13" spans="1:19" x14ac:dyDescent="0.2">
      <c r="A13" s="285"/>
      <c r="B13" s="171"/>
      <c r="C13" s="183">
        <v>2015</v>
      </c>
      <c r="D13" s="242">
        <v>3000</v>
      </c>
      <c r="E13" s="242">
        <v>4000</v>
      </c>
      <c r="F13" s="242"/>
      <c r="G13" s="242"/>
      <c r="H13" s="242"/>
      <c r="I13" s="242"/>
      <c r="J13" s="344">
        <v>250000</v>
      </c>
      <c r="K13" s="156"/>
      <c r="M13" s="434"/>
      <c r="N13" s="434"/>
      <c r="O13" s="434"/>
      <c r="P13" s="434"/>
      <c r="Q13" s="434"/>
      <c r="R13" s="434"/>
      <c r="S13" s="434"/>
    </row>
    <row r="14" spans="1:19" x14ac:dyDescent="0.2">
      <c r="A14" s="285"/>
      <c r="B14" s="171"/>
      <c r="C14" s="179">
        <v>2016</v>
      </c>
      <c r="D14" s="244">
        <v>2000</v>
      </c>
      <c r="E14" s="244"/>
      <c r="F14" s="244"/>
      <c r="G14" s="244"/>
      <c r="H14" s="244"/>
      <c r="I14" s="244"/>
      <c r="J14" s="342">
        <v>320000</v>
      </c>
      <c r="K14" s="156"/>
      <c r="M14" s="434"/>
      <c r="N14" s="434"/>
      <c r="O14" s="434"/>
      <c r="P14" s="434"/>
      <c r="Q14" s="434"/>
      <c r="R14" s="434"/>
      <c r="S14" s="434"/>
    </row>
    <row r="15" spans="1:19" x14ac:dyDescent="0.2">
      <c r="A15" s="285"/>
      <c r="B15" s="171"/>
      <c r="C15" s="157"/>
      <c r="D15" s="157"/>
      <c r="E15" s="157"/>
      <c r="F15" s="157"/>
      <c r="G15" s="157"/>
      <c r="H15" s="157"/>
      <c r="I15" s="157"/>
      <c r="J15" s="157"/>
      <c r="K15" s="156"/>
      <c r="M15" s="434"/>
      <c r="N15" s="434"/>
      <c r="O15" s="434"/>
      <c r="P15" s="434"/>
      <c r="Q15" s="434"/>
      <c r="R15" s="434"/>
      <c r="S15" s="434"/>
    </row>
    <row r="16" spans="1:19" x14ac:dyDescent="0.2">
      <c r="A16" s="285"/>
      <c r="B16" s="171"/>
      <c r="C16" s="157" t="s">
        <v>891</v>
      </c>
      <c r="D16" s="157"/>
      <c r="E16" s="157"/>
      <c r="F16" s="157"/>
      <c r="G16" s="157"/>
      <c r="H16" s="157"/>
      <c r="I16" s="157"/>
      <c r="J16" s="157"/>
      <c r="K16" s="156"/>
    </row>
    <row r="17" spans="1:19" x14ac:dyDescent="0.2">
      <c r="A17" s="285"/>
      <c r="B17" s="171"/>
      <c r="C17" s="157"/>
      <c r="D17" s="157"/>
      <c r="E17" s="157"/>
      <c r="F17" s="157"/>
      <c r="G17" s="157"/>
      <c r="H17" s="157"/>
      <c r="I17" s="157"/>
      <c r="J17" s="157"/>
      <c r="K17" s="156"/>
      <c r="M17" s="434" t="s">
        <v>890</v>
      </c>
      <c r="N17" s="434"/>
      <c r="O17" s="434"/>
      <c r="P17" s="434"/>
      <c r="Q17" s="434"/>
      <c r="R17" s="434"/>
      <c r="S17" s="434"/>
    </row>
    <row r="18" spans="1:19" x14ac:dyDescent="0.2">
      <c r="A18" s="285" t="s">
        <v>0</v>
      </c>
      <c r="B18" s="206" t="s">
        <v>748</v>
      </c>
      <c r="C18" s="157" t="s">
        <v>889</v>
      </c>
      <c r="D18" s="157"/>
      <c r="E18" s="157"/>
      <c r="F18" s="157"/>
      <c r="G18" s="157"/>
      <c r="H18" s="157"/>
      <c r="I18" s="157"/>
      <c r="J18" s="157"/>
      <c r="K18" s="156"/>
      <c r="M18" s="434"/>
      <c r="N18" s="434"/>
      <c r="O18" s="434"/>
      <c r="P18" s="434"/>
      <c r="Q18" s="434"/>
      <c r="R18" s="434"/>
      <c r="S18" s="434"/>
    </row>
    <row r="19" spans="1:19" ht="15.5" customHeight="1" x14ac:dyDescent="0.2">
      <c r="A19" s="285"/>
      <c r="B19" s="171"/>
      <c r="C19" s="157" t="s">
        <v>888</v>
      </c>
      <c r="D19" s="157"/>
      <c r="E19" s="157"/>
      <c r="F19" s="157"/>
      <c r="G19" s="157"/>
      <c r="H19" s="157"/>
      <c r="I19" s="157"/>
      <c r="J19" s="157"/>
      <c r="K19" s="156"/>
      <c r="M19" s="434"/>
      <c r="N19" s="434"/>
      <c r="O19" s="434"/>
      <c r="P19" s="434"/>
      <c r="Q19" s="434"/>
      <c r="R19" s="434"/>
      <c r="S19" s="434"/>
    </row>
    <row r="20" spans="1:19" x14ac:dyDescent="0.2">
      <c r="A20" s="285"/>
      <c r="B20" s="171"/>
      <c r="C20" s="157"/>
      <c r="D20" s="157"/>
      <c r="E20" s="157"/>
      <c r="F20" s="157"/>
      <c r="G20" s="157"/>
      <c r="H20" s="157"/>
      <c r="I20" s="157"/>
      <c r="J20" s="157"/>
      <c r="K20" s="156"/>
      <c r="N20" s="306"/>
    </row>
    <row r="21" spans="1:19" x14ac:dyDescent="0.2">
      <c r="A21" s="285" t="s">
        <v>1</v>
      </c>
      <c r="B21" s="206" t="s">
        <v>748</v>
      </c>
      <c r="C21" s="157" t="s">
        <v>887</v>
      </c>
      <c r="D21" s="157"/>
      <c r="E21" s="157"/>
      <c r="F21" s="157"/>
      <c r="G21" s="157"/>
      <c r="H21" s="157"/>
      <c r="I21" s="157"/>
      <c r="J21" s="157"/>
      <c r="K21" s="156"/>
      <c r="M21" s="434" t="s">
        <v>886</v>
      </c>
      <c r="N21" s="434"/>
      <c r="O21" s="434"/>
      <c r="P21" s="434"/>
      <c r="Q21" s="434"/>
      <c r="R21" s="434"/>
      <c r="S21" s="434"/>
    </row>
    <row r="22" spans="1:19" x14ac:dyDescent="0.2">
      <c r="A22" s="285"/>
      <c r="B22" s="171"/>
      <c r="C22" s="157" t="s">
        <v>885</v>
      </c>
      <c r="D22" s="157"/>
      <c r="E22" s="157"/>
      <c r="F22" s="157"/>
      <c r="G22" s="157"/>
      <c r="H22" s="157"/>
      <c r="I22" s="157"/>
      <c r="J22" s="157"/>
      <c r="K22" s="156"/>
      <c r="M22" s="434"/>
      <c r="N22" s="434"/>
      <c r="O22" s="434"/>
      <c r="P22" s="434"/>
      <c r="Q22" s="434"/>
      <c r="R22" s="434"/>
      <c r="S22" s="434"/>
    </row>
    <row r="23" spans="1:19" ht="17" thickBot="1" x14ac:dyDescent="0.25">
      <c r="A23" s="285"/>
      <c r="B23" s="157"/>
      <c r="C23" s="157"/>
      <c r="D23" s="157"/>
      <c r="E23" s="157"/>
      <c r="F23" s="157"/>
      <c r="G23" s="157"/>
      <c r="H23" s="157"/>
      <c r="I23" s="157"/>
      <c r="J23" s="157"/>
      <c r="K23" s="156"/>
      <c r="M23" s="180"/>
      <c r="N23" s="304"/>
    </row>
    <row r="24" spans="1:19" ht="17" thickBot="1" x14ac:dyDescent="0.25">
      <c r="A24" s="305" t="s">
        <v>266</v>
      </c>
      <c r="B24" s="154"/>
      <c r="C24" s="261"/>
      <c r="D24" s="154"/>
      <c r="E24" s="154"/>
      <c r="F24" s="154"/>
      <c r="G24" s="154"/>
      <c r="H24" s="154"/>
      <c r="I24" s="154"/>
      <c r="J24" s="154"/>
      <c r="K24" s="153"/>
    </row>
    <row r="25" spans="1:19" ht="19" x14ac:dyDescent="0.25">
      <c r="M25" s="197"/>
    </row>
  </sheetData>
  <mergeCells count="4">
    <mergeCell ref="C6:J6"/>
    <mergeCell ref="M12:S15"/>
    <mergeCell ref="M17:S19"/>
    <mergeCell ref="M21:S2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44AE4-0465-4D48-B6B9-6D95758FE6FD}">
  <dimension ref="A1:U69"/>
  <sheetViews>
    <sheetView workbookViewId="0">
      <selection activeCell="B1" sqref="B1"/>
    </sheetView>
  </sheetViews>
  <sheetFormatPr baseColWidth="10" defaultColWidth="11" defaultRowHeight="16" outlineLevelCol="1" x14ac:dyDescent="0.2"/>
  <cols>
    <col min="1" max="1" width="4" style="149" customWidth="1"/>
    <col min="2" max="2" width="11.5" customWidth="1"/>
    <col min="3" max="3" width="12.1640625" customWidth="1"/>
    <col min="6" max="6" width="12.1640625" customWidth="1"/>
    <col min="7" max="8" width="12" customWidth="1"/>
    <col min="13" max="13" width="10.83203125" customWidth="1"/>
    <col min="14" max="15" width="10.83203125" hidden="1" customWidth="1" outlineLevel="1"/>
    <col min="16" max="16" width="13.33203125" hidden="1" customWidth="1" outlineLevel="1"/>
    <col min="17" max="20" width="10.83203125" hidden="1" customWidth="1" outlineLevel="1"/>
    <col min="21" max="21" width="11" collapsed="1"/>
  </cols>
  <sheetData>
    <row r="1" spans="1:18" x14ac:dyDescent="0.2">
      <c r="A1" s="313"/>
      <c r="B1" s="201" t="s">
        <v>711</v>
      </c>
      <c r="C1" s="200" t="s">
        <v>946</v>
      </c>
      <c r="D1" s="200" t="s">
        <v>710</v>
      </c>
      <c r="E1" s="302" t="s">
        <v>945</v>
      </c>
      <c r="F1" s="199"/>
      <c r="G1" s="199"/>
      <c r="H1" s="199"/>
      <c r="I1" s="199"/>
      <c r="J1" s="199"/>
      <c r="K1" s="199"/>
      <c r="L1" s="198"/>
      <c r="M1" s="180" t="s">
        <v>265</v>
      </c>
      <c r="N1" s="180"/>
    </row>
    <row r="2" spans="1:18" x14ac:dyDescent="0.2">
      <c r="A2" s="285"/>
      <c r="B2" s="312" t="s">
        <v>708</v>
      </c>
      <c r="C2" s="311">
        <v>4.25</v>
      </c>
      <c r="D2" s="157"/>
      <c r="E2" s="157"/>
      <c r="F2" s="157"/>
      <c r="G2" s="157"/>
      <c r="H2" s="157"/>
      <c r="I2" s="157"/>
      <c r="J2" s="157"/>
      <c r="K2" s="157"/>
      <c r="L2" s="156"/>
    </row>
    <row r="3" spans="1:18" x14ac:dyDescent="0.2">
      <c r="A3" s="285"/>
      <c r="B3" s="157"/>
      <c r="C3" s="157"/>
      <c r="D3" s="157"/>
      <c r="E3" s="157"/>
      <c r="F3" s="157"/>
      <c r="G3" s="157"/>
      <c r="H3" s="157"/>
      <c r="I3" s="157"/>
      <c r="J3" s="157"/>
      <c r="K3" s="157"/>
      <c r="L3" s="156"/>
      <c r="N3" s="180" t="s">
        <v>944</v>
      </c>
      <c r="O3" s="267"/>
      <c r="P3" s="267"/>
    </row>
    <row r="4" spans="1:18" x14ac:dyDescent="0.2">
      <c r="A4" s="285"/>
      <c r="B4" s="157"/>
      <c r="C4" s="157" t="s">
        <v>943</v>
      </c>
      <c r="D4" s="157"/>
      <c r="E4" s="157"/>
      <c r="F4" s="157"/>
      <c r="G4" s="157"/>
      <c r="H4" s="157"/>
      <c r="I4" s="157"/>
      <c r="J4" s="157"/>
      <c r="K4" s="157"/>
      <c r="L4" s="156"/>
      <c r="N4" t="s">
        <v>942</v>
      </c>
      <c r="O4" s="267"/>
      <c r="P4" s="267"/>
    </row>
    <row r="5" spans="1:18" x14ac:dyDescent="0.2">
      <c r="A5" s="285"/>
      <c r="B5" s="157"/>
      <c r="C5" s="157" t="s">
        <v>941</v>
      </c>
      <c r="D5" s="157"/>
      <c r="E5" s="157"/>
      <c r="F5" s="157"/>
      <c r="G5" s="157"/>
      <c r="H5" s="157"/>
      <c r="I5" s="157"/>
      <c r="J5" s="157"/>
      <c r="K5" s="157"/>
      <c r="L5" s="156"/>
      <c r="O5" s="267"/>
      <c r="P5" s="267"/>
    </row>
    <row r="6" spans="1:18" x14ac:dyDescent="0.2">
      <c r="A6" s="285"/>
      <c r="B6" s="157"/>
      <c r="C6" s="157"/>
      <c r="D6" s="157"/>
      <c r="E6" s="157"/>
      <c r="F6" s="157"/>
      <c r="G6" s="157"/>
      <c r="H6" s="157"/>
      <c r="I6" s="157"/>
      <c r="J6" s="157"/>
      <c r="K6" s="157"/>
      <c r="L6" s="156"/>
      <c r="N6" s="193" t="s">
        <v>35</v>
      </c>
      <c r="O6" s="191">
        <v>12</v>
      </c>
      <c r="P6" s="191">
        <v>24</v>
      </c>
      <c r="Q6" s="191">
        <v>36</v>
      </c>
    </row>
    <row r="7" spans="1:18" x14ac:dyDescent="0.2">
      <c r="A7" s="285"/>
      <c r="B7" s="157"/>
      <c r="C7" s="157" t="s">
        <v>940</v>
      </c>
      <c r="D7" s="157"/>
      <c r="E7" s="157"/>
      <c r="F7" s="157"/>
      <c r="G7" s="157"/>
      <c r="H7" s="157"/>
      <c r="I7" s="157"/>
      <c r="J7" s="157"/>
      <c r="K7" s="157"/>
      <c r="L7" s="156"/>
      <c r="N7" s="188">
        <v>2015</v>
      </c>
      <c r="O7" s="329">
        <f>I23*SQRT(D16)+D16</f>
        <v>2813.2196134995947</v>
      </c>
      <c r="P7" s="329">
        <f>J23*SQRT(E16)+E16</f>
        <v>1373.3494387667649</v>
      </c>
      <c r="Q7" s="329">
        <f>K23*SQRT(F16)+F16</f>
        <v>932.95971360443036</v>
      </c>
    </row>
    <row r="8" spans="1:18" x14ac:dyDescent="0.2">
      <c r="A8" s="285"/>
      <c r="B8" s="157"/>
      <c r="C8" s="157" t="s">
        <v>939</v>
      </c>
      <c r="D8" s="157"/>
      <c r="E8" s="157"/>
      <c r="F8" s="157"/>
      <c r="G8" s="157"/>
      <c r="H8" s="157"/>
      <c r="I8" s="157"/>
      <c r="J8" s="157"/>
      <c r="K8" s="157"/>
      <c r="L8" s="156"/>
      <c r="N8" s="188">
        <v>2016</v>
      </c>
      <c r="O8" s="329">
        <f>I24*SQRT(D17)+D17</f>
        <v>3420.7398051640976</v>
      </c>
      <c r="P8" s="329">
        <f>J24*SQRT(E17)+E17</f>
        <v>1615.5130684044755</v>
      </c>
      <c r="Q8" s="329"/>
    </row>
    <row r="9" spans="1:18" x14ac:dyDescent="0.2">
      <c r="A9" s="285"/>
      <c r="B9" s="157"/>
      <c r="C9" s="157"/>
      <c r="D9" s="157"/>
      <c r="E9" s="157"/>
      <c r="F9" s="157"/>
      <c r="G9" s="157"/>
      <c r="H9" s="157"/>
      <c r="I9" s="157"/>
      <c r="J9" s="157"/>
      <c r="K9" s="157"/>
      <c r="L9" s="156"/>
      <c r="N9" s="188">
        <v>2017</v>
      </c>
      <c r="O9" s="329">
        <f>I25*SQRT(D18)+D18</f>
        <v>4111.7929090097041</v>
      </c>
      <c r="P9" s="329"/>
      <c r="Q9" s="329"/>
    </row>
    <row r="10" spans="1:18" x14ac:dyDescent="0.2">
      <c r="A10" s="285"/>
      <c r="B10" s="157"/>
      <c r="C10" s="157" t="s">
        <v>938</v>
      </c>
      <c r="D10" s="157"/>
      <c r="E10" s="157"/>
      <c r="F10" s="157"/>
      <c r="G10" s="157"/>
      <c r="H10" s="157"/>
      <c r="I10" s="157"/>
      <c r="J10" s="157"/>
      <c r="K10" s="157"/>
      <c r="L10" s="156"/>
    </row>
    <row r="11" spans="1:18" x14ac:dyDescent="0.2">
      <c r="A11" s="285"/>
      <c r="B11" s="157"/>
      <c r="C11" s="157" t="s">
        <v>937</v>
      </c>
      <c r="D11" s="157"/>
      <c r="E11" s="157"/>
      <c r="F11" s="157"/>
      <c r="G11" s="157"/>
      <c r="H11" s="157"/>
      <c r="I11" s="157"/>
      <c r="J11" s="157"/>
      <c r="K11" s="157"/>
      <c r="L11" s="156"/>
      <c r="N11" t="s">
        <v>936</v>
      </c>
      <c r="O11" s="220">
        <f>SUM(O7:P8)/SUM(O7:O8)</f>
        <v>1.4794485023792361</v>
      </c>
    </row>
    <row r="12" spans="1:18" x14ac:dyDescent="0.2">
      <c r="A12" s="285"/>
      <c r="B12" s="157"/>
      <c r="C12" s="157"/>
      <c r="D12" s="157"/>
      <c r="E12" s="157"/>
      <c r="F12" s="157"/>
      <c r="G12" s="157"/>
      <c r="H12" s="157"/>
      <c r="I12" s="157"/>
      <c r="J12" s="157"/>
      <c r="K12" s="157"/>
      <c r="L12" s="156"/>
      <c r="N12" t="s">
        <v>935</v>
      </c>
      <c r="O12" s="220">
        <f>SUM(O7:Q7)/SUM(O7:P7)</f>
        <v>1.2228458916972553</v>
      </c>
    </row>
    <row r="13" spans="1:18" ht="17" customHeight="1" thickBot="1" x14ac:dyDescent="0.25">
      <c r="A13" s="285"/>
      <c r="B13" s="171"/>
      <c r="C13" s="442" t="s">
        <v>934</v>
      </c>
      <c r="D13" s="439"/>
      <c r="E13" s="439"/>
      <c r="F13" s="436"/>
      <c r="G13" s="157"/>
      <c r="H13" s="465" t="s">
        <v>933</v>
      </c>
      <c r="I13" s="466"/>
      <c r="J13" s="466"/>
      <c r="K13" s="467"/>
      <c r="L13" s="156"/>
    </row>
    <row r="14" spans="1:18" ht="17" thickBot="1" x14ac:dyDescent="0.25">
      <c r="A14" s="285"/>
      <c r="B14" s="171"/>
      <c r="C14" s="444"/>
      <c r="D14" s="441"/>
      <c r="E14" s="441"/>
      <c r="F14" s="438"/>
      <c r="G14" s="157"/>
      <c r="H14" s="464"/>
      <c r="I14" s="455"/>
      <c r="J14" s="455"/>
      <c r="K14" s="454"/>
      <c r="L14" s="156"/>
      <c r="N14" s="152" t="s">
        <v>932</v>
      </c>
      <c r="O14" s="309"/>
      <c r="P14" s="309"/>
      <c r="Q14" s="309"/>
      <c r="R14" s="361">
        <f>O9*O11*(O12-1)</f>
        <v>1355.6129776277676</v>
      </c>
    </row>
    <row r="15" spans="1:18" x14ac:dyDescent="0.2">
      <c r="A15" s="285"/>
      <c r="B15" s="171"/>
      <c r="C15" s="268" t="s">
        <v>35</v>
      </c>
      <c r="D15" s="190">
        <v>12</v>
      </c>
      <c r="E15" s="190">
        <v>24</v>
      </c>
      <c r="F15" s="189">
        <v>36</v>
      </c>
      <c r="G15" s="157"/>
      <c r="H15" s="268" t="s">
        <v>35</v>
      </c>
      <c r="I15" s="190">
        <v>12</v>
      </c>
      <c r="J15" s="190">
        <v>24</v>
      </c>
      <c r="K15" s="189">
        <v>36</v>
      </c>
      <c r="L15" s="156"/>
    </row>
    <row r="16" spans="1:18" x14ac:dyDescent="0.2">
      <c r="A16" s="285"/>
      <c r="B16" s="171"/>
      <c r="C16" s="183">
        <v>2015</v>
      </c>
      <c r="D16" s="242">
        <v>2703</v>
      </c>
      <c r="E16" s="242">
        <v>1297</v>
      </c>
      <c r="F16" s="245">
        <v>1000</v>
      </c>
      <c r="G16" s="157"/>
      <c r="H16" s="183">
        <v>2015</v>
      </c>
      <c r="I16" s="171">
        <v>0.91</v>
      </c>
      <c r="J16" s="171">
        <v>-1.31</v>
      </c>
      <c r="K16" s="228">
        <v>0</v>
      </c>
      <c r="L16" s="156"/>
      <c r="N16" s="180" t="s">
        <v>931</v>
      </c>
    </row>
    <row r="17" spans="1:20" x14ac:dyDescent="0.2">
      <c r="A17" s="285"/>
      <c r="B17" s="171"/>
      <c r="C17" s="183">
        <v>2016</v>
      </c>
      <c r="D17" s="242">
        <v>3547</v>
      </c>
      <c r="E17" s="242">
        <v>1703</v>
      </c>
      <c r="F17" s="245"/>
      <c r="G17" s="157"/>
      <c r="H17" s="183">
        <v>2016</v>
      </c>
      <c r="I17" s="171">
        <v>-0.79</v>
      </c>
      <c r="J17" s="171">
        <v>1.1499999999999999</v>
      </c>
      <c r="K17" s="228"/>
      <c r="L17" s="156"/>
    </row>
    <row r="18" spans="1:20" x14ac:dyDescent="0.2">
      <c r="A18" s="285"/>
      <c r="B18" s="171"/>
      <c r="C18" s="179">
        <v>2017</v>
      </c>
      <c r="D18" s="244">
        <v>4250</v>
      </c>
      <c r="E18" s="244"/>
      <c r="F18" s="243"/>
      <c r="G18" s="157"/>
      <c r="H18" s="179">
        <v>2017</v>
      </c>
      <c r="I18" s="186">
        <v>0</v>
      </c>
      <c r="J18" s="186"/>
      <c r="K18" s="185"/>
      <c r="L18" s="156"/>
      <c r="N18" t="s">
        <v>930</v>
      </c>
    </row>
    <row r="19" spans="1:20" ht="15.75" customHeight="1" x14ac:dyDescent="0.2">
      <c r="A19" s="285"/>
      <c r="B19" s="171"/>
      <c r="C19" s="157"/>
      <c r="D19" s="157"/>
      <c r="E19" s="157"/>
      <c r="F19" s="157"/>
      <c r="G19" s="157"/>
      <c r="H19" s="157"/>
      <c r="I19" s="157"/>
      <c r="J19" s="157"/>
      <c r="K19" s="157"/>
      <c r="L19" s="156"/>
    </row>
    <row r="20" spans="1:20" x14ac:dyDescent="0.2">
      <c r="A20" s="285"/>
      <c r="B20" s="171"/>
      <c r="C20" s="465" t="s">
        <v>929</v>
      </c>
      <c r="D20" s="466"/>
      <c r="E20" s="466"/>
      <c r="F20" s="467"/>
      <c r="G20" s="157"/>
      <c r="H20" s="442" t="s">
        <v>928</v>
      </c>
      <c r="I20" s="439"/>
      <c r="J20" s="439"/>
      <c r="K20" s="436"/>
      <c r="L20" s="156"/>
      <c r="N20" s="148" t="s">
        <v>927</v>
      </c>
      <c r="O20" s="148">
        <v>6</v>
      </c>
      <c r="P20" t="s">
        <v>435</v>
      </c>
    </row>
    <row r="21" spans="1:20" x14ac:dyDescent="0.2">
      <c r="A21" s="285"/>
      <c r="B21" s="171"/>
      <c r="C21" s="464"/>
      <c r="D21" s="455"/>
      <c r="E21" s="455"/>
      <c r="F21" s="454"/>
      <c r="G21" s="157"/>
      <c r="H21" s="444"/>
      <c r="I21" s="441"/>
      <c r="J21" s="441"/>
      <c r="K21" s="438"/>
      <c r="L21" s="156"/>
      <c r="N21" s="148" t="s">
        <v>434</v>
      </c>
      <c r="O21" s="148">
        <v>5</v>
      </c>
      <c r="P21" t="s">
        <v>926</v>
      </c>
    </row>
    <row r="22" spans="1:20" x14ac:dyDescent="0.2">
      <c r="A22" s="285"/>
      <c r="B22" s="171"/>
      <c r="C22" s="268" t="s">
        <v>35</v>
      </c>
      <c r="D22" s="190">
        <v>12</v>
      </c>
      <c r="E22" s="190">
        <v>24</v>
      </c>
      <c r="F22" s="189">
        <v>36</v>
      </c>
      <c r="G22" s="157"/>
      <c r="H22" s="268" t="s">
        <v>35</v>
      </c>
      <c r="I22" s="190">
        <v>12</v>
      </c>
      <c r="J22" s="190">
        <v>24</v>
      </c>
      <c r="K22" s="189">
        <v>36</v>
      </c>
      <c r="L22" s="156"/>
      <c r="N22" s="148" t="s">
        <v>925</v>
      </c>
      <c r="O22" s="362">
        <f>SUMSQ(I16:J17)/(O20-O21)</f>
        <v>4.4908000000000001</v>
      </c>
      <c r="P22" t="s">
        <v>924</v>
      </c>
    </row>
    <row r="23" spans="1:20" ht="17" thickBot="1" x14ac:dyDescent="0.25">
      <c r="A23" s="285"/>
      <c r="B23" s="171"/>
      <c r="C23" s="183">
        <v>2015</v>
      </c>
      <c r="D23" s="171">
        <v>2.12</v>
      </c>
      <c r="E23" s="171">
        <v>-2.12</v>
      </c>
      <c r="F23" s="228">
        <v>0</v>
      </c>
      <c r="G23" s="157"/>
      <c r="H23" s="183">
        <v>2015</v>
      </c>
      <c r="I23" s="171">
        <v>2.12</v>
      </c>
      <c r="J23" s="171">
        <v>2.12</v>
      </c>
      <c r="K23" s="228">
        <v>-2.12</v>
      </c>
      <c r="L23" s="156"/>
      <c r="N23" s="148"/>
      <c r="O23" s="148"/>
    </row>
    <row r="24" spans="1:20" ht="17" thickBot="1" x14ac:dyDescent="0.25">
      <c r="A24" s="285"/>
      <c r="B24" s="171"/>
      <c r="C24" s="183">
        <v>2016</v>
      </c>
      <c r="D24" s="171">
        <v>-2.12</v>
      </c>
      <c r="E24" s="171">
        <v>2.12</v>
      </c>
      <c r="F24" s="228"/>
      <c r="G24" s="157"/>
      <c r="H24" s="183">
        <v>2016</v>
      </c>
      <c r="I24" s="171">
        <v>-2.12</v>
      </c>
      <c r="J24" s="171">
        <v>-2.12</v>
      </c>
      <c r="K24" s="228"/>
      <c r="L24" s="156"/>
      <c r="N24" s="209" t="s">
        <v>923</v>
      </c>
      <c r="O24" s="361">
        <f>O22*R14</f>
        <v>6087.7867599307792</v>
      </c>
    </row>
    <row r="25" spans="1:20" x14ac:dyDescent="0.2">
      <c r="A25" s="285"/>
      <c r="B25" s="171"/>
      <c r="C25" s="179">
        <v>2017</v>
      </c>
      <c r="D25" s="186">
        <v>0</v>
      </c>
      <c r="E25" s="186"/>
      <c r="F25" s="185"/>
      <c r="G25" s="157"/>
      <c r="H25" s="179">
        <v>2017</v>
      </c>
      <c r="I25" s="186">
        <v>-2.12</v>
      </c>
      <c r="J25" s="186"/>
      <c r="K25" s="185"/>
      <c r="L25" s="156"/>
      <c r="O25" s="306"/>
      <c r="P25" s="306"/>
    </row>
    <row r="26" spans="1:20" x14ac:dyDescent="0.2">
      <c r="A26" s="285"/>
      <c r="B26" s="171"/>
      <c r="C26" s="157"/>
      <c r="D26" s="157"/>
      <c r="E26" s="157"/>
      <c r="F26" s="157"/>
      <c r="G26" s="157"/>
      <c r="H26" s="157"/>
      <c r="I26" s="157"/>
      <c r="J26" s="157"/>
      <c r="K26" s="157"/>
      <c r="L26" s="156"/>
      <c r="N26" s="180" t="s">
        <v>922</v>
      </c>
      <c r="O26" s="306"/>
      <c r="P26" s="306"/>
    </row>
    <row r="27" spans="1:20" x14ac:dyDescent="0.2">
      <c r="A27" s="285"/>
      <c r="B27" s="171"/>
      <c r="C27" s="157"/>
      <c r="D27" s="157"/>
      <c r="E27" s="157"/>
      <c r="F27" s="157"/>
      <c r="G27" s="157"/>
      <c r="H27" s="157"/>
      <c r="I27" s="157"/>
      <c r="J27" s="157"/>
      <c r="K27" s="157"/>
      <c r="L27" s="156"/>
      <c r="N27" s="434" t="s">
        <v>921</v>
      </c>
      <c r="O27" s="434"/>
      <c r="P27" s="434"/>
      <c r="Q27" s="434"/>
      <c r="R27" s="434"/>
      <c r="S27" s="434"/>
      <c r="T27" s="434"/>
    </row>
    <row r="28" spans="1:20" x14ac:dyDescent="0.2">
      <c r="A28" s="285" t="s">
        <v>0</v>
      </c>
      <c r="B28" s="206"/>
      <c r="C28" s="157" t="s">
        <v>918</v>
      </c>
      <c r="D28" s="157"/>
      <c r="E28" s="157"/>
      <c r="F28" s="157"/>
      <c r="G28" s="157"/>
      <c r="H28" s="157"/>
      <c r="I28" s="157"/>
      <c r="J28" s="157"/>
      <c r="K28" s="157"/>
      <c r="L28" s="156"/>
      <c r="N28" s="434"/>
      <c r="O28" s="434"/>
      <c r="P28" s="434"/>
      <c r="Q28" s="434"/>
      <c r="R28" s="434"/>
      <c r="S28" s="434"/>
      <c r="T28" s="434"/>
    </row>
    <row r="29" spans="1:20" x14ac:dyDescent="0.2">
      <c r="A29" s="285"/>
      <c r="B29" s="171"/>
      <c r="C29" s="157"/>
      <c r="D29" s="157"/>
      <c r="E29" s="157"/>
      <c r="F29" s="157"/>
      <c r="G29" s="157"/>
      <c r="H29" s="157"/>
      <c r="I29" s="157"/>
      <c r="J29" s="157"/>
      <c r="K29" s="157"/>
      <c r="L29" s="156"/>
      <c r="O29" s="306"/>
      <c r="P29" s="306"/>
    </row>
    <row r="30" spans="1:20" x14ac:dyDescent="0.2">
      <c r="A30" s="285" t="s">
        <v>1</v>
      </c>
      <c r="B30" s="206"/>
      <c r="C30" s="157" t="s">
        <v>918</v>
      </c>
      <c r="D30" s="157"/>
      <c r="E30" s="157"/>
      <c r="F30" s="157"/>
      <c r="G30" s="157"/>
      <c r="H30" s="157"/>
      <c r="I30" s="157"/>
      <c r="J30" s="157"/>
      <c r="K30" s="157"/>
      <c r="L30" s="156"/>
      <c r="N30" s="180" t="s">
        <v>920</v>
      </c>
      <c r="O30" s="306"/>
      <c r="P30" s="306"/>
    </row>
    <row r="31" spans="1:20" x14ac:dyDescent="0.2">
      <c r="A31" s="285"/>
      <c r="B31" s="171"/>
      <c r="C31" s="157"/>
      <c r="D31" s="157"/>
      <c r="E31" s="157"/>
      <c r="F31" s="157"/>
      <c r="G31" s="157"/>
      <c r="H31" s="157"/>
      <c r="I31" s="157"/>
      <c r="J31" s="157"/>
      <c r="K31" s="157"/>
      <c r="L31" s="156"/>
      <c r="N31" s="434" t="s">
        <v>919</v>
      </c>
      <c r="O31" s="434"/>
      <c r="P31" s="434"/>
      <c r="Q31" s="434"/>
      <c r="R31" s="434"/>
      <c r="S31" s="434"/>
      <c r="T31" s="434"/>
    </row>
    <row r="32" spans="1:20" x14ac:dyDescent="0.2">
      <c r="A32" s="285" t="s">
        <v>2</v>
      </c>
      <c r="B32" s="206"/>
      <c r="C32" s="157" t="s">
        <v>918</v>
      </c>
      <c r="D32" s="157"/>
      <c r="E32" s="157"/>
      <c r="F32" s="157"/>
      <c r="G32" s="157"/>
      <c r="H32" s="157"/>
      <c r="I32" s="157"/>
      <c r="J32" s="157"/>
      <c r="K32" s="157"/>
      <c r="L32" s="156"/>
      <c r="N32" s="434"/>
      <c r="O32" s="434"/>
      <c r="P32" s="434"/>
      <c r="Q32" s="434"/>
      <c r="R32" s="434"/>
      <c r="S32" s="434"/>
      <c r="T32" s="434"/>
    </row>
    <row r="33" spans="1:20" x14ac:dyDescent="0.2">
      <c r="A33" s="285"/>
      <c r="B33" s="171"/>
      <c r="C33" s="157"/>
      <c r="D33" s="157"/>
      <c r="E33" s="157"/>
      <c r="F33" s="157"/>
      <c r="G33" s="157"/>
      <c r="H33" s="157"/>
      <c r="I33" s="157"/>
      <c r="J33" s="157"/>
      <c r="K33" s="157"/>
      <c r="L33" s="156"/>
      <c r="O33" s="306"/>
      <c r="P33" s="306"/>
    </row>
    <row r="34" spans="1:20" ht="15.75" customHeight="1" x14ac:dyDescent="0.2">
      <c r="A34" s="285" t="s">
        <v>91</v>
      </c>
      <c r="B34" s="206" t="s">
        <v>917</v>
      </c>
      <c r="C34" s="157" t="s">
        <v>916</v>
      </c>
      <c r="D34" s="157"/>
      <c r="E34" s="157"/>
      <c r="F34" s="157"/>
      <c r="G34" s="157"/>
      <c r="H34" s="157"/>
      <c r="I34" s="157"/>
      <c r="J34" s="157"/>
      <c r="K34" s="157"/>
      <c r="L34" s="156"/>
      <c r="N34" s="434" t="s">
        <v>915</v>
      </c>
      <c r="O34" s="434"/>
      <c r="P34" s="434"/>
      <c r="Q34" s="434"/>
      <c r="R34" s="434"/>
      <c r="S34" s="434"/>
      <c r="T34" s="434"/>
    </row>
    <row r="35" spans="1:20" ht="16.5" customHeight="1" x14ac:dyDescent="0.2">
      <c r="A35" s="285"/>
      <c r="B35" s="157"/>
      <c r="C35" s="157" t="s">
        <v>912</v>
      </c>
      <c r="D35" s="157"/>
      <c r="E35" s="157"/>
      <c r="F35" s="157"/>
      <c r="G35" s="157"/>
      <c r="H35" s="157"/>
      <c r="I35" s="157"/>
      <c r="J35" s="157"/>
      <c r="K35" s="157"/>
      <c r="L35" s="156"/>
      <c r="N35" s="434"/>
      <c r="O35" s="434"/>
      <c r="P35" s="434"/>
      <c r="Q35" s="434"/>
      <c r="R35" s="434"/>
      <c r="S35" s="434"/>
      <c r="T35" s="434"/>
    </row>
    <row r="36" spans="1:20" x14ac:dyDescent="0.2">
      <c r="A36" s="285"/>
      <c r="B36" s="157"/>
      <c r="C36" s="205"/>
      <c r="D36" s="157"/>
      <c r="E36" s="157"/>
      <c r="F36" s="157"/>
      <c r="G36" s="157"/>
      <c r="H36" s="157"/>
      <c r="I36" s="157"/>
      <c r="J36" s="157"/>
      <c r="K36" s="157"/>
      <c r="L36" s="156"/>
      <c r="N36" s="434"/>
      <c r="O36" s="434"/>
      <c r="P36" s="434"/>
      <c r="Q36" s="434"/>
      <c r="R36" s="434"/>
      <c r="S36" s="434"/>
      <c r="T36" s="434"/>
    </row>
    <row r="37" spans="1:20" x14ac:dyDescent="0.2">
      <c r="A37" s="285" t="s">
        <v>914</v>
      </c>
      <c r="B37" s="157" t="s">
        <v>748</v>
      </c>
      <c r="C37" s="205" t="s">
        <v>913</v>
      </c>
      <c r="D37" s="157"/>
      <c r="E37" s="157"/>
      <c r="F37" s="157"/>
      <c r="G37" s="157"/>
      <c r="H37" s="157"/>
      <c r="I37" s="157"/>
      <c r="J37" s="157"/>
      <c r="K37" s="157"/>
      <c r="L37" s="156"/>
      <c r="O37" s="306"/>
      <c r="P37" s="306"/>
    </row>
    <row r="38" spans="1:20" x14ac:dyDescent="0.2">
      <c r="A38" s="285"/>
      <c r="B38" s="157"/>
      <c r="C38" s="205" t="s">
        <v>912</v>
      </c>
      <c r="D38" s="157"/>
      <c r="E38" s="157"/>
      <c r="F38" s="157"/>
      <c r="G38" s="157"/>
      <c r="H38" s="157"/>
      <c r="I38" s="157"/>
      <c r="J38" s="157"/>
      <c r="K38" s="157"/>
      <c r="L38" s="156"/>
      <c r="N38" s="180" t="s">
        <v>911</v>
      </c>
      <c r="O38" s="306"/>
      <c r="P38" s="306"/>
    </row>
    <row r="39" spans="1:20" x14ac:dyDescent="0.2">
      <c r="A39" s="285"/>
      <c r="B39" s="157"/>
      <c r="C39" s="205"/>
      <c r="D39" s="157"/>
      <c r="E39" s="157"/>
      <c r="F39" s="157"/>
      <c r="G39" s="157"/>
      <c r="H39" s="157"/>
      <c r="I39" s="157"/>
      <c r="J39" s="157"/>
      <c r="K39" s="157"/>
      <c r="L39" s="156"/>
      <c r="N39" s="434" t="s">
        <v>910</v>
      </c>
      <c r="O39" s="434"/>
      <c r="P39" s="434"/>
      <c r="Q39" s="434"/>
      <c r="R39" s="434"/>
      <c r="S39" s="434"/>
      <c r="T39" s="434"/>
    </row>
    <row r="40" spans="1:20" x14ac:dyDescent="0.2">
      <c r="A40" s="285" t="s">
        <v>909</v>
      </c>
      <c r="B40" s="157" t="s">
        <v>704</v>
      </c>
      <c r="C40" s="205" t="s">
        <v>908</v>
      </c>
      <c r="D40" s="157"/>
      <c r="E40" s="157"/>
      <c r="F40" s="157"/>
      <c r="G40" s="157"/>
      <c r="H40" s="157"/>
      <c r="I40" s="157"/>
      <c r="J40" s="157"/>
      <c r="K40" s="157"/>
      <c r="L40" s="156"/>
      <c r="N40" s="434"/>
      <c r="O40" s="434"/>
      <c r="P40" s="434"/>
      <c r="Q40" s="434"/>
      <c r="R40" s="434"/>
      <c r="S40" s="434"/>
      <c r="T40" s="434"/>
    </row>
    <row r="41" spans="1:20" x14ac:dyDescent="0.2">
      <c r="A41" s="285"/>
      <c r="B41" s="157"/>
      <c r="C41" s="205" t="s">
        <v>907</v>
      </c>
      <c r="D41" s="157"/>
      <c r="E41" s="157"/>
      <c r="F41" s="157"/>
      <c r="G41" s="157"/>
      <c r="H41" s="157"/>
      <c r="I41" s="157"/>
      <c r="J41" s="157"/>
      <c r="K41" s="157"/>
      <c r="L41" s="156"/>
      <c r="O41" s="306"/>
      <c r="P41" s="306"/>
    </row>
    <row r="42" spans="1:20" x14ac:dyDescent="0.2">
      <c r="A42" s="285"/>
      <c r="B42" s="157"/>
      <c r="C42" s="205"/>
      <c r="D42" s="157"/>
      <c r="E42" s="157"/>
      <c r="F42" s="157"/>
      <c r="G42" s="157"/>
      <c r="H42" s="157"/>
      <c r="I42" s="157"/>
      <c r="J42" s="157"/>
      <c r="K42" s="157"/>
      <c r="L42" s="156"/>
      <c r="O42" s="306"/>
      <c r="P42" s="306"/>
    </row>
    <row r="43" spans="1:20" ht="19" x14ac:dyDescent="0.25">
      <c r="A43" s="285" t="s">
        <v>906</v>
      </c>
      <c r="B43" s="157" t="s">
        <v>704</v>
      </c>
      <c r="C43" s="205" t="s">
        <v>905</v>
      </c>
      <c r="D43" s="157"/>
      <c r="E43" s="157"/>
      <c r="F43" s="157"/>
      <c r="G43" s="157"/>
      <c r="H43" s="157"/>
      <c r="I43" s="157"/>
      <c r="J43" s="157"/>
      <c r="K43" s="157"/>
      <c r="L43" s="156"/>
      <c r="N43" s="197" t="s">
        <v>303</v>
      </c>
      <c r="O43" s="306"/>
      <c r="P43" s="306"/>
    </row>
    <row r="44" spans="1:20" x14ac:dyDescent="0.2">
      <c r="A44" s="285"/>
      <c r="B44" s="157"/>
      <c r="C44" s="205" t="s">
        <v>904</v>
      </c>
      <c r="D44" s="157"/>
      <c r="E44" s="157"/>
      <c r="F44" s="157"/>
      <c r="G44" s="157"/>
      <c r="H44" s="157"/>
      <c r="I44" s="157"/>
      <c r="J44" s="157"/>
      <c r="K44" s="157"/>
      <c r="L44" s="156"/>
      <c r="N44" t="s">
        <v>298</v>
      </c>
      <c r="O44" s="306"/>
      <c r="P44" s="306"/>
    </row>
    <row r="45" spans="1:20" x14ac:dyDescent="0.2">
      <c r="A45" s="285"/>
      <c r="B45" s="157"/>
      <c r="C45" s="205"/>
      <c r="D45" s="157"/>
      <c r="E45" s="157"/>
      <c r="F45" s="157"/>
      <c r="G45" s="157"/>
      <c r="H45" s="157"/>
      <c r="I45" s="157"/>
      <c r="J45" s="157"/>
      <c r="K45" s="157"/>
      <c r="L45" s="156"/>
      <c r="O45" s="306"/>
      <c r="P45" s="306"/>
    </row>
    <row r="46" spans="1:20" x14ac:dyDescent="0.2">
      <c r="A46" s="285" t="s">
        <v>903</v>
      </c>
      <c r="B46" s="157" t="s">
        <v>768</v>
      </c>
      <c r="C46" s="205" t="s">
        <v>902</v>
      </c>
      <c r="D46" s="157"/>
      <c r="E46" s="157"/>
      <c r="F46" s="157"/>
      <c r="G46" s="157"/>
      <c r="H46" s="157"/>
      <c r="I46" s="157"/>
      <c r="J46" s="157"/>
      <c r="K46" s="157"/>
      <c r="L46" s="156"/>
      <c r="O46" s="306"/>
      <c r="P46" s="306"/>
    </row>
    <row r="47" spans="1:20" x14ac:dyDescent="0.2">
      <c r="A47" s="285"/>
      <c r="B47" s="157"/>
      <c r="C47" s="205" t="s">
        <v>901</v>
      </c>
      <c r="D47" s="157"/>
      <c r="E47" s="157"/>
      <c r="F47" s="157"/>
      <c r="G47" s="157"/>
      <c r="H47" s="157"/>
      <c r="I47" s="157"/>
      <c r="J47" s="157"/>
      <c r="K47" s="157"/>
      <c r="L47" s="156"/>
      <c r="O47" s="306"/>
      <c r="P47" s="306"/>
    </row>
    <row r="48" spans="1:20" ht="17" thickBot="1" x14ac:dyDescent="0.25">
      <c r="A48" s="285"/>
      <c r="B48" s="157"/>
      <c r="C48" s="205"/>
      <c r="D48" s="157"/>
      <c r="E48" s="157"/>
      <c r="F48" s="157"/>
      <c r="G48" s="157"/>
      <c r="H48" s="157"/>
      <c r="I48" s="157"/>
      <c r="J48" s="157"/>
      <c r="K48" s="157"/>
      <c r="L48" s="156"/>
      <c r="O48" s="306"/>
      <c r="P48" s="306"/>
    </row>
    <row r="49" spans="1:16" ht="17" thickBot="1" x14ac:dyDescent="0.25">
      <c r="A49" s="305" t="s">
        <v>266</v>
      </c>
      <c r="B49" s="154"/>
      <c r="C49" s="261"/>
      <c r="D49" s="154"/>
      <c r="E49" s="154"/>
      <c r="F49" s="154"/>
      <c r="G49" s="154"/>
      <c r="H49" s="154"/>
      <c r="I49" s="154"/>
      <c r="J49" s="154"/>
      <c r="K49" s="154"/>
      <c r="L49" s="153"/>
      <c r="O49" s="306"/>
      <c r="P49" s="306"/>
    </row>
    <row r="50" spans="1:16" x14ac:dyDescent="0.2">
      <c r="O50" s="306"/>
      <c r="P50" s="306"/>
    </row>
    <row r="51" spans="1:16" x14ac:dyDescent="0.2">
      <c r="O51" s="306"/>
      <c r="P51" s="306"/>
    </row>
    <row r="52" spans="1:16" x14ac:dyDescent="0.2">
      <c r="O52" s="306"/>
      <c r="P52" s="306"/>
    </row>
    <row r="53" spans="1:16" x14ac:dyDescent="0.2">
      <c r="O53" s="306"/>
      <c r="P53" s="306"/>
    </row>
    <row r="55" spans="1:16" x14ac:dyDescent="0.2">
      <c r="O55" s="341"/>
      <c r="P55" s="341"/>
    </row>
    <row r="56" spans="1:16" x14ac:dyDescent="0.2">
      <c r="O56" s="341"/>
      <c r="P56" s="341"/>
    </row>
    <row r="57" spans="1:16" x14ac:dyDescent="0.2">
      <c r="O57" s="341"/>
      <c r="P57" s="341"/>
    </row>
    <row r="58" spans="1:16" x14ac:dyDescent="0.2">
      <c r="O58" s="341"/>
      <c r="P58" s="341"/>
    </row>
    <row r="59" spans="1:16" x14ac:dyDescent="0.2">
      <c r="O59" s="341"/>
      <c r="P59" s="341"/>
    </row>
    <row r="60" spans="1:16" x14ac:dyDescent="0.2">
      <c r="O60" s="341"/>
      <c r="P60" s="341"/>
    </row>
    <row r="61" spans="1:16" x14ac:dyDescent="0.2">
      <c r="O61" s="341"/>
      <c r="P61" s="341"/>
    </row>
    <row r="62" spans="1:16" x14ac:dyDescent="0.2">
      <c r="O62" s="341"/>
      <c r="P62" s="341"/>
    </row>
    <row r="63" spans="1:16" x14ac:dyDescent="0.2">
      <c r="O63" s="341"/>
      <c r="P63" s="341"/>
    </row>
    <row r="64" spans="1:16" x14ac:dyDescent="0.2">
      <c r="O64" s="341"/>
      <c r="P64" s="341"/>
    </row>
    <row r="65" spans="14:16" x14ac:dyDescent="0.2">
      <c r="O65" s="341"/>
      <c r="P65" s="341"/>
    </row>
    <row r="66" spans="14:16" x14ac:dyDescent="0.2">
      <c r="O66" s="341"/>
      <c r="P66" s="341"/>
    </row>
    <row r="69" spans="14:16" x14ac:dyDescent="0.2">
      <c r="N69" s="180"/>
      <c r="O69" s="304"/>
      <c r="P69" s="304"/>
    </row>
  </sheetData>
  <mergeCells count="8">
    <mergeCell ref="N34:T36"/>
    <mergeCell ref="N39:T40"/>
    <mergeCell ref="H20:K21"/>
    <mergeCell ref="C20:F21"/>
    <mergeCell ref="C13:F14"/>
    <mergeCell ref="H13:K14"/>
    <mergeCell ref="N27:T28"/>
    <mergeCell ref="N31:T3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3256-4C9F-A64C-A024-50361929F0FA}">
  <dimension ref="A1:S23"/>
  <sheetViews>
    <sheetView workbookViewId="0">
      <selection activeCell="B1" sqref="B1"/>
    </sheetView>
  </sheetViews>
  <sheetFormatPr baseColWidth="10" defaultColWidth="11" defaultRowHeight="16" outlineLevelCol="1" x14ac:dyDescent="0.2"/>
  <cols>
    <col min="1" max="1" width="4" style="149" customWidth="1"/>
    <col min="2" max="2" width="11.5" customWidth="1"/>
    <col min="4" max="4" width="11.6640625" customWidth="1"/>
    <col min="12" max="18" width="10.83203125" hidden="1" customWidth="1" outlineLevel="1"/>
    <col min="19" max="19" width="11" collapsed="1"/>
  </cols>
  <sheetData>
    <row r="1" spans="1:18" x14ac:dyDescent="0.2">
      <c r="A1" s="313"/>
      <c r="B1" s="201" t="s">
        <v>711</v>
      </c>
      <c r="C1" s="200" t="s">
        <v>946</v>
      </c>
      <c r="D1" s="200" t="s">
        <v>710</v>
      </c>
      <c r="E1" s="200" t="s">
        <v>780</v>
      </c>
      <c r="F1" s="199"/>
      <c r="G1" s="199"/>
      <c r="H1" s="199"/>
      <c r="I1" s="199"/>
      <c r="J1" s="198"/>
      <c r="K1" s="180" t="s">
        <v>265</v>
      </c>
      <c r="L1" s="180"/>
    </row>
    <row r="2" spans="1:18" x14ac:dyDescent="0.2">
      <c r="A2" s="285"/>
      <c r="B2" s="312" t="s">
        <v>708</v>
      </c>
      <c r="C2" s="311">
        <v>1.75</v>
      </c>
      <c r="D2" s="157"/>
      <c r="E2" s="157"/>
      <c r="F2" s="157"/>
      <c r="G2" s="157"/>
      <c r="H2" s="157"/>
      <c r="I2" s="157"/>
      <c r="J2" s="156"/>
    </row>
    <row r="3" spans="1:18" x14ac:dyDescent="0.2">
      <c r="A3" s="285"/>
      <c r="B3" s="157"/>
      <c r="C3" s="157"/>
      <c r="D3" s="157"/>
      <c r="E3" s="157"/>
      <c r="F3" s="157"/>
      <c r="G3" s="157"/>
      <c r="H3" s="157"/>
      <c r="I3" s="157"/>
      <c r="J3" s="156"/>
      <c r="L3" s="180" t="s">
        <v>707</v>
      </c>
      <c r="M3" s="267"/>
    </row>
    <row r="4" spans="1:18" x14ac:dyDescent="0.2">
      <c r="A4" s="285"/>
      <c r="B4" s="157"/>
      <c r="C4" s="157" t="s">
        <v>957</v>
      </c>
      <c r="D4" s="157"/>
      <c r="E4" s="157"/>
      <c r="F4" s="157"/>
      <c r="G4" s="157"/>
      <c r="H4" s="157"/>
      <c r="I4" s="157"/>
      <c r="J4" s="156"/>
      <c r="L4" s="434" t="s">
        <v>956</v>
      </c>
      <c r="M4" s="434"/>
      <c r="N4" s="434"/>
      <c r="O4" s="434"/>
      <c r="P4" s="434"/>
      <c r="Q4" s="434"/>
      <c r="R4" s="434"/>
    </row>
    <row r="5" spans="1:18" ht="15.5" customHeight="1" x14ac:dyDescent="0.2">
      <c r="A5" s="285"/>
      <c r="B5" s="157"/>
      <c r="C5" s="157" t="s">
        <v>955</v>
      </c>
      <c r="D5" s="157"/>
      <c r="E5" s="157"/>
      <c r="F5" s="157"/>
      <c r="G5" s="157"/>
      <c r="H5" s="157"/>
      <c r="I5" s="157"/>
      <c r="J5" s="156"/>
      <c r="L5" s="434"/>
      <c r="M5" s="434"/>
      <c r="N5" s="434"/>
      <c r="O5" s="434"/>
      <c r="P5" s="434"/>
      <c r="Q5" s="434"/>
      <c r="R5" s="434"/>
    </row>
    <row r="6" spans="1:18" x14ac:dyDescent="0.2">
      <c r="A6" s="285"/>
      <c r="B6" s="157"/>
      <c r="C6" s="157"/>
      <c r="D6" s="157"/>
      <c r="E6" s="157"/>
      <c r="F6" s="157"/>
      <c r="G6" s="157"/>
      <c r="H6" s="157"/>
      <c r="I6" s="157"/>
      <c r="J6" s="156"/>
      <c r="L6" s="434"/>
      <c r="M6" s="434"/>
      <c r="N6" s="434"/>
      <c r="O6" s="434"/>
      <c r="P6" s="434"/>
      <c r="Q6" s="434"/>
      <c r="R6" s="434"/>
    </row>
    <row r="7" spans="1:18" ht="16.5" customHeight="1" x14ac:dyDescent="0.2">
      <c r="A7" s="285"/>
      <c r="B7" s="157"/>
      <c r="C7" s="184" t="s">
        <v>581</v>
      </c>
      <c r="D7" s="427" t="s">
        <v>954</v>
      </c>
      <c r="E7" s="428"/>
      <c r="F7" s="428"/>
      <c r="G7" s="428"/>
      <c r="H7" s="429"/>
      <c r="I7" s="157"/>
      <c r="J7" s="284"/>
      <c r="M7" s="144"/>
    </row>
    <row r="8" spans="1:18" x14ac:dyDescent="0.2">
      <c r="A8" s="285"/>
      <c r="B8" s="157"/>
      <c r="C8" s="179" t="s">
        <v>953</v>
      </c>
      <c r="D8" s="186">
        <v>12</v>
      </c>
      <c r="E8" s="186">
        <v>24</v>
      </c>
      <c r="F8" s="186">
        <v>36</v>
      </c>
      <c r="G8" s="186">
        <v>48</v>
      </c>
      <c r="H8" s="185">
        <v>60</v>
      </c>
      <c r="I8" s="157"/>
      <c r="J8" s="284"/>
      <c r="L8" s="180" t="s">
        <v>706</v>
      </c>
    </row>
    <row r="9" spans="1:18" x14ac:dyDescent="0.2">
      <c r="A9" s="285"/>
      <c r="B9" s="157"/>
      <c r="C9" s="183">
        <v>2013</v>
      </c>
      <c r="D9" s="171">
        <v>100</v>
      </c>
      <c r="E9" s="171">
        <v>-100</v>
      </c>
      <c r="F9" s="171">
        <v>-50</v>
      </c>
      <c r="G9" s="171">
        <v>0</v>
      </c>
      <c r="H9" s="228">
        <v>50</v>
      </c>
      <c r="I9" s="157"/>
      <c r="J9" s="284"/>
      <c r="L9" s="434" t="s">
        <v>952</v>
      </c>
      <c r="M9" s="434"/>
      <c r="N9" s="434"/>
      <c r="O9" s="434"/>
      <c r="P9" s="434"/>
      <c r="Q9" s="434"/>
      <c r="R9" s="434"/>
    </row>
    <row r="10" spans="1:18" x14ac:dyDescent="0.2">
      <c r="A10" s="285"/>
      <c r="B10" s="157"/>
      <c r="C10" s="183">
        <v>2014</v>
      </c>
      <c r="D10" s="171">
        <v>100</v>
      </c>
      <c r="E10" s="171">
        <v>-100</v>
      </c>
      <c r="F10" s="171">
        <v>-20</v>
      </c>
      <c r="G10" s="171">
        <v>10</v>
      </c>
      <c r="H10" s="228"/>
      <c r="I10" s="157"/>
      <c r="J10" s="284"/>
      <c r="L10" s="434"/>
      <c r="M10" s="434"/>
      <c r="N10" s="434"/>
      <c r="O10" s="434"/>
      <c r="P10" s="434"/>
      <c r="Q10" s="434"/>
      <c r="R10" s="434"/>
    </row>
    <row r="11" spans="1:18" x14ac:dyDescent="0.2">
      <c r="A11" s="285"/>
      <c r="B11" s="157"/>
      <c r="C11" s="183">
        <v>2015</v>
      </c>
      <c r="D11" s="171">
        <v>-80</v>
      </c>
      <c r="E11" s="171">
        <v>80</v>
      </c>
      <c r="F11" s="171">
        <v>0</v>
      </c>
      <c r="G11" s="171"/>
      <c r="H11" s="228"/>
      <c r="I11" s="157"/>
      <c r="J11" s="284"/>
      <c r="L11" s="434"/>
      <c r="M11" s="434"/>
      <c r="N11" s="434"/>
      <c r="O11" s="434"/>
      <c r="P11" s="434"/>
      <c r="Q11" s="434"/>
      <c r="R11" s="434"/>
    </row>
    <row r="12" spans="1:18" x14ac:dyDescent="0.2">
      <c r="A12" s="285"/>
      <c r="B12" s="157"/>
      <c r="C12" s="183">
        <v>2016</v>
      </c>
      <c r="D12" s="171">
        <v>45</v>
      </c>
      <c r="E12" s="171">
        <v>-70</v>
      </c>
      <c r="F12" s="171"/>
      <c r="G12" s="171"/>
      <c r="H12" s="228"/>
      <c r="I12" s="157"/>
      <c r="J12" s="284"/>
      <c r="L12" s="434"/>
      <c r="M12" s="434"/>
      <c r="N12" s="434"/>
      <c r="O12" s="434"/>
      <c r="P12" s="434"/>
      <c r="Q12" s="434"/>
      <c r="R12" s="434"/>
    </row>
    <row r="13" spans="1:18" x14ac:dyDescent="0.2">
      <c r="A13" s="285"/>
      <c r="B13" s="171"/>
      <c r="C13" s="179">
        <v>2017</v>
      </c>
      <c r="D13" s="186">
        <v>0</v>
      </c>
      <c r="E13" s="186"/>
      <c r="F13" s="186"/>
      <c r="G13" s="186"/>
      <c r="H13" s="185"/>
      <c r="I13" s="157"/>
      <c r="J13" s="284"/>
    </row>
    <row r="14" spans="1:18" x14ac:dyDescent="0.2">
      <c r="A14" s="285"/>
      <c r="B14" s="171"/>
      <c r="C14" s="157"/>
      <c r="D14" s="157"/>
      <c r="E14" s="157"/>
      <c r="F14" s="157"/>
      <c r="G14" s="157"/>
      <c r="H14" s="157"/>
      <c r="I14" s="157"/>
      <c r="J14" s="156"/>
      <c r="L14" s="180" t="s">
        <v>718</v>
      </c>
    </row>
    <row r="15" spans="1:18" x14ac:dyDescent="0.2">
      <c r="A15" s="285"/>
      <c r="B15" s="171"/>
      <c r="C15" s="157"/>
      <c r="D15" s="157"/>
      <c r="E15" s="157"/>
      <c r="F15" s="157"/>
      <c r="G15" s="157"/>
      <c r="H15" s="157"/>
      <c r="I15" s="157"/>
      <c r="J15" s="156"/>
      <c r="L15" s="434" t="s">
        <v>951</v>
      </c>
      <c r="M15" s="434"/>
      <c r="N15" s="434"/>
      <c r="O15" s="434"/>
      <c r="P15" s="434"/>
      <c r="Q15" s="434"/>
      <c r="R15" s="434"/>
    </row>
    <row r="16" spans="1:18" x14ac:dyDescent="0.2">
      <c r="A16" s="285" t="s">
        <v>0</v>
      </c>
      <c r="B16" s="206" t="s">
        <v>704</v>
      </c>
      <c r="C16" s="157" t="s">
        <v>950</v>
      </c>
      <c r="D16" s="157"/>
      <c r="E16" s="157"/>
      <c r="F16" s="157"/>
      <c r="G16" s="157"/>
      <c r="H16" s="157"/>
      <c r="I16" s="157"/>
      <c r="J16" s="156"/>
      <c r="L16" s="434"/>
      <c r="M16" s="434"/>
      <c r="N16" s="434"/>
      <c r="O16" s="434"/>
      <c r="P16" s="434"/>
      <c r="Q16" s="434"/>
      <c r="R16" s="434"/>
    </row>
    <row r="17" spans="1:13" x14ac:dyDescent="0.2">
      <c r="A17" s="285"/>
      <c r="B17" s="171"/>
      <c r="C17" s="157" t="s">
        <v>949</v>
      </c>
      <c r="D17" s="157"/>
      <c r="E17" s="157"/>
      <c r="F17" s="157"/>
      <c r="G17" s="157"/>
      <c r="H17" s="157"/>
      <c r="I17" s="157"/>
      <c r="J17" s="156"/>
      <c r="M17" s="306"/>
    </row>
    <row r="18" spans="1:13" x14ac:dyDescent="0.2">
      <c r="A18" s="285"/>
      <c r="B18" s="171"/>
      <c r="C18" s="157"/>
      <c r="D18" s="157"/>
      <c r="E18" s="157"/>
      <c r="F18" s="157"/>
      <c r="G18" s="157"/>
      <c r="H18" s="157"/>
      <c r="I18" s="157"/>
      <c r="J18" s="156"/>
      <c r="M18" s="306"/>
    </row>
    <row r="19" spans="1:13" ht="19" x14ac:dyDescent="0.25">
      <c r="A19" s="285" t="s">
        <v>1</v>
      </c>
      <c r="B19" s="206" t="s">
        <v>705</v>
      </c>
      <c r="C19" s="157" t="s">
        <v>948</v>
      </c>
      <c r="D19" s="157"/>
      <c r="E19" s="157"/>
      <c r="F19" s="157"/>
      <c r="G19" s="157"/>
      <c r="H19" s="157"/>
      <c r="I19" s="157"/>
      <c r="J19" s="156"/>
      <c r="L19" s="197" t="s">
        <v>303</v>
      </c>
    </row>
    <row r="20" spans="1:13" x14ac:dyDescent="0.2">
      <c r="A20" s="285"/>
      <c r="B20" s="171"/>
      <c r="C20" s="157"/>
      <c r="D20" s="157"/>
      <c r="E20" s="157"/>
      <c r="F20" s="157"/>
      <c r="G20" s="157"/>
      <c r="H20" s="157"/>
      <c r="I20" s="157"/>
      <c r="J20" s="156"/>
      <c r="L20" t="s">
        <v>300</v>
      </c>
      <c r="M20" s="304"/>
    </row>
    <row r="21" spans="1:13" x14ac:dyDescent="0.2">
      <c r="A21" s="285" t="s">
        <v>2</v>
      </c>
      <c r="B21" s="206" t="s">
        <v>704</v>
      </c>
      <c r="C21" s="157" t="s">
        <v>947</v>
      </c>
      <c r="D21" s="157"/>
      <c r="E21" s="157"/>
      <c r="F21" s="157"/>
      <c r="G21" s="157"/>
      <c r="H21" s="157"/>
      <c r="I21" s="157"/>
      <c r="J21" s="156"/>
    </row>
    <row r="22" spans="1:13" ht="17" thickBot="1" x14ac:dyDescent="0.25">
      <c r="A22" s="285"/>
      <c r="B22" s="171"/>
      <c r="C22" s="157"/>
      <c r="D22" s="157"/>
      <c r="E22" s="157"/>
      <c r="F22" s="157"/>
      <c r="G22" s="157"/>
      <c r="H22" s="157"/>
      <c r="I22" s="157"/>
      <c r="J22" s="156"/>
    </row>
    <row r="23" spans="1:13" ht="17" thickBot="1" x14ac:dyDescent="0.25">
      <c r="A23" s="305" t="s">
        <v>266</v>
      </c>
      <c r="B23" s="154"/>
      <c r="C23" s="261"/>
      <c r="D23" s="154"/>
      <c r="E23" s="154"/>
      <c r="F23" s="154"/>
      <c r="G23" s="154"/>
      <c r="H23" s="154"/>
      <c r="I23" s="154"/>
      <c r="J23" s="153"/>
    </row>
  </sheetData>
  <mergeCells count="4">
    <mergeCell ref="L4:R6"/>
    <mergeCell ref="L9:R12"/>
    <mergeCell ref="L15:R16"/>
    <mergeCell ref="D7:H7"/>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DD381-C96D-C843-8317-57FC9954492C}">
  <dimension ref="A1:W41"/>
  <sheetViews>
    <sheetView zoomScaleNormal="100" workbookViewId="0"/>
  </sheetViews>
  <sheetFormatPr baseColWidth="10" defaultColWidth="11" defaultRowHeight="16" outlineLevelCol="1" x14ac:dyDescent="0.2"/>
  <cols>
    <col min="1" max="1" width="4" style="149" customWidth="1"/>
    <col min="2" max="2" width="11.5" customWidth="1"/>
    <col min="3" max="3" width="12.6640625" customWidth="1"/>
    <col min="4" max="6" width="10.83203125" customWidth="1"/>
    <col min="7" max="7" width="8.83203125" customWidth="1"/>
    <col min="8" max="8" width="11.6640625" customWidth="1"/>
    <col min="9" max="11" width="10.83203125" customWidth="1"/>
    <col min="12" max="12" width="5.83203125" customWidth="1"/>
    <col min="13" max="13" width="10.83203125" customWidth="1"/>
    <col min="14" max="14" width="10.83203125" hidden="1" customWidth="1" outlineLevel="1"/>
    <col min="15" max="16" width="13.33203125" hidden="1" customWidth="1" outlineLevel="1"/>
    <col min="17" max="20" width="10.83203125" hidden="1" customWidth="1" outlineLevel="1"/>
    <col min="21" max="22" width="11" hidden="1" customWidth="1" outlineLevel="1"/>
    <col min="23" max="23" width="11" collapsed="1"/>
  </cols>
  <sheetData>
    <row r="1" spans="1:22" x14ac:dyDescent="0.2">
      <c r="A1" s="313"/>
      <c r="B1" s="201" t="s">
        <v>711</v>
      </c>
      <c r="C1" s="200" t="s">
        <v>946</v>
      </c>
      <c r="D1" s="200" t="s">
        <v>710</v>
      </c>
      <c r="E1" s="200" t="s">
        <v>823</v>
      </c>
      <c r="F1" s="199"/>
      <c r="G1" s="199"/>
      <c r="H1" s="199"/>
      <c r="I1" s="199"/>
      <c r="J1" s="199"/>
      <c r="K1" s="199"/>
      <c r="L1" s="198"/>
      <c r="M1" s="180" t="s">
        <v>265</v>
      </c>
      <c r="N1" s="180"/>
    </row>
    <row r="2" spans="1:22" x14ac:dyDescent="0.2">
      <c r="A2" s="285"/>
      <c r="B2" s="312" t="s">
        <v>708</v>
      </c>
      <c r="C2" s="311">
        <v>2.75</v>
      </c>
      <c r="D2" s="157"/>
      <c r="E2" s="157"/>
      <c r="F2" s="157"/>
      <c r="G2" s="157"/>
      <c r="H2" s="157"/>
      <c r="I2" s="157"/>
      <c r="J2" s="157"/>
      <c r="K2" s="157"/>
      <c r="L2" s="156"/>
    </row>
    <row r="3" spans="1:22" x14ac:dyDescent="0.2">
      <c r="A3" s="285"/>
      <c r="B3" s="157"/>
      <c r="C3" s="157"/>
      <c r="D3" s="157"/>
      <c r="E3" s="157"/>
      <c r="F3" s="157"/>
      <c r="G3" s="157"/>
      <c r="H3" s="157"/>
      <c r="I3" s="157"/>
      <c r="J3" s="157"/>
      <c r="K3" s="157"/>
      <c r="L3" s="156"/>
      <c r="N3" s="180" t="s">
        <v>707</v>
      </c>
      <c r="O3" s="267"/>
      <c r="P3" s="267"/>
    </row>
    <row r="4" spans="1:22" x14ac:dyDescent="0.2">
      <c r="A4" s="285"/>
      <c r="B4" s="157"/>
      <c r="C4" s="157" t="s">
        <v>988</v>
      </c>
      <c r="D4" s="157"/>
      <c r="E4" s="157"/>
      <c r="F4" s="157"/>
      <c r="G4" s="157"/>
      <c r="H4" s="157"/>
      <c r="I4" s="157"/>
      <c r="J4" s="157"/>
      <c r="K4" s="157"/>
      <c r="L4" s="156"/>
      <c r="O4" s="267"/>
      <c r="P4" s="267"/>
    </row>
    <row r="5" spans="1:22" x14ac:dyDescent="0.2">
      <c r="A5" s="285"/>
      <c r="B5" s="157"/>
      <c r="C5" s="157" t="s">
        <v>987</v>
      </c>
      <c r="D5" s="157"/>
      <c r="E5" s="157"/>
      <c r="F5" s="157"/>
      <c r="G5" s="157"/>
      <c r="H5" s="157"/>
      <c r="I5" s="157"/>
      <c r="J5" s="157"/>
      <c r="K5" s="157"/>
      <c r="L5" s="156"/>
      <c r="N5" t="s">
        <v>986</v>
      </c>
      <c r="O5" s="267"/>
      <c r="P5" s="267"/>
    </row>
    <row r="6" spans="1:22" x14ac:dyDescent="0.2">
      <c r="A6" s="285"/>
      <c r="B6" s="157"/>
      <c r="C6" s="157"/>
      <c r="D6" s="157"/>
      <c r="E6" s="157"/>
      <c r="F6" s="157"/>
      <c r="G6" s="157"/>
      <c r="H6" s="157"/>
      <c r="I6" s="157"/>
      <c r="J6" s="157"/>
      <c r="K6" s="157"/>
      <c r="L6" s="156"/>
    </row>
    <row r="7" spans="1:22" x14ac:dyDescent="0.2">
      <c r="A7" s="285"/>
      <c r="B7" s="157"/>
      <c r="C7" s="465" t="s">
        <v>985</v>
      </c>
      <c r="D7" s="466"/>
      <c r="E7" s="466"/>
      <c r="F7" s="467"/>
      <c r="G7" s="157"/>
      <c r="H7" s="465" t="s">
        <v>984</v>
      </c>
      <c r="I7" s="466"/>
      <c r="J7" s="466"/>
      <c r="K7" s="467"/>
      <c r="L7" s="156"/>
      <c r="N7" t="s">
        <v>983</v>
      </c>
      <c r="O7" s="145"/>
      <c r="P7" s="145"/>
    </row>
    <row r="8" spans="1:22" x14ac:dyDescent="0.2">
      <c r="A8" s="285"/>
      <c r="B8" s="157"/>
      <c r="C8" s="464" t="s">
        <v>982</v>
      </c>
      <c r="D8" s="455"/>
      <c r="E8" s="455"/>
      <c r="F8" s="454"/>
      <c r="G8" s="157"/>
      <c r="H8" s="464" t="s">
        <v>982</v>
      </c>
      <c r="I8" s="455"/>
      <c r="J8" s="455"/>
      <c r="K8" s="454"/>
      <c r="L8" s="156"/>
      <c r="O8" s="144"/>
      <c r="P8" s="144"/>
    </row>
    <row r="9" spans="1:22" x14ac:dyDescent="0.2">
      <c r="A9" s="285"/>
      <c r="B9" s="157"/>
      <c r="C9" s="268" t="s">
        <v>9</v>
      </c>
      <c r="D9" s="190">
        <v>12</v>
      </c>
      <c r="E9" s="190">
        <v>24</v>
      </c>
      <c r="F9" s="189">
        <v>36</v>
      </c>
      <c r="G9" s="157"/>
      <c r="H9" s="268" t="s">
        <v>9</v>
      </c>
      <c r="I9" s="190">
        <v>12</v>
      </c>
      <c r="J9" s="190">
        <v>24</v>
      </c>
      <c r="K9" s="189">
        <v>36</v>
      </c>
      <c r="L9" s="156"/>
      <c r="N9" s="180" t="s">
        <v>706</v>
      </c>
    </row>
    <row r="10" spans="1:22" x14ac:dyDescent="0.2">
      <c r="A10" s="285"/>
      <c r="B10" s="157"/>
      <c r="C10" s="183">
        <v>2015</v>
      </c>
      <c r="D10" s="171">
        <v>180</v>
      </c>
      <c r="E10" s="171">
        <v>230</v>
      </c>
      <c r="F10" s="228">
        <v>235</v>
      </c>
      <c r="G10" s="157"/>
      <c r="H10" s="183">
        <v>2015</v>
      </c>
      <c r="I10" s="171">
        <v>3</v>
      </c>
      <c r="J10" s="171">
        <v>1</v>
      </c>
      <c r="K10" s="228">
        <v>0</v>
      </c>
      <c r="L10" s="156"/>
      <c r="N10" s="180"/>
      <c r="O10" s="304"/>
      <c r="P10" s="304"/>
    </row>
    <row r="11" spans="1:22" x14ac:dyDescent="0.2">
      <c r="A11" s="285"/>
      <c r="B11" s="157"/>
      <c r="C11" s="183">
        <v>2016</v>
      </c>
      <c r="D11" s="171">
        <v>200</v>
      </c>
      <c r="E11" s="171">
        <v>180</v>
      </c>
      <c r="F11" s="228"/>
      <c r="G11" s="157"/>
      <c r="H11" s="183">
        <v>2016</v>
      </c>
      <c r="I11" s="171">
        <v>5</v>
      </c>
      <c r="J11" s="171">
        <v>3</v>
      </c>
      <c r="K11" s="228"/>
      <c r="L11" s="156"/>
      <c r="N11" s="434" t="s">
        <v>981</v>
      </c>
      <c r="O11" s="434"/>
      <c r="P11" s="434"/>
      <c r="Q11" s="434"/>
      <c r="R11" s="434"/>
      <c r="S11" s="434"/>
    </row>
    <row r="12" spans="1:22" x14ac:dyDescent="0.2">
      <c r="A12" s="285"/>
      <c r="B12" s="157"/>
      <c r="C12" s="179">
        <v>2017</v>
      </c>
      <c r="D12" s="186">
        <v>225</v>
      </c>
      <c r="E12" s="186"/>
      <c r="F12" s="185"/>
      <c r="G12" s="157"/>
      <c r="H12" s="179">
        <v>2017</v>
      </c>
      <c r="I12" s="186">
        <v>6</v>
      </c>
      <c r="J12" s="186"/>
      <c r="K12" s="185"/>
      <c r="L12" s="156"/>
      <c r="N12" s="434"/>
      <c r="O12" s="434"/>
      <c r="P12" s="434"/>
      <c r="Q12" s="434"/>
      <c r="R12" s="434"/>
      <c r="S12" s="434"/>
    </row>
    <row r="13" spans="1:22" x14ac:dyDescent="0.2">
      <c r="A13" s="285"/>
      <c r="B13" s="171"/>
      <c r="C13" s="157"/>
      <c r="D13" s="157"/>
      <c r="E13" s="157"/>
      <c r="F13" s="157"/>
      <c r="G13" s="157"/>
      <c r="H13" s="157"/>
      <c r="I13" s="157"/>
      <c r="J13" s="157"/>
      <c r="K13" s="157"/>
      <c r="L13" s="156"/>
      <c r="S13" s="215" t="s">
        <v>1047</v>
      </c>
    </row>
    <row r="14" spans="1:22" x14ac:dyDescent="0.2">
      <c r="A14" s="285"/>
      <c r="B14" s="206"/>
      <c r="C14" s="157" t="s">
        <v>980</v>
      </c>
      <c r="D14" s="157"/>
      <c r="E14" s="157"/>
      <c r="F14" s="157"/>
      <c r="G14" s="157"/>
      <c r="H14" s="157"/>
      <c r="I14" s="157"/>
      <c r="J14" s="157"/>
      <c r="K14" s="157"/>
      <c r="L14" s="156"/>
      <c r="N14" s="193" t="s">
        <v>35</v>
      </c>
      <c r="O14" s="191">
        <v>12</v>
      </c>
      <c r="P14" s="191">
        <v>24</v>
      </c>
      <c r="Q14" s="191">
        <v>36</v>
      </c>
      <c r="S14" s="193" t="s">
        <v>35</v>
      </c>
      <c r="T14" s="191">
        <v>12</v>
      </c>
      <c r="U14" s="191">
        <v>24</v>
      </c>
      <c r="V14" s="191">
        <v>36</v>
      </c>
    </row>
    <row r="15" spans="1:22" x14ac:dyDescent="0.2">
      <c r="A15" s="285"/>
      <c r="B15" s="171"/>
      <c r="C15" s="157"/>
      <c r="D15" s="157"/>
      <c r="E15" s="157"/>
      <c r="F15" s="157"/>
      <c r="G15" s="157"/>
      <c r="H15" s="157"/>
      <c r="I15" s="157"/>
      <c r="J15" s="157"/>
      <c r="K15" s="157"/>
      <c r="L15" s="156"/>
      <c r="N15" s="188">
        <v>2015</v>
      </c>
      <c r="O15" s="380">
        <f>D10-I10*$D$16/1000</f>
        <v>135</v>
      </c>
      <c r="P15" s="380">
        <f>E10-J10*$D$17/1000</f>
        <v>220</v>
      </c>
      <c r="Q15" s="380">
        <f>F10-K10*$D$18/1000</f>
        <v>235</v>
      </c>
      <c r="S15" s="188">
        <v>2015</v>
      </c>
      <c r="T15" s="329">
        <f>D10*1000-I10*$D$16</f>
        <v>135000</v>
      </c>
      <c r="U15" s="329">
        <f>E10*1000-J10*$D$17</f>
        <v>220000</v>
      </c>
      <c r="V15" s="329">
        <f t="shared" ref="V15" si="0">F10*1000-K10*$D$16</f>
        <v>235000</v>
      </c>
    </row>
    <row r="16" spans="1:22" x14ac:dyDescent="0.2">
      <c r="A16" s="285"/>
      <c r="B16" s="171"/>
      <c r="C16" s="157" t="s">
        <v>979</v>
      </c>
      <c r="D16" s="379">
        <v>15000</v>
      </c>
      <c r="E16" s="157" t="s">
        <v>976</v>
      </c>
      <c r="F16" s="157"/>
      <c r="G16" s="157"/>
      <c r="H16" s="157"/>
      <c r="I16" s="157"/>
      <c r="J16" s="157"/>
      <c r="K16" s="157"/>
      <c r="L16" s="156"/>
      <c r="N16" s="188">
        <v>2016</v>
      </c>
      <c r="O16" s="380">
        <f>D11-I11*$D$16/1000</f>
        <v>125</v>
      </c>
      <c r="P16" s="380">
        <f>E11-J11*$D$17/1000</f>
        <v>150</v>
      </c>
      <c r="Q16" s="380"/>
      <c r="S16" s="188">
        <v>2016</v>
      </c>
      <c r="T16" s="329">
        <f t="shared" ref="T16" si="1">D11*1000-I11*$D$16</f>
        <v>125000</v>
      </c>
      <c r="U16" s="329">
        <f>E11*1000-J11*$D$17</f>
        <v>150000</v>
      </c>
      <c r="V16" s="329"/>
    </row>
    <row r="17" spans="1:22" x14ac:dyDescent="0.2">
      <c r="A17" s="285"/>
      <c r="B17" s="171"/>
      <c r="C17" s="157" t="s">
        <v>978</v>
      </c>
      <c r="D17" s="379">
        <v>10000</v>
      </c>
      <c r="E17" s="157" t="s">
        <v>976</v>
      </c>
      <c r="F17" s="157"/>
      <c r="G17" s="157"/>
      <c r="H17" s="157"/>
      <c r="I17" s="157"/>
      <c r="J17" s="157"/>
      <c r="K17" s="157"/>
      <c r="L17" s="156"/>
      <c r="N17" s="188">
        <v>2017</v>
      </c>
      <c r="O17" s="380">
        <f>D12-I12*$D$16/1000</f>
        <v>135</v>
      </c>
      <c r="P17" s="380"/>
      <c r="Q17" s="380"/>
      <c r="S17" s="188">
        <v>2017</v>
      </c>
      <c r="T17" s="329">
        <f>D12*1000-I12*$D$16</f>
        <v>135000</v>
      </c>
      <c r="U17" s="329"/>
      <c r="V17" s="329"/>
    </row>
    <row r="18" spans="1:22" x14ac:dyDescent="0.2">
      <c r="A18" s="285"/>
      <c r="B18" s="171"/>
      <c r="C18" s="157" t="s">
        <v>977</v>
      </c>
      <c r="D18" s="379">
        <v>0</v>
      </c>
      <c r="E18" s="157" t="s">
        <v>976</v>
      </c>
      <c r="F18" s="157"/>
      <c r="G18" s="157"/>
      <c r="H18" s="157"/>
      <c r="I18" s="157"/>
      <c r="J18" s="157"/>
      <c r="K18" s="157"/>
      <c r="L18" s="156"/>
      <c r="N18" s="180"/>
      <c r="S18" s="180"/>
    </row>
    <row r="19" spans="1:22" x14ac:dyDescent="0.2">
      <c r="A19" s="285"/>
      <c r="B19" s="171"/>
      <c r="C19" s="157"/>
      <c r="D19" s="157"/>
      <c r="E19" s="157"/>
      <c r="F19" s="157"/>
      <c r="G19" s="157"/>
      <c r="H19" s="157"/>
      <c r="I19" s="157"/>
      <c r="J19" s="157"/>
      <c r="K19" s="157"/>
      <c r="L19" s="156"/>
      <c r="N19" t="s">
        <v>975</v>
      </c>
      <c r="S19" t="s">
        <v>1046</v>
      </c>
    </row>
    <row r="20" spans="1:22" ht="17" thickBot="1" x14ac:dyDescent="0.25">
      <c r="A20" s="285" t="s">
        <v>0</v>
      </c>
      <c r="B20" s="206" t="s">
        <v>704</v>
      </c>
      <c r="C20" s="157" t="s">
        <v>974</v>
      </c>
      <c r="D20" s="157"/>
      <c r="E20" s="157"/>
      <c r="F20" s="157"/>
      <c r="G20" s="157"/>
      <c r="H20" s="157"/>
      <c r="I20" s="157"/>
      <c r="J20" s="157"/>
      <c r="K20" s="157"/>
      <c r="L20" s="156"/>
      <c r="O20" s="306"/>
      <c r="P20" s="306"/>
      <c r="T20" s="306"/>
      <c r="U20" s="306"/>
    </row>
    <row r="21" spans="1:22" x14ac:dyDescent="0.2">
      <c r="A21" s="285"/>
      <c r="B21" s="171"/>
      <c r="C21" s="157"/>
      <c r="D21" s="157"/>
      <c r="E21" s="157"/>
      <c r="F21" s="157"/>
      <c r="G21" s="157"/>
      <c r="H21" s="157"/>
      <c r="I21" s="157"/>
      <c r="J21" s="157"/>
      <c r="K21" s="157"/>
      <c r="L21" s="156"/>
      <c r="N21" s="378" t="s">
        <v>35</v>
      </c>
      <c r="O21" s="377">
        <v>12</v>
      </c>
      <c r="P21" s="377">
        <v>24</v>
      </c>
      <c r="Q21" s="376">
        <v>36</v>
      </c>
      <c r="S21" s="378" t="s">
        <v>35</v>
      </c>
      <c r="T21" s="377">
        <v>12</v>
      </c>
      <c r="U21" s="377">
        <v>24</v>
      </c>
      <c r="V21" s="376">
        <v>36</v>
      </c>
    </row>
    <row r="22" spans="1:22" x14ac:dyDescent="0.2">
      <c r="A22" s="285" t="s">
        <v>1</v>
      </c>
      <c r="B22" s="206" t="s">
        <v>973</v>
      </c>
      <c r="C22" s="157" t="s">
        <v>726</v>
      </c>
      <c r="D22" s="157"/>
      <c r="E22" s="157"/>
      <c r="F22" s="157"/>
      <c r="G22" s="157"/>
      <c r="H22" s="157"/>
      <c r="I22" s="157"/>
      <c r="J22" s="157"/>
      <c r="K22" s="157"/>
      <c r="L22" s="156"/>
      <c r="N22" s="375">
        <v>2015</v>
      </c>
      <c r="O22" s="374">
        <f>LN(O15)</f>
        <v>4.9052747784384296</v>
      </c>
      <c r="P22" s="374">
        <f>LN(P15-O15)</f>
        <v>4.4426512564903167</v>
      </c>
      <c r="Q22" s="373">
        <f>LN(Q15-P15)</f>
        <v>2.7080502011022101</v>
      </c>
      <c r="S22" s="375">
        <v>2015</v>
      </c>
      <c r="T22" s="374">
        <f>LN(T15)</f>
        <v>11.813030057420567</v>
      </c>
      <c r="U22" s="374">
        <f>LN(U15-T15)</f>
        <v>11.350406535472453</v>
      </c>
      <c r="V22" s="373">
        <f>LN(V15-U15)</f>
        <v>9.6158054800843473</v>
      </c>
    </row>
    <row r="23" spans="1:22" x14ac:dyDescent="0.2">
      <c r="A23" s="285"/>
      <c r="B23" s="171"/>
      <c r="C23" s="157"/>
      <c r="D23" s="157"/>
      <c r="E23" s="157"/>
      <c r="F23" s="157"/>
      <c r="G23" s="157"/>
      <c r="H23" s="157"/>
      <c r="I23" s="157"/>
      <c r="J23" s="157"/>
      <c r="K23" s="157"/>
      <c r="L23" s="156"/>
      <c r="N23" s="375">
        <v>2016</v>
      </c>
      <c r="O23" s="374">
        <f>LN(O16)</f>
        <v>4.8283137373023015</v>
      </c>
      <c r="P23" s="374">
        <f>LN(P16-O16)</f>
        <v>3.2188758248682006</v>
      </c>
      <c r="Q23" s="373"/>
      <c r="S23" s="375">
        <v>2016</v>
      </c>
      <c r="T23" s="374">
        <f>LN(T16)</f>
        <v>11.736069016284437</v>
      </c>
      <c r="U23" s="374">
        <f>LN(U16-T16)</f>
        <v>10.126631103850338</v>
      </c>
      <c r="V23" s="373"/>
    </row>
    <row r="24" spans="1:22" ht="17" thickBot="1" x14ac:dyDescent="0.25">
      <c r="A24" s="285" t="s">
        <v>2</v>
      </c>
      <c r="B24" s="206" t="s">
        <v>748</v>
      </c>
      <c r="C24" s="157" t="s">
        <v>972</v>
      </c>
      <c r="D24" s="157"/>
      <c r="E24" s="157"/>
      <c r="F24" s="157"/>
      <c r="G24" s="157"/>
      <c r="H24" s="157"/>
      <c r="I24" s="157"/>
      <c r="J24" s="157"/>
      <c r="K24" s="157"/>
      <c r="L24" s="156"/>
      <c r="N24" s="372">
        <v>2017</v>
      </c>
      <c r="O24" s="371">
        <f>LN(O17)</f>
        <v>4.9052747784384296</v>
      </c>
      <c r="P24" s="371"/>
      <c r="Q24" s="370"/>
      <c r="S24" s="372">
        <v>2017</v>
      </c>
      <c r="T24" s="371">
        <f>LN(T17)</f>
        <v>11.813030057420567</v>
      </c>
      <c r="U24" s="371"/>
      <c r="V24" s="370"/>
    </row>
    <row r="25" spans="1:22" x14ac:dyDescent="0.2">
      <c r="A25" s="285"/>
      <c r="B25" s="171"/>
      <c r="C25" s="157"/>
      <c r="D25" s="157"/>
      <c r="E25" s="157"/>
      <c r="F25" s="157"/>
      <c r="G25" s="157"/>
      <c r="H25" s="157"/>
      <c r="I25" s="157"/>
      <c r="J25" s="157"/>
      <c r="K25" s="157"/>
      <c r="L25" s="156"/>
      <c r="O25" s="306"/>
      <c r="P25" s="306"/>
    </row>
    <row r="26" spans="1:22" ht="18" x14ac:dyDescent="0.25">
      <c r="A26" s="285"/>
      <c r="B26" s="171"/>
      <c r="C26" s="367" t="s">
        <v>971</v>
      </c>
      <c r="D26" s="206">
        <v>5.04</v>
      </c>
      <c r="E26" s="157"/>
      <c r="F26" s="157"/>
      <c r="G26" s="157"/>
      <c r="H26" s="157"/>
      <c r="I26" s="157"/>
      <c r="J26" s="157"/>
      <c r="K26" s="157"/>
      <c r="L26" s="156"/>
      <c r="N26" s="180" t="s">
        <v>718</v>
      </c>
      <c r="O26" s="306"/>
      <c r="P26" s="306"/>
    </row>
    <row r="27" spans="1:22" ht="19" thickBot="1" x14ac:dyDescent="0.3">
      <c r="A27" s="285"/>
      <c r="B27" s="171"/>
      <c r="C27" s="367" t="s">
        <v>970</v>
      </c>
      <c r="D27" s="206">
        <v>4.66</v>
      </c>
      <c r="E27" s="157"/>
      <c r="F27" s="157"/>
      <c r="G27" s="157"/>
      <c r="H27" s="157"/>
      <c r="I27" s="157"/>
      <c r="J27" s="157"/>
      <c r="K27" s="157"/>
      <c r="L27" s="156"/>
      <c r="O27" s="306"/>
      <c r="P27" s="306"/>
    </row>
    <row r="28" spans="1:22" ht="18" x14ac:dyDescent="0.25">
      <c r="A28" s="285"/>
      <c r="B28" s="171"/>
      <c r="C28" s="367" t="s">
        <v>969</v>
      </c>
      <c r="D28" s="206">
        <v>4.91</v>
      </c>
      <c r="E28" s="157"/>
      <c r="F28" s="157"/>
      <c r="G28" s="157"/>
      <c r="H28" s="157"/>
      <c r="I28" s="157"/>
      <c r="J28" s="157"/>
      <c r="K28" s="157"/>
      <c r="L28" s="156"/>
      <c r="N28" s="369" t="s">
        <v>968</v>
      </c>
      <c r="O28" s="368">
        <f>EXP(D26)</f>
        <v>154.47001502589086</v>
      </c>
      <c r="P28" s="306" t="s">
        <v>967</v>
      </c>
    </row>
    <row r="29" spans="1:22" ht="18" x14ac:dyDescent="0.25">
      <c r="A29" s="285"/>
      <c r="B29" s="171"/>
      <c r="C29" s="367" t="s">
        <v>966</v>
      </c>
      <c r="D29" s="206">
        <v>-0.86</v>
      </c>
      <c r="E29" s="157"/>
      <c r="F29" s="157"/>
      <c r="G29" s="157"/>
      <c r="H29" s="157"/>
      <c r="I29" s="157"/>
      <c r="J29" s="157"/>
      <c r="K29" s="157"/>
      <c r="L29" s="156"/>
      <c r="N29" s="366" t="s">
        <v>965</v>
      </c>
      <c r="O29" s="167">
        <f>EXP(D26+D29)</f>
        <v>65.365853214009903</v>
      </c>
      <c r="P29" s="306"/>
    </row>
    <row r="30" spans="1:22" ht="18" x14ac:dyDescent="0.25">
      <c r="A30" s="285"/>
      <c r="B30" s="157"/>
      <c r="C30" s="367" t="s">
        <v>964</v>
      </c>
      <c r="D30" s="206">
        <v>-1.47</v>
      </c>
      <c r="E30" s="157"/>
      <c r="F30" s="157"/>
      <c r="G30" s="157"/>
      <c r="H30" s="157"/>
      <c r="I30" s="157"/>
      <c r="J30" s="157"/>
      <c r="K30" s="157"/>
      <c r="L30" s="156"/>
      <c r="N30" s="365" t="s">
        <v>963</v>
      </c>
      <c r="O30" s="364">
        <f>EXP(D26+D29+D30)</f>
        <v>15.029275514875401</v>
      </c>
      <c r="P30" s="306"/>
    </row>
    <row r="31" spans="1:22" ht="17" thickBot="1" x14ac:dyDescent="0.25">
      <c r="A31" s="285"/>
      <c r="B31" s="157"/>
      <c r="C31" s="205"/>
      <c r="D31" s="157"/>
      <c r="E31" s="157"/>
      <c r="F31" s="157"/>
      <c r="G31" s="157"/>
      <c r="H31" s="157"/>
      <c r="I31" s="157"/>
      <c r="J31" s="157"/>
      <c r="K31" s="157"/>
      <c r="L31" s="156"/>
      <c r="N31" s="366" t="s">
        <v>962</v>
      </c>
      <c r="O31" s="167">
        <f>EXP(D27)</f>
        <v>105.63608215665951</v>
      </c>
      <c r="P31" s="306" t="s">
        <v>961</v>
      </c>
    </row>
    <row r="32" spans="1:22" ht="17" thickBot="1" x14ac:dyDescent="0.25">
      <c r="A32" s="305" t="s">
        <v>266</v>
      </c>
      <c r="B32" s="154"/>
      <c r="C32" s="261"/>
      <c r="D32" s="154"/>
      <c r="E32" s="154"/>
      <c r="F32" s="154"/>
      <c r="G32" s="154"/>
      <c r="H32" s="154"/>
      <c r="I32" s="154"/>
      <c r="J32" s="154"/>
      <c r="K32" s="154"/>
      <c r="L32" s="153"/>
      <c r="N32" s="365" t="s">
        <v>960</v>
      </c>
      <c r="O32" s="364">
        <f>EXP(D27+D29)</f>
        <v>44.701184493300836</v>
      </c>
    </row>
    <row r="33" spans="14:16" ht="17" thickBot="1" x14ac:dyDescent="0.25">
      <c r="N33" s="363" t="s">
        <v>959</v>
      </c>
      <c r="O33" s="164">
        <f>EXP(D28)</f>
        <v>135.63941440846523</v>
      </c>
      <c r="P33" s="341" t="s">
        <v>958</v>
      </c>
    </row>
    <row r="35" spans="14:16" x14ac:dyDescent="0.2">
      <c r="N35" s="180"/>
      <c r="O35" s="304"/>
      <c r="P35" s="304"/>
    </row>
    <row r="37" spans="14:16" ht="19" x14ac:dyDescent="0.25">
      <c r="N37" s="197" t="s">
        <v>262</v>
      </c>
    </row>
    <row r="38" spans="14:16" x14ac:dyDescent="0.2">
      <c r="N38" t="s">
        <v>1048</v>
      </c>
    </row>
    <row r="40" spans="14:16" ht="19" x14ac:dyDescent="0.25">
      <c r="N40" s="197" t="s">
        <v>303</v>
      </c>
    </row>
    <row r="41" spans="14:16" x14ac:dyDescent="0.2">
      <c r="N41" t="s">
        <v>295</v>
      </c>
    </row>
  </sheetData>
  <mergeCells count="5">
    <mergeCell ref="C7:F7"/>
    <mergeCell ref="C8:F8"/>
    <mergeCell ref="H7:K7"/>
    <mergeCell ref="H8:K8"/>
    <mergeCell ref="N11:S1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33586-779A-2C41-9601-899F9A056FCC}">
  <dimension ref="A1:T102"/>
  <sheetViews>
    <sheetView workbookViewId="0">
      <selection activeCell="B1" sqref="B1"/>
    </sheetView>
  </sheetViews>
  <sheetFormatPr baseColWidth="10" defaultColWidth="11" defaultRowHeight="16" outlineLevelCol="1" x14ac:dyDescent="0.2"/>
  <cols>
    <col min="1" max="1" width="4" style="149" customWidth="1"/>
    <col min="2" max="2" width="11.5" customWidth="1"/>
    <col min="3" max="6" width="10.83203125" customWidth="1"/>
    <col min="7" max="7" width="8.5" customWidth="1"/>
    <col min="8" max="8" width="10.83203125" customWidth="1"/>
    <col min="9" max="9" width="11" customWidth="1"/>
    <col min="12" max="12" width="7.6640625" customWidth="1"/>
    <col min="13" max="13" width="10.83203125" customWidth="1"/>
    <col min="14" max="17" width="11.5" customWidth="1" outlineLevel="1"/>
    <col min="18" max="20" width="10.83203125" customWidth="1" outlineLevel="1"/>
  </cols>
  <sheetData>
    <row r="1" spans="1:20" x14ac:dyDescent="0.2">
      <c r="A1" s="313"/>
      <c r="B1" s="201" t="s">
        <v>711</v>
      </c>
      <c r="C1" s="200" t="s">
        <v>1037</v>
      </c>
      <c r="D1" s="200" t="s">
        <v>710</v>
      </c>
      <c r="E1" s="200" t="s">
        <v>759</v>
      </c>
      <c r="F1" s="199"/>
      <c r="G1" s="199"/>
      <c r="H1" s="199"/>
      <c r="I1" s="199"/>
      <c r="J1" s="199"/>
      <c r="K1" s="199"/>
      <c r="L1" s="198"/>
      <c r="M1" s="180" t="s">
        <v>265</v>
      </c>
      <c r="N1" s="180"/>
    </row>
    <row r="2" spans="1:20" x14ac:dyDescent="0.2">
      <c r="A2" s="285"/>
      <c r="B2" s="312" t="s">
        <v>708</v>
      </c>
      <c r="C2" s="311">
        <v>3.75</v>
      </c>
      <c r="D2" s="157"/>
      <c r="E2" s="157"/>
      <c r="F2" s="157"/>
      <c r="G2" s="157"/>
      <c r="H2" s="157"/>
      <c r="I2" s="157"/>
      <c r="J2" s="157"/>
      <c r="K2" s="157"/>
      <c r="L2" s="156"/>
    </row>
    <row r="3" spans="1:20" x14ac:dyDescent="0.2">
      <c r="A3" s="285"/>
      <c r="B3" s="157"/>
      <c r="C3" s="157"/>
      <c r="D3" s="157"/>
      <c r="E3" s="157"/>
      <c r="F3" s="157"/>
      <c r="G3" s="157"/>
      <c r="H3" s="157"/>
      <c r="I3" s="157"/>
      <c r="J3" s="157"/>
      <c r="K3" s="157"/>
      <c r="L3" s="156"/>
      <c r="N3" s="180" t="s">
        <v>707</v>
      </c>
      <c r="O3" s="267"/>
    </row>
    <row r="4" spans="1:20" x14ac:dyDescent="0.2">
      <c r="A4" s="285"/>
      <c r="B4" s="157"/>
      <c r="C4" s="157" t="s">
        <v>871</v>
      </c>
      <c r="D4" s="157"/>
      <c r="E4" s="157"/>
      <c r="F4" s="157"/>
      <c r="G4" s="157"/>
      <c r="H4" s="157"/>
      <c r="I4" s="157"/>
      <c r="J4" s="157"/>
      <c r="K4" s="157"/>
      <c r="L4" s="156"/>
      <c r="N4" t="s">
        <v>1036</v>
      </c>
      <c r="O4" s="220"/>
      <c r="P4" s="195"/>
    </row>
    <row r="5" spans="1:20" x14ac:dyDescent="0.2">
      <c r="A5" s="285"/>
      <c r="B5" s="157"/>
      <c r="C5" s="157" t="s">
        <v>1035</v>
      </c>
      <c r="D5" s="157"/>
      <c r="E5" s="157"/>
      <c r="F5" s="157"/>
      <c r="G5" s="157"/>
      <c r="H5" s="157"/>
      <c r="I5" s="157"/>
      <c r="J5" s="157"/>
      <c r="K5" s="157"/>
      <c r="L5" s="156"/>
      <c r="O5" s="220"/>
    </row>
    <row r="6" spans="1:20" x14ac:dyDescent="0.2">
      <c r="A6" s="285"/>
      <c r="B6" s="157"/>
      <c r="C6" s="157"/>
      <c r="D6" s="157"/>
      <c r="E6" s="157"/>
      <c r="F6" s="157"/>
      <c r="G6" s="157"/>
      <c r="H6" s="157"/>
      <c r="I6" s="157"/>
      <c r="J6" s="157"/>
      <c r="K6" s="157"/>
      <c r="L6" s="156"/>
      <c r="N6" t="s">
        <v>1034</v>
      </c>
      <c r="O6" s="220"/>
    </row>
    <row r="7" spans="1:20" ht="16" customHeight="1" x14ac:dyDescent="0.2">
      <c r="A7" s="285"/>
      <c r="B7" s="157"/>
      <c r="C7" s="445" t="s">
        <v>743</v>
      </c>
      <c r="D7" s="442" t="s">
        <v>1033</v>
      </c>
      <c r="E7" s="466"/>
      <c r="F7" s="467"/>
      <c r="G7" s="157"/>
      <c r="H7" s="445" t="s">
        <v>743</v>
      </c>
      <c r="I7" s="436" t="s">
        <v>1032</v>
      </c>
      <c r="J7" s="171"/>
      <c r="K7" s="171"/>
      <c r="L7" s="156"/>
      <c r="O7" s="220"/>
    </row>
    <row r="8" spans="1:20" ht="15.75" customHeight="1" x14ac:dyDescent="0.2">
      <c r="A8" s="285"/>
      <c r="B8" s="157"/>
      <c r="C8" s="468"/>
      <c r="D8" s="464"/>
      <c r="E8" s="455"/>
      <c r="F8" s="454"/>
      <c r="G8" s="157"/>
      <c r="H8" s="431"/>
      <c r="I8" s="454"/>
      <c r="J8" s="171"/>
      <c r="K8" s="171"/>
      <c r="L8" s="156"/>
      <c r="N8" s="434" t="s">
        <v>1031</v>
      </c>
      <c r="O8" s="434"/>
      <c r="P8" s="434"/>
      <c r="Q8" s="434"/>
      <c r="R8" s="434"/>
      <c r="S8" s="434"/>
      <c r="T8" s="434"/>
    </row>
    <row r="9" spans="1:20" x14ac:dyDescent="0.2">
      <c r="A9" s="285"/>
      <c r="B9" s="157"/>
      <c r="C9" s="431"/>
      <c r="D9" s="186">
        <v>12</v>
      </c>
      <c r="E9" s="186">
        <v>24</v>
      </c>
      <c r="F9" s="185">
        <v>36</v>
      </c>
      <c r="G9" s="157"/>
      <c r="H9" s="183">
        <v>2016</v>
      </c>
      <c r="I9" s="400">
        <v>2.0670000000000002</v>
      </c>
      <c r="J9" s="171"/>
      <c r="K9" s="171"/>
      <c r="L9" s="156"/>
      <c r="N9" s="434"/>
      <c r="O9" s="434"/>
      <c r="P9" s="434"/>
      <c r="Q9" s="434"/>
      <c r="R9" s="434"/>
      <c r="S9" s="434"/>
      <c r="T9" s="434"/>
    </row>
    <row r="10" spans="1:20" x14ac:dyDescent="0.2">
      <c r="A10" s="285"/>
      <c r="B10" s="157"/>
      <c r="C10" s="183">
        <v>2016</v>
      </c>
      <c r="D10" s="212">
        <v>-0.54</v>
      </c>
      <c r="E10" s="212">
        <v>1.05</v>
      </c>
      <c r="F10" s="355">
        <v>3.56</v>
      </c>
      <c r="G10" s="157"/>
      <c r="H10" s="345">
        <v>2017</v>
      </c>
      <c r="I10" s="400">
        <v>0.93300000000000005</v>
      </c>
      <c r="J10" s="171"/>
      <c r="K10" s="171"/>
      <c r="L10" s="156"/>
    </row>
    <row r="11" spans="1:20" x14ac:dyDescent="0.2">
      <c r="A11" s="285"/>
      <c r="B11" s="157"/>
      <c r="C11" s="183">
        <v>2017</v>
      </c>
      <c r="D11" s="212">
        <v>1.43</v>
      </c>
      <c r="E11" s="212">
        <v>2.75</v>
      </c>
      <c r="F11" s="355"/>
      <c r="G11" s="157"/>
      <c r="H11" s="268" t="s">
        <v>157</v>
      </c>
      <c r="I11" s="399">
        <v>1.57</v>
      </c>
      <c r="J11" s="171"/>
      <c r="K11" s="171"/>
      <c r="L11" s="156"/>
      <c r="N11" t="s">
        <v>1030</v>
      </c>
      <c r="P11" s="220">
        <f>I11/I9</f>
        <v>0.7595549104983067</v>
      </c>
    </row>
    <row r="12" spans="1:20" x14ac:dyDescent="0.2">
      <c r="A12" s="285"/>
      <c r="B12" s="157"/>
      <c r="C12" s="179">
        <v>2018</v>
      </c>
      <c r="D12" s="353">
        <v>0</v>
      </c>
      <c r="E12" s="353"/>
      <c r="F12" s="352"/>
      <c r="G12" s="157"/>
      <c r="H12" s="157"/>
      <c r="I12" s="157"/>
      <c r="J12" s="157"/>
      <c r="K12" s="157"/>
      <c r="L12" s="156"/>
      <c r="N12" t="s">
        <v>1029</v>
      </c>
      <c r="P12" s="220">
        <f>I11/I10</f>
        <v>1.682743837084673</v>
      </c>
    </row>
    <row r="13" spans="1:20" x14ac:dyDescent="0.2">
      <c r="A13" s="285"/>
      <c r="B13" s="157"/>
      <c r="C13" s="157"/>
      <c r="D13" s="157"/>
      <c r="E13" s="157"/>
      <c r="F13" s="157"/>
      <c r="G13" s="157"/>
      <c r="H13" s="157"/>
      <c r="I13" s="157"/>
      <c r="J13" s="157"/>
      <c r="K13" s="157"/>
      <c r="L13" s="156"/>
    </row>
    <row r="14" spans="1:20" ht="16" customHeight="1" x14ac:dyDescent="0.2">
      <c r="A14" s="285"/>
      <c r="B14" s="157"/>
      <c r="C14" s="445" t="s">
        <v>743</v>
      </c>
      <c r="D14" s="442" t="s">
        <v>1028</v>
      </c>
      <c r="E14" s="466"/>
      <c r="F14" s="467"/>
      <c r="G14" s="157"/>
      <c r="H14" s="445" t="s">
        <v>743</v>
      </c>
      <c r="I14" s="442" t="s">
        <v>1027</v>
      </c>
      <c r="J14" s="466"/>
      <c r="K14" s="467"/>
      <c r="L14" s="156"/>
      <c r="N14" t="s">
        <v>1026</v>
      </c>
    </row>
    <row r="15" spans="1:20" x14ac:dyDescent="0.2">
      <c r="A15" s="285"/>
      <c r="B15" s="157"/>
      <c r="C15" s="468"/>
      <c r="D15" s="464"/>
      <c r="E15" s="455"/>
      <c r="F15" s="454"/>
      <c r="G15" s="157"/>
      <c r="H15" s="468"/>
      <c r="I15" s="464"/>
      <c r="J15" s="455"/>
      <c r="K15" s="454"/>
      <c r="L15" s="156"/>
    </row>
    <row r="16" spans="1:20" x14ac:dyDescent="0.2">
      <c r="A16" s="285"/>
      <c r="B16" s="157"/>
      <c r="C16" s="431"/>
      <c r="D16" s="186">
        <v>12</v>
      </c>
      <c r="E16" s="186">
        <v>24</v>
      </c>
      <c r="F16" s="185">
        <v>36</v>
      </c>
      <c r="G16" s="157"/>
      <c r="H16" s="431"/>
      <c r="I16" s="186">
        <v>12</v>
      </c>
      <c r="J16" s="186">
        <v>24</v>
      </c>
      <c r="K16" s="185">
        <v>36</v>
      </c>
      <c r="L16" s="156"/>
      <c r="N16" s="193" t="s">
        <v>35</v>
      </c>
      <c r="O16" s="191">
        <v>12</v>
      </c>
      <c r="P16" s="191">
        <v>24</v>
      </c>
      <c r="Q16" s="191">
        <v>36</v>
      </c>
    </row>
    <row r="17" spans="1:17" x14ac:dyDescent="0.2">
      <c r="A17" s="285"/>
      <c r="B17" s="157"/>
      <c r="C17" s="183">
        <v>2016</v>
      </c>
      <c r="D17" s="242">
        <v>1250</v>
      </c>
      <c r="E17" s="242">
        <v>2000</v>
      </c>
      <c r="F17" s="245">
        <v>2150</v>
      </c>
      <c r="G17" s="157"/>
      <c r="H17" s="183">
        <v>2016</v>
      </c>
      <c r="I17" s="242" t="s">
        <v>1024</v>
      </c>
      <c r="J17" s="242" t="s">
        <v>1025</v>
      </c>
      <c r="K17" s="245" t="s">
        <v>1024</v>
      </c>
      <c r="L17" s="156"/>
      <c r="N17" s="188">
        <v>2016</v>
      </c>
      <c r="O17" s="349">
        <f>$P$11*D10</f>
        <v>-0.41015965166908563</v>
      </c>
      <c r="P17" s="349">
        <f>$P$11*E10</f>
        <v>0.7975326560232221</v>
      </c>
      <c r="Q17" s="349">
        <f>$P$11*F10</f>
        <v>2.7040154813739719</v>
      </c>
    </row>
    <row r="18" spans="1:17" x14ac:dyDescent="0.2">
      <c r="A18" s="285"/>
      <c r="B18" s="157"/>
      <c r="C18" s="183">
        <v>2017</v>
      </c>
      <c r="D18" s="242">
        <v>1500</v>
      </c>
      <c r="E18" s="242">
        <v>2400</v>
      </c>
      <c r="F18" s="245"/>
      <c r="G18" s="157"/>
      <c r="H18" s="183">
        <v>2017</v>
      </c>
      <c r="I18" s="242" t="s">
        <v>1023</v>
      </c>
      <c r="J18" s="242" t="s">
        <v>1022</v>
      </c>
      <c r="K18" s="245"/>
      <c r="L18" s="156"/>
      <c r="N18" s="188">
        <v>2017</v>
      </c>
      <c r="O18" s="349">
        <f>$P$12*D11</f>
        <v>2.4063236870310822</v>
      </c>
      <c r="P18" s="349">
        <f>$P$12*E11</f>
        <v>4.627545551982851</v>
      </c>
      <c r="Q18" s="349"/>
    </row>
    <row r="19" spans="1:17" x14ac:dyDescent="0.2">
      <c r="A19" s="285"/>
      <c r="B19" s="157"/>
      <c r="C19" s="179">
        <v>2018</v>
      </c>
      <c r="D19" s="244">
        <v>1400</v>
      </c>
      <c r="E19" s="244"/>
      <c r="F19" s="243"/>
      <c r="G19" s="157"/>
      <c r="H19" s="179">
        <v>2018</v>
      </c>
      <c r="I19" s="244" t="s">
        <v>1021</v>
      </c>
      <c r="J19" s="244"/>
      <c r="K19" s="243"/>
      <c r="L19" s="156"/>
      <c r="N19" s="188">
        <v>2018</v>
      </c>
      <c r="O19" s="349">
        <f>P12*D12</f>
        <v>0</v>
      </c>
      <c r="P19" s="349"/>
      <c r="Q19" s="349"/>
    </row>
    <row r="20" spans="1:17" x14ac:dyDescent="0.2">
      <c r="A20" s="285"/>
      <c r="B20" s="157"/>
      <c r="C20" s="157"/>
      <c r="D20" s="157"/>
      <c r="E20" s="157"/>
      <c r="F20" s="157"/>
      <c r="G20" s="157"/>
      <c r="H20" s="157"/>
      <c r="I20" s="157"/>
      <c r="J20" s="157"/>
      <c r="K20" s="157"/>
      <c r="L20" s="156"/>
    </row>
    <row r="21" spans="1:17" x14ac:dyDescent="0.2">
      <c r="A21" s="285"/>
      <c r="B21" s="157"/>
      <c r="C21" s="157" t="s">
        <v>1020</v>
      </c>
      <c r="D21" s="157"/>
      <c r="E21" s="157"/>
      <c r="F21" s="157"/>
      <c r="G21" s="157"/>
      <c r="H21" s="157"/>
      <c r="I21" s="157"/>
      <c r="J21" s="157"/>
      <c r="K21" s="157"/>
      <c r="L21" s="156"/>
      <c r="N21" t="s">
        <v>1019</v>
      </c>
    </row>
    <row r="22" spans="1:17" x14ac:dyDescent="0.2">
      <c r="A22" s="285"/>
      <c r="B22" s="157"/>
      <c r="C22" s="157"/>
      <c r="D22" s="157"/>
      <c r="E22" s="157"/>
      <c r="F22" s="157"/>
      <c r="G22" s="157"/>
      <c r="H22" s="157"/>
      <c r="I22" s="157"/>
      <c r="J22" s="157"/>
      <c r="K22" s="157"/>
      <c r="L22" s="156"/>
    </row>
    <row r="23" spans="1:17" x14ac:dyDescent="0.2">
      <c r="A23" s="285" t="s">
        <v>0</v>
      </c>
      <c r="B23" s="157" t="s">
        <v>917</v>
      </c>
      <c r="C23" s="157" t="s">
        <v>1018</v>
      </c>
      <c r="D23" s="157"/>
      <c r="E23" s="157"/>
      <c r="F23" s="157"/>
      <c r="G23" s="157"/>
      <c r="H23" s="157"/>
      <c r="I23" s="157"/>
      <c r="J23" s="157"/>
      <c r="K23" s="157"/>
      <c r="L23" s="156"/>
      <c r="N23" s="193" t="s">
        <v>35</v>
      </c>
      <c r="O23" s="191">
        <v>12</v>
      </c>
      <c r="P23" s="191">
        <v>24</v>
      </c>
      <c r="Q23" s="191">
        <v>36</v>
      </c>
    </row>
    <row r="24" spans="1:17" x14ac:dyDescent="0.2">
      <c r="A24" s="285"/>
      <c r="B24" s="157"/>
      <c r="C24" s="157" t="s">
        <v>1017</v>
      </c>
      <c r="D24" s="157"/>
      <c r="E24" s="157"/>
      <c r="F24" s="157"/>
      <c r="G24" s="157"/>
      <c r="H24" s="157"/>
      <c r="I24" s="157"/>
      <c r="J24" s="157"/>
      <c r="K24" s="157"/>
      <c r="L24" s="156"/>
      <c r="N24" s="188">
        <v>2016</v>
      </c>
      <c r="O24" s="349">
        <f>O18</f>
        <v>2.4063236870310822</v>
      </c>
      <c r="P24" s="349">
        <f>O17</f>
        <v>-0.41015965166908563</v>
      </c>
      <c r="Q24" s="349">
        <f>O18</f>
        <v>2.4063236870310822</v>
      </c>
    </row>
    <row r="25" spans="1:17" x14ac:dyDescent="0.2">
      <c r="A25" s="285"/>
      <c r="B25" s="157"/>
      <c r="C25" s="157"/>
      <c r="D25" s="157"/>
      <c r="E25" s="157"/>
      <c r="F25" s="157"/>
      <c r="G25" s="157"/>
      <c r="H25" s="157"/>
      <c r="I25" s="157"/>
      <c r="J25" s="157"/>
      <c r="K25" s="157"/>
      <c r="L25" s="156"/>
      <c r="N25" s="188">
        <v>2017</v>
      </c>
      <c r="O25" s="349">
        <f>Q17</f>
        <v>2.7040154813739719</v>
      </c>
      <c r="P25" s="349">
        <f>P18</f>
        <v>4.627545551982851</v>
      </c>
      <c r="Q25" s="349"/>
    </row>
    <row r="26" spans="1:17" x14ac:dyDescent="0.2">
      <c r="A26" s="285"/>
      <c r="B26" s="157"/>
      <c r="C26" s="157" t="s">
        <v>1016</v>
      </c>
      <c r="D26" s="157"/>
      <c r="E26" s="157"/>
      <c r="F26" s="157"/>
      <c r="G26" s="157"/>
      <c r="H26" s="157"/>
      <c r="I26" s="157"/>
      <c r="J26" s="157"/>
      <c r="K26" s="157"/>
      <c r="L26" s="156"/>
      <c r="N26" s="188">
        <v>2018</v>
      </c>
      <c r="O26" s="349">
        <f>P17</f>
        <v>0.7975326560232221</v>
      </c>
      <c r="P26" s="349"/>
      <c r="Q26" s="349"/>
    </row>
    <row r="27" spans="1:17" x14ac:dyDescent="0.2">
      <c r="A27" s="285"/>
      <c r="B27" s="157"/>
      <c r="C27" s="157"/>
      <c r="D27" s="157"/>
      <c r="E27" s="157"/>
      <c r="F27" s="157"/>
      <c r="G27" s="157"/>
      <c r="H27" s="157"/>
      <c r="I27" s="157"/>
      <c r="J27" s="157"/>
      <c r="K27" s="157"/>
      <c r="L27" s="156"/>
    </row>
    <row r="28" spans="1:17" x14ac:dyDescent="0.2">
      <c r="A28" s="285"/>
      <c r="B28" s="171"/>
      <c r="C28" s="157"/>
      <c r="D28" s="184" t="s">
        <v>1015</v>
      </c>
      <c r="E28" s="291"/>
      <c r="F28" s="157"/>
      <c r="G28" s="157"/>
      <c r="H28" s="157"/>
      <c r="I28" s="157"/>
      <c r="J28" s="157"/>
      <c r="K28" s="157"/>
      <c r="L28" s="156"/>
      <c r="N28" t="s">
        <v>1014</v>
      </c>
    </row>
    <row r="29" spans="1:17" x14ac:dyDescent="0.2">
      <c r="A29" s="285"/>
      <c r="B29" s="171"/>
      <c r="C29" s="157"/>
      <c r="D29" s="183" t="s">
        <v>1013</v>
      </c>
      <c r="E29" s="228" t="s">
        <v>994</v>
      </c>
      <c r="F29" s="157"/>
      <c r="G29" s="157"/>
      <c r="H29" s="157"/>
      <c r="I29" s="157"/>
      <c r="J29" s="157"/>
      <c r="K29" s="157"/>
      <c r="L29" s="156"/>
    </row>
    <row r="30" spans="1:17" x14ac:dyDescent="0.2">
      <c r="A30" s="285"/>
      <c r="B30" s="171"/>
      <c r="C30" s="157"/>
      <c r="D30" s="179" t="s">
        <v>1012</v>
      </c>
      <c r="E30" s="185" t="s">
        <v>1011</v>
      </c>
      <c r="F30" s="157"/>
      <c r="G30" s="157"/>
      <c r="H30" s="157"/>
      <c r="I30" s="157"/>
      <c r="J30" s="157"/>
      <c r="K30" s="157"/>
      <c r="L30" s="156"/>
      <c r="N30" s="193" t="s">
        <v>35</v>
      </c>
      <c r="O30" s="191">
        <v>12</v>
      </c>
      <c r="P30" s="191">
        <v>24</v>
      </c>
      <c r="Q30" s="191">
        <v>36</v>
      </c>
    </row>
    <row r="31" spans="1:17" x14ac:dyDescent="0.2">
      <c r="A31" s="285"/>
      <c r="B31" s="171"/>
      <c r="C31" s="157"/>
      <c r="D31" s="398">
        <v>0.2</v>
      </c>
      <c r="E31" s="346">
        <v>2500</v>
      </c>
      <c r="F31" s="157"/>
      <c r="G31" s="157"/>
      <c r="H31" s="157"/>
      <c r="I31" s="157"/>
      <c r="J31" s="157"/>
      <c r="K31" s="157"/>
      <c r="L31" s="156"/>
      <c r="N31" s="188">
        <v>2016</v>
      </c>
      <c r="O31" s="329">
        <f>D17</f>
        <v>1250</v>
      </c>
      <c r="P31" s="329">
        <f>E17-D17</f>
        <v>750</v>
      </c>
      <c r="Q31" s="329">
        <f>F17-E17</f>
        <v>150</v>
      </c>
    </row>
    <row r="32" spans="1:17" x14ac:dyDescent="0.2">
      <c r="A32" s="285"/>
      <c r="B32" s="171"/>
      <c r="C32" s="157"/>
      <c r="D32" s="397">
        <v>0.6</v>
      </c>
      <c r="E32" s="344">
        <v>3000</v>
      </c>
      <c r="F32" s="157"/>
      <c r="G32" s="157"/>
      <c r="H32" s="157"/>
      <c r="I32" s="157"/>
      <c r="J32" s="157"/>
      <c r="K32" s="157"/>
      <c r="L32" s="156"/>
      <c r="N32" s="188">
        <v>2017</v>
      </c>
      <c r="O32" s="329">
        <f>D18</f>
        <v>1500</v>
      </c>
      <c r="P32" s="329">
        <f>E18-D18</f>
        <v>900</v>
      </c>
      <c r="Q32" s="148"/>
    </row>
    <row r="33" spans="1:17" x14ac:dyDescent="0.2">
      <c r="A33" s="285"/>
      <c r="B33" s="171"/>
      <c r="C33" s="157"/>
      <c r="D33" s="396">
        <v>1</v>
      </c>
      <c r="E33" s="342">
        <v>3500</v>
      </c>
      <c r="F33" s="157"/>
      <c r="G33" s="157"/>
      <c r="H33" s="157"/>
      <c r="I33" s="157"/>
      <c r="J33" s="157"/>
      <c r="K33" s="157"/>
      <c r="L33" s="156"/>
      <c r="N33" s="188">
        <v>2018</v>
      </c>
      <c r="O33" s="329">
        <f>D19</f>
        <v>1400</v>
      </c>
      <c r="P33" s="148"/>
      <c r="Q33" s="148"/>
    </row>
    <row r="34" spans="1:17" x14ac:dyDescent="0.2">
      <c r="A34" s="285"/>
      <c r="B34" s="171"/>
      <c r="C34" s="157"/>
      <c r="D34" s="157"/>
      <c r="E34" s="157"/>
      <c r="F34" s="157"/>
      <c r="G34" s="157"/>
      <c r="H34" s="157"/>
      <c r="I34" s="157"/>
      <c r="J34" s="157"/>
      <c r="K34" s="157"/>
      <c r="L34" s="156"/>
    </row>
    <row r="35" spans="1:17" x14ac:dyDescent="0.2">
      <c r="A35" s="285"/>
      <c r="B35" s="171"/>
      <c r="C35" s="157" t="s">
        <v>1010</v>
      </c>
      <c r="D35" s="157"/>
      <c r="E35" s="157"/>
      <c r="F35" s="206">
        <v>1.1499999999999999</v>
      </c>
      <c r="G35" s="157"/>
      <c r="H35" s="157"/>
      <c r="I35" s="157"/>
      <c r="J35" s="157"/>
      <c r="K35" s="157"/>
      <c r="L35" s="156"/>
      <c r="N35" t="s">
        <v>1009</v>
      </c>
    </row>
    <row r="36" spans="1:17" x14ac:dyDescent="0.2">
      <c r="A36" s="285"/>
      <c r="B36" s="171"/>
      <c r="C36" s="157" t="s">
        <v>1008</v>
      </c>
      <c r="D36" s="157"/>
      <c r="E36" s="157"/>
      <c r="F36" s="157"/>
      <c r="G36" s="157"/>
      <c r="H36" s="157"/>
      <c r="I36" s="157"/>
      <c r="J36" s="157"/>
      <c r="K36" s="157"/>
      <c r="L36" s="156"/>
    </row>
    <row r="37" spans="1:17" x14ac:dyDescent="0.2">
      <c r="A37" s="285"/>
      <c r="B37" s="171"/>
      <c r="C37" s="157" t="s">
        <v>1007</v>
      </c>
      <c r="D37" s="157"/>
      <c r="E37" s="157"/>
      <c r="F37" s="157"/>
      <c r="G37" s="157"/>
      <c r="H37" s="157"/>
      <c r="I37" s="171">
        <v>0.45800000000000002</v>
      </c>
      <c r="J37" s="157"/>
      <c r="K37" s="157"/>
      <c r="L37" s="156"/>
      <c r="N37" s="395" t="s">
        <v>195</v>
      </c>
    </row>
    <row r="38" spans="1:17" x14ac:dyDescent="0.2">
      <c r="A38" s="285"/>
      <c r="B38" s="171"/>
      <c r="C38" s="157" t="s">
        <v>1006</v>
      </c>
      <c r="D38" s="157"/>
      <c r="E38" s="157"/>
      <c r="F38" s="157"/>
      <c r="G38" s="157"/>
      <c r="H38" s="157"/>
      <c r="I38" s="171"/>
      <c r="J38" s="157"/>
      <c r="K38" s="157"/>
      <c r="L38" s="156"/>
      <c r="N38" s="395"/>
    </row>
    <row r="39" spans="1:17" x14ac:dyDescent="0.2">
      <c r="A39" s="285"/>
      <c r="B39" s="171"/>
      <c r="C39" s="157" t="s">
        <v>1005</v>
      </c>
      <c r="D39" s="157"/>
      <c r="E39" s="157"/>
      <c r="F39" s="157"/>
      <c r="G39" s="157"/>
      <c r="H39" s="157"/>
      <c r="I39" s="171">
        <v>0.81200000000000006</v>
      </c>
      <c r="J39" s="157"/>
      <c r="K39" s="157"/>
      <c r="L39" s="156"/>
      <c r="N39" s="193" t="s">
        <v>35</v>
      </c>
      <c r="O39" s="191">
        <v>12</v>
      </c>
      <c r="P39" s="191">
        <v>24</v>
      </c>
      <c r="Q39" s="191">
        <v>36</v>
      </c>
    </row>
    <row r="40" spans="1:17" x14ac:dyDescent="0.2">
      <c r="A40" s="285"/>
      <c r="B40" s="171"/>
      <c r="C40" s="157" t="s">
        <v>1004</v>
      </c>
      <c r="D40" s="157"/>
      <c r="E40" s="157"/>
      <c r="F40" s="157"/>
      <c r="G40" s="157"/>
      <c r="H40" s="157"/>
      <c r="I40" s="157"/>
      <c r="J40" s="157"/>
      <c r="K40" s="157"/>
      <c r="L40" s="156"/>
      <c r="N40" s="188">
        <v>2016</v>
      </c>
      <c r="O40" s="329">
        <f>O24/$P$11*SQRT(O31)+O31</f>
        <v>1362.0082151607187</v>
      </c>
      <c r="P40" s="329">
        <f>P24/$P$11*SQRT(P31)+P31</f>
        <v>735.21149094736052</v>
      </c>
      <c r="Q40" s="329">
        <f>Q24/$P$11*SQRT(Q31)+Q31</f>
        <v>188.80078390469424</v>
      </c>
    </row>
    <row r="41" spans="1:17" x14ac:dyDescent="0.2">
      <c r="A41" s="285"/>
      <c r="B41" s="171"/>
      <c r="C41" s="157"/>
      <c r="D41" s="157"/>
      <c r="E41" s="157"/>
      <c r="F41" s="157"/>
      <c r="G41" s="157"/>
      <c r="H41" s="157"/>
      <c r="I41" s="157"/>
      <c r="J41" s="157"/>
      <c r="K41" s="157"/>
      <c r="L41" s="156"/>
      <c r="N41" s="188">
        <v>2017</v>
      </c>
      <c r="O41" s="329">
        <f>O25/$P$12*SQRT(O32)+O32</f>
        <v>1562.2353010389986</v>
      </c>
      <c r="P41" s="329">
        <f>P25/$P$12*SQRT(P32)+P32</f>
        <v>982.5</v>
      </c>
      <c r="Q41" s="148"/>
    </row>
    <row r="42" spans="1:17" x14ac:dyDescent="0.2">
      <c r="A42" s="285" t="s">
        <v>1</v>
      </c>
      <c r="B42" s="206" t="s">
        <v>1003</v>
      </c>
      <c r="C42" s="157" t="s">
        <v>1002</v>
      </c>
      <c r="D42" s="157"/>
      <c r="E42" s="157"/>
      <c r="F42" s="157"/>
      <c r="G42" s="157"/>
      <c r="H42" s="157"/>
      <c r="I42" s="157"/>
      <c r="J42" s="157"/>
      <c r="K42" s="157"/>
      <c r="L42" s="156"/>
      <c r="N42" s="188">
        <v>2018</v>
      </c>
      <c r="O42" s="329">
        <f>O26/P12*SQRT(O33)+O33</f>
        <v>1417.7335010109002</v>
      </c>
      <c r="P42" s="148"/>
      <c r="Q42" s="148"/>
    </row>
    <row r="43" spans="1:17" ht="17" thickBot="1" x14ac:dyDescent="0.25">
      <c r="A43" s="285"/>
      <c r="B43" s="171"/>
      <c r="C43" s="157"/>
      <c r="D43" s="157"/>
      <c r="E43" s="157"/>
      <c r="F43" s="157"/>
      <c r="G43" s="157"/>
      <c r="H43" s="157"/>
      <c r="I43" s="157"/>
      <c r="J43" s="157"/>
      <c r="K43" s="157"/>
      <c r="L43" s="156"/>
    </row>
    <row r="44" spans="1:17" ht="17" thickBot="1" x14ac:dyDescent="0.25">
      <c r="A44" s="305" t="s">
        <v>266</v>
      </c>
      <c r="B44" s="154"/>
      <c r="C44" s="261"/>
      <c r="D44" s="154"/>
      <c r="E44" s="154"/>
      <c r="F44" s="154"/>
      <c r="G44" s="154"/>
      <c r="H44" s="154"/>
      <c r="I44" s="154"/>
      <c r="J44" s="154"/>
      <c r="K44" s="154"/>
      <c r="L44" s="153"/>
      <c r="N44" t="s">
        <v>1001</v>
      </c>
    </row>
    <row r="46" spans="1:17" ht="17" thickBot="1" x14ac:dyDescent="0.25">
      <c r="N46" s="193" t="s">
        <v>35</v>
      </c>
      <c r="O46" s="148">
        <v>12</v>
      </c>
      <c r="P46" s="148">
        <v>24</v>
      </c>
      <c r="Q46" s="148">
        <v>36</v>
      </c>
    </row>
    <row r="47" spans="1:17" x14ac:dyDescent="0.2">
      <c r="N47" s="148">
        <v>2016</v>
      </c>
      <c r="O47" s="394">
        <f>O40</f>
        <v>1362.0082151607187</v>
      </c>
      <c r="P47" s="393">
        <f>O47+P40</f>
        <v>2097.2197061080792</v>
      </c>
      <c r="Q47" s="392">
        <f>P47+Q40</f>
        <v>2286.0204900127733</v>
      </c>
    </row>
    <row r="48" spans="1:17" x14ac:dyDescent="0.2">
      <c r="N48" s="148">
        <v>2017</v>
      </c>
      <c r="O48" s="391">
        <f>O41</f>
        <v>1562.2353010389986</v>
      </c>
      <c r="P48" s="329">
        <f>O48+P41</f>
        <v>2544.7353010389988</v>
      </c>
      <c r="Q48" s="390"/>
    </row>
    <row r="49" spans="14:19" ht="17" thickBot="1" x14ac:dyDescent="0.25">
      <c r="N49" s="148">
        <v>2018</v>
      </c>
      <c r="O49" s="389">
        <f>O42</f>
        <v>1417.7335010109002</v>
      </c>
      <c r="P49" s="388"/>
      <c r="Q49" s="387"/>
    </row>
    <row r="51" spans="14:19" x14ac:dyDescent="0.2">
      <c r="N51" s="180" t="s">
        <v>706</v>
      </c>
    </row>
    <row r="53" spans="14:19" x14ac:dyDescent="0.2">
      <c r="N53" t="s">
        <v>1000</v>
      </c>
    </row>
    <row r="55" spans="14:19" x14ac:dyDescent="0.2">
      <c r="N55" t="s">
        <v>999</v>
      </c>
      <c r="R55" s="329">
        <f>E32</f>
        <v>3000</v>
      </c>
      <c r="S55" t="s">
        <v>998</v>
      </c>
    </row>
    <row r="57" spans="14:19" x14ac:dyDescent="0.2">
      <c r="N57" s="193" t="s">
        <v>35</v>
      </c>
      <c r="O57" s="386" t="s">
        <v>177</v>
      </c>
      <c r="P57" s="191" t="s">
        <v>178</v>
      </c>
      <c r="Q57" s="191" t="s">
        <v>995</v>
      </c>
    </row>
    <row r="58" spans="14:19" x14ac:dyDescent="0.2">
      <c r="N58" s="188" t="s">
        <v>66</v>
      </c>
      <c r="O58" s="220">
        <f>SUM(E17:E18)/SUM(D17:D18)</f>
        <v>1.6</v>
      </c>
      <c r="P58" s="220">
        <f>F17/E17</f>
        <v>1.075</v>
      </c>
      <c r="Q58" s="220">
        <f>F35</f>
        <v>1.1499999999999999</v>
      </c>
    </row>
    <row r="59" spans="14:19" x14ac:dyDescent="0.2">
      <c r="N59" s="188" t="s">
        <v>153</v>
      </c>
      <c r="O59" s="220">
        <f>O58*P59</f>
        <v>1.9779999999999998</v>
      </c>
      <c r="P59" s="220">
        <f>P58*Q59</f>
        <v>1.2362499999999998</v>
      </c>
      <c r="Q59" s="220">
        <f>Q58</f>
        <v>1.1499999999999999</v>
      </c>
    </row>
    <row r="62" spans="14:19" x14ac:dyDescent="0.2">
      <c r="N62" s="381"/>
      <c r="O62" s="148" t="s">
        <v>994</v>
      </c>
      <c r="P62" s="188"/>
      <c r="Q62" s="148" t="s">
        <v>579</v>
      </c>
    </row>
    <row r="63" spans="14:19" x14ac:dyDescent="0.2">
      <c r="N63" s="193" t="s">
        <v>35</v>
      </c>
      <c r="O63" s="385" t="s">
        <v>993</v>
      </c>
      <c r="P63" s="193" t="s">
        <v>992</v>
      </c>
      <c r="Q63" s="191" t="s">
        <v>991</v>
      </c>
    </row>
    <row r="64" spans="14:19" x14ac:dyDescent="0.2">
      <c r="N64" s="188">
        <v>2016</v>
      </c>
      <c r="O64" s="329">
        <f>$R$55</f>
        <v>3000</v>
      </c>
      <c r="P64" s="384">
        <f>1/Q59</f>
        <v>0.86956521739130443</v>
      </c>
      <c r="Q64" s="329">
        <f>O64*(1-P64)</f>
        <v>391.30434782608671</v>
      </c>
    </row>
    <row r="65" spans="14:18" x14ac:dyDescent="0.2">
      <c r="N65" s="188">
        <v>2017</v>
      </c>
      <c r="O65" s="329">
        <f>$R$55</f>
        <v>3000</v>
      </c>
      <c r="P65" s="384">
        <f>1/P59</f>
        <v>0.80889787664307389</v>
      </c>
      <c r="Q65" s="329">
        <f>O65*(1-P65)</f>
        <v>573.30637007077837</v>
      </c>
    </row>
    <row r="66" spans="14:18" x14ac:dyDescent="0.2">
      <c r="N66" s="193">
        <v>2018</v>
      </c>
      <c r="O66" s="382">
        <f>$R$55</f>
        <v>3000</v>
      </c>
      <c r="P66" s="383">
        <f>1/O59</f>
        <v>0.50556117290192115</v>
      </c>
      <c r="Q66" s="382">
        <f>O66*(1-P66)</f>
        <v>1483.3164812942366</v>
      </c>
    </row>
    <row r="67" spans="14:18" x14ac:dyDescent="0.2">
      <c r="N67" s="188" t="s">
        <v>157</v>
      </c>
      <c r="P67" s="381"/>
      <c r="Q67" s="329">
        <f>SUM(Q64:Q66)</f>
        <v>2447.9271991911019</v>
      </c>
      <c r="R67" s="339" t="s">
        <v>894</v>
      </c>
    </row>
    <row r="70" spans="14:18" x14ac:dyDescent="0.2">
      <c r="N70" t="s">
        <v>997</v>
      </c>
    </row>
    <row r="72" spans="14:18" x14ac:dyDescent="0.2">
      <c r="N72" t="s">
        <v>996</v>
      </c>
      <c r="R72" s="329">
        <f>E33</f>
        <v>3500</v>
      </c>
    </row>
    <row r="74" spans="14:18" x14ac:dyDescent="0.2">
      <c r="N74" s="193" t="s">
        <v>35</v>
      </c>
      <c r="O74" s="386" t="s">
        <v>177</v>
      </c>
      <c r="P74" s="191" t="s">
        <v>178</v>
      </c>
      <c r="Q74" s="191" t="s">
        <v>995</v>
      </c>
    </row>
    <row r="75" spans="14:18" x14ac:dyDescent="0.2">
      <c r="N75" s="188" t="s">
        <v>66</v>
      </c>
      <c r="O75" s="220">
        <f>SUM(P47:P48)/SUM(O47:O48)</f>
        <v>1.5874037102011467</v>
      </c>
      <c r="P75" s="220">
        <f>Q47/P47</f>
        <v>1.0900243228474433</v>
      </c>
      <c r="Q75" s="220">
        <f>F35</f>
        <v>1.1499999999999999</v>
      </c>
    </row>
    <row r="76" spans="14:18" x14ac:dyDescent="0.2">
      <c r="N76" s="188" t="s">
        <v>153</v>
      </c>
      <c r="O76" s="220">
        <f>O75*P76</f>
        <v>1.9898549524421525</v>
      </c>
      <c r="P76" s="220">
        <f>P75*Q76</f>
        <v>1.2535279712745597</v>
      </c>
      <c r="Q76" s="220">
        <f>Q75</f>
        <v>1.1499999999999999</v>
      </c>
    </row>
    <row r="79" spans="14:18" x14ac:dyDescent="0.2">
      <c r="N79" s="381"/>
      <c r="O79" s="148" t="s">
        <v>994</v>
      </c>
      <c r="P79" s="188"/>
      <c r="Q79" s="148" t="s">
        <v>579</v>
      </c>
    </row>
    <row r="80" spans="14:18" x14ac:dyDescent="0.2">
      <c r="N80" s="193" t="s">
        <v>35</v>
      </c>
      <c r="O80" s="385" t="s">
        <v>993</v>
      </c>
      <c r="P80" s="193" t="s">
        <v>992</v>
      </c>
      <c r="Q80" s="191" t="s">
        <v>991</v>
      </c>
    </row>
    <row r="81" spans="14:20" x14ac:dyDescent="0.2">
      <c r="N81" s="188">
        <v>2016</v>
      </c>
      <c r="O81" s="329">
        <f>$R$72</f>
        <v>3500</v>
      </c>
      <c r="P81" s="384">
        <f>1/Q76</f>
        <v>0.86956521739130443</v>
      </c>
      <c r="Q81" s="329">
        <f>O81*(1-P81)</f>
        <v>456.52173913043447</v>
      </c>
    </row>
    <row r="82" spans="14:20" x14ac:dyDescent="0.2">
      <c r="N82" s="188">
        <v>2017</v>
      </c>
      <c r="O82" s="329">
        <f>$R$72</f>
        <v>3500</v>
      </c>
      <c r="P82" s="384">
        <f>1/P76</f>
        <v>0.79774845309851516</v>
      </c>
      <c r="Q82" s="329">
        <f>O82*(1-P82)</f>
        <v>707.88041415519695</v>
      </c>
    </row>
    <row r="83" spans="14:20" x14ac:dyDescent="0.2">
      <c r="N83" s="193">
        <v>2018</v>
      </c>
      <c r="O83" s="382">
        <f>$R$72</f>
        <v>3500</v>
      </c>
      <c r="P83" s="383">
        <f>1/O76</f>
        <v>0.50254919273020293</v>
      </c>
      <c r="Q83" s="382">
        <f>O83*(1-P83)</f>
        <v>1741.0778254442898</v>
      </c>
    </row>
    <row r="84" spans="14:20" x14ac:dyDescent="0.2">
      <c r="N84" s="188" t="s">
        <v>157</v>
      </c>
      <c r="P84" s="381"/>
      <c r="Q84" s="329">
        <f>SUM(Q81:Q83)</f>
        <v>2905.4799787299212</v>
      </c>
      <c r="R84" s="339" t="s">
        <v>894</v>
      </c>
    </row>
    <row r="86" spans="14:20" x14ac:dyDescent="0.2">
      <c r="N86" s="180" t="s">
        <v>990</v>
      </c>
      <c r="O86" s="180"/>
      <c r="P86" s="180"/>
      <c r="Q86" s="180"/>
    </row>
    <row r="89" spans="14:20" ht="19" x14ac:dyDescent="0.25">
      <c r="N89" s="197" t="s">
        <v>262</v>
      </c>
    </row>
    <row r="90" spans="14:20" x14ac:dyDescent="0.2">
      <c r="N90" s="433" t="s">
        <v>989</v>
      </c>
      <c r="O90" s="433"/>
      <c r="P90" s="433"/>
      <c r="Q90" s="433"/>
      <c r="R90" s="433"/>
      <c r="S90" s="433"/>
      <c r="T90" s="433"/>
    </row>
    <row r="91" spans="14:20" x14ac:dyDescent="0.2">
      <c r="N91" s="433"/>
      <c r="O91" s="433"/>
      <c r="P91" s="433"/>
      <c r="Q91" s="433"/>
      <c r="R91" s="433"/>
      <c r="S91" s="433"/>
      <c r="T91" s="433"/>
    </row>
    <row r="92" spans="14:20" x14ac:dyDescent="0.2">
      <c r="N92" s="433"/>
      <c r="O92" s="433"/>
      <c r="P92" s="433"/>
      <c r="Q92" s="433"/>
      <c r="R92" s="433"/>
      <c r="S92" s="433"/>
      <c r="T92" s="433"/>
    </row>
    <row r="93" spans="14:20" ht="16" customHeight="1" x14ac:dyDescent="0.2">
      <c r="N93" s="433"/>
      <c r="O93" s="433"/>
      <c r="P93" s="433"/>
      <c r="Q93" s="433"/>
      <c r="R93" s="433"/>
      <c r="S93" s="433"/>
      <c r="T93" s="433"/>
    </row>
    <row r="94" spans="14:20" x14ac:dyDescent="0.2">
      <c r="N94" s="433"/>
      <c r="O94" s="433"/>
      <c r="P94" s="433"/>
      <c r="Q94" s="433"/>
      <c r="R94" s="433"/>
      <c r="S94" s="433"/>
      <c r="T94" s="433"/>
    </row>
    <row r="95" spans="14:20" x14ac:dyDescent="0.2">
      <c r="N95" s="433"/>
      <c r="O95" s="433"/>
      <c r="P95" s="433"/>
      <c r="Q95" s="433"/>
      <c r="R95" s="433"/>
      <c r="S95" s="433"/>
      <c r="T95" s="433"/>
    </row>
    <row r="96" spans="14:20" x14ac:dyDescent="0.2">
      <c r="N96" s="433"/>
      <c r="O96" s="433"/>
      <c r="P96" s="433"/>
      <c r="Q96" s="433"/>
      <c r="R96" s="433"/>
      <c r="S96" s="433"/>
      <c r="T96" s="433"/>
    </row>
    <row r="97" spans="14:20" x14ac:dyDescent="0.2">
      <c r="N97" s="433"/>
      <c r="O97" s="433"/>
      <c r="P97" s="433"/>
      <c r="Q97" s="433"/>
      <c r="R97" s="433"/>
      <c r="S97" s="433"/>
      <c r="T97" s="433"/>
    </row>
    <row r="98" spans="14:20" x14ac:dyDescent="0.2">
      <c r="N98" s="433"/>
      <c r="O98" s="433"/>
      <c r="P98" s="433"/>
      <c r="Q98" s="433"/>
      <c r="R98" s="433"/>
      <c r="S98" s="433"/>
      <c r="T98" s="433"/>
    </row>
    <row r="99" spans="14:20" x14ac:dyDescent="0.2">
      <c r="N99" s="433"/>
      <c r="O99" s="433"/>
      <c r="P99" s="433"/>
      <c r="Q99" s="433"/>
      <c r="R99" s="433"/>
      <c r="S99" s="433"/>
      <c r="T99" s="433"/>
    </row>
    <row r="101" spans="14:20" ht="19" x14ac:dyDescent="0.25">
      <c r="N101" s="197" t="s">
        <v>303</v>
      </c>
    </row>
    <row r="102" spans="14:20" x14ac:dyDescent="0.2">
      <c r="N102" t="s">
        <v>300</v>
      </c>
    </row>
  </sheetData>
  <mergeCells count="10">
    <mergeCell ref="N90:T99"/>
    <mergeCell ref="N8:T9"/>
    <mergeCell ref="I7:I8"/>
    <mergeCell ref="I14:K15"/>
    <mergeCell ref="C7:C9"/>
    <mergeCell ref="D7:F8"/>
    <mergeCell ref="C14:C16"/>
    <mergeCell ref="D14:F15"/>
    <mergeCell ref="H7:H8"/>
    <mergeCell ref="H14:H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6CA-D15D-3744-8702-C907C2B67F79}">
  <dimension ref="A1:T449"/>
  <sheetViews>
    <sheetView zoomScaleNormal="100" workbookViewId="0"/>
  </sheetViews>
  <sheetFormatPr baseColWidth="10" defaultColWidth="10.83203125" defaultRowHeight="16" outlineLevelCol="1" x14ac:dyDescent="0.2"/>
  <cols>
    <col min="1" max="1" width="4.5" style="149" customWidth="1"/>
    <col min="2" max="2" width="10.83203125" style="149"/>
    <col min="3" max="3" width="13.83203125" style="149" bestFit="1" customWidth="1"/>
    <col min="4" max="4" width="13.5" style="149" customWidth="1"/>
    <col min="5" max="7" width="10.83203125" style="149"/>
    <col min="8" max="8" width="11.5" style="149" customWidth="1"/>
    <col min="9" max="11" width="10.83203125" style="149"/>
    <col min="12" max="12" width="12" style="149" bestFit="1" customWidth="1"/>
    <col min="13" max="19" width="10.83203125" style="149" hidden="1" customWidth="1" outlineLevel="1"/>
    <col min="20" max="20" width="10.83203125" style="149" collapsed="1"/>
    <col min="21" max="16384" width="10.83203125" style="149"/>
  </cols>
  <sheetData>
    <row r="1" spans="1:19" ht="19" x14ac:dyDescent="0.25">
      <c r="A1" s="303" t="s">
        <v>703</v>
      </c>
      <c r="B1" s="201"/>
      <c r="C1" s="200"/>
      <c r="D1" s="200"/>
      <c r="E1" s="200"/>
      <c r="F1" s="302"/>
      <c r="G1" s="302"/>
      <c r="H1" s="302"/>
      <c r="I1" s="302"/>
      <c r="J1" s="301"/>
      <c r="L1" s="197" t="s">
        <v>702</v>
      </c>
    </row>
    <row r="2" spans="1:19" x14ac:dyDescent="0.2">
      <c r="A2" s="285"/>
      <c r="B2" s="206"/>
      <c r="C2" s="206"/>
      <c r="D2" s="206"/>
      <c r="E2" s="206"/>
      <c r="F2" s="206"/>
      <c r="G2" s="206"/>
      <c r="H2" s="206"/>
      <c r="I2" s="206"/>
      <c r="J2" s="284"/>
    </row>
    <row r="3" spans="1:19" x14ac:dyDescent="0.2">
      <c r="A3" s="285"/>
      <c r="B3" s="286" t="s">
        <v>701</v>
      </c>
      <c r="C3" s="206"/>
      <c r="D3" s="206"/>
      <c r="E3" s="206"/>
      <c r="F3" s="206"/>
      <c r="G3" s="206"/>
      <c r="H3" s="206"/>
      <c r="I3" s="206"/>
      <c r="J3" s="284"/>
      <c r="M3" s="279" t="s">
        <v>701</v>
      </c>
    </row>
    <row r="4" spans="1:19" x14ac:dyDescent="0.2">
      <c r="A4" s="285"/>
      <c r="B4" s="206"/>
      <c r="C4" s="206"/>
      <c r="D4" s="206"/>
      <c r="E4" s="206"/>
      <c r="F4" s="206"/>
      <c r="G4" s="206"/>
      <c r="H4" s="206"/>
      <c r="I4" s="206"/>
      <c r="J4" s="284"/>
      <c r="M4" s="280"/>
    </row>
    <row r="5" spans="1:19" x14ac:dyDescent="0.2">
      <c r="A5" s="285"/>
      <c r="B5" s="206" t="s">
        <v>0</v>
      </c>
      <c r="C5" s="206"/>
      <c r="D5" s="206"/>
      <c r="E5" s="206"/>
      <c r="F5" s="206"/>
      <c r="G5" s="206"/>
      <c r="H5" s="206"/>
      <c r="I5" s="206"/>
      <c r="J5" s="284"/>
      <c r="M5" s="300" t="s">
        <v>326</v>
      </c>
    </row>
    <row r="6" spans="1:19" x14ac:dyDescent="0.2">
      <c r="A6" s="285"/>
      <c r="B6" s="206" t="s">
        <v>700</v>
      </c>
      <c r="C6" s="206"/>
      <c r="D6" s="206"/>
      <c r="E6" s="206"/>
      <c r="F6" s="206"/>
      <c r="G6" s="206"/>
      <c r="H6" s="206"/>
      <c r="I6" s="206"/>
      <c r="J6" s="284"/>
      <c r="M6" s="280"/>
    </row>
    <row r="7" spans="1:19" x14ac:dyDescent="0.2">
      <c r="A7" s="285"/>
      <c r="B7" s="171"/>
      <c r="C7" s="206"/>
      <c r="D7" s="206"/>
      <c r="E7" s="206"/>
      <c r="F7" s="206"/>
      <c r="G7" s="206"/>
      <c r="H7" s="206"/>
      <c r="I7" s="206"/>
      <c r="J7" s="284"/>
      <c r="M7" s="434" t="s">
        <v>699</v>
      </c>
      <c r="N7" s="434"/>
      <c r="O7" s="434"/>
      <c r="P7" s="434"/>
      <c r="Q7" s="434"/>
      <c r="R7" s="434"/>
      <c r="S7" s="434"/>
    </row>
    <row r="8" spans="1:19" x14ac:dyDescent="0.2">
      <c r="A8" s="285"/>
      <c r="B8" s="206" t="s">
        <v>1</v>
      </c>
      <c r="C8" s="206"/>
      <c r="D8" s="206"/>
      <c r="E8" s="206"/>
      <c r="F8" s="206"/>
      <c r="G8" s="206"/>
      <c r="H8" s="206"/>
      <c r="I8" s="206"/>
      <c r="J8" s="284"/>
      <c r="M8" s="434"/>
      <c r="N8" s="434"/>
      <c r="O8" s="434"/>
      <c r="P8" s="434"/>
      <c r="Q8" s="434"/>
      <c r="R8" s="434"/>
      <c r="S8" s="434"/>
    </row>
    <row r="9" spans="1:19" x14ac:dyDescent="0.2">
      <c r="A9" s="285"/>
      <c r="B9" s="206" t="s">
        <v>698</v>
      </c>
      <c r="C9" s="206"/>
      <c r="D9" s="206"/>
      <c r="E9" s="206"/>
      <c r="F9" s="206"/>
      <c r="G9" s="206"/>
      <c r="H9" s="206"/>
      <c r="I9" s="206"/>
      <c r="J9" s="284"/>
      <c r="M9" s="149" t="s">
        <v>697</v>
      </c>
    </row>
    <row r="10" spans="1:19" x14ac:dyDescent="0.2">
      <c r="A10" s="285"/>
      <c r="B10" s="206"/>
      <c r="C10" s="206"/>
      <c r="D10" s="206"/>
      <c r="E10" s="206"/>
      <c r="F10" s="206"/>
      <c r="G10" s="206"/>
      <c r="H10" s="206"/>
      <c r="I10" s="206"/>
      <c r="J10" s="284"/>
      <c r="N10" s="299"/>
    </row>
    <row r="11" spans="1:19" x14ac:dyDescent="0.2">
      <c r="A11" s="285"/>
      <c r="B11" s="286" t="s">
        <v>694</v>
      </c>
      <c r="C11" s="206"/>
      <c r="D11" s="206"/>
      <c r="E11" s="206"/>
      <c r="F11" s="206"/>
      <c r="G11" s="206"/>
      <c r="H11" s="206"/>
      <c r="I11" s="206"/>
      <c r="J11" s="284"/>
      <c r="M11" s="219" t="s">
        <v>316</v>
      </c>
    </row>
    <row r="12" spans="1:19" x14ac:dyDescent="0.2">
      <c r="A12" s="285"/>
      <c r="B12" s="206"/>
      <c r="C12" s="206"/>
      <c r="D12" s="206"/>
      <c r="E12" s="206"/>
      <c r="F12" s="206"/>
      <c r="G12" s="206"/>
      <c r="H12" s="206"/>
      <c r="I12" s="206"/>
      <c r="J12" s="284"/>
    </row>
    <row r="13" spans="1:19" x14ac:dyDescent="0.2">
      <c r="A13" s="285"/>
      <c r="B13" s="206" t="s">
        <v>0</v>
      </c>
      <c r="C13" s="206"/>
      <c r="D13" s="206"/>
      <c r="E13" s="206"/>
      <c r="F13" s="206"/>
      <c r="G13" s="206"/>
      <c r="H13" s="206"/>
      <c r="I13" s="206"/>
      <c r="J13" s="284"/>
      <c r="M13" s="149" t="s">
        <v>696</v>
      </c>
    </row>
    <row r="14" spans="1:19" x14ac:dyDescent="0.2">
      <c r="A14" s="285"/>
      <c r="B14" s="435" t="s">
        <v>695</v>
      </c>
      <c r="C14" s="435"/>
      <c r="D14" s="435"/>
      <c r="E14" s="435"/>
      <c r="F14" s="435"/>
      <c r="G14" s="435"/>
      <c r="H14" s="435"/>
      <c r="I14" s="435"/>
      <c r="J14" s="284"/>
    </row>
    <row r="15" spans="1:19" x14ac:dyDescent="0.2">
      <c r="A15" s="285"/>
      <c r="B15" s="435"/>
      <c r="C15" s="435"/>
      <c r="D15" s="435"/>
      <c r="E15" s="435"/>
      <c r="F15" s="435"/>
      <c r="G15" s="435"/>
      <c r="H15" s="435"/>
      <c r="I15" s="435"/>
      <c r="J15" s="284"/>
      <c r="M15" s="279" t="s">
        <v>694</v>
      </c>
    </row>
    <row r="16" spans="1:19" x14ac:dyDescent="0.2">
      <c r="A16" s="285"/>
      <c r="B16" s="171"/>
      <c r="C16" s="206"/>
      <c r="D16" s="206"/>
      <c r="E16" s="206"/>
      <c r="F16" s="206"/>
      <c r="G16" s="206"/>
      <c r="H16" s="206"/>
      <c r="I16" s="206"/>
      <c r="J16" s="284"/>
      <c r="N16" s="299"/>
    </row>
    <row r="17" spans="1:19" x14ac:dyDescent="0.2">
      <c r="A17" s="285"/>
      <c r="B17" s="206" t="s">
        <v>1</v>
      </c>
      <c r="C17" s="206"/>
      <c r="D17" s="206"/>
      <c r="E17" s="206"/>
      <c r="F17" s="206"/>
      <c r="G17" s="206"/>
      <c r="H17" s="206"/>
      <c r="I17" s="206"/>
      <c r="J17" s="284"/>
      <c r="M17" s="219" t="s">
        <v>326</v>
      </c>
    </row>
    <row r="18" spans="1:19" x14ac:dyDescent="0.2">
      <c r="A18" s="285"/>
      <c r="B18" s="206" t="s">
        <v>693</v>
      </c>
      <c r="C18" s="206"/>
      <c r="D18" s="206"/>
      <c r="E18" s="206"/>
      <c r="F18" s="206"/>
      <c r="G18" s="206"/>
      <c r="H18" s="206"/>
      <c r="I18" s="206"/>
      <c r="J18" s="284"/>
    </row>
    <row r="19" spans="1:19" x14ac:dyDescent="0.2">
      <c r="A19" s="285"/>
      <c r="B19" s="206"/>
      <c r="C19" s="206"/>
      <c r="D19" s="206"/>
      <c r="E19" s="206"/>
      <c r="F19" s="206"/>
      <c r="G19" s="206"/>
      <c r="H19" s="206"/>
      <c r="I19" s="206"/>
      <c r="J19" s="284"/>
      <c r="M19" s="434" t="s">
        <v>692</v>
      </c>
      <c r="N19" s="434"/>
      <c r="O19" s="434"/>
      <c r="P19" s="434"/>
      <c r="Q19" s="434"/>
      <c r="R19" s="434"/>
      <c r="S19" s="434"/>
    </row>
    <row r="20" spans="1:19" x14ac:dyDescent="0.2">
      <c r="A20" s="285"/>
      <c r="B20" s="286" t="s">
        <v>685</v>
      </c>
      <c r="C20" s="206"/>
      <c r="D20" s="206"/>
      <c r="E20" s="206"/>
      <c r="F20" s="206"/>
      <c r="G20" s="206"/>
      <c r="H20" s="206"/>
      <c r="I20" s="206"/>
      <c r="J20" s="284"/>
      <c r="M20" s="434"/>
      <c r="N20" s="434"/>
      <c r="O20" s="434"/>
      <c r="P20" s="434"/>
      <c r="Q20" s="434"/>
      <c r="R20" s="434"/>
      <c r="S20" s="434"/>
    </row>
    <row r="21" spans="1:19" x14ac:dyDescent="0.2">
      <c r="A21" s="285"/>
      <c r="B21" s="206"/>
      <c r="C21" s="206"/>
      <c r="D21" s="206"/>
      <c r="E21" s="206"/>
      <c r="F21" s="206"/>
      <c r="G21" s="206"/>
      <c r="H21" s="206"/>
      <c r="I21" s="206"/>
      <c r="J21" s="284"/>
      <c r="M21" s="434"/>
      <c r="N21" s="434"/>
      <c r="O21" s="434"/>
      <c r="P21" s="434"/>
      <c r="Q21" s="434"/>
      <c r="R21" s="434"/>
      <c r="S21" s="434"/>
    </row>
    <row r="22" spans="1:19" x14ac:dyDescent="0.2">
      <c r="A22" s="285"/>
      <c r="B22" s="206" t="s">
        <v>0</v>
      </c>
      <c r="C22" s="206"/>
      <c r="D22" s="206"/>
      <c r="E22" s="206"/>
      <c r="F22" s="206"/>
      <c r="G22" s="206"/>
      <c r="H22" s="206"/>
      <c r="I22" s="206"/>
      <c r="J22" s="284"/>
      <c r="M22" s="434"/>
      <c r="N22" s="434"/>
      <c r="O22" s="434"/>
      <c r="P22" s="434"/>
      <c r="Q22" s="434"/>
      <c r="R22" s="434"/>
      <c r="S22" s="434"/>
    </row>
    <row r="23" spans="1:19" x14ac:dyDescent="0.2">
      <c r="A23" s="285"/>
      <c r="B23" s="435" t="s">
        <v>691</v>
      </c>
      <c r="C23" s="435"/>
      <c r="D23" s="435"/>
      <c r="E23" s="435"/>
      <c r="F23" s="435"/>
      <c r="G23" s="435"/>
      <c r="H23" s="435"/>
      <c r="I23" s="435"/>
      <c r="J23" s="284"/>
    </row>
    <row r="24" spans="1:19" x14ac:dyDescent="0.2">
      <c r="A24" s="285"/>
      <c r="B24" s="435"/>
      <c r="C24" s="435"/>
      <c r="D24" s="435"/>
      <c r="E24" s="435"/>
      <c r="F24" s="435"/>
      <c r="G24" s="435"/>
      <c r="H24" s="435"/>
      <c r="I24" s="435"/>
      <c r="J24" s="284"/>
      <c r="M24" s="219" t="s">
        <v>316</v>
      </c>
    </row>
    <row r="25" spans="1:19" x14ac:dyDescent="0.2">
      <c r="A25" s="285"/>
      <c r="B25" s="171"/>
      <c r="C25" s="206"/>
      <c r="D25" s="206"/>
      <c r="E25" s="206"/>
      <c r="F25" s="206"/>
      <c r="G25" s="206"/>
      <c r="H25" s="206"/>
      <c r="I25" s="206"/>
      <c r="J25" s="284"/>
    </row>
    <row r="26" spans="1:19" x14ac:dyDescent="0.2">
      <c r="A26" s="285"/>
      <c r="B26" s="206" t="s">
        <v>1</v>
      </c>
      <c r="C26" s="206"/>
      <c r="D26" s="206"/>
      <c r="E26" s="206"/>
      <c r="F26" s="206"/>
      <c r="G26" s="206"/>
      <c r="H26" s="206"/>
      <c r="I26" s="206"/>
      <c r="J26" s="284"/>
      <c r="M26" s="434" t="s">
        <v>690</v>
      </c>
      <c r="N26" s="434"/>
      <c r="O26" s="434"/>
      <c r="P26" s="434"/>
      <c r="Q26" s="434"/>
      <c r="R26" s="434"/>
      <c r="S26" s="434"/>
    </row>
    <row r="27" spans="1:19" x14ac:dyDescent="0.2">
      <c r="A27" s="285"/>
      <c r="B27" s="206" t="s">
        <v>689</v>
      </c>
      <c r="C27" s="206"/>
      <c r="D27" s="206"/>
      <c r="E27" s="206"/>
      <c r="F27" s="206"/>
      <c r="G27" s="206"/>
      <c r="H27" s="206"/>
      <c r="I27" s="206"/>
      <c r="J27" s="284"/>
      <c r="M27" s="434"/>
      <c r="N27" s="434"/>
      <c r="O27" s="434"/>
      <c r="P27" s="434"/>
      <c r="Q27" s="434"/>
      <c r="R27" s="434"/>
      <c r="S27" s="434"/>
    </row>
    <row r="28" spans="1:19" x14ac:dyDescent="0.2">
      <c r="A28" s="285"/>
      <c r="B28" s="206"/>
      <c r="C28" s="206"/>
      <c r="D28" s="206"/>
      <c r="E28" s="206"/>
      <c r="F28" s="206"/>
      <c r="G28" s="206"/>
      <c r="H28" s="206"/>
      <c r="I28" s="206"/>
      <c r="J28" s="284"/>
      <c r="M28" s="434" t="s">
        <v>688</v>
      </c>
      <c r="N28" s="434"/>
      <c r="O28" s="434"/>
      <c r="P28" s="434"/>
      <c r="Q28" s="434"/>
      <c r="R28" s="434"/>
      <c r="S28" s="434"/>
    </row>
    <row r="29" spans="1:19" x14ac:dyDescent="0.2">
      <c r="A29" s="285"/>
      <c r="B29" s="286" t="s">
        <v>667</v>
      </c>
      <c r="C29" s="206"/>
      <c r="D29" s="206"/>
      <c r="E29" s="206"/>
      <c r="F29" s="206"/>
      <c r="G29" s="206"/>
      <c r="H29" s="206"/>
      <c r="I29" s="206"/>
      <c r="J29" s="284"/>
      <c r="M29" s="434"/>
      <c r="N29" s="434"/>
      <c r="O29" s="434"/>
      <c r="P29" s="434"/>
      <c r="Q29" s="434"/>
      <c r="R29" s="434"/>
      <c r="S29" s="434"/>
    </row>
    <row r="30" spans="1:19" x14ac:dyDescent="0.2">
      <c r="A30" s="285"/>
      <c r="B30" s="206"/>
      <c r="C30" s="206"/>
      <c r="D30" s="206"/>
      <c r="E30" s="206"/>
      <c r="F30" s="206"/>
      <c r="G30" s="206"/>
      <c r="H30" s="206"/>
      <c r="I30" s="206"/>
      <c r="J30" s="284"/>
      <c r="M30" s="434" t="s">
        <v>687</v>
      </c>
      <c r="N30" s="434"/>
      <c r="O30" s="434"/>
      <c r="P30" s="434"/>
      <c r="Q30" s="434"/>
      <c r="R30" s="434"/>
      <c r="S30" s="434"/>
    </row>
    <row r="31" spans="1:19" x14ac:dyDescent="0.2">
      <c r="A31" s="285"/>
      <c r="B31" s="206" t="s">
        <v>0</v>
      </c>
      <c r="C31" s="206"/>
      <c r="D31" s="206"/>
      <c r="E31" s="206"/>
      <c r="F31" s="206"/>
      <c r="G31" s="206"/>
      <c r="H31" s="206"/>
      <c r="I31" s="206"/>
      <c r="J31" s="284"/>
      <c r="M31" s="434"/>
      <c r="N31" s="434"/>
      <c r="O31" s="434"/>
      <c r="P31" s="434"/>
      <c r="Q31" s="434"/>
      <c r="R31" s="434"/>
      <c r="S31" s="434"/>
    </row>
    <row r="32" spans="1:19" x14ac:dyDescent="0.2">
      <c r="A32" s="285"/>
      <c r="B32" s="206" t="s">
        <v>686</v>
      </c>
      <c r="C32" s="206"/>
      <c r="D32" s="206"/>
      <c r="E32" s="206"/>
      <c r="F32" s="206"/>
      <c r="G32" s="206"/>
      <c r="H32" s="206"/>
      <c r="I32" s="206"/>
      <c r="J32" s="284"/>
    </row>
    <row r="33" spans="1:19" x14ac:dyDescent="0.2">
      <c r="A33" s="285"/>
      <c r="B33" s="206"/>
      <c r="C33" s="206"/>
      <c r="D33" s="206"/>
      <c r="E33" s="206"/>
      <c r="F33" s="206"/>
      <c r="G33" s="206"/>
      <c r="H33" s="206"/>
      <c r="I33" s="206"/>
      <c r="J33" s="284"/>
      <c r="M33" s="279" t="s">
        <v>685</v>
      </c>
    </row>
    <row r="34" spans="1:19" x14ac:dyDescent="0.2">
      <c r="A34" s="285"/>
      <c r="B34" s="206" t="s">
        <v>1</v>
      </c>
      <c r="C34" s="206"/>
      <c r="D34" s="206"/>
      <c r="E34" s="206"/>
      <c r="F34" s="206"/>
      <c r="G34" s="206"/>
      <c r="H34" s="206"/>
      <c r="I34" s="206"/>
      <c r="J34" s="284"/>
    </row>
    <row r="35" spans="1:19" x14ac:dyDescent="0.2">
      <c r="A35" s="285"/>
      <c r="B35" s="206" t="s">
        <v>684</v>
      </c>
      <c r="C35" s="206"/>
      <c r="D35" s="206"/>
      <c r="E35" s="206"/>
      <c r="F35" s="206"/>
      <c r="G35" s="206"/>
      <c r="H35" s="206"/>
      <c r="I35" s="206"/>
      <c r="J35" s="284"/>
      <c r="M35" s="219" t="s">
        <v>326</v>
      </c>
    </row>
    <row r="36" spans="1:19" x14ac:dyDescent="0.2">
      <c r="A36" s="285"/>
      <c r="B36" s="206"/>
      <c r="C36" s="206"/>
      <c r="D36" s="206"/>
      <c r="E36" s="206"/>
      <c r="F36" s="206"/>
      <c r="G36" s="206"/>
      <c r="H36" s="206"/>
      <c r="I36" s="206"/>
      <c r="J36" s="284"/>
    </row>
    <row r="37" spans="1:19" x14ac:dyDescent="0.2">
      <c r="A37" s="285"/>
      <c r="B37" s="286" t="s">
        <v>660</v>
      </c>
      <c r="C37" s="206"/>
      <c r="D37" s="206"/>
      <c r="E37" s="206"/>
      <c r="F37" s="206"/>
      <c r="G37" s="206"/>
      <c r="H37" s="206"/>
      <c r="I37" s="206"/>
      <c r="J37" s="284"/>
      <c r="M37" s="280" t="s">
        <v>683</v>
      </c>
    </row>
    <row r="38" spans="1:19" x14ac:dyDescent="0.2">
      <c r="A38" s="285"/>
      <c r="B38" s="206"/>
      <c r="C38" s="206"/>
      <c r="D38" s="206"/>
      <c r="E38" s="206"/>
      <c r="F38" s="206"/>
      <c r="G38" s="206"/>
      <c r="H38" s="206"/>
      <c r="I38" s="206"/>
      <c r="J38" s="284"/>
      <c r="M38" s="469" t="s">
        <v>682</v>
      </c>
      <c r="N38" s="469"/>
      <c r="O38" s="469"/>
      <c r="P38" s="469"/>
      <c r="Q38" s="469"/>
      <c r="R38" s="469"/>
      <c r="S38" s="469"/>
    </row>
    <row r="39" spans="1:19" x14ac:dyDescent="0.2">
      <c r="A39" s="285"/>
      <c r="B39" s="206" t="s">
        <v>0</v>
      </c>
      <c r="C39" s="206"/>
      <c r="D39" s="206"/>
      <c r="E39" s="206"/>
      <c r="F39" s="206"/>
      <c r="G39" s="206"/>
      <c r="H39" s="206"/>
      <c r="I39" s="206"/>
      <c r="J39" s="284"/>
      <c r="M39" s="469"/>
      <c r="N39" s="469"/>
      <c r="O39" s="469"/>
      <c r="P39" s="469"/>
      <c r="Q39" s="469"/>
      <c r="R39" s="469"/>
      <c r="S39" s="469"/>
    </row>
    <row r="40" spans="1:19" x14ac:dyDescent="0.2">
      <c r="A40" s="285"/>
      <c r="B40" s="206" t="s">
        <v>681</v>
      </c>
      <c r="C40" s="206"/>
      <c r="D40" s="206"/>
      <c r="E40" s="206"/>
      <c r="F40" s="206"/>
      <c r="G40" s="206"/>
      <c r="H40" s="206"/>
      <c r="I40" s="206"/>
      <c r="J40" s="284"/>
      <c r="M40" s="469" t="s">
        <v>680</v>
      </c>
      <c r="N40" s="469"/>
      <c r="O40" s="469"/>
      <c r="P40" s="469"/>
      <c r="Q40" s="469"/>
      <c r="R40" s="469"/>
      <c r="S40" s="469"/>
    </row>
    <row r="41" spans="1:19" x14ac:dyDescent="0.2">
      <c r="A41" s="285"/>
      <c r="B41" s="171"/>
      <c r="C41" s="206"/>
      <c r="D41" s="206"/>
      <c r="E41" s="206"/>
      <c r="F41" s="206"/>
      <c r="G41" s="206"/>
      <c r="H41" s="206"/>
      <c r="I41" s="206"/>
      <c r="J41" s="284"/>
      <c r="M41" s="469"/>
      <c r="N41" s="469"/>
      <c r="O41" s="469"/>
      <c r="P41" s="469"/>
      <c r="Q41" s="469"/>
      <c r="R41" s="469"/>
      <c r="S41" s="469"/>
    </row>
    <row r="42" spans="1:19" x14ac:dyDescent="0.2">
      <c r="A42" s="285"/>
      <c r="B42" s="206" t="s">
        <v>1</v>
      </c>
      <c r="C42" s="206"/>
      <c r="D42" s="206"/>
      <c r="E42" s="206"/>
      <c r="F42" s="206"/>
      <c r="G42" s="206"/>
      <c r="H42" s="206"/>
      <c r="I42" s="206"/>
      <c r="J42" s="284"/>
      <c r="M42" s="280" t="s">
        <v>679</v>
      </c>
    </row>
    <row r="43" spans="1:19" x14ac:dyDescent="0.2">
      <c r="A43" s="285"/>
      <c r="B43" s="206" t="s">
        <v>678</v>
      </c>
      <c r="C43" s="206"/>
      <c r="D43" s="206"/>
      <c r="E43" s="206"/>
      <c r="F43" s="206"/>
      <c r="G43" s="206"/>
      <c r="H43" s="206"/>
      <c r="I43" s="206"/>
      <c r="J43" s="284"/>
      <c r="M43" s="280" t="s">
        <v>677</v>
      </c>
    </row>
    <row r="44" spans="1:19" x14ac:dyDescent="0.2">
      <c r="A44" s="285"/>
      <c r="B44" s="206"/>
      <c r="C44" s="206"/>
      <c r="D44" s="206"/>
      <c r="E44" s="206"/>
      <c r="F44" s="206"/>
      <c r="G44" s="206"/>
      <c r="H44" s="206"/>
      <c r="I44" s="206"/>
      <c r="J44" s="284"/>
      <c r="M44" s="280" t="s">
        <v>676</v>
      </c>
    </row>
    <row r="45" spans="1:19" x14ac:dyDescent="0.2">
      <c r="A45" s="285"/>
      <c r="B45" s="286" t="s">
        <v>652</v>
      </c>
      <c r="C45" s="206"/>
      <c r="D45" s="206"/>
      <c r="E45" s="206"/>
      <c r="F45" s="206"/>
      <c r="G45" s="206"/>
      <c r="H45" s="206"/>
      <c r="I45" s="206"/>
      <c r="J45" s="284"/>
      <c r="M45" s="280" t="s">
        <v>675</v>
      </c>
    </row>
    <row r="46" spans="1:19" x14ac:dyDescent="0.2">
      <c r="A46" s="285"/>
      <c r="B46" s="206"/>
      <c r="C46" s="206"/>
      <c r="D46" s="206"/>
      <c r="E46" s="206"/>
      <c r="F46" s="206"/>
      <c r="G46" s="206"/>
      <c r="H46" s="206"/>
      <c r="I46" s="206"/>
      <c r="J46" s="284"/>
      <c r="M46" s="280" t="s">
        <v>674</v>
      </c>
    </row>
    <row r="47" spans="1:19" x14ac:dyDescent="0.2">
      <c r="A47" s="285"/>
      <c r="B47" s="206" t="s">
        <v>0</v>
      </c>
      <c r="C47" s="206"/>
      <c r="D47" s="206"/>
      <c r="E47" s="206"/>
      <c r="F47" s="206"/>
      <c r="G47" s="206"/>
      <c r="H47" s="206"/>
      <c r="I47" s="206"/>
      <c r="J47" s="284"/>
    </row>
    <row r="48" spans="1:19" x14ac:dyDescent="0.2">
      <c r="A48" s="285"/>
      <c r="B48" s="206" t="s">
        <v>673</v>
      </c>
      <c r="C48" s="206"/>
      <c r="D48" s="206"/>
      <c r="E48" s="206"/>
      <c r="F48" s="206"/>
      <c r="G48" s="206"/>
      <c r="H48" s="206"/>
      <c r="I48" s="206"/>
      <c r="J48" s="284"/>
      <c r="M48" s="219" t="s">
        <v>316</v>
      </c>
    </row>
    <row r="49" spans="1:19" x14ac:dyDescent="0.2">
      <c r="A49" s="285"/>
      <c r="B49" s="171"/>
      <c r="C49" s="206"/>
      <c r="D49" s="206"/>
      <c r="E49" s="206"/>
      <c r="F49" s="206"/>
      <c r="G49" s="206"/>
      <c r="H49" s="206"/>
      <c r="I49" s="206"/>
      <c r="J49" s="284"/>
    </row>
    <row r="50" spans="1:19" x14ac:dyDescent="0.2">
      <c r="A50" s="285"/>
      <c r="B50" s="206" t="s">
        <v>1</v>
      </c>
      <c r="C50" s="206"/>
      <c r="D50" s="206"/>
      <c r="E50" s="206"/>
      <c r="F50" s="206"/>
      <c r="G50" s="206"/>
      <c r="H50" s="206"/>
      <c r="I50" s="206"/>
      <c r="J50" s="284"/>
      <c r="M50" s="434" t="s">
        <v>672</v>
      </c>
      <c r="N50" s="434"/>
      <c r="O50" s="434"/>
      <c r="P50" s="434"/>
      <c r="Q50" s="434"/>
      <c r="R50" s="434"/>
      <c r="S50" s="434"/>
    </row>
    <row r="51" spans="1:19" x14ac:dyDescent="0.2">
      <c r="A51" s="285"/>
      <c r="B51" s="206" t="s">
        <v>671</v>
      </c>
      <c r="C51" s="206"/>
      <c r="D51" s="206"/>
      <c r="E51" s="206"/>
      <c r="F51" s="206"/>
      <c r="G51" s="206"/>
      <c r="H51" s="206"/>
      <c r="I51" s="206"/>
      <c r="J51" s="284"/>
      <c r="M51" s="434"/>
      <c r="N51" s="434"/>
      <c r="O51" s="434"/>
      <c r="P51" s="434"/>
      <c r="Q51" s="434"/>
      <c r="R51" s="434"/>
      <c r="S51" s="434"/>
    </row>
    <row r="52" spans="1:19" x14ac:dyDescent="0.2">
      <c r="A52" s="285"/>
      <c r="B52" s="171"/>
      <c r="C52" s="206"/>
      <c r="D52" s="206"/>
      <c r="E52" s="206"/>
      <c r="F52" s="206"/>
      <c r="G52" s="206"/>
      <c r="H52" s="206"/>
      <c r="I52" s="206"/>
      <c r="J52" s="284"/>
      <c r="M52" s="434"/>
      <c r="N52" s="434"/>
      <c r="O52" s="434"/>
      <c r="P52" s="434"/>
      <c r="Q52" s="434"/>
      <c r="R52" s="434"/>
      <c r="S52" s="434"/>
    </row>
    <row r="53" spans="1:19" x14ac:dyDescent="0.2">
      <c r="A53" s="285"/>
      <c r="B53" s="206" t="s">
        <v>2</v>
      </c>
      <c r="C53" s="206"/>
      <c r="D53" s="206"/>
      <c r="E53" s="206"/>
      <c r="F53" s="206"/>
      <c r="G53" s="206"/>
      <c r="H53" s="206"/>
      <c r="I53" s="206"/>
      <c r="J53" s="284"/>
      <c r="M53" s="227"/>
      <c r="N53" s="227"/>
      <c r="O53" s="227"/>
      <c r="P53" s="227"/>
      <c r="Q53" s="227"/>
      <c r="R53" s="227"/>
      <c r="S53" s="227"/>
    </row>
    <row r="54" spans="1:19" x14ac:dyDescent="0.2">
      <c r="A54" s="285"/>
      <c r="B54" s="206" t="s">
        <v>670</v>
      </c>
      <c r="C54" s="206"/>
      <c r="D54" s="206"/>
      <c r="E54" s="206"/>
      <c r="F54" s="206"/>
      <c r="G54" s="206"/>
      <c r="H54" s="206"/>
      <c r="I54" s="206"/>
      <c r="J54" s="284"/>
      <c r="N54" s="149" t="s">
        <v>669</v>
      </c>
    </row>
    <row r="55" spans="1:19" x14ac:dyDescent="0.2">
      <c r="A55" s="285"/>
      <c r="B55" s="206"/>
      <c r="C55" s="206"/>
      <c r="D55" s="206"/>
      <c r="E55" s="206"/>
      <c r="F55" s="206"/>
      <c r="G55" s="206"/>
      <c r="H55" s="206"/>
      <c r="I55" s="206"/>
      <c r="J55" s="284"/>
      <c r="N55" s="149" t="s">
        <v>668</v>
      </c>
    </row>
    <row r="56" spans="1:19" x14ac:dyDescent="0.2">
      <c r="A56" s="285"/>
      <c r="B56" s="286" t="s">
        <v>638</v>
      </c>
      <c r="C56" s="206"/>
      <c r="D56" s="206"/>
      <c r="E56" s="206"/>
      <c r="F56" s="206"/>
      <c r="G56" s="206"/>
      <c r="H56" s="206"/>
      <c r="I56" s="206"/>
      <c r="J56" s="284"/>
    </row>
    <row r="57" spans="1:19" x14ac:dyDescent="0.2">
      <c r="A57" s="285"/>
      <c r="B57" s="206"/>
      <c r="C57" s="206"/>
      <c r="D57" s="206"/>
      <c r="E57" s="206"/>
      <c r="F57" s="206"/>
      <c r="G57" s="206"/>
      <c r="H57" s="206"/>
      <c r="I57" s="206"/>
      <c r="J57" s="284"/>
      <c r="M57" s="279" t="s">
        <v>667</v>
      </c>
    </row>
    <row r="58" spans="1:19" x14ac:dyDescent="0.2">
      <c r="A58" s="285"/>
      <c r="B58" s="206" t="s">
        <v>0</v>
      </c>
      <c r="C58" s="206"/>
      <c r="D58" s="206"/>
      <c r="E58" s="206"/>
      <c r="F58" s="206"/>
      <c r="G58" s="206"/>
      <c r="H58" s="206"/>
      <c r="I58" s="206"/>
      <c r="J58" s="284"/>
    </row>
    <row r="59" spans="1:19" x14ac:dyDescent="0.2">
      <c r="A59" s="285"/>
      <c r="B59" s="206" t="s">
        <v>666</v>
      </c>
      <c r="C59" s="206"/>
      <c r="D59" s="206"/>
      <c r="E59" s="206"/>
      <c r="F59" s="206"/>
      <c r="G59" s="206"/>
      <c r="H59" s="206"/>
      <c r="I59" s="206"/>
      <c r="J59" s="284"/>
      <c r="M59" s="219" t="s">
        <v>326</v>
      </c>
    </row>
    <row r="60" spans="1:19" x14ac:dyDescent="0.2">
      <c r="A60" s="285"/>
      <c r="B60" s="171"/>
      <c r="C60" s="206"/>
      <c r="D60" s="206"/>
      <c r="E60" s="206"/>
      <c r="F60" s="206"/>
      <c r="G60" s="206"/>
      <c r="H60" s="206"/>
      <c r="I60" s="206"/>
      <c r="J60" s="284"/>
    </row>
    <row r="61" spans="1:19" x14ac:dyDescent="0.2">
      <c r="A61" s="285"/>
      <c r="B61" s="206" t="s">
        <v>1</v>
      </c>
      <c r="C61" s="206"/>
      <c r="D61" s="206"/>
      <c r="E61" s="206"/>
      <c r="F61" s="206"/>
      <c r="G61" s="206"/>
      <c r="H61" s="206"/>
      <c r="I61" s="206"/>
      <c r="J61" s="284"/>
      <c r="M61" s="434" t="s">
        <v>665</v>
      </c>
      <c r="N61" s="434"/>
      <c r="O61" s="434"/>
      <c r="P61" s="434"/>
      <c r="Q61" s="434"/>
      <c r="R61" s="434"/>
      <c r="S61" s="434"/>
    </row>
    <row r="62" spans="1:19" x14ac:dyDescent="0.2">
      <c r="A62" s="285"/>
      <c r="B62" s="206" t="s">
        <v>664</v>
      </c>
      <c r="C62" s="206"/>
      <c r="D62" s="206"/>
      <c r="E62" s="206"/>
      <c r="F62" s="206"/>
      <c r="G62" s="206"/>
      <c r="H62" s="206"/>
      <c r="I62" s="206"/>
      <c r="J62" s="284"/>
      <c r="M62" s="434"/>
      <c r="N62" s="434"/>
      <c r="O62" s="434"/>
      <c r="P62" s="434"/>
      <c r="Q62" s="434"/>
      <c r="R62" s="434"/>
      <c r="S62" s="434"/>
    </row>
    <row r="63" spans="1:19" x14ac:dyDescent="0.2">
      <c r="A63" s="285"/>
      <c r="B63" s="206"/>
      <c r="C63" s="206"/>
      <c r="D63" s="206"/>
      <c r="E63" s="206"/>
      <c r="F63" s="206"/>
      <c r="G63" s="206"/>
      <c r="H63" s="206"/>
      <c r="I63" s="206"/>
      <c r="J63" s="284"/>
    </row>
    <row r="64" spans="1:19" x14ac:dyDescent="0.2">
      <c r="A64" s="285"/>
      <c r="B64" s="286" t="s">
        <v>632</v>
      </c>
      <c r="C64" s="206"/>
      <c r="D64" s="206"/>
      <c r="E64" s="206"/>
      <c r="F64" s="206"/>
      <c r="G64" s="206"/>
      <c r="H64" s="206"/>
      <c r="I64" s="206"/>
      <c r="J64" s="284"/>
      <c r="M64" s="219" t="s">
        <v>316</v>
      </c>
    </row>
    <row r="65" spans="1:19" x14ac:dyDescent="0.2">
      <c r="A65" s="285"/>
      <c r="B65" s="206"/>
      <c r="C65" s="206"/>
      <c r="D65" s="206"/>
      <c r="E65" s="206"/>
      <c r="F65" s="206"/>
      <c r="G65" s="206"/>
      <c r="H65" s="206"/>
      <c r="I65" s="206"/>
      <c r="J65" s="284"/>
    </row>
    <row r="66" spans="1:19" x14ac:dyDescent="0.2">
      <c r="A66" s="285"/>
      <c r="B66" s="206" t="s">
        <v>663</v>
      </c>
      <c r="C66" s="206"/>
      <c r="D66" s="206"/>
      <c r="E66" s="206"/>
      <c r="F66" s="206"/>
      <c r="G66" s="206"/>
      <c r="H66" s="206"/>
      <c r="I66" s="206"/>
      <c r="J66" s="284"/>
      <c r="M66" s="434" t="s">
        <v>662</v>
      </c>
      <c r="N66" s="434"/>
      <c r="O66" s="434"/>
      <c r="P66" s="434"/>
      <c r="Q66" s="434"/>
      <c r="R66" s="434"/>
      <c r="S66" s="434"/>
    </row>
    <row r="67" spans="1:19" x14ac:dyDescent="0.2">
      <c r="A67" s="285"/>
      <c r="B67" s="206"/>
      <c r="C67" s="206"/>
      <c r="D67" s="206"/>
      <c r="E67" s="206"/>
      <c r="F67" s="206"/>
      <c r="G67" s="206"/>
      <c r="H67" s="206"/>
      <c r="I67" s="206"/>
      <c r="J67" s="284"/>
      <c r="M67" s="434"/>
      <c r="N67" s="434"/>
      <c r="O67" s="434"/>
      <c r="P67" s="434"/>
      <c r="Q67" s="434"/>
      <c r="R67" s="434"/>
      <c r="S67" s="434"/>
    </row>
    <row r="68" spans="1:19" x14ac:dyDescent="0.2">
      <c r="A68" s="285"/>
      <c r="B68" s="206" t="s">
        <v>0</v>
      </c>
      <c r="C68" s="206"/>
      <c r="D68" s="206"/>
      <c r="E68" s="206"/>
      <c r="F68" s="206"/>
      <c r="G68" s="206"/>
      <c r="H68" s="206"/>
      <c r="I68" s="206"/>
      <c r="J68" s="284"/>
    </row>
    <row r="69" spans="1:19" x14ac:dyDescent="0.2">
      <c r="A69" s="285"/>
      <c r="B69" s="206" t="s">
        <v>661</v>
      </c>
      <c r="C69" s="206"/>
      <c r="D69" s="206"/>
      <c r="E69" s="206"/>
      <c r="F69" s="206"/>
      <c r="G69" s="206"/>
      <c r="H69" s="206"/>
      <c r="I69" s="206"/>
      <c r="J69" s="284"/>
      <c r="M69" s="279" t="s">
        <v>660</v>
      </c>
    </row>
    <row r="70" spans="1:19" x14ac:dyDescent="0.2">
      <c r="A70" s="285"/>
      <c r="B70" s="171"/>
      <c r="C70" s="206"/>
      <c r="D70" s="206"/>
      <c r="E70" s="206"/>
      <c r="F70" s="206"/>
      <c r="G70" s="206"/>
      <c r="H70" s="206"/>
      <c r="I70" s="206"/>
      <c r="J70" s="284"/>
    </row>
    <row r="71" spans="1:19" x14ac:dyDescent="0.2">
      <c r="A71" s="285"/>
      <c r="B71" s="206" t="s">
        <v>1</v>
      </c>
      <c r="C71" s="206"/>
      <c r="D71" s="206"/>
      <c r="E71" s="206"/>
      <c r="F71" s="206"/>
      <c r="G71" s="206"/>
      <c r="H71" s="206"/>
      <c r="I71" s="206"/>
      <c r="J71" s="284"/>
      <c r="M71" s="219" t="s">
        <v>326</v>
      </c>
    </row>
    <row r="72" spans="1:19" x14ac:dyDescent="0.2">
      <c r="A72" s="285"/>
      <c r="B72" s="206" t="s">
        <v>659</v>
      </c>
      <c r="C72" s="206"/>
      <c r="D72" s="206"/>
      <c r="E72" s="206"/>
      <c r="F72" s="206"/>
      <c r="G72" s="206"/>
      <c r="H72" s="206"/>
      <c r="I72" s="206"/>
      <c r="J72" s="284"/>
    </row>
    <row r="73" spans="1:19" x14ac:dyDescent="0.2">
      <c r="A73" s="285"/>
      <c r="B73" s="206"/>
      <c r="C73" s="206"/>
      <c r="D73" s="206"/>
      <c r="E73" s="206"/>
      <c r="F73" s="206"/>
      <c r="G73" s="206"/>
      <c r="H73" s="206"/>
      <c r="I73" s="206"/>
      <c r="J73" s="284"/>
      <c r="M73" s="434" t="s">
        <v>658</v>
      </c>
      <c r="N73" s="434"/>
      <c r="O73" s="434"/>
      <c r="P73" s="434"/>
      <c r="Q73" s="434"/>
      <c r="R73" s="434"/>
      <c r="S73" s="434"/>
    </row>
    <row r="74" spans="1:19" x14ac:dyDescent="0.2">
      <c r="A74" s="285"/>
      <c r="B74" s="286" t="s">
        <v>621</v>
      </c>
      <c r="C74" s="206"/>
      <c r="D74" s="206"/>
      <c r="E74" s="206"/>
      <c r="F74" s="206"/>
      <c r="G74" s="206"/>
      <c r="H74" s="206"/>
      <c r="I74" s="206"/>
      <c r="J74" s="284"/>
      <c r="M74" s="434"/>
      <c r="N74" s="434"/>
      <c r="O74" s="434"/>
      <c r="P74" s="434"/>
      <c r="Q74" s="434"/>
      <c r="R74" s="434"/>
      <c r="S74" s="434"/>
    </row>
    <row r="75" spans="1:19" x14ac:dyDescent="0.2">
      <c r="A75" s="285"/>
      <c r="B75" s="206"/>
      <c r="C75" s="206"/>
      <c r="D75" s="206"/>
      <c r="E75" s="206"/>
      <c r="F75" s="206"/>
      <c r="G75" s="206"/>
      <c r="H75" s="206"/>
      <c r="I75" s="206"/>
      <c r="J75" s="284"/>
      <c r="M75" s="434"/>
      <c r="N75" s="434"/>
      <c r="O75" s="434"/>
      <c r="P75" s="434"/>
      <c r="Q75" s="434"/>
      <c r="R75" s="434"/>
      <c r="S75" s="434"/>
    </row>
    <row r="76" spans="1:19" x14ac:dyDescent="0.2">
      <c r="A76" s="285"/>
      <c r="B76" s="206" t="s">
        <v>0</v>
      </c>
      <c r="C76" s="206"/>
      <c r="D76" s="206"/>
      <c r="E76" s="206"/>
      <c r="F76" s="206"/>
      <c r="G76" s="206"/>
      <c r="H76" s="206"/>
      <c r="I76" s="206"/>
      <c r="J76" s="284"/>
      <c r="M76" s="434" t="s">
        <v>657</v>
      </c>
      <c r="N76" s="434"/>
      <c r="O76" s="434"/>
      <c r="P76" s="434"/>
      <c r="Q76" s="434"/>
      <c r="R76" s="434"/>
      <c r="S76" s="434"/>
    </row>
    <row r="77" spans="1:19" x14ac:dyDescent="0.2">
      <c r="A77" s="285"/>
      <c r="B77" s="206" t="s">
        <v>656</v>
      </c>
      <c r="C77" s="206"/>
      <c r="D77" s="206"/>
      <c r="E77" s="206"/>
      <c r="F77" s="206"/>
      <c r="G77" s="206"/>
      <c r="H77" s="206"/>
      <c r="I77" s="206"/>
      <c r="J77" s="284"/>
      <c r="M77" s="434"/>
      <c r="N77" s="434"/>
      <c r="O77" s="434"/>
      <c r="P77" s="434"/>
      <c r="Q77" s="434"/>
      <c r="R77" s="434"/>
      <c r="S77" s="434"/>
    </row>
    <row r="78" spans="1:19" x14ac:dyDescent="0.2">
      <c r="A78" s="285"/>
      <c r="B78" s="171"/>
      <c r="C78" s="206"/>
      <c r="D78" s="206"/>
      <c r="E78" s="206"/>
      <c r="F78" s="206"/>
      <c r="G78" s="206"/>
      <c r="H78" s="206"/>
      <c r="I78" s="206"/>
      <c r="J78" s="284"/>
    </row>
    <row r="79" spans="1:19" x14ac:dyDescent="0.2">
      <c r="A79" s="285"/>
      <c r="B79" s="206" t="s">
        <v>1</v>
      </c>
      <c r="C79" s="206"/>
      <c r="D79" s="206"/>
      <c r="E79" s="206"/>
      <c r="F79" s="206"/>
      <c r="G79" s="206"/>
      <c r="H79" s="206"/>
      <c r="I79" s="206"/>
      <c r="J79" s="284"/>
      <c r="M79" s="219" t="s">
        <v>316</v>
      </c>
    </row>
    <row r="80" spans="1:19" x14ac:dyDescent="0.2">
      <c r="A80" s="285"/>
      <c r="B80" s="206" t="s">
        <v>655</v>
      </c>
      <c r="C80" s="206"/>
      <c r="D80" s="206"/>
      <c r="E80" s="206"/>
      <c r="F80" s="206"/>
      <c r="G80" s="206"/>
      <c r="H80" s="206"/>
      <c r="I80" s="206"/>
      <c r="J80" s="284"/>
    </row>
    <row r="81" spans="1:19" x14ac:dyDescent="0.2">
      <c r="A81" s="285"/>
      <c r="B81" s="206"/>
      <c r="C81" s="206"/>
      <c r="D81" s="206"/>
      <c r="E81" s="206"/>
      <c r="F81" s="206"/>
      <c r="G81" s="206"/>
      <c r="H81" s="206"/>
      <c r="I81" s="206"/>
      <c r="J81" s="284"/>
      <c r="M81" s="434" t="s">
        <v>654</v>
      </c>
      <c r="N81" s="434"/>
      <c r="O81" s="434"/>
      <c r="P81" s="434"/>
      <c r="Q81" s="434"/>
      <c r="R81" s="434"/>
      <c r="S81" s="434"/>
    </row>
    <row r="82" spans="1:19" x14ac:dyDescent="0.2">
      <c r="A82" s="285"/>
      <c r="B82" s="286" t="s">
        <v>616</v>
      </c>
      <c r="C82" s="206"/>
      <c r="D82" s="206"/>
      <c r="E82" s="206"/>
      <c r="F82" s="206"/>
      <c r="G82" s="206"/>
      <c r="H82" s="206"/>
      <c r="I82" s="206"/>
      <c r="J82" s="284"/>
      <c r="M82" s="434"/>
      <c r="N82" s="434"/>
      <c r="O82" s="434"/>
      <c r="P82" s="434"/>
      <c r="Q82" s="434"/>
      <c r="R82" s="434"/>
      <c r="S82" s="434"/>
    </row>
    <row r="83" spans="1:19" x14ac:dyDescent="0.2">
      <c r="A83" s="285"/>
      <c r="B83" s="206"/>
      <c r="C83" s="206"/>
      <c r="D83" s="206"/>
      <c r="E83" s="206"/>
      <c r="F83" s="206"/>
      <c r="G83" s="206"/>
      <c r="H83" s="206"/>
      <c r="I83" s="206"/>
      <c r="J83" s="284"/>
      <c r="M83" s="434"/>
      <c r="N83" s="434"/>
      <c r="O83" s="434"/>
      <c r="P83" s="434"/>
      <c r="Q83" s="434"/>
      <c r="R83" s="434"/>
      <c r="S83" s="434"/>
    </row>
    <row r="84" spans="1:19" x14ac:dyDescent="0.2">
      <c r="A84" s="285"/>
      <c r="B84" s="435" t="s">
        <v>653</v>
      </c>
      <c r="C84" s="435"/>
      <c r="D84" s="435"/>
      <c r="E84" s="435"/>
      <c r="F84" s="435"/>
      <c r="G84" s="435"/>
      <c r="H84" s="435"/>
      <c r="I84" s="435"/>
      <c r="J84" s="284"/>
      <c r="M84" s="434"/>
      <c r="N84" s="434"/>
      <c r="O84" s="434"/>
      <c r="P84" s="434"/>
      <c r="Q84" s="434"/>
      <c r="R84" s="434"/>
      <c r="S84" s="434"/>
    </row>
    <row r="85" spans="1:19" x14ac:dyDescent="0.2">
      <c r="A85" s="285"/>
      <c r="B85" s="435"/>
      <c r="C85" s="435"/>
      <c r="D85" s="435"/>
      <c r="E85" s="435"/>
      <c r="F85" s="435"/>
      <c r="G85" s="435"/>
      <c r="H85" s="435"/>
      <c r="I85" s="435"/>
      <c r="J85" s="284"/>
    </row>
    <row r="86" spans="1:19" x14ac:dyDescent="0.2">
      <c r="A86" s="285"/>
      <c r="B86" s="206"/>
      <c r="C86" s="206"/>
      <c r="D86" s="206"/>
      <c r="E86" s="206"/>
      <c r="F86" s="206"/>
      <c r="G86" s="206"/>
      <c r="H86" s="206"/>
      <c r="I86" s="206"/>
      <c r="J86" s="284"/>
      <c r="M86" s="279" t="s">
        <v>652</v>
      </c>
    </row>
    <row r="87" spans="1:19" x14ac:dyDescent="0.2">
      <c r="A87" s="285"/>
      <c r="B87" s="286" t="s">
        <v>605</v>
      </c>
      <c r="C87" s="206"/>
      <c r="D87" s="206"/>
      <c r="E87" s="206"/>
      <c r="F87" s="206"/>
      <c r="G87" s="206"/>
      <c r="H87" s="206"/>
      <c r="I87" s="206"/>
      <c r="J87" s="284"/>
    </row>
    <row r="88" spans="1:19" x14ac:dyDescent="0.2">
      <c r="A88" s="285"/>
      <c r="B88" s="206"/>
      <c r="C88" s="206"/>
      <c r="D88" s="206"/>
      <c r="E88" s="206"/>
      <c r="F88" s="206"/>
      <c r="G88" s="206"/>
      <c r="H88" s="206"/>
      <c r="I88" s="206"/>
      <c r="J88" s="284"/>
      <c r="M88" s="219" t="s">
        <v>326</v>
      </c>
    </row>
    <row r="89" spans="1:19" x14ac:dyDescent="0.2">
      <c r="A89" s="285"/>
      <c r="B89" s="206" t="s">
        <v>651</v>
      </c>
      <c r="C89" s="206"/>
      <c r="D89" s="206"/>
      <c r="E89" s="206"/>
      <c r="F89" s="206"/>
      <c r="G89" s="206"/>
      <c r="H89" s="206"/>
      <c r="I89" s="206"/>
      <c r="J89" s="284"/>
    </row>
    <row r="90" spans="1:19" x14ac:dyDescent="0.2">
      <c r="A90" s="285"/>
      <c r="B90" s="206" t="s">
        <v>650</v>
      </c>
      <c r="C90" s="206"/>
      <c r="D90" s="206"/>
      <c r="E90" s="206"/>
      <c r="F90" s="206"/>
      <c r="G90" s="206"/>
      <c r="H90" s="206"/>
      <c r="I90" s="206"/>
      <c r="J90" s="284"/>
      <c r="M90" s="434" t="s">
        <v>649</v>
      </c>
      <c r="N90" s="434"/>
      <c r="O90" s="434"/>
      <c r="P90" s="434"/>
      <c r="Q90" s="434"/>
      <c r="R90" s="434"/>
      <c r="S90" s="434"/>
    </row>
    <row r="91" spans="1:19" x14ac:dyDescent="0.2">
      <c r="A91" s="285"/>
      <c r="B91" s="206"/>
      <c r="C91" s="206"/>
      <c r="D91" s="206"/>
      <c r="E91" s="206"/>
      <c r="F91" s="206"/>
      <c r="G91" s="206"/>
      <c r="H91" s="206"/>
      <c r="I91" s="206"/>
      <c r="J91" s="284"/>
      <c r="M91" s="434"/>
      <c r="N91" s="434"/>
      <c r="O91" s="434"/>
      <c r="P91" s="434"/>
      <c r="Q91" s="434"/>
      <c r="R91" s="434"/>
      <c r="S91" s="434"/>
    </row>
    <row r="92" spans="1:19" x14ac:dyDescent="0.2">
      <c r="A92" s="285"/>
      <c r="B92" s="206" t="s">
        <v>0</v>
      </c>
      <c r="C92" s="206"/>
      <c r="D92" s="206"/>
      <c r="E92" s="206"/>
      <c r="F92" s="206"/>
      <c r="G92" s="206"/>
      <c r="H92" s="206"/>
      <c r="I92" s="206"/>
      <c r="J92" s="284"/>
    </row>
    <row r="93" spans="1:19" x14ac:dyDescent="0.2">
      <c r="A93" s="285"/>
      <c r="B93" s="206" t="s">
        <v>648</v>
      </c>
      <c r="C93" s="206"/>
      <c r="D93" s="206"/>
      <c r="E93" s="206"/>
      <c r="F93" s="206"/>
      <c r="G93" s="206"/>
      <c r="H93" s="206"/>
      <c r="I93" s="206"/>
      <c r="J93" s="284"/>
      <c r="M93" s="219" t="s">
        <v>316</v>
      </c>
    </row>
    <row r="94" spans="1:19" x14ac:dyDescent="0.2">
      <c r="A94" s="285"/>
      <c r="B94" s="171"/>
      <c r="C94" s="206"/>
      <c r="D94" s="206"/>
      <c r="E94" s="206"/>
      <c r="F94" s="206"/>
      <c r="G94" s="206"/>
      <c r="H94" s="206"/>
      <c r="I94" s="206"/>
      <c r="J94" s="284"/>
    </row>
    <row r="95" spans="1:19" x14ac:dyDescent="0.2">
      <c r="A95" s="285"/>
      <c r="B95" s="206" t="s">
        <v>1</v>
      </c>
      <c r="C95" s="206"/>
      <c r="D95" s="206"/>
      <c r="E95" s="206"/>
      <c r="F95" s="206"/>
      <c r="G95" s="206"/>
      <c r="H95" s="206"/>
      <c r="I95" s="206"/>
      <c r="J95" s="284"/>
      <c r="M95" s="434" t="s">
        <v>647</v>
      </c>
      <c r="N95" s="434"/>
      <c r="O95" s="434"/>
      <c r="P95" s="434"/>
      <c r="Q95" s="434"/>
      <c r="R95" s="434"/>
      <c r="S95" s="434"/>
    </row>
    <row r="96" spans="1:19" x14ac:dyDescent="0.2">
      <c r="A96" s="285"/>
      <c r="B96" s="206" t="s">
        <v>646</v>
      </c>
      <c r="C96" s="206"/>
      <c r="D96" s="206"/>
      <c r="E96" s="206"/>
      <c r="F96" s="206"/>
      <c r="G96" s="206"/>
      <c r="H96" s="206"/>
      <c r="I96" s="206"/>
      <c r="J96" s="284"/>
      <c r="M96" s="434"/>
      <c r="N96" s="434"/>
      <c r="O96" s="434"/>
      <c r="P96" s="434"/>
      <c r="Q96" s="434"/>
      <c r="R96" s="434"/>
      <c r="S96" s="434"/>
    </row>
    <row r="97" spans="1:19" x14ac:dyDescent="0.2">
      <c r="A97" s="285"/>
      <c r="B97" s="206"/>
      <c r="C97" s="206"/>
      <c r="D97" s="206"/>
      <c r="E97" s="206"/>
      <c r="F97" s="206"/>
      <c r="G97" s="206"/>
      <c r="H97" s="206"/>
      <c r="I97" s="206"/>
      <c r="J97" s="284"/>
      <c r="M97" s="434"/>
      <c r="N97" s="434"/>
      <c r="O97" s="434"/>
      <c r="P97" s="434"/>
      <c r="Q97" s="434"/>
      <c r="R97" s="434"/>
      <c r="S97" s="434"/>
    </row>
    <row r="98" spans="1:19" x14ac:dyDescent="0.2">
      <c r="A98" s="285"/>
      <c r="B98" s="286" t="s">
        <v>593</v>
      </c>
      <c r="C98" s="206"/>
      <c r="D98" s="206"/>
      <c r="E98" s="206"/>
      <c r="F98" s="206"/>
      <c r="G98" s="206"/>
      <c r="H98" s="206"/>
      <c r="I98" s="206"/>
      <c r="J98" s="284"/>
      <c r="M98" s="434"/>
      <c r="N98" s="434"/>
      <c r="O98" s="434"/>
      <c r="P98" s="434"/>
      <c r="Q98" s="434"/>
      <c r="R98" s="434"/>
      <c r="S98" s="434"/>
    </row>
    <row r="99" spans="1:19" x14ac:dyDescent="0.2">
      <c r="A99" s="285"/>
      <c r="B99" s="206"/>
      <c r="C99" s="206"/>
      <c r="D99" s="206"/>
      <c r="E99" s="206"/>
      <c r="F99" s="206"/>
      <c r="G99" s="206"/>
      <c r="H99" s="206"/>
      <c r="I99" s="206"/>
      <c r="J99" s="284"/>
    </row>
    <row r="100" spans="1:19" x14ac:dyDescent="0.2">
      <c r="A100" s="285"/>
      <c r="B100" s="435" t="s">
        <v>645</v>
      </c>
      <c r="C100" s="435"/>
      <c r="D100" s="435"/>
      <c r="E100" s="435"/>
      <c r="F100" s="435"/>
      <c r="G100" s="435"/>
      <c r="H100" s="435"/>
      <c r="I100" s="435"/>
      <c r="J100" s="284"/>
      <c r="M100" s="434" t="s">
        <v>644</v>
      </c>
      <c r="N100" s="434"/>
      <c r="O100" s="434"/>
      <c r="P100" s="434"/>
      <c r="Q100" s="434"/>
      <c r="R100" s="434"/>
      <c r="S100" s="434"/>
    </row>
    <row r="101" spans="1:19" x14ac:dyDescent="0.2">
      <c r="A101" s="285"/>
      <c r="B101" s="435"/>
      <c r="C101" s="435"/>
      <c r="D101" s="435"/>
      <c r="E101" s="435"/>
      <c r="F101" s="435"/>
      <c r="G101" s="435"/>
      <c r="H101" s="435"/>
      <c r="I101" s="435"/>
      <c r="J101" s="284"/>
      <c r="M101" s="434"/>
      <c r="N101" s="434"/>
      <c r="O101" s="434"/>
      <c r="P101" s="434"/>
      <c r="Q101" s="434"/>
      <c r="R101" s="434"/>
      <c r="S101" s="434"/>
    </row>
    <row r="102" spans="1:19" x14ac:dyDescent="0.2">
      <c r="A102" s="285"/>
      <c r="B102" s="206"/>
      <c r="C102" s="206"/>
      <c r="D102" s="206"/>
      <c r="E102" s="206"/>
      <c r="F102" s="206"/>
      <c r="G102" s="206"/>
      <c r="H102" s="206"/>
      <c r="I102" s="206"/>
      <c r="J102" s="284"/>
      <c r="M102" s="434"/>
      <c r="N102" s="434"/>
      <c r="O102" s="434"/>
      <c r="P102" s="434"/>
      <c r="Q102" s="434"/>
      <c r="R102" s="434"/>
      <c r="S102" s="434"/>
    </row>
    <row r="103" spans="1:19" x14ac:dyDescent="0.2">
      <c r="A103" s="285"/>
      <c r="B103" s="171" t="s">
        <v>0</v>
      </c>
      <c r="C103" s="206" t="s">
        <v>643</v>
      </c>
      <c r="D103" s="206"/>
      <c r="E103" s="206"/>
      <c r="F103" s="206"/>
      <c r="G103" s="206"/>
      <c r="H103" s="206"/>
      <c r="I103" s="206"/>
      <c r="J103" s="284"/>
      <c r="M103" s="434"/>
      <c r="N103" s="434"/>
      <c r="O103" s="434"/>
      <c r="P103" s="434"/>
      <c r="Q103" s="434"/>
      <c r="R103" s="434"/>
      <c r="S103" s="434"/>
    </row>
    <row r="104" spans="1:19" x14ac:dyDescent="0.2">
      <c r="A104" s="285"/>
      <c r="B104" s="171"/>
      <c r="C104" s="206"/>
      <c r="D104" s="206"/>
      <c r="E104" s="206"/>
      <c r="F104" s="206"/>
      <c r="G104" s="206"/>
      <c r="H104" s="206"/>
      <c r="I104" s="206"/>
      <c r="J104" s="284"/>
      <c r="M104" s="434"/>
      <c r="N104" s="434"/>
      <c r="O104" s="434"/>
      <c r="P104" s="434"/>
      <c r="Q104" s="434"/>
      <c r="R104" s="434"/>
      <c r="S104" s="434"/>
    </row>
    <row r="105" spans="1:19" x14ac:dyDescent="0.2">
      <c r="A105" s="285"/>
      <c r="B105" s="171" t="s">
        <v>1</v>
      </c>
      <c r="C105" s="206" t="s">
        <v>642</v>
      </c>
      <c r="D105" s="206"/>
      <c r="E105" s="206"/>
      <c r="F105" s="206"/>
      <c r="G105" s="206"/>
      <c r="H105" s="206"/>
      <c r="I105" s="206"/>
      <c r="J105" s="284"/>
    </row>
    <row r="106" spans="1:19" x14ac:dyDescent="0.2">
      <c r="A106" s="285"/>
      <c r="B106" s="206"/>
      <c r="C106" s="206"/>
      <c r="D106" s="206"/>
      <c r="E106" s="206"/>
      <c r="F106" s="206"/>
      <c r="G106" s="206"/>
      <c r="H106" s="206"/>
      <c r="I106" s="206"/>
      <c r="J106" s="284"/>
      <c r="M106" s="219" t="s">
        <v>373</v>
      </c>
    </row>
    <row r="107" spans="1:19" x14ac:dyDescent="0.2">
      <c r="A107" s="285"/>
      <c r="B107" s="286" t="s">
        <v>586</v>
      </c>
      <c r="C107" s="206"/>
      <c r="D107" s="206"/>
      <c r="E107" s="206"/>
      <c r="F107" s="206"/>
      <c r="G107" s="206"/>
      <c r="H107" s="206"/>
      <c r="I107" s="206"/>
      <c r="J107" s="284"/>
    </row>
    <row r="108" spans="1:19" x14ac:dyDescent="0.2">
      <c r="A108" s="285"/>
      <c r="B108" s="206"/>
      <c r="C108" s="206"/>
      <c r="D108" s="206"/>
      <c r="E108" s="206"/>
      <c r="F108" s="206"/>
      <c r="G108" s="206"/>
      <c r="H108" s="206"/>
      <c r="I108" s="206"/>
      <c r="J108" s="284"/>
      <c r="M108" s="434" t="s">
        <v>641</v>
      </c>
      <c r="N108" s="434"/>
      <c r="O108" s="434"/>
      <c r="P108" s="434"/>
      <c r="Q108" s="434"/>
      <c r="R108" s="434"/>
      <c r="S108" s="434"/>
    </row>
    <row r="109" spans="1:19" x14ac:dyDescent="0.2">
      <c r="A109" s="285"/>
      <c r="B109" s="206" t="s">
        <v>0</v>
      </c>
      <c r="C109" s="206"/>
      <c r="D109" s="206"/>
      <c r="E109" s="206"/>
      <c r="F109" s="206"/>
      <c r="G109" s="206"/>
      <c r="H109" s="206"/>
      <c r="I109" s="206"/>
      <c r="J109" s="284"/>
      <c r="M109" s="434"/>
      <c r="N109" s="434"/>
      <c r="O109" s="434"/>
      <c r="P109" s="434"/>
      <c r="Q109" s="434"/>
      <c r="R109" s="434"/>
      <c r="S109" s="434"/>
    </row>
    <row r="110" spans="1:19" x14ac:dyDescent="0.2">
      <c r="A110" s="285"/>
      <c r="B110" s="435" t="s">
        <v>640</v>
      </c>
      <c r="C110" s="435"/>
      <c r="D110" s="435"/>
      <c r="E110" s="435"/>
      <c r="F110" s="435"/>
      <c r="G110" s="435"/>
      <c r="H110" s="435"/>
      <c r="I110" s="435"/>
      <c r="J110" s="284"/>
    </row>
    <row r="111" spans="1:19" x14ac:dyDescent="0.2">
      <c r="A111" s="285"/>
      <c r="B111" s="435"/>
      <c r="C111" s="435"/>
      <c r="D111" s="435"/>
      <c r="E111" s="435"/>
      <c r="F111" s="435"/>
      <c r="G111" s="435"/>
      <c r="H111" s="435"/>
      <c r="I111" s="435"/>
      <c r="J111" s="284"/>
      <c r="M111" s="149" t="s">
        <v>639</v>
      </c>
    </row>
    <row r="112" spans="1:19" x14ac:dyDescent="0.2">
      <c r="A112" s="285"/>
      <c r="B112" s="171"/>
      <c r="C112" s="206"/>
      <c r="D112" s="206"/>
      <c r="E112" s="206"/>
      <c r="F112" s="206"/>
      <c r="G112" s="206"/>
      <c r="H112" s="206"/>
      <c r="I112" s="206"/>
      <c r="J112" s="284"/>
    </row>
    <row r="113" spans="1:19" x14ac:dyDescent="0.2">
      <c r="A113" s="285"/>
      <c r="B113" s="206" t="s">
        <v>1</v>
      </c>
      <c r="C113" s="206"/>
      <c r="D113" s="206"/>
      <c r="E113" s="206"/>
      <c r="F113" s="206"/>
      <c r="G113" s="206"/>
      <c r="H113" s="206"/>
      <c r="I113" s="206"/>
      <c r="J113" s="284"/>
      <c r="M113" s="279" t="s">
        <v>638</v>
      </c>
    </row>
    <row r="114" spans="1:19" x14ac:dyDescent="0.2">
      <c r="A114" s="285"/>
      <c r="B114" s="435" t="s">
        <v>637</v>
      </c>
      <c r="C114" s="435"/>
      <c r="D114" s="435"/>
      <c r="E114" s="435"/>
      <c r="F114" s="435"/>
      <c r="G114" s="435"/>
      <c r="H114" s="435"/>
      <c r="I114" s="435"/>
      <c r="J114" s="284"/>
    </row>
    <row r="115" spans="1:19" x14ac:dyDescent="0.2">
      <c r="A115" s="285"/>
      <c r="B115" s="435"/>
      <c r="C115" s="435"/>
      <c r="D115" s="435"/>
      <c r="E115" s="435"/>
      <c r="F115" s="435"/>
      <c r="G115" s="435"/>
      <c r="H115" s="435"/>
      <c r="I115" s="435"/>
      <c r="J115" s="284"/>
      <c r="M115" s="219" t="s">
        <v>326</v>
      </c>
    </row>
    <row r="116" spans="1:19" x14ac:dyDescent="0.2">
      <c r="A116" s="285"/>
      <c r="B116" s="206"/>
      <c r="C116" s="206"/>
      <c r="D116" s="206"/>
      <c r="E116" s="206"/>
      <c r="F116" s="206"/>
      <c r="G116" s="206"/>
      <c r="H116" s="206"/>
      <c r="I116" s="206"/>
      <c r="J116" s="284"/>
    </row>
    <row r="117" spans="1:19" x14ac:dyDescent="0.2">
      <c r="A117" s="285"/>
      <c r="B117" s="286" t="s">
        <v>573</v>
      </c>
      <c r="C117" s="206"/>
      <c r="D117" s="206"/>
      <c r="E117" s="206"/>
      <c r="F117" s="206"/>
      <c r="G117" s="206"/>
      <c r="H117" s="206"/>
      <c r="I117" s="206"/>
      <c r="J117" s="284"/>
      <c r="M117" s="149" t="s">
        <v>636</v>
      </c>
    </row>
    <row r="118" spans="1:19" x14ac:dyDescent="0.2">
      <c r="A118" s="285"/>
      <c r="B118" s="206"/>
      <c r="C118" s="206"/>
      <c r="D118" s="206"/>
      <c r="E118" s="206"/>
      <c r="F118" s="206"/>
      <c r="G118" s="206"/>
      <c r="H118" s="206"/>
      <c r="I118" s="206"/>
      <c r="J118" s="284"/>
    </row>
    <row r="119" spans="1:19" x14ac:dyDescent="0.2">
      <c r="A119" s="285"/>
      <c r="B119" s="206" t="s">
        <v>0</v>
      </c>
      <c r="C119" s="206"/>
      <c r="D119" s="206"/>
      <c r="E119" s="206"/>
      <c r="F119" s="206"/>
      <c r="G119" s="206"/>
      <c r="H119" s="206"/>
      <c r="I119" s="206"/>
      <c r="J119" s="284"/>
      <c r="M119" s="219" t="s">
        <v>316</v>
      </c>
    </row>
    <row r="120" spans="1:19" x14ac:dyDescent="0.2">
      <c r="A120" s="285"/>
      <c r="B120" s="435" t="s">
        <v>635</v>
      </c>
      <c r="C120" s="435"/>
      <c r="D120" s="435"/>
      <c r="E120" s="435"/>
      <c r="F120" s="435"/>
      <c r="G120" s="435"/>
      <c r="H120" s="435"/>
      <c r="I120" s="435"/>
      <c r="J120" s="284"/>
    </row>
    <row r="121" spans="1:19" x14ac:dyDescent="0.2">
      <c r="A121" s="285"/>
      <c r="B121" s="435"/>
      <c r="C121" s="435"/>
      <c r="D121" s="435"/>
      <c r="E121" s="435"/>
      <c r="F121" s="435"/>
      <c r="G121" s="435"/>
      <c r="H121" s="435"/>
      <c r="I121" s="435"/>
      <c r="J121" s="284"/>
      <c r="M121" s="434" t="s">
        <v>634</v>
      </c>
      <c r="N121" s="434"/>
      <c r="O121" s="434"/>
      <c r="P121" s="434"/>
      <c r="Q121" s="434"/>
      <c r="R121" s="434"/>
      <c r="S121" s="434"/>
    </row>
    <row r="122" spans="1:19" x14ac:dyDescent="0.2">
      <c r="A122" s="285"/>
      <c r="B122" s="435"/>
      <c r="C122" s="435"/>
      <c r="D122" s="435"/>
      <c r="E122" s="435"/>
      <c r="F122" s="435"/>
      <c r="G122" s="435"/>
      <c r="H122" s="435"/>
      <c r="I122" s="435"/>
      <c r="J122" s="284"/>
      <c r="M122" s="434"/>
      <c r="N122" s="434"/>
      <c r="O122" s="434"/>
      <c r="P122" s="434"/>
      <c r="Q122" s="434"/>
      <c r="R122" s="434"/>
      <c r="S122" s="434"/>
    </row>
    <row r="123" spans="1:19" x14ac:dyDescent="0.2">
      <c r="A123" s="285"/>
      <c r="B123" s="171"/>
      <c r="C123" s="206"/>
      <c r="D123" s="206"/>
      <c r="E123" s="206"/>
      <c r="F123" s="206"/>
      <c r="G123" s="206"/>
      <c r="H123" s="206"/>
      <c r="I123" s="206"/>
      <c r="J123" s="284"/>
      <c r="M123" s="434"/>
      <c r="N123" s="434"/>
      <c r="O123" s="434"/>
      <c r="P123" s="434"/>
      <c r="Q123" s="434"/>
      <c r="R123" s="434"/>
      <c r="S123" s="434"/>
    </row>
    <row r="124" spans="1:19" x14ac:dyDescent="0.2">
      <c r="A124" s="285"/>
      <c r="B124" s="206" t="s">
        <v>1</v>
      </c>
      <c r="C124" s="206"/>
      <c r="D124" s="206"/>
      <c r="E124" s="206"/>
      <c r="F124" s="206"/>
      <c r="G124" s="206"/>
      <c r="H124" s="206"/>
      <c r="I124" s="206"/>
      <c r="J124" s="284"/>
    </row>
    <row r="125" spans="1:19" ht="15.75" customHeight="1" x14ac:dyDescent="0.2">
      <c r="A125" s="285"/>
      <c r="B125" s="435" t="s">
        <v>633</v>
      </c>
      <c r="C125" s="435"/>
      <c r="D125" s="435"/>
      <c r="E125" s="435"/>
      <c r="F125" s="435"/>
      <c r="G125" s="435"/>
      <c r="H125" s="435"/>
      <c r="I125" s="435"/>
      <c r="J125" s="284"/>
      <c r="M125" s="279" t="s">
        <v>632</v>
      </c>
    </row>
    <row r="126" spans="1:19" x14ac:dyDescent="0.2">
      <c r="A126" s="285"/>
      <c r="B126" s="435"/>
      <c r="C126" s="435"/>
      <c r="D126" s="435"/>
      <c r="E126" s="435"/>
      <c r="F126" s="435"/>
      <c r="G126" s="435"/>
      <c r="H126" s="435"/>
      <c r="I126" s="435"/>
      <c r="J126" s="284"/>
    </row>
    <row r="127" spans="1:19" x14ac:dyDescent="0.2">
      <c r="A127" s="285"/>
      <c r="B127" s="435"/>
      <c r="C127" s="435"/>
      <c r="D127" s="435"/>
      <c r="E127" s="435"/>
      <c r="F127" s="435"/>
      <c r="G127" s="435"/>
      <c r="H127" s="435"/>
      <c r="I127" s="435"/>
      <c r="J127" s="284"/>
      <c r="M127" s="219" t="s">
        <v>326</v>
      </c>
    </row>
    <row r="128" spans="1:19" x14ac:dyDescent="0.2">
      <c r="A128" s="285"/>
      <c r="B128" s="206"/>
      <c r="C128" s="206"/>
      <c r="D128" s="206"/>
      <c r="E128" s="206"/>
      <c r="F128" s="206"/>
      <c r="G128" s="206"/>
      <c r="H128" s="206"/>
      <c r="I128" s="206"/>
      <c r="J128" s="284"/>
    </row>
    <row r="129" spans="1:19" x14ac:dyDescent="0.2">
      <c r="A129" s="285"/>
      <c r="B129" s="286" t="s">
        <v>565</v>
      </c>
      <c r="C129" s="206"/>
      <c r="D129" s="206"/>
      <c r="E129" s="206"/>
      <c r="F129" s="206"/>
      <c r="G129" s="206"/>
      <c r="H129" s="206"/>
      <c r="I129" s="206"/>
      <c r="J129" s="284"/>
      <c r="M129" s="149" t="s">
        <v>631</v>
      </c>
    </row>
    <row r="130" spans="1:19" x14ac:dyDescent="0.2">
      <c r="A130" s="285"/>
      <c r="B130" s="206"/>
      <c r="C130" s="206"/>
      <c r="D130" s="206"/>
      <c r="E130" s="206"/>
      <c r="F130" s="206"/>
      <c r="G130" s="206"/>
      <c r="H130" s="206"/>
      <c r="I130" s="206"/>
      <c r="J130" s="284"/>
      <c r="M130" s="149" t="s">
        <v>630</v>
      </c>
    </row>
    <row r="131" spans="1:19" x14ac:dyDescent="0.2">
      <c r="A131" s="285"/>
      <c r="B131" s="206" t="s">
        <v>0</v>
      </c>
      <c r="C131" s="206"/>
      <c r="D131" s="206"/>
      <c r="E131" s="206"/>
      <c r="F131" s="206"/>
      <c r="G131" s="206"/>
      <c r="H131" s="206"/>
      <c r="I131" s="206"/>
      <c r="J131" s="284"/>
      <c r="M131" s="149" t="s">
        <v>629</v>
      </c>
    </row>
    <row r="132" spans="1:19" x14ac:dyDescent="0.2">
      <c r="A132" s="285"/>
      <c r="B132" s="206" t="s">
        <v>628</v>
      </c>
      <c r="C132" s="206"/>
      <c r="D132" s="206"/>
      <c r="E132" s="206"/>
      <c r="F132" s="206"/>
      <c r="G132" s="206"/>
      <c r="H132" s="206"/>
      <c r="I132" s="206"/>
      <c r="J132" s="284"/>
      <c r="M132" s="434" t="s">
        <v>627</v>
      </c>
      <c r="N132" s="434"/>
      <c r="O132" s="434"/>
      <c r="P132" s="434"/>
      <c r="Q132" s="434"/>
      <c r="R132" s="434"/>
      <c r="S132" s="434"/>
    </row>
    <row r="133" spans="1:19" x14ac:dyDescent="0.2">
      <c r="A133" s="285"/>
      <c r="B133" s="171"/>
      <c r="C133" s="206"/>
      <c r="D133" s="206"/>
      <c r="E133" s="206"/>
      <c r="F133" s="206"/>
      <c r="G133" s="206"/>
      <c r="H133" s="206"/>
      <c r="I133" s="206"/>
      <c r="J133" s="284"/>
      <c r="M133" s="434"/>
      <c r="N133" s="434"/>
      <c r="O133" s="434"/>
      <c r="P133" s="434"/>
      <c r="Q133" s="434"/>
      <c r="R133" s="434"/>
      <c r="S133" s="434"/>
    </row>
    <row r="134" spans="1:19" x14ac:dyDescent="0.2">
      <c r="A134" s="285"/>
      <c r="B134" s="206" t="s">
        <v>1</v>
      </c>
      <c r="C134" s="206"/>
      <c r="D134" s="206"/>
      <c r="E134" s="206"/>
      <c r="F134" s="206"/>
      <c r="G134" s="206"/>
      <c r="H134" s="206"/>
      <c r="I134" s="206"/>
      <c r="J134" s="284"/>
    </row>
    <row r="135" spans="1:19" x14ac:dyDescent="0.2">
      <c r="A135" s="285"/>
      <c r="B135" s="206" t="s">
        <v>626</v>
      </c>
      <c r="C135" s="206"/>
      <c r="D135" s="206"/>
      <c r="E135" s="206"/>
      <c r="F135" s="206"/>
      <c r="G135" s="206"/>
      <c r="H135" s="206"/>
      <c r="I135" s="206"/>
      <c r="J135" s="284"/>
      <c r="M135" s="219" t="s">
        <v>316</v>
      </c>
    </row>
    <row r="136" spans="1:19" x14ac:dyDescent="0.2">
      <c r="A136" s="285"/>
      <c r="B136" s="206"/>
      <c r="C136" s="206"/>
      <c r="D136" s="206"/>
      <c r="E136" s="206"/>
      <c r="F136" s="206"/>
      <c r="G136" s="206"/>
      <c r="H136" s="206"/>
      <c r="I136" s="206"/>
      <c r="J136" s="284"/>
    </row>
    <row r="137" spans="1:19" x14ac:dyDescent="0.2">
      <c r="A137" s="285"/>
      <c r="B137" s="435" t="s">
        <v>625</v>
      </c>
      <c r="C137" s="435"/>
      <c r="D137" s="435"/>
      <c r="E137" s="435"/>
      <c r="F137" s="435"/>
      <c r="G137" s="435"/>
      <c r="H137" s="435"/>
      <c r="I137" s="435"/>
      <c r="J137" s="284"/>
      <c r="M137" s="434" t="s">
        <v>624</v>
      </c>
      <c r="N137" s="434"/>
      <c r="O137" s="434"/>
      <c r="P137" s="434"/>
      <c r="Q137" s="434"/>
      <c r="R137" s="434"/>
      <c r="S137" s="434"/>
    </row>
    <row r="138" spans="1:19" x14ac:dyDescent="0.2">
      <c r="A138" s="285"/>
      <c r="B138" s="435"/>
      <c r="C138" s="435"/>
      <c r="D138" s="435"/>
      <c r="E138" s="435"/>
      <c r="F138" s="435"/>
      <c r="G138" s="435"/>
      <c r="H138" s="435"/>
      <c r="I138" s="435"/>
      <c r="J138" s="284"/>
      <c r="M138" s="434"/>
      <c r="N138" s="434"/>
      <c r="O138" s="434"/>
      <c r="P138" s="434"/>
      <c r="Q138" s="434"/>
      <c r="R138" s="434"/>
      <c r="S138" s="434"/>
    </row>
    <row r="139" spans="1:19" x14ac:dyDescent="0.2">
      <c r="A139" s="285"/>
      <c r="B139" s="171"/>
      <c r="C139" s="206"/>
      <c r="D139" s="206"/>
      <c r="E139" s="206"/>
      <c r="F139" s="206"/>
      <c r="G139" s="206"/>
      <c r="H139" s="206"/>
      <c r="I139" s="206"/>
      <c r="J139" s="284"/>
      <c r="M139" s="149" t="s">
        <v>623</v>
      </c>
    </row>
    <row r="140" spans="1:19" x14ac:dyDescent="0.2">
      <c r="A140" s="285"/>
      <c r="B140" s="206" t="s">
        <v>2</v>
      </c>
      <c r="C140" s="206"/>
      <c r="D140" s="206"/>
      <c r="E140" s="206"/>
      <c r="F140" s="206"/>
      <c r="G140" s="206"/>
      <c r="H140" s="206"/>
      <c r="I140" s="206"/>
      <c r="J140" s="284"/>
    </row>
    <row r="141" spans="1:19" x14ac:dyDescent="0.2">
      <c r="A141" s="285"/>
      <c r="B141" s="206" t="s">
        <v>622</v>
      </c>
      <c r="C141" s="206"/>
      <c r="D141" s="206"/>
      <c r="E141" s="206"/>
      <c r="F141" s="206"/>
      <c r="G141" s="206"/>
      <c r="H141" s="206"/>
      <c r="I141" s="206"/>
      <c r="J141" s="284"/>
      <c r="M141" s="279" t="s">
        <v>621</v>
      </c>
    </row>
    <row r="142" spans="1:19" x14ac:dyDescent="0.2">
      <c r="A142" s="285"/>
      <c r="B142" s="206"/>
      <c r="C142" s="206"/>
      <c r="D142" s="206"/>
      <c r="E142" s="206"/>
      <c r="F142" s="206"/>
      <c r="G142" s="206"/>
      <c r="H142" s="206"/>
      <c r="I142" s="206"/>
      <c r="J142" s="284"/>
    </row>
    <row r="143" spans="1:19" x14ac:dyDescent="0.2">
      <c r="A143" s="285"/>
      <c r="B143" s="286" t="s">
        <v>544</v>
      </c>
      <c r="C143" s="206"/>
      <c r="D143" s="206"/>
      <c r="E143" s="206"/>
      <c r="F143" s="206"/>
      <c r="G143" s="206"/>
      <c r="H143" s="206"/>
      <c r="I143" s="206"/>
      <c r="J143" s="284"/>
      <c r="M143" s="219" t="s">
        <v>326</v>
      </c>
    </row>
    <row r="144" spans="1:19" x14ac:dyDescent="0.2">
      <c r="A144" s="285"/>
      <c r="B144" s="206"/>
      <c r="C144" s="206"/>
      <c r="D144" s="206"/>
      <c r="E144" s="206"/>
      <c r="F144" s="206"/>
      <c r="G144" s="206"/>
      <c r="H144" s="206"/>
      <c r="I144" s="206"/>
      <c r="J144" s="284"/>
    </row>
    <row r="145" spans="1:19" x14ac:dyDescent="0.2">
      <c r="A145" s="285"/>
      <c r="B145" s="206" t="s">
        <v>0</v>
      </c>
      <c r="C145" s="206"/>
      <c r="D145" s="206"/>
      <c r="E145" s="206"/>
      <c r="F145" s="206"/>
      <c r="G145" s="206"/>
      <c r="H145" s="206"/>
      <c r="I145" s="206"/>
      <c r="J145" s="284"/>
      <c r="M145" s="434" t="s">
        <v>620</v>
      </c>
      <c r="N145" s="434"/>
      <c r="O145" s="434"/>
      <c r="P145" s="434"/>
      <c r="Q145" s="434"/>
      <c r="R145" s="434"/>
      <c r="S145" s="434"/>
    </row>
    <row r="146" spans="1:19" x14ac:dyDescent="0.2">
      <c r="A146" s="285"/>
      <c r="B146" s="206" t="s">
        <v>619</v>
      </c>
      <c r="C146" s="206"/>
      <c r="D146" s="206"/>
      <c r="E146" s="206"/>
      <c r="F146" s="206"/>
      <c r="G146" s="206"/>
      <c r="H146" s="206"/>
      <c r="I146" s="206"/>
      <c r="J146" s="284"/>
      <c r="M146" s="434"/>
      <c r="N146" s="434"/>
      <c r="O146" s="434"/>
      <c r="P146" s="434"/>
      <c r="Q146" s="434"/>
      <c r="R146" s="434"/>
      <c r="S146" s="434"/>
    </row>
    <row r="147" spans="1:19" x14ac:dyDescent="0.2">
      <c r="A147" s="285"/>
      <c r="B147" s="171"/>
      <c r="C147" s="206"/>
      <c r="D147" s="206"/>
      <c r="E147" s="206"/>
      <c r="F147" s="206"/>
      <c r="G147" s="206"/>
      <c r="H147" s="206"/>
      <c r="I147" s="206"/>
      <c r="J147" s="284"/>
    </row>
    <row r="148" spans="1:19" x14ac:dyDescent="0.2">
      <c r="A148" s="285"/>
      <c r="B148" s="206" t="s">
        <v>1</v>
      </c>
      <c r="C148" s="206"/>
      <c r="D148" s="206"/>
      <c r="E148" s="206"/>
      <c r="F148" s="206"/>
      <c r="G148" s="206"/>
      <c r="H148" s="206"/>
      <c r="I148" s="206"/>
      <c r="J148" s="284"/>
      <c r="M148" s="219" t="s">
        <v>316</v>
      </c>
    </row>
    <row r="149" spans="1:19" x14ac:dyDescent="0.2">
      <c r="A149" s="285"/>
      <c r="B149" s="206" t="s">
        <v>618</v>
      </c>
      <c r="C149" s="206"/>
      <c r="D149" s="206"/>
      <c r="E149" s="206"/>
      <c r="F149" s="206"/>
      <c r="G149" s="206"/>
      <c r="H149" s="206"/>
      <c r="I149" s="206"/>
      <c r="J149" s="284"/>
    </row>
    <row r="150" spans="1:19" x14ac:dyDescent="0.2">
      <c r="A150" s="285"/>
      <c r="B150" s="206"/>
      <c r="C150" s="206"/>
      <c r="D150" s="206"/>
      <c r="E150" s="206"/>
      <c r="F150" s="206"/>
      <c r="G150" s="206"/>
      <c r="H150" s="206"/>
      <c r="I150" s="206"/>
      <c r="J150" s="284"/>
      <c r="M150" s="434" t="s">
        <v>617</v>
      </c>
      <c r="N150" s="434"/>
      <c r="O150" s="434"/>
      <c r="P150" s="434"/>
      <c r="Q150" s="434"/>
      <c r="R150" s="434"/>
      <c r="S150" s="434"/>
    </row>
    <row r="151" spans="1:19" x14ac:dyDescent="0.2">
      <c r="A151" s="285"/>
      <c r="B151" s="286" t="s">
        <v>540</v>
      </c>
      <c r="C151" s="206"/>
      <c r="D151" s="206"/>
      <c r="E151" s="206"/>
      <c r="F151" s="206"/>
      <c r="G151" s="206"/>
      <c r="H151" s="206"/>
      <c r="I151" s="206"/>
      <c r="J151" s="284"/>
      <c r="M151" s="434"/>
      <c r="N151" s="434"/>
      <c r="O151" s="434"/>
      <c r="P151" s="434"/>
      <c r="Q151" s="434"/>
      <c r="R151" s="434"/>
      <c r="S151" s="434"/>
    </row>
    <row r="152" spans="1:19" x14ac:dyDescent="0.2">
      <c r="A152" s="285"/>
      <c r="B152" s="206"/>
      <c r="C152" s="206"/>
      <c r="D152" s="206"/>
      <c r="E152" s="206"/>
      <c r="F152" s="206"/>
      <c r="G152" s="206"/>
      <c r="H152" s="206"/>
      <c r="I152" s="206"/>
      <c r="J152" s="284"/>
    </row>
    <row r="153" spans="1:19" x14ac:dyDescent="0.2">
      <c r="A153" s="285"/>
      <c r="B153" s="206" t="s">
        <v>0</v>
      </c>
      <c r="C153" s="206"/>
      <c r="D153" s="206"/>
      <c r="E153" s="206"/>
      <c r="F153" s="206"/>
      <c r="G153" s="206"/>
      <c r="H153" s="206"/>
      <c r="I153" s="206"/>
      <c r="J153" s="284"/>
      <c r="M153" s="279" t="s">
        <v>616</v>
      </c>
    </row>
    <row r="154" spans="1:19" x14ac:dyDescent="0.2">
      <c r="A154" s="285"/>
      <c r="B154" s="206" t="s">
        <v>615</v>
      </c>
      <c r="C154" s="206"/>
      <c r="D154" s="206"/>
      <c r="E154" s="206"/>
      <c r="F154" s="206"/>
      <c r="G154" s="206"/>
      <c r="H154" s="206"/>
      <c r="I154" s="206"/>
      <c r="J154" s="284"/>
    </row>
    <row r="155" spans="1:19" x14ac:dyDescent="0.2">
      <c r="A155" s="285"/>
      <c r="B155" s="171"/>
      <c r="C155" s="206"/>
      <c r="D155" s="206"/>
      <c r="E155" s="206"/>
      <c r="F155" s="206"/>
      <c r="G155" s="206"/>
      <c r="H155" s="206"/>
      <c r="I155" s="206"/>
      <c r="J155" s="284"/>
      <c r="M155" s="149" t="s">
        <v>614</v>
      </c>
    </row>
    <row r="156" spans="1:19" x14ac:dyDescent="0.2">
      <c r="A156" s="285"/>
      <c r="B156" s="206" t="s">
        <v>1</v>
      </c>
      <c r="C156" s="206"/>
      <c r="D156" s="206"/>
      <c r="E156" s="206"/>
      <c r="F156" s="206"/>
      <c r="G156" s="206"/>
      <c r="H156" s="206"/>
      <c r="I156" s="206"/>
      <c r="J156" s="284"/>
    </row>
    <row r="157" spans="1:19" x14ac:dyDescent="0.2">
      <c r="A157" s="285"/>
      <c r="B157" s="206" t="s">
        <v>613</v>
      </c>
      <c r="C157" s="206"/>
      <c r="D157" s="206"/>
      <c r="E157" s="206"/>
      <c r="F157" s="206"/>
      <c r="G157" s="206"/>
      <c r="H157" s="206"/>
      <c r="I157" s="206"/>
      <c r="J157" s="284"/>
      <c r="N157" s="434" t="s">
        <v>612</v>
      </c>
      <c r="O157" s="434"/>
      <c r="P157" s="434"/>
      <c r="Q157" s="434"/>
      <c r="R157" s="434"/>
      <c r="S157" s="434"/>
    </row>
    <row r="158" spans="1:19" x14ac:dyDescent="0.2">
      <c r="A158" s="285"/>
      <c r="B158" s="206"/>
      <c r="C158" s="206"/>
      <c r="D158" s="206"/>
      <c r="E158" s="206"/>
      <c r="F158" s="206"/>
      <c r="G158" s="206"/>
      <c r="H158" s="206"/>
      <c r="I158" s="206"/>
      <c r="J158" s="284"/>
      <c r="N158" s="434"/>
      <c r="O158" s="434"/>
      <c r="P158" s="434"/>
      <c r="Q158" s="434"/>
      <c r="R158" s="434"/>
      <c r="S158" s="434"/>
    </row>
    <row r="159" spans="1:19" x14ac:dyDescent="0.2">
      <c r="A159" s="285"/>
      <c r="B159" s="286" t="s">
        <v>537</v>
      </c>
      <c r="C159" s="206"/>
      <c r="D159" s="206"/>
      <c r="E159" s="206"/>
      <c r="F159" s="206"/>
      <c r="G159" s="206"/>
      <c r="H159" s="206"/>
      <c r="I159" s="206"/>
      <c r="J159" s="284"/>
    </row>
    <row r="160" spans="1:19" x14ac:dyDescent="0.2">
      <c r="A160" s="285"/>
      <c r="B160" s="206"/>
      <c r="C160" s="206"/>
      <c r="D160" s="206"/>
      <c r="E160" s="206"/>
      <c r="F160" s="206"/>
      <c r="G160" s="206"/>
      <c r="H160" s="206"/>
      <c r="I160" s="206"/>
      <c r="J160" s="284"/>
      <c r="M160" s="149" t="s">
        <v>611</v>
      </c>
    </row>
    <row r="161" spans="1:19" x14ac:dyDescent="0.2">
      <c r="A161" s="285"/>
      <c r="B161" s="435" t="s">
        <v>610</v>
      </c>
      <c r="C161" s="435"/>
      <c r="D161" s="435"/>
      <c r="E161" s="435"/>
      <c r="F161" s="435"/>
      <c r="G161" s="435"/>
      <c r="H161" s="435"/>
      <c r="I161" s="435"/>
      <c r="J161" s="284"/>
    </row>
    <row r="162" spans="1:19" x14ac:dyDescent="0.2">
      <c r="A162" s="285"/>
      <c r="B162" s="435"/>
      <c r="C162" s="435"/>
      <c r="D162" s="435"/>
      <c r="E162" s="435"/>
      <c r="F162" s="435"/>
      <c r="G162" s="435"/>
      <c r="H162" s="435"/>
      <c r="I162" s="435"/>
      <c r="J162" s="284"/>
      <c r="N162" s="434" t="s">
        <v>609</v>
      </c>
      <c r="O162" s="434"/>
      <c r="P162" s="434"/>
      <c r="Q162" s="434"/>
      <c r="R162" s="434"/>
      <c r="S162" s="434"/>
    </row>
    <row r="163" spans="1:19" x14ac:dyDescent="0.2">
      <c r="A163" s="285"/>
      <c r="B163" s="206"/>
      <c r="C163" s="206"/>
      <c r="D163" s="206"/>
      <c r="E163" s="206"/>
      <c r="F163" s="206"/>
      <c r="G163" s="206"/>
      <c r="H163" s="206"/>
      <c r="I163" s="206"/>
      <c r="J163" s="284"/>
      <c r="N163" s="434"/>
      <c r="O163" s="434"/>
      <c r="P163" s="434"/>
      <c r="Q163" s="434"/>
      <c r="R163" s="434"/>
      <c r="S163" s="434"/>
    </row>
    <row r="164" spans="1:19" x14ac:dyDescent="0.2">
      <c r="A164" s="285"/>
      <c r="B164" s="286" t="s">
        <v>533</v>
      </c>
      <c r="C164" s="206"/>
      <c r="D164" s="206"/>
      <c r="E164" s="206"/>
      <c r="F164" s="206"/>
      <c r="G164" s="206"/>
      <c r="H164" s="206"/>
      <c r="I164" s="206"/>
      <c r="J164" s="284"/>
      <c r="N164" s="434"/>
      <c r="O164" s="434"/>
      <c r="P164" s="434"/>
      <c r="Q164" s="434"/>
      <c r="R164" s="434"/>
      <c r="S164" s="434"/>
    </row>
    <row r="165" spans="1:19" x14ac:dyDescent="0.2">
      <c r="A165" s="285"/>
      <c r="B165" s="206"/>
      <c r="C165" s="206"/>
      <c r="D165" s="206"/>
      <c r="E165" s="206"/>
      <c r="F165" s="206"/>
      <c r="G165" s="206"/>
      <c r="H165" s="206"/>
      <c r="I165" s="206"/>
      <c r="J165" s="284"/>
    </row>
    <row r="166" spans="1:19" x14ac:dyDescent="0.2">
      <c r="A166" s="285"/>
      <c r="B166" s="206" t="s">
        <v>608</v>
      </c>
      <c r="C166" s="206"/>
      <c r="D166" s="206"/>
      <c r="E166" s="206"/>
      <c r="F166" s="206"/>
      <c r="G166" s="206"/>
      <c r="H166" s="206"/>
      <c r="I166" s="206"/>
      <c r="J166" s="284"/>
      <c r="M166" s="149" t="s">
        <v>607</v>
      </c>
    </row>
    <row r="167" spans="1:19" x14ac:dyDescent="0.2">
      <c r="A167" s="285"/>
      <c r="B167" s="206"/>
      <c r="C167" s="206"/>
      <c r="D167" s="206"/>
      <c r="E167" s="206"/>
      <c r="F167" s="206"/>
      <c r="G167" s="206"/>
      <c r="H167" s="206"/>
      <c r="I167" s="206"/>
      <c r="J167" s="284"/>
    </row>
    <row r="168" spans="1:19" x14ac:dyDescent="0.2">
      <c r="A168" s="285"/>
      <c r="B168" s="286" t="s">
        <v>527</v>
      </c>
      <c r="C168" s="206"/>
      <c r="D168" s="206"/>
      <c r="E168" s="206"/>
      <c r="F168" s="206"/>
      <c r="G168" s="206"/>
      <c r="H168" s="206"/>
      <c r="I168" s="206"/>
      <c r="J168" s="284"/>
      <c r="N168" s="434" t="s">
        <v>606</v>
      </c>
      <c r="O168" s="434"/>
      <c r="P168" s="434"/>
      <c r="Q168" s="434"/>
      <c r="R168" s="434"/>
      <c r="S168" s="434"/>
    </row>
    <row r="169" spans="1:19" x14ac:dyDescent="0.2">
      <c r="A169" s="285"/>
      <c r="B169" s="206"/>
      <c r="C169" s="206"/>
      <c r="D169" s="206"/>
      <c r="E169" s="206"/>
      <c r="F169" s="206"/>
      <c r="G169" s="206"/>
      <c r="H169" s="206"/>
      <c r="I169" s="206"/>
      <c r="J169" s="284"/>
      <c r="N169" s="434"/>
      <c r="O169" s="434"/>
      <c r="P169" s="434"/>
      <c r="Q169" s="434"/>
      <c r="R169" s="434"/>
      <c r="S169" s="434"/>
    </row>
    <row r="170" spans="1:19" ht="15.75" customHeight="1" x14ac:dyDescent="0.2">
      <c r="A170" s="285"/>
      <c r="B170" s="435" t="s">
        <v>1050</v>
      </c>
      <c r="C170" s="435"/>
      <c r="D170" s="435"/>
      <c r="E170" s="435"/>
      <c r="F170" s="435"/>
      <c r="G170" s="435"/>
      <c r="H170" s="435"/>
      <c r="I170" s="435"/>
      <c r="J170" s="284"/>
      <c r="N170" s="434"/>
      <c r="O170" s="434"/>
      <c r="P170" s="434"/>
      <c r="Q170" s="434"/>
      <c r="R170" s="434"/>
      <c r="S170" s="434"/>
    </row>
    <row r="171" spans="1:19" x14ac:dyDescent="0.2">
      <c r="A171" s="285"/>
      <c r="B171" s="435"/>
      <c r="C171" s="435"/>
      <c r="D171" s="435"/>
      <c r="E171" s="435"/>
      <c r="F171" s="435"/>
      <c r="G171" s="435"/>
      <c r="H171" s="435"/>
      <c r="I171" s="435"/>
      <c r="J171" s="284"/>
      <c r="N171" s="434"/>
      <c r="O171" s="434"/>
      <c r="P171" s="434"/>
      <c r="Q171" s="434"/>
      <c r="R171" s="434"/>
      <c r="S171" s="434"/>
    </row>
    <row r="172" spans="1:19" x14ac:dyDescent="0.2">
      <c r="A172" s="285"/>
      <c r="B172" s="435"/>
      <c r="C172" s="435"/>
      <c r="D172" s="435"/>
      <c r="E172" s="435"/>
      <c r="F172" s="435"/>
      <c r="G172" s="435"/>
      <c r="H172" s="435"/>
      <c r="I172" s="435"/>
      <c r="J172" s="284"/>
    </row>
    <row r="173" spans="1:19" x14ac:dyDescent="0.2">
      <c r="A173" s="285"/>
      <c r="B173" s="255"/>
      <c r="C173" s="255"/>
      <c r="D173" s="255"/>
      <c r="E173" s="255"/>
      <c r="F173" s="255"/>
      <c r="G173" s="255"/>
      <c r="H173" s="255"/>
      <c r="I173" s="255"/>
      <c r="J173" s="284"/>
      <c r="M173" s="279" t="s">
        <v>605</v>
      </c>
    </row>
    <row r="174" spans="1:19" x14ac:dyDescent="0.2">
      <c r="A174" s="285"/>
      <c r="B174" s="286" t="s">
        <v>526</v>
      </c>
      <c r="C174" s="206"/>
      <c r="D174" s="206"/>
      <c r="E174" s="206"/>
      <c r="F174" s="206"/>
      <c r="G174" s="206"/>
      <c r="H174" s="206"/>
      <c r="I174" s="206"/>
      <c r="J174" s="284"/>
    </row>
    <row r="175" spans="1:19" x14ac:dyDescent="0.2">
      <c r="A175" s="285"/>
      <c r="B175" s="206"/>
      <c r="C175" s="206"/>
      <c r="D175" s="206"/>
      <c r="E175" s="206"/>
      <c r="F175" s="206"/>
      <c r="G175" s="206"/>
      <c r="H175" s="206"/>
      <c r="I175" s="206"/>
      <c r="J175" s="284"/>
      <c r="M175" s="219" t="s">
        <v>326</v>
      </c>
    </row>
    <row r="176" spans="1:19" x14ac:dyDescent="0.2">
      <c r="A176" s="285"/>
      <c r="B176" s="206" t="s">
        <v>604</v>
      </c>
      <c r="C176" s="206"/>
      <c r="D176" s="206"/>
      <c r="E176" s="206"/>
      <c r="F176" s="206"/>
      <c r="G176" s="206"/>
      <c r="H176" s="206"/>
      <c r="I176" s="206"/>
      <c r="J176" s="284"/>
    </row>
    <row r="177" spans="1:19" x14ac:dyDescent="0.2">
      <c r="A177" s="285"/>
      <c r="B177" s="206"/>
      <c r="C177" s="206"/>
      <c r="D177" s="206"/>
      <c r="E177" s="206"/>
      <c r="F177" s="206"/>
      <c r="G177" s="206"/>
      <c r="H177" s="206"/>
      <c r="I177" s="206"/>
      <c r="J177" s="284"/>
      <c r="M177" s="434" t="s">
        <v>603</v>
      </c>
      <c r="N177" s="434"/>
      <c r="O177" s="434"/>
      <c r="P177" s="434"/>
      <c r="Q177" s="434"/>
      <c r="R177" s="434"/>
      <c r="S177" s="434"/>
    </row>
    <row r="178" spans="1:19" x14ac:dyDescent="0.2">
      <c r="A178" s="285"/>
      <c r="B178" s="184" t="s">
        <v>581</v>
      </c>
      <c r="C178" s="292" t="s">
        <v>602</v>
      </c>
      <c r="D178" s="292" t="s">
        <v>601</v>
      </c>
      <c r="E178" s="292" t="s">
        <v>600</v>
      </c>
      <c r="F178" s="291" t="s">
        <v>21</v>
      </c>
      <c r="G178" s="206"/>
      <c r="H178" s="206"/>
      <c r="I178" s="206"/>
      <c r="J178" s="284"/>
      <c r="M178" s="434"/>
      <c r="N178" s="434"/>
      <c r="O178" s="434"/>
      <c r="P178" s="434"/>
      <c r="Q178" s="434"/>
      <c r="R178" s="434"/>
      <c r="S178" s="434"/>
    </row>
    <row r="179" spans="1:19" x14ac:dyDescent="0.2">
      <c r="A179" s="285"/>
      <c r="B179" s="179" t="s">
        <v>578</v>
      </c>
      <c r="C179" s="186" t="s">
        <v>599</v>
      </c>
      <c r="D179" s="186" t="s">
        <v>598</v>
      </c>
      <c r="E179" s="186" t="s">
        <v>597</v>
      </c>
      <c r="F179" s="185" t="s">
        <v>596</v>
      </c>
      <c r="G179" s="206"/>
      <c r="H179" s="206"/>
      <c r="I179" s="206"/>
      <c r="J179" s="284"/>
      <c r="M179" s="434"/>
      <c r="N179" s="434"/>
      <c r="O179" s="434"/>
      <c r="P179" s="434"/>
      <c r="Q179" s="434"/>
      <c r="R179" s="434"/>
      <c r="S179" s="434"/>
    </row>
    <row r="180" spans="1:19" x14ac:dyDescent="0.2">
      <c r="A180" s="285"/>
      <c r="B180" s="184">
        <v>2004</v>
      </c>
      <c r="C180" s="298">
        <v>3901</v>
      </c>
      <c r="D180" s="298">
        <v>0</v>
      </c>
      <c r="E180" s="298">
        <v>0</v>
      </c>
      <c r="F180" s="291"/>
      <c r="G180" s="206"/>
      <c r="H180" s="206"/>
      <c r="I180" s="206"/>
      <c r="J180" s="284"/>
    </row>
    <row r="181" spans="1:19" x14ac:dyDescent="0.2">
      <c r="A181" s="285"/>
      <c r="B181" s="183">
        <v>2005</v>
      </c>
      <c r="C181" s="297">
        <v>5339</v>
      </c>
      <c r="D181" s="297">
        <v>93</v>
      </c>
      <c r="E181" s="297">
        <v>400</v>
      </c>
      <c r="F181" s="289">
        <v>4.3</v>
      </c>
      <c r="G181" s="206"/>
      <c r="H181" s="206"/>
      <c r="I181" s="206"/>
      <c r="J181" s="284"/>
      <c r="M181" s="434" t="s">
        <v>595</v>
      </c>
      <c r="N181" s="434"/>
      <c r="O181" s="434"/>
      <c r="P181" s="434"/>
      <c r="Q181" s="434"/>
      <c r="R181" s="434"/>
      <c r="S181" s="434"/>
    </row>
    <row r="182" spans="1:19" x14ac:dyDescent="0.2">
      <c r="A182" s="285"/>
      <c r="B182" s="183">
        <v>2006</v>
      </c>
      <c r="C182" s="297">
        <v>4909</v>
      </c>
      <c r="D182" s="297">
        <v>479</v>
      </c>
      <c r="E182" s="297">
        <v>350</v>
      </c>
      <c r="F182" s="289">
        <v>0.73</v>
      </c>
      <c r="G182" s="206"/>
      <c r="H182" s="206"/>
      <c r="I182" s="206"/>
      <c r="J182" s="284"/>
      <c r="M182" s="434"/>
      <c r="N182" s="434"/>
      <c r="O182" s="434"/>
      <c r="P182" s="434"/>
      <c r="Q182" s="434"/>
      <c r="R182" s="434"/>
      <c r="S182" s="434"/>
    </row>
    <row r="183" spans="1:19" x14ac:dyDescent="0.2">
      <c r="A183" s="285"/>
      <c r="B183" s="183">
        <v>2007</v>
      </c>
      <c r="C183" s="297">
        <v>4588</v>
      </c>
      <c r="D183" s="297">
        <v>723</v>
      </c>
      <c r="E183" s="297">
        <v>300</v>
      </c>
      <c r="F183" s="289">
        <v>0.41</v>
      </c>
      <c r="G183" s="206"/>
      <c r="H183" s="206"/>
      <c r="I183" s="206"/>
      <c r="J183" s="284"/>
    </row>
    <row r="184" spans="1:19" x14ac:dyDescent="0.2">
      <c r="A184" s="285"/>
      <c r="B184" s="183">
        <v>2008</v>
      </c>
      <c r="C184" s="297">
        <v>3873</v>
      </c>
      <c r="D184" s="297">
        <v>984</v>
      </c>
      <c r="E184" s="297">
        <v>275</v>
      </c>
      <c r="F184" s="289">
        <v>0.28000000000000003</v>
      </c>
      <c r="G184" s="206"/>
      <c r="H184" s="206"/>
      <c r="I184" s="206"/>
      <c r="J184" s="284"/>
      <c r="M184" s="219" t="s">
        <v>316</v>
      </c>
    </row>
    <row r="185" spans="1:19" x14ac:dyDescent="0.2">
      <c r="A185" s="285"/>
      <c r="B185" s="183">
        <v>2009</v>
      </c>
      <c r="C185" s="297">
        <v>3692</v>
      </c>
      <c r="D185" s="297">
        <v>1430</v>
      </c>
      <c r="E185" s="297">
        <v>375</v>
      </c>
      <c r="F185" s="289">
        <v>0.26</v>
      </c>
      <c r="G185" s="206"/>
      <c r="H185" s="206"/>
      <c r="I185" s="206"/>
      <c r="J185" s="284"/>
    </row>
    <row r="186" spans="1:19" x14ac:dyDescent="0.2">
      <c r="A186" s="285"/>
      <c r="B186" s="183">
        <v>2010</v>
      </c>
      <c r="C186" s="297">
        <v>3483</v>
      </c>
      <c r="D186" s="297">
        <v>2183</v>
      </c>
      <c r="E186" s="297">
        <v>400</v>
      </c>
      <c r="F186" s="289">
        <v>0.18</v>
      </c>
      <c r="G186" s="206"/>
      <c r="H186" s="206"/>
      <c r="I186" s="206"/>
      <c r="J186" s="284"/>
      <c r="M186" s="149" t="s">
        <v>594</v>
      </c>
    </row>
    <row r="187" spans="1:19" x14ac:dyDescent="0.2">
      <c r="A187" s="285"/>
      <c r="B187" s="183">
        <v>2011</v>
      </c>
      <c r="C187" s="297">
        <v>2864</v>
      </c>
      <c r="D187" s="297">
        <v>4500</v>
      </c>
      <c r="E187" s="297">
        <v>700</v>
      </c>
      <c r="F187" s="289">
        <v>0.16</v>
      </c>
      <c r="G187" s="206"/>
      <c r="H187" s="206"/>
      <c r="I187" s="206"/>
      <c r="J187" s="284"/>
    </row>
    <row r="188" spans="1:19" x14ac:dyDescent="0.2">
      <c r="A188" s="285"/>
      <c r="B188" s="183">
        <v>2012</v>
      </c>
      <c r="C188" s="297">
        <v>1363</v>
      </c>
      <c r="D188" s="297">
        <v>4000</v>
      </c>
      <c r="E188" s="297">
        <v>900</v>
      </c>
      <c r="F188" s="289">
        <v>0.23</v>
      </c>
      <c r="G188" s="206"/>
      <c r="H188" s="206"/>
      <c r="I188" s="206"/>
      <c r="J188" s="284"/>
      <c r="M188" s="279" t="s">
        <v>593</v>
      </c>
    </row>
    <row r="189" spans="1:19" x14ac:dyDescent="0.2">
      <c r="A189" s="285"/>
      <c r="B189" s="179">
        <v>2013</v>
      </c>
      <c r="C189" s="296">
        <v>344</v>
      </c>
      <c r="D189" s="296">
        <v>3500</v>
      </c>
      <c r="E189" s="296">
        <v>1500</v>
      </c>
      <c r="F189" s="287">
        <v>0.43</v>
      </c>
      <c r="G189" s="206"/>
      <c r="H189" s="206"/>
      <c r="I189" s="206"/>
      <c r="J189" s="284"/>
    </row>
    <row r="190" spans="1:19" x14ac:dyDescent="0.2">
      <c r="A190" s="285"/>
      <c r="B190" s="268" t="s">
        <v>157</v>
      </c>
      <c r="C190" s="295">
        <v>34356</v>
      </c>
      <c r="D190" s="295">
        <v>17892</v>
      </c>
      <c r="E190" s="295">
        <v>1400</v>
      </c>
      <c r="F190" s="294">
        <v>0.08</v>
      </c>
      <c r="G190" s="206"/>
      <c r="H190" s="206"/>
      <c r="I190" s="206"/>
      <c r="J190" s="284"/>
      <c r="M190" s="219" t="s">
        <v>326</v>
      </c>
    </row>
    <row r="191" spans="1:19" x14ac:dyDescent="0.2">
      <c r="A191" s="285"/>
      <c r="B191" s="206"/>
      <c r="C191" s="206"/>
      <c r="D191" s="206"/>
      <c r="E191" s="206"/>
      <c r="F191" s="206"/>
      <c r="G191" s="206"/>
      <c r="H191" s="206"/>
      <c r="I191" s="206"/>
      <c r="J191" s="284"/>
    </row>
    <row r="192" spans="1:19" x14ac:dyDescent="0.2">
      <c r="A192" s="285"/>
      <c r="B192" s="206" t="s">
        <v>592</v>
      </c>
      <c r="C192" s="206"/>
      <c r="D192" s="206"/>
      <c r="E192" s="206"/>
      <c r="F192" s="206"/>
      <c r="G192" s="206"/>
      <c r="H192" s="206"/>
      <c r="I192" s="206"/>
      <c r="J192" s="284"/>
      <c r="M192" s="434" t="s">
        <v>591</v>
      </c>
      <c r="N192" s="434"/>
      <c r="O192" s="434"/>
      <c r="P192" s="434"/>
      <c r="Q192" s="434"/>
      <c r="R192" s="434"/>
      <c r="S192" s="434"/>
    </row>
    <row r="193" spans="1:19" x14ac:dyDescent="0.2">
      <c r="A193" s="285"/>
      <c r="B193" s="206"/>
      <c r="C193" s="206"/>
      <c r="D193" s="206"/>
      <c r="E193" s="206"/>
      <c r="F193" s="206"/>
      <c r="G193" s="206"/>
      <c r="H193" s="206"/>
      <c r="I193" s="206"/>
      <c r="J193" s="284"/>
      <c r="M193" s="434"/>
      <c r="N193" s="434"/>
      <c r="O193" s="434"/>
      <c r="P193" s="434"/>
      <c r="Q193" s="434"/>
      <c r="R193" s="434"/>
      <c r="S193" s="434"/>
    </row>
    <row r="194" spans="1:19" x14ac:dyDescent="0.2">
      <c r="A194" s="285"/>
      <c r="B194" s="286" t="s">
        <v>521</v>
      </c>
      <c r="C194" s="206"/>
      <c r="D194" s="206"/>
      <c r="E194" s="206"/>
      <c r="F194" s="206"/>
      <c r="G194" s="206"/>
      <c r="H194" s="206"/>
      <c r="I194" s="206"/>
      <c r="J194" s="284"/>
      <c r="M194" s="434"/>
      <c r="N194" s="434"/>
      <c r="O194" s="434"/>
      <c r="P194" s="434"/>
      <c r="Q194" s="434"/>
      <c r="R194" s="434"/>
      <c r="S194" s="434"/>
    </row>
    <row r="195" spans="1:19" x14ac:dyDescent="0.2">
      <c r="A195" s="285"/>
      <c r="B195" s="206"/>
      <c r="C195" s="206"/>
      <c r="D195" s="206"/>
      <c r="E195" s="206"/>
      <c r="F195" s="206"/>
      <c r="G195" s="206"/>
      <c r="H195" s="206"/>
      <c r="I195" s="206"/>
      <c r="J195" s="284"/>
      <c r="M195" s="434"/>
      <c r="N195" s="434"/>
      <c r="O195" s="434"/>
      <c r="P195" s="434"/>
      <c r="Q195" s="434"/>
      <c r="R195" s="434"/>
      <c r="S195" s="434"/>
    </row>
    <row r="196" spans="1:19" ht="15.75" customHeight="1" x14ac:dyDescent="0.2">
      <c r="A196" s="285"/>
      <c r="B196" s="435" t="s">
        <v>590</v>
      </c>
      <c r="C196" s="435"/>
      <c r="D196" s="435"/>
      <c r="E196" s="435"/>
      <c r="F196" s="435"/>
      <c r="G196" s="435"/>
      <c r="H196" s="435"/>
      <c r="I196" s="435"/>
      <c r="J196" s="284"/>
      <c r="M196" s="434"/>
      <c r="N196" s="434"/>
      <c r="O196" s="434"/>
      <c r="P196" s="434"/>
      <c r="Q196" s="434"/>
      <c r="R196" s="434"/>
      <c r="S196" s="434"/>
    </row>
    <row r="197" spans="1:19" x14ac:dyDescent="0.2">
      <c r="A197" s="285"/>
      <c r="B197" s="435"/>
      <c r="C197" s="435"/>
      <c r="D197" s="435"/>
      <c r="E197" s="435"/>
      <c r="F197" s="435"/>
      <c r="G197" s="435"/>
      <c r="H197" s="435"/>
      <c r="I197" s="435"/>
      <c r="J197" s="284"/>
      <c r="M197" s="434"/>
      <c r="N197" s="434"/>
      <c r="O197" s="434"/>
      <c r="P197" s="434"/>
      <c r="Q197" s="434"/>
      <c r="R197" s="434"/>
      <c r="S197" s="434"/>
    </row>
    <row r="198" spans="1:19" x14ac:dyDescent="0.2">
      <c r="A198" s="285"/>
      <c r="B198" s="255"/>
      <c r="C198" s="255"/>
      <c r="D198" s="255"/>
      <c r="E198" s="255"/>
      <c r="F198" s="255"/>
      <c r="G198" s="255"/>
      <c r="H198" s="255"/>
      <c r="I198" s="255"/>
      <c r="J198" s="284"/>
    </row>
    <row r="199" spans="1:19" x14ac:dyDescent="0.2">
      <c r="A199" s="285"/>
      <c r="B199" s="286" t="s">
        <v>519</v>
      </c>
      <c r="C199" s="206"/>
      <c r="D199" s="206"/>
      <c r="E199" s="206"/>
      <c r="F199" s="206"/>
      <c r="G199" s="206"/>
      <c r="H199" s="206"/>
      <c r="I199" s="206"/>
      <c r="J199" s="284"/>
      <c r="M199" s="219" t="s">
        <v>316</v>
      </c>
    </row>
    <row r="200" spans="1:19" x14ac:dyDescent="0.2">
      <c r="A200" s="285"/>
      <c r="B200" s="206"/>
      <c r="C200" s="206"/>
      <c r="D200" s="206"/>
      <c r="E200" s="206"/>
      <c r="F200" s="206"/>
      <c r="G200" s="206"/>
      <c r="H200" s="206"/>
      <c r="I200" s="206"/>
      <c r="J200" s="284"/>
    </row>
    <row r="201" spans="1:19" x14ac:dyDescent="0.2">
      <c r="A201" s="285"/>
      <c r="B201" s="206" t="s">
        <v>589</v>
      </c>
      <c r="C201" s="206"/>
      <c r="D201" s="206"/>
      <c r="E201" s="206"/>
      <c r="F201" s="206"/>
      <c r="G201" s="206"/>
      <c r="H201" s="206"/>
      <c r="I201" s="206"/>
      <c r="J201" s="284"/>
      <c r="M201" s="434" t="s">
        <v>588</v>
      </c>
      <c r="N201" s="434"/>
      <c r="O201" s="434"/>
      <c r="P201" s="434"/>
      <c r="Q201" s="434"/>
      <c r="R201" s="434"/>
      <c r="S201" s="434"/>
    </row>
    <row r="202" spans="1:19" x14ac:dyDescent="0.2">
      <c r="A202" s="285"/>
      <c r="B202" s="206"/>
      <c r="C202" s="206"/>
      <c r="D202" s="206"/>
      <c r="E202" s="206"/>
      <c r="F202" s="206"/>
      <c r="G202" s="206"/>
      <c r="H202" s="206"/>
      <c r="I202" s="206"/>
      <c r="J202" s="284"/>
      <c r="M202" s="434"/>
      <c r="N202" s="434"/>
      <c r="O202" s="434"/>
      <c r="P202" s="434"/>
      <c r="Q202" s="434"/>
      <c r="R202" s="434"/>
      <c r="S202" s="434"/>
    </row>
    <row r="203" spans="1:19" x14ac:dyDescent="0.2">
      <c r="A203" s="285"/>
      <c r="B203" s="286" t="s">
        <v>516</v>
      </c>
      <c r="C203" s="206"/>
      <c r="D203" s="206"/>
      <c r="E203" s="206"/>
      <c r="F203" s="206"/>
      <c r="G203" s="206"/>
      <c r="H203" s="206"/>
      <c r="I203" s="206"/>
      <c r="J203" s="284"/>
      <c r="M203" s="434"/>
      <c r="N203" s="434"/>
      <c r="O203" s="434"/>
      <c r="P203" s="434"/>
      <c r="Q203" s="434"/>
      <c r="R203" s="434"/>
      <c r="S203" s="434"/>
    </row>
    <row r="204" spans="1:19" x14ac:dyDescent="0.2">
      <c r="A204" s="285"/>
      <c r="B204" s="206"/>
      <c r="C204" s="206"/>
      <c r="D204" s="206"/>
      <c r="E204" s="206"/>
      <c r="F204" s="206"/>
      <c r="G204" s="206"/>
      <c r="H204" s="206"/>
      <c r="I204" s="206"/>
      <c r="J204" s="284"/>
      <c r="M204" s="434"/>
      <c r="N204" s="434"/>
      <c r="O204" s="434"/>
      <c r="P204" s="434"/>
      <c r="Q204" s="434"/>
      <c r="R204" s="434"/>
      <c r="S204" s="434"/>
    </row>
    <row r="205" spans="1:19" x14ac:dyDescent="0.2">
      <c r="A205" s="285"/>
      <c r="B205" s="206" t="s">
        <v>587</v>
      </c>
      <c r="C205" s="206"/>
      <c r="D205" s="206"/>
      <c r="E205" s="206"/>
      <c r="F205" s="206"/>
      <c r="G205" s="206"/>
      <c r="H205" s="206"/>
      <c r="I205" s="206"/>
      <c r="J205" s="284"/>
    </row>
    <row r="206" spans="1:19" x14ac:dyDescent="0.2">
      <c r="A206" s="285"/>
      <c r="B206" s="206"/>
      <c r="C206" s="206"/>
      <c r="D206" s="206"/>
      <c r="E206" s="206"/>
      <c r="F206" s="206"/>
      <c r="G206" s="206"/>
      <c r="H206" s="206"/>
      <c r="I206" s="206"/>
      <c r="J206" s="284"/>
      <c r="M206" s="279" t="s">
        <v>586</v>
      </c>
    </row>
    <row r="207" spans="1:19" x14ac:dyDescent="0.2">
      <c r="A207" s="285"/>
      <c r="B207" s="286" t="s">
        <v>513</v>
      </c>
      <c r="C207" s="206"/>
      <c r="D207" s="206"/>
      <c r="E207" s="206"/>
      <c r="F207" s="206"/>
      <c r="G207" s="206"/>
      <c r="H207" s="206"/>
      <c r="I207" s="206"/>
      <c r="J207" s="284"/>
    </row>
    <row r="208" spans="1:19" x14ac:dyDescent="0.2">
      <c r="A208" s="285"/>
      <c r="B208" s="206"/>
      <c r="C208" s="206"/>
      <c r="D208" s="206"/>
      <c r="E208" s="206"/>
      <c r="F208" s="206"/>
      <c r="G208" s="206"/>
      <c r="H208" s="206"/>
      <c r="I208" s="206"/>
      <c r="J208" s="284"/>
      <c r="M208" s="219" t="s">
        <v>326</v>
      </c>
    </row>
    <row r="209" spans="1:19" ht="15.75" customHeight="1" x14ac:dyDescent="0.2">
      <c r="A209" s="285"/>
      <c r="B209" s="435" t="s">
        <v>585</v>
      </c>
      <c r="C209" s="435"/>
      <c r="D209" s="435"/>
      <c r="E209" s="435"/>
      <c r="F209" s="435"/>
      <c r="G209" s="435"/>
      <c r="H209" s="435"/>
      <c r="I209" s="435"/>
      <c r="J209" s="284"/>
    </row>
    <row r="210" spans="1:19" x14ac:dyDescent="0.2">
      <c r="A210" s="285"/>
      <c r="B210" s="435"/>
      <c r="C210" s="435"/>
      <c r="D210" s="435"/>
      <c r="E210" s="435"/>
      <c r="F210" s="435"/>
      <c r="G210" s="435"/>
      <c r="H210" s="435"/>
      <c r="I210" s="435"/>
      <c r="J210" s="284"/>
      <c r="M210" s="149" t="s">
        <v>584</v>
      </c>
    </row>
    <row r="211" spans="1:19" x14ac:dyDescent="0.2">
      <c r="A211" s="285"/>
      <c r="B211" s="206"/>
      <c r="C211" s="206"/>
      <c r="D211" s="206"/>
      <c r="E211" s="206"/>
      <c r="F211" s="206"/>
      <c r="G211" s="206"/>
      <c r="H211" s="206"/>
      <c r="I211" s="206"/>
      <c r="J211" s="284"/>
      <c r="M211" s="149" t="s">
        <v>583</v>
      </c>
    </row>
    <row r="212" spans="1:19" x14ac:dyDescent="0.2">
      <c r="A212" s="285"/>
      <c r="B212" s="293"/>
      <c r="C212" s="428" t="s">
        <v>140</v>
      </c>
      <c r="D212" s="429"/>
      <c r="E212" s="206"/>
      <c r="F212" s="206"/>
      <c r="G212" s="206"/>
      <c r="H212" s="206"/>
      <c r="I212" s="206"/>
      <c r="J212" s="284"/>
      <c r="M212" s="434" t="s">
        <v>582</v>
      </c>
      <c r="N212" s="434"/>
      <c r="O212" s="434"/>
      <c r="P212" s="434"/>
      <c r="Q212" s="434"/>
      <c r="R212" s="434"/>
      <c r="S212" s="434"/>
    </row>
    <row r="213" spans="1:19" x14ac:dyDescent="0.2">
      <c r="A213" s="285"/>
      <c r="B213" s="184" t="s">
        <v>581</v>
      </c>
      <c r="C213" s="292" t="s">
        <v>580</v>
      </c>
      <c r="D213" s="291" t="s">
        <v>579</v>
      </c>
      <c r="E213" s="206"/>
      <c r="F213" s="206"/>
      <c r="G213" s="206"/>
      <c r="H213" s="206"/>
      <c r="I213" s="206"/>
      <c r="J213" s="284"/>
      <c r="M213" s="434"/>
      <c r="N213" s="434"/>
      <c r="O213" s="434"/>
      <c r="P213" s="434"/>
      <c r="Q213" s="434"/>
      <c r="R213" s="434"/>
      <c r="S213" s="434"/>
    </row>
    <row r="214" spans="1:19" x14ac:dyDescent="0.2">
      <c r="A214" s="285"/>
      <c r="B214" s="179" t="s">
        <v>578</v>
      </c>
      <c r="C214" s="186" t="s">
        <v>577</v>
      </c>
      <c r="D214" s="185" t="s">
        <v>577</v>
      </c>
      <c r="E214" s="206"/>
      <c r="F214" s="206"/>
      <c r="G214" s="206"/>
      <c r="H214" s="206"/>
      <c r="I214" s="206"/>
      <c r="J214" s="284"/>
    </row>
    <row r="215" spans="1:19" x14ac:dyDescent="0.2">
      <c r="A215" s="285"/>
      <c r="B215" s="183">
        <v>2011</v>
      </c>
      <c r="C215" s="290">
        <v>0.5</v>
      </c>
      <c r="D215" s="289">
        <v>0.5</v>
      </c>
      <c r="E215" s="206"/>
      <c r="F215" s="206"/>
      <c r="G215" s="206"/>
      <c r="H215" s="206"/>
      <c r="I215" s="206"/>
      <c r="J215" s="284"/>
      <c r="M215" s="219" t="s">
        <v>316</v>
      </c>
    </row>
    <row r="216" spans="1:19" x14ac:dyDescent="0.2">
      <c r="A216" s="285"/>
      <c r="B216" s="183">
        <v>2012</v>
      </c>
      <c r="C216" s="290">
        <v>0.5</v>
      </c>
      <c r="D216" s="289">
        <v>0.5</v>
      </c>
      <c r="E216" s="206"/>
      <c r="F216" s="206"/>
      <c r="G216" s="206"/>
      <c r="H216" s="206"/>
      <c r="I216" s="206"/>
      <c r="J216" s="284"/>
    </row>
    <row r="217" spans="1:19" x14ac:dyDescent="0.2">
      <c r="A217" s="285"/>
      <c r="B217" s="179">
        <v>2013</v>
      </c>
      <c r="C217" s="288">
        <v>0.25</v>
      </c>
      <c r="D217" s="287">
        <v>0.75</v>
      </c>
      <c r="E217" s="206"/>
      <c r="F217" s="206"/>
      <c r="G217" s="206"/>
      <c r="H217" s="206"/>
      <c r="I217" s="206"/>
      <c r="J217" s="284"/>
      <c r="M217" s="149" t="s">
        <v>576</v>
      </c>
    </row>
    <row r="218" spans="1:19" x14ac:dyDescent="0.2">
      <c r="A218" s="285"/>
      <c r="B218" s="206"/>
      <c r="C218" s="206"/>
      <c r="D218" s="206"/>
      <c r="E218" s="206"/>
      <c r="F218" s="206"/>
      <c r="G218" s="206"/>
      <c r="H218" s="206"/>
      <c r="I218" s="206"/>
      <c r="J218" s="284"/>
      <c r="M218" s="149" t="s">
        <v>575</v>
      </c>
    </row>
    <row r="219" spans="1:19" x14ac:dyDescent="0.2">
      <c r="A219" s="285"/>
      <c r="B219" s="206" t="s">
        <v>574</v>
      </c>
      <c r="C219" s="206"/>
      <c r="D219" s="206"/>
      <c r="E219" s="206"/>
      <c r="F219" s="206"/>
      <c r="G219" s="206"/>
      <c r="H219" s="206"/>
      <c r="I219" s="206"/>
      <c r="J219" s="284"/>
    </row>
    <row r="220" spans="1:19" x14ac:dyDescent="0.2">
      <c r="A220" s="285"/>
      <c r="B220" s="206"/>
      <c r="C220" s="206"/>
      <c r="D220" s="206"/>
      <c r="E220" s="206"/>
      <c r="F220" s="206"/>
      <c r="G220" s="206"/>
      <c r="H220" s="206"/>
      <c r="I220" s="206"/>
      <c r="J220" s="284"/>
      <c r="M220" s="279" t="s">
        <v>573</v>
      </c>
    </row>
    <row r="221" spans="1:19" x14ac:dyDescent="0.2">
      <c r="A221" s="285"/>
      <c r="B221" s="286" t="s">
        <v>511</v>
      </c>
      <c r="C221" s="206"/>
      <c r="D221" s="206"/>
      <c r="E221" s="206"/>
      <c r="F221" s="206"/>
      <c r="G221" s="206"/>
      <c r="H221" s="206"/>
      <c r="I221" s="206"/>
      <c r="J221" s="284"/>
    </row>
    <row r="222" spans="1:19" x14ac:dyDescent="0.2">
      <c r="A222" s="285"/>
      <c r="B222" s="206"/>
      <c r="C222" s="206"/>
      <c r="D222" s="206"/>
      <c r="E222" s="206"/>
      <c r="F222" s="206"/>
      <c r="G222" s="206"/>
      <c r="H222" s="206"/>
      <c r="I222" s="206"/>
      <c r="J222" s="284"/>
      <c r="M222" s="219" t="s">
        <v>326</v>
      </c>
    </row>
    <row r="223" spans="1:19" x14ac:dyDescent="0.2">
      <c r="A223" s="285"/>
      <c r="B223" s="435" t="s">
        <v>572</v>
      </c>
      <c r="C223" s="435"/>
      <c r="D223" s="435"/>
      <c r="E223" s="435"/>
      <c r="F223" s="435"/>
      <c r="G223" s="435"/>
      <c r="H223" s="435"/>
      <c r="I223" s="435"/>
      <c r="J223" s="284"/>
    </row>
    <row r="224" spans="1:19" x14ac:dyDescent="0.2">
      <c r="A224" s="285"/>
      <c r="B224" s="435"/>
      <c r="C224" s="435"/>
      <c r="D224" s="435"/>
      <c r="E224" s="435"/>
      <c r="F224" s="435"/>
      <c r="G224" s="435"/>
      <c r="H224" s="435"/>
      <c r="I224" s="435"/>
      <c r="J224" s="284"/>
      <c r="M224" s="434" t="s">
        <v>571</v>
      </c>
      <c r="N224" s="434"/>
      <c r="O224" s="434"/>
      <c r="P224" s="434"/>
      <c r="Q224" s="434"/>
      <c r="R224" s="434"/>
      <c r="S224" s="434"/>
    </row>
    <row r="225" spans="1:19" x14ac:dyDescent="0.2">
      <c r="A225" s="285"/>
      <c r="B225" s="206"/>
      <c r="C225" s="206"/>
      <c r="D225" s="206"/>
      <c r="E225" s="206"/>
      <c r="F225" s="206"/>
      <c r="G225" s="206"/>
      <c r="H225" s="206"/>
      <c r="I225" s="206"/>
      <c r="J225" s="284"/>
      <c r="M225" s="434"/>
      <c r="N225" s="434"/>
      <c r="O225" s="434"/>
      <c r="P225" s="434"/>
      <c r="Q225" s="434"/>
      <c r="R225" s="434"/>
      <c r="S225" s="434"/>
    </row>
    <row r="226" spans="1:19" x14ac:dyDescent="0.2">
      <c r="A226" s="285"/>
      <c r="B226" s="286" t="s">
        <v>507</v>
      </c>
      <c r="C226" s="206"/>
      <c r="D226" s="206"/>
      <c r="E226" s="206"/>
      <c r="F226" s="206"/>
      <c r="G226" s="206"/>
      <c r="H226" s="206"/>
      <c r="I226" s="206"/>
      <c r="J226" s="284"/>
      <c r="M226" s="434"/>
      <c r="N226" s="434"/>
      <c r="O226" s="434"/>
      <c r="P226" s="434"/>
      <c r="Q226" s="434"/>
      <c r="R226" s="434"/>
      <c r="S226" s="434"/>
    </row>
    <row r="227" spans="1:19" x14ac:dyDescent="0.2">
      <c r="A227" s="285"/>
      <c r="B227" s="206"/>
      <c r="C227" s="206"/>
      <c r="D227" s="206"/>
      <c r="E227" s="206"/>
      <c r="F227" s="206"/>
      <c r="G227" s="206"/>
      <c r="H227" s="206"/>
      <c r="I227" s="206"/>
      <c r="J227" s="284"/>
      <c r="M227" s="434"/>
      <c r="N227" s="434"/>
      <c r="O227" s="434"/>
      <c r="P227" s="434"/>
      <c r="Q227" s="434"/>
      <c r="R227" s="434"/>
      <c r="S227" s="434"/>
    </row>
    <row r="228" spans="1:19" x14ac:dyDescent="0.2">
      <c r="A228" s="285"/>
      <c r="B228" s="206" t="s">
        <v>570</v>
      </c>
      <c r="C228" s="206"/>
      <c r="D228" s="206"/>
      <c r="E228" s="206"/>
      <c r="F228" s="206"/>
      <c r="G228" s="206"/>
      <c r="H228" s="206"/>
      <c r="I228" s="206"/>
      <c r="J228" s="284"/>
      <c r="M228" s="434"/>
      <c r="N228" s="434"/>
      <c r="O228" s="434"/>
      <c r="P228" s="434"/>
      <c r="Q228" s="434"/>
      <c r="R228" s="434"/>
      <c r="S228" s="434"/>
    </row>
    <row r="229" spans="1:19" x14ac:dyDescent="0.2">
      <c r="A229" s="285"/>
      <c r="B229" s="206"/>
      <c r="C229" s="206"/>
      <c r="D229" s="206"/>
      <c r="E229" s="206"/>
      <c r="F229" s="206"/>
      <c r="G229" s="206"/>
      <c r="H229" s="206"/>
      <c r="I229" s="206"/>
      <c r="J229" s="284"/>
      <c r="M229" s="434"/>
      <c r="N229" s="434"/>
      <c r="O229" s="434"/>
      <c r="P229" s="434"/>
      <c r="Q229" s="434"/>
      <c r="R229" s="434"/>
      <c r="S229" s="434"/>
    </row>
    <row r="230" spans="1:19" x14ac:dyDescent="0.2">
      <c r="A230" s="285"/>
      <c r="B230" s="286" t="s">
        <v>502</v>
      </c>
      <c r="C230" s="206"/>
      <c r="D230" s="206"/>
      <c r="E230" s="206"/>
      <c r="F230" s="206"/>
      <c r="G230" s="206"/>
      <c r="H230" s="206"/>
      <c r="I230" s="206"/>
      <c r="J230" s="284"/>
      <c r="M230" s="227"/>
      <c r="N230" s="227"/>
      <c r="O230" s="227"/>
      <c r="P230" s="227"/>
      <c r="Q230" s="227"/>
      <c r="R230" s="227"/>
      <c r="S230" s="227"/>
    </row>
    <row r="231" spans="1:19" x14ac:dyDescent="0.2">
      <c r="A231" s="285"/>
      <c r="B231" s="206"/>
      <c r="C231" s="206"/>
      <c r="D231" s="206"/>
      <c r="E231" s="206"/>
      <c r="F231" s="206"/>
      <c r="G231" s="206"/>
      <c r="H231" s="206"/>
      <c r="I231" s="206"/>
      <c r="J231" s="284"/>
      <c r="M231" s="219" t="s">
        <v>316</v>
      </c>
    </row>
    <row r="232" spans="1:19" x14ac:dyDescent="0.2">
      <c r="A232" s="285"/>
      <c r="B232" s="206" t="s">
        <v>0</v>
      </c>
      <c r="C232" s="206"/>
      <c r="D232" s="206"/>
      <c r="E232" s="206"/>
      <c r="F232" s="206"/>
      <c r="G232" s="206"/>
      <c r="H232" s="206"/>
      <c r="I232" s="206"/>
      <c r="J232" s="284"/>
    </row>
    <row r="233" spans="1:19" x14ac:dyDescent="0.2">
      <c r="A233" s="285"/>
      <c r="B233" s="206" t="s">
        <v>569</v>
      </c>
      <c r="C233" s="206"/>
      <c r="D233" s="206"/>
      <c r="E233" s="206"/>
      <c r="F233" s="206"/>
      <c r="G233" s="206"/>
      <c r="H233" s="206"/>
      <c r="I233" s="206"/>
      <c r="J233" s="284"/>
      <c r="M233" s="434" t="s">
        <v>568</v>
      </c>
      <c r="N233" s="434"/>
      <c r="O233" s="434"/>
      <c r="P233" s="434"/>
      <c r="Q233" s="434"/>
      <c r="R233" s="434"/>
      <c r="S233" s="434"/>
    </row>
    <row r="234" spans="1:19" x14ac:dyDescent="0.2">
      <c r="A234" s="285"/>
      <c r="B234" s="171"/>
      <c r="C234" s="206"/>
      <c r="D234" s="206"/>
      <c r="E234" s="206"/>
      <c r="F234" s="206"/>
      <c r="G234" s="206"/>
      <c r="H234" s="206"/>
      <c r="I234" s="206"/>
      <c r="J234" s="284"/>
      <c r="M234" s="434"/>
      <c r="N234" s="434"/>
      <c r="O234" s="434"/>
      <c r="P234" s="434"/>
      <c r="Q234" s="434"/>
      <c r="R234" s="434"/>
      <c r="S234" s="434"/>
    </row>
    <row r="235" spans="1:19" x14ac:dyDescent="0.2">
      <c r="A235" s="285"/>
      <c r="B235" s="206" t="s">
        <v>1</v>
      </c>
      <c r="C235" s="206"/>
      <c r="D235" s="206"/>
      <c r="E235" s="206"/>
      <c r="F235" s="206"/>
      <c r="G235" s="206"/>
      <c r="H235" s="206"/>
      <c r="I235" s="206"/>
      <c r="J235" s="284"/>
      <c r="M235" s="434"/>
      <c r="N235" s="434"/>
      <c r="O235" s="434"/>
      <c r="P235" s="434"/>
      <c r="Q235" s="434"/>
      <c r="R235" s="434"/>
      <c r="S235" s="434"/>
    </row>
    <row r="236" spans="1:19" x14ac:dyDescent="0.2">
      <c r="A236" s="285"/>
      <c r="B236" s="206" t="s">
        <v>567</v>
      </c>
      <c r="C236" s="206"/>
      <c r="D236" s="206"/>
      <c r="E236" s="206"/>
      <c r="F236" s="206"/>
      <c r="G236" s="206"/>
      <c r="H236" s="206"/>
      <c r="I236" s="206"/>
      <c r="J236" s="284"/>
      <c r="M236" s="434"/>
      <c r="N236" s="434"/>
      <c r="O236" s="434"/>
      <c r="P236" s="434"/>
      <c r="Q236" s="434"/>
      <c r="R236" s="434"/>
      <c r="S236" s="434"/>
    </row>
    <row r="237" spans="1:19" x14ac:dyDescent="0.2">
      <c r="A237" s="285"/>
      <c r="B237" s="206"/>
      <c r="C237" s="206"/>
      <c r="D237" s="206"/>
      <c r="E237" s="206"/>
      <c r="F237" s="206"/>
      <c r="G237" s="206"/>
      <c r="H237" s="206"/>
      <c r="I237" s="206"/>
      <c r="J237" s="284"/>
      <c r="M237" s="434"/>
      <c r="N237" s="434"/>
      <c r="O237" s="434"/>
      <c r="P237" s="434"/>
      <c r="Q237" s="434"/>
      <c r="R237" s="434"/>
      <c r="S237" s="434"/>
    </row>
    <row r="238" spans="1:19" x14ac:dyDescent="0.2">
      <c r="A238" s="285"/>
      <c r="B238" s="286" t="s">
        <v>499</v>
      </c>
      <c r="C238" s="206"/>
      <c r="D238" s="206"/>
      <c r="E238" s="206"/>
      <c r="F238" s="206"/>
      <c r="G238" s="206"/>
      <c r="H238" s="206"/>
      <c r="I238" s="206"/>
      <c r="J238" s="284"/>
      <c r="M238" s="434"/>
      <c r="N238" s="434"/>
      <c r="O238" s="434"/>
      <c r="P238" s="434"/>
      <c r="Q238" s="434"/>
      <c r="R238" s="434"/>
      <c r="S238" s="434"/>
    </row>
    <row r="239" spans="1:19" x14ac:dyDescent="0.2">
      <c r="A239" s="285"/>
      <c r="B239" s="206"/>
      <c r="C239" s="206"/>
      <c r="D239" s="206"/>
      <c r="E239" s="206"/>
      <c r="F239" s="206"/>
      <c r="G239" s="206"/>
      <c r="H239" s="206"/>
      <c r="I239" s="206"/>
      <c r="J239" s="284"/>
      <c r="M239" s="227"/>
      <c r="N239" s="227"/>
      <c r="O239" s="227"/>
      <c r="P239" s="227"/>
      <c r="Q239" s="227"/>
      <c r="R239" s="227"/>
      <c r="S239" s="227"/>
    </row>
    <row r="240" spans="1:19" x14ac:dyDescent="0.2">
      <c r="A240" s="285"/>
      <c r="B240" s="206" t="s">
        <v>566</v>
      </c>
      <c r="C240" s="206"/>
      <c r="D240" s="206"/>
      <c r="E240" s="206"/>
      <c r="F240" s="206"/>
      <c r="G240" s="206"/>
      <c r="H240" s="206"/>
      <c r="I240" s="206"/>
      <c r="J240" s="284"/>
      <c r="M240" s="279" t="s">
        <v>565</v>
      </c>
    </row>
    <row r="241" spans="1:14" x14ac:dyDescent="0.2">
      <c r="A241" s="285"/>
      <c r="B241" s="206"/>
      <c r="C241" s="206"/>
      <c r="D241" s="206"/>
      <c r="E241" s="206"/>
      <c r="F241" s="206"/>
      <c r="G241" s="206"/>
      <c r="H241" s="206"/>
      <c r="I241" s="206"/>
      <c r="J241" s="284"/>
    </row>
    <row r="242" spans="1:14" x14ac:dyDescent="0.2">
      <c r="A242" s="285"/>
      <c r="B242" s="286" t="s">
        <v>497</v>
      </c>
      <c r="C242" s="206"/>
      <c r="D242" s="206"/>
      <c r="E242" s="206"/>
      <c r="F242" s="206"/>
      <c r="G242" s="206"/>
      <c r="H242" s="206"/>
      <c r="I242" s="206"/>
      <c r="J242" s="284"/>
      <c r="M242" s="219" t="s">
        <v>326</v>
      </c>
    </row>
    <row r="243" spans="1:14" x14ac:dyDescent="0.2">
      <c r="A243" s="285"/>
      <c r="B243" s="206"/>
      <c r="C243" s="206"/>
      <c r="D243" s="206"/>
      <c r="E243" s="206"/>
      <c r="F243" s="206"/>
      <c r="G243" s="206"/>
      <c r="H243" s="206"/>
      <c r="I243" s="206"/>
      <c r="J243" s="284"/>
    </row>
    <row r="244" spans="1:14" x14ac:dyDescent="0.2">
      <c r="A244" s="285"/>
      <c r="B244" s="206" t="s">
        <v>0</v>
      </c>
      <c r="C244" s="206"/>
      <c r="D244" s="206"/>
      <c r="E244" s="206"/>
      <c r="F244" s="206"/>
      <c r="G244" s="206"/>
      <c r="H244" s="206"/>
      <c r="I244" s="206"/>
      <c r="J244" s="284"/>
      <c r="M244" s="149" t="s">
        <v>564</v>
      </c>
    </row>
    <row r="245" spans="1:14" x14ac:dyDescent="0.2">
      <c r="A245" s="285"/>
      <c r="B245" s="435" t="s">
        <v>563</v>
      </c>
      <c r="C245" s="435"/>
      <c r="D245" s="435"/>
      <c r="E245" s="435"/>
      <c r="F245" s="435"/>
      <c r="G245" s="435"/>
      <c r="H245" s="435"/>
      <c r="I245" s="435"/>
      <c r="J245" s="284"/>
      <c r="M245" s="149" t="s">
        <v>562</v>
      </c>
    </row>
    <row r="246" spans="1:14" x14ac:dyDescent="0.2">
      <c r="A246" s="285"/>
      <c r="B246" s="435"/>
      <c r="C246" s="435"/>
      <c r="D246" s="435"/>
      <c r="E246" s="435"/>
      <c r="F246" s="435"/>
      <c r="G246" s="435"/>
      <c r="H246" s="435"/>
      <c r="I246" s="435"/>
      <c r="J246" s="284"/>
    </row>
    <row r="247" spans="1:14" x14ac:dyDescent="0.2">
      <c r="A247" s="285"/>
      <c r="B247" s="171"/>
      <c r="C247" s="206"/>
      <c r="D247" s="206"/>
      <c r="E247" s="206"/>
      <c r="F247" s="206"/>
      <c r="G247" s="206"/>
      <c r="H247" s="206"/>
      <c r="I247" s="206"/>
      <c r="J247" s="284"/>
      <c r="M247" s="219" t="s">
        <v>316</v>
      </c>
    </row>
    <row r="248" spans="1:14" x14ac:dyDescent="0.2">
      <c r="A248" s="285"/>
      <c r="B248" s="206" t="s">
        <v>1</v>
      </c>
      <c r="C248" s="206"/>
      <c r="D248" s="206"/>
      <c r="E248" s="206"/>
      <c r="F248" s="206"/>
      <c r="G248" s="206"/>
      <c r="H248" s="206"/>
      <c r="I248" s="206"/>
      <c r="J248" s="284"/>
    </row>
    <row r="249" spans="1:14" x14ac:dyDescent="0.2">
      <c r="A249" s="285"/>
      <c r="B249" s="206" t="s">
        <v>561</v>
      </c>
      <c r="C249" s="206"/>
      <c r="D249" s="206"/>
      <c r="E249" s="206"/>
      <c r="F249" s="206"/>
      <c r="G249" s="206"/>
      <c r="H249" s="206"/>
      <c r="I249" s="206"/>
      <c r="J249" s="284"/>
      <c r="M249" s="149" t="s">
        <v>560</v>
      </c>
    </row>
    <row r="250" spans="1:14" ht="17" thickBot="1" x14ac:dyDescent="0.25">
      <c r="A250" s="283"/>
      <c r="B250" s="282"/>
      <c r="C250" s="282"/>
      <c r="D250" s="282"/>
      <c r="E250" s="282"/>
      <c r="F250" s="282"/>
      <c r="G250" s="282"/>
      <c r="H250" s="282"/>
      <c r="I250" s="282"/>
      <c r="J250" s="281"/>
    </row>
    <row r="251" spans="1:14" x14ac:dyDescent="0.2">
      <c r="N251" s="280" t="s">
        <v>557</v>
      </c>
    </row>
    <row r="252" spans="1:14" x14ac:dyDescent="0.2">
      <c r="N252" s="280" t="s">
        <v>559</v>
      </c>
    </row>
    <row r="254" spans="1:14" x14ac:dyDescent="0.2">
      <c r="M254" s="149" t="s">
        <v>558</v>
      </c>
    </row>
    <row r="256" spans="1:14" x14ac:dyDescent="0.2">
      <c r="N256" s="280" t="s">
        <v>557</v>
      </c>
    </row>
    <row r="257" spans="13:19" x14ac:dyDescent="0.2">
      <c r="N257" s="469" t="s">
        <v>556</v>
      </c>
      <c r="O257" s="469"/>
      <c r="P257" s="469"/>
      <c r="Q257" s="469"/>
      <c r="R257" s="469"/>
      <c r="S257" s="469"/>
    </row>
    <row r="258" spans="13:19" x14ac:dyDescent="0.2">
      <c r="N258" s="469"/>
      <c r="O258" s="469"/>
      <c r="P258" s="469"/>
      <c r="Q258" s="469"/>
      <c r="R258" s="469"/>
      <c r="S258" s="469"/>
    </row>
    <row r="259" spans="13:19" x14ac:dyDescent="0.2">
      <c r="N259" s="469" t="s">
        <v>555</v>
      </c>
      <c r="O259" s="469"/>
      <c r="P259" s="469"/>
      <c r="Q259" s="469"/>
      <c r="R259" s="469"/>
      <c r="S259" s="469"/>
    </row>
    <row r="260" spans="13:19" x14ac:dyDescent="0.2">
      <c r="N260" s="469"/>
      <c r="O260" s="469"/>
      <c r="P260" s="469"/>
      <c r="Q260" s="469"/>
      <c r="R260" s="469"/>
      <c r="S260" s="469"/>
    </row>
    <row r="261" spans="13:19" x14ac:dyDescent="0.2">
      <c r="N261" s="469" t="s">
        <v>554</v>
      </c>
      <c r="O261" s="469"/>
      <c r="P261" s="469"/>
      <c r="Q261" s="469"/>
      <c r="R261" s="469"/>
      <c r="S261" s="469"/>
    </row>
    <row r="262" spans="13:19" x14ac:dyDescent="0.2">
      <c r="N262" s="469"/>
      <c r="O262" s="469"/>
      <c r="P262" s="469"/>
      <c r="Q262" s="469"/>
      <c r="R262" s="469"/>
      <c r="S262" s="469"/>
    </row>
    <row r="263" spans="13:19" x14ac:dyDescent="0.2">
      <c r="N263" s="469" t="s">
        <v>553</v>
      </c>
      <c r="O263" s="469"/>
      <c r="P263" s="469"/>
      <c r="Q263" s="469"/>
      <c r="R263" s="469"/>
      <c r="S263" s="469"/>
    </row>
    <row r="264" spans="13:19" x14ac:dyDescent="0.2">
      <c r="N264" s="469"/>
      <c r="O264" s="469"/>
      <c r="P264" s="469"/>
      <c r="Q264" s="469"/>
      <c r="R264" s="469"/>
      <c r="S264" s="469"/>
    </row>
    <row r="266" spans="13:19" x14ac:dyDescent="0.2">
      <c r="M266" s="149" t="s">
        <v>552</v>
      </c>
    </row>
    <row r="268" spans="13:19" x14ac:dyDescent="0.2">
      <c r="N268" s="280" t="s">
        <v>551</v>
      </c>
    </row>
    <row r="269" spans="13:19" x14ac:dyDescent="0.2">
      <c r="N269" s="469" t="s">
        <v>550</v>
      </c>
      <c r="O269" s="469"/>
      <c r="P269" s="469"/>
      <c r="Q269" s="469"/>
      <c r="R269" s="469"/>
      <c r="S269" s="469"/>
    </row>
    <row r="270" spans="13:19" x14ac:dyDescent="0.2">
      <c r="N270" s="469"/>
      <c r="O270" s="469"/>
      <c r="P270" s="469"/>
      <c r="Q270" s="469"/>
      <c r="R270" s="469"/>
      <c r="S270" s="469"/>
    </row>
    <row r="271" spans="13:19" x14ac:dyDescent="0.2">
      <c r="N271" s="469" t="s">
        <v>549</v>
      </c>
      <c r="O271" s="469"/>
      <c r="P271" s="469"/>
      <c r="Q271" s="469"/>
      <c r="R271" s="469"/>
      <c r="S271" s="469"/>
    </row>
    <row r="272" spans="13:19" x14ac:dyDescent="0.2">
      <c r="N272" s="469"/>
      <c r="O272" s="469"/>
      <c r="P272" s="469"/>
      <c r="Q272" s="469"/>
      <c r="R272" s="469"/>
      <c r="S272" s="469"/>
    </row>
    <row r="273" spans="13:19" x14ac:dyDescent="0.2">
      <c r="N273" s="469" t="s">
        <v>548</v>
      </c>
      <c r="O273" s="469"/>
      <c r="P273" s="469"/>
      <c r="Q273" s="469"/>
      <c r="R273" s="469"/>
      <c r="S273" s="469"/>
    </row>
    <row r="274" spans="13:19" x14ac:dyDescent="0.2">
      <c r="N274" s="469"/>
      <c r="O274" s="469"/>
      <c r="P274" s="469"/>
      <c r="Q274" s="469"/>
      <c r="R274" s="469"/>
      <c r="S274" s="469"/>
    </row>
    <row r="275" spans="13:19" x14ac:dyDescent="0.2">
      <c r="N275" s="469" t="s">
        <v>547</v>
      </c>
      <c r="O275" s="469"/>
      <c r="P275" s="469"/>
      <c r="Q275" s="469"/>
      <c r="R275" s="469"/>
      <c r="S275" s="469"/>
    </row>
    <row r="276" spans="13:19" x14ac:dyDescent="0.2">
      <c r="N276" s="469"/>
      <c r="O276" s="469"/>
      <c r="P276" s="469"/>
      <c r="Q276" s="469"/>
      <c r="R276" s="469"/>
      <c r="S276" s="469"/>
    </row>
    <row r="278" spans="13:19" x14ac:dyDescent="0.2">
      <c r="M278" s="219" t="s">
        <v>373</v>
      </c>
    </row>
    <row r="280" spans="13:19" x14ac:dyDescent="0.2">
      <c r="M280" s="434" t="s">
        <v>546</v>
      </c>
      <c r="N280" s="434"/>
      <c r="O280" s="434"/>
      <c r="P280" s="434"/>
      <c r="Q280" s="434"/>
      <c r="R280" s="434"/>
      <c r="S280" s="434"/>
    </row>
    <row r="281" spans="13:19" x14ac:dyDescent="0.2">
      <c r="M281" s="434"/>
      <c r="N281" s="434"/>
      <c r="O281" s="434"/>
      <c r="P281" s="434"/>
      <c r="Q281" s="434"/>
      <c r="R281" s="434"/>
      <c r="S281" s="434"/>
    </row>
    <row r="283" spans="13:19" x14ac:dyDescent="0.2">
      <c r="M283" s="219" t="s">
        <v>405</v>
      </c>
    </row>
    <row r="285" spans="13:19" x14ac:dyDescent="0.2">
      <c r="M285" s="434" t="s">
        <v>545</v>
      </c>
      <c r="N285" s="434"/>
      <c r="O285" s="434"/>
      <c r="P285" s="434"/>
      <c r="Q285" s="434"/>
      <c r="R285" s="434"/>
      <c r="S285" s="434"/>
    </row>
    <row r="286" spans="13:19" x14ac:dyDescent="0.2">
      <c r="M286" s="434"/>
      <c r="N286" s="434"/>
      <c r="O286" s="434"/>
      <c r="P286" s="434"/>
      <c r="Q286" s="434"/>
      <c r="R286" s="434"/>
      <c r="S286" s="434"/>
    </row>
    <row r="287" spans="13:19" x14ac:dyDescent="0.2">
      <c r="M287" s="434"/>
      <c r="N287" s="434"/>
      <c r="O287" s="434"/>
      <c r="P287" s="434"/>
      <c r="Q287" s="434"/>
      <c r="R287" s="434"/>
      <c r="S287" s="434"/>
    </row>
    <row r="289" spans="13:19" x14ac:dyDescent="0.2">
      <c r="M289" s="279" t="s">
        <v>544</v>
      </c>
    </row>
    <row r="291" spans="13:19" x14ac:dyDescent="0.2">
      <c r="M291" s="219" t="s">
        <v>326</v>
      </c>
    </row>
    <row r="293" spans="13:19" x14ac:dyDescent="0.2">
      <c r="M293" s="149" t="s">
        <v>543</v>
      </c>
    </row>
    <row r="295" spans="13:19" x14ac:dyDescent="0.2">
      <c r="M295" s="219" t="s">
        <v>316</v>
      </c>
    </row>
    <row r="297" spans="13:19" x14ac:dyDescent="0.2">
      <c r="M297" s="434" t="s">
        <v>542</v>
      </c>
      <c r="N297" s="434"/>
      <c r="O297" s="434"/>
      <c r="P297" s="434"/>
      <c r="Q297" s="434"/>
      <c r="R297" s="434"/>
      <c r="S297" s="434"/>
    </row>
    <row r="298" spans="13:19" x14ac:dyDescent="0.2">
      <c r="M298" s="434"/>
      <c r="N298" s="434"/>
      <c r="O298" s="434"/>
      <c r="P298" s="434"/>
      <c r="Q298" s="434"/>
      <c r="R298" s="434"/>
      <c r="S298" s="434"/>
    </row>
    <row r="300" spans="13:19" x14ac:dyDescent="0.2">
      <c r="M300" s="434" t="s">
        <v>541</v>
      </c>
      <c r="N300" s="434"/>
      <c r="O300" s="434"/>
      <c r="P300" s="434"/>
      <c r="Q300" s="434"/>
      <c r="R300" s="434"/>
      <c r="S300" s="434"/>
    </row>
    <row r="301" spans="13:19" x14ac:dyDescent="0.2">
      <c r="M301" s="434"/>
      <c r="N301" s="434"/>
      <c r="O301" s="434"/>
      <c r="P301" s="434"/>
      <c r="Q301" s="434"/>
      <c r="R301" s="434"/>
      <c r="S301" s="434"/>
    </row>
    <row r="303" spans="13:19" x14ac:dyDescent="0.2">
      <c r="M303" s="279" t="s">
        <v>540</v>
      </c>
    </row>
    <row r="305" spans="13:19" x14ac:dyDescent="0.2">
      <c r="M305" s="219" t="s">
        <v>326</v>
      </c>
    </row>
    <row r="307" spans="13:19" x14ac:dyDescent="0.2">
      <c r="M307" s="434" t="s">
        <v>539</v>
      </c>
      <c r="N307" s="434"/>
      <c r="O307" s="434"/>
      <c r="P307" s="434"/>
      <c r="Q307" s="434"/>
      <c r="R307" s="434"/>
      <c r="S307" s="434"/>
    </row>
    <row r="308" spans="13:19" x14ac:dyDescent="0.2">
      <c r="M308" s="434"/>
      <c r="N308" s="434"/>
      <c r="O308" s="434"/>
      <c r="P308" s="434"/>
      <c r="Q308" s="434"/>
      <c r="R308" s="434"/>
      <c r="S308" s="434"/>
    </row>
    <row r="309" spans="13:19" x14ac:dyDescent="0.2">
      <c r="M309" s="434"/>
      <c r="N309" s="434"/>
      <c r="O309" s="434"/>
      <c r="P309" s="434"/>
      <c r="Q309" s="434"/>
      <c r="R309" s="434"/>
      <c r="S309" s="434"/>
    </row>
    <row r="311" spans="13:19" x14ac:dyDescent="0.2">
      <c r="M311" s="219" t="s">
        <v>316</v>
      </c>
    </row>
    <row r="313" spans="13:19" x14ac:dyDescent="0.2">
      <c r="M313" s="434" t="s">
        <v>538</v>
      </c>
      <c r="N313" s="434"/>
      <c r="O313" s="434"/>
      <c r="P313" s="434"/>
      <c r="Q313" s="434"/>
      <c r="R313" s="434"/>
      <c r="S313" s="434"/>
    </row>
    <row r="314" spans="13:19" x14ac:dyDescent="0.2">
      <c r="M314" s="434"/>
      <c r="N314" s="434"/>
      <c r="O314" s="434"/>
      <c r="P314" s="434"/>
      <c r="Q314" s="434"/>
      <c r="R314" s="434"/>
      <c r="S314" s="434"/>
    </row>
    <row r="315" spans="13:19" x14ac:dyDescent="0.2">
      <c r="M315" s="434"/>
      <c r="N315" s="434"/>
      <c r="O315" s="434"/>
      <c r="P315" s="434"/>
      <c r="Q315" s="434"/>
      <c r="R315" s="434"/>
      <c r="S315" s="434"/>
    </row>
    <row r="317" spans="13:19" x14ac:dyDescent="0.2">
      <c r="M317" s="279" t="s">
        <v>537</v>
      </c>
    </row>
    <row r="319" spans="13:19" x14ac:dyDescent="0.2">
      <c r="M319" s="149" t="s">
        <v>536</v>
      </c>
    </row>
    <row r="320" spans="13:19" x14ac:dyDescent="0.2">
      <c r="M320" s="149" t="s">
        <v>535</v>
      </c>
    </row>
    <row r="321" spans="13:19" x14ac:dyDescent="0.2">
      <c r="M321" s="149" t="s">
        <v>534</v>
      </c>
    </row>
    <row r="323" spans="13:19" x14ac:dyDescent="0.2">
      <c r="M323" s="279" t="s">
        <v>533</v>
      </c>
    </row>
    <row r="325" spans="13:19" x14ac:dyDescent="0.2">
      <c r="M325" s="149" t="s">
        <v>532</v>
      </c>
    </row>
    <row r="327" spans="13:19" x14ac:dyDescent="0.2">
      <c r="N327" s="469" t="s">
        <v>531</v>
      </c>
      <c r="O327" s="469"/>
      <c r="P327" s="469"/>
      <c r="Q327" s="469"/>
      <c r="R327" s="469"/>
      <c r="S327" s="469"/>
    </row>
    <row r="328" spans="13:19" x14ac:dyDescent="0.2">
      <c r="N328" s="469"/>
      <c r="O328" s="469"/>
      <c r="P328" s="469"/>
      <c r="Q328" s="469"/>
      <c r="R328" s="469"/>
      <c r="S328" s="469"/>
    </row>
    <row r="329" spans="13:19" x14ac:dyDescent="0.2">
      <c r="N329" s="469" t="s">
        <v>530</v>
      </c>
      <c r="O329" s="469"/>
      <c r="P329" s="469"/>
      <c r="Q329" s="469"/>
      <c r="R329" s="469"/>
      <c r="S329" s="469"/>
    </row>
    <row r="330" spans="13:19" x14ac:dyDescent="0.2">
      <c r="N330" s="469"/>
      <c r="O330" s="469"/>
      <c r="P330" s="469"/>
      <c r="Q330" s="469"/>
      <c r="R330" s="469"/>
      <c r="S330" s="469"/>
    </row>
    <row r="331" spans="13:19" ht="15.75" customHeight="1" x14ac:dyDescent="0.2">
      <c r="N331" s="469" t="s">
        <v>529</v>
      </c>
      <c r="O331" s="469"/>
      <c r="P331" s="469"/>
      <c r="Q331" s="469"/>
      <c r="R331" s="469"/>
      <c r="S331" s="469"/>
    </row>
    <row r="332" spans="13:19" x14ac:dyDescent="0.2">
      <c r="N332" s="469"/>
      <c r="O332" s="469"/>
      <c r="P332" s="469"/>
      <c r="Q332" s="469"/>
      <c r="R332" s="469"/>
      <c r="S332" s="469"/>
    </row>
    <row r="333" spans="13:19" x14ac:dyDescent="0.2">
      <c r="N333" s="469"/>
      <c r="O333" s="469"/>
      <c r="P333" s="469"/>
      <c r="Q333" s="469"/>
      <c r="R333" s="469"/>
      <c r="S333" s="469"/>
    </row>
    <row r="334" spans="13:19" x14ac:dyDescent="0.2">
      <c r="N334" s="469" t="s">
        <v>528</v>
      </c>
      <c r="O334" s="469"/>
      <c r="P334" s="469"/>
      <c r="Q334" s="469"/>
      <c r="R334" s="469"/>
      <c r="S334" s="469"/>
    </row>
    <row r="335" spans="13:19" x14ac:dyDescent="0.2">
      <c r="N335" s="469"/>
      <c r="O335" s="469"/>
      <c r="P335" s="469"/>
      <c r="Q335" s="469"/>
      <c r="R335" s="469"/>
      <c r="S335" s="469"/>
    </row>
    <row r="337" spans="13:19" x14ac:dyDescent="0.2">
      <c r="M337" s="279" t="s">
        <v>527</v>
      </c>
    </row>
    <row r="339" spans="13:19" x14ac:dyDescent="0.2">
      <c r="M339" s="434" t="s">
        <v>1051</v>
      </c>
      <c r="N339" s="434"/>
      <c r="O339" s="434"/>
      <c r="P339" s="434"/>
      <c r="Q339" s="434"/>
      <c r="R339" s="434"/>
      <c r="S339" s="434"/>
    </row>
    <row r="340" spans="13:19" x14ac:dyDescent="0.2">
      <c r="M340" s="434"/>
      <c r="N340" s="434"/>
      <c r="O340" s="434"/>
      <c r="P340" s="434"/>
      <c r="Q340" s="434"/>
      <c r="R340" s="434"/>
      <c r="S340" s="434"/>
    </row>
    <row r="341" spans="13:19" x14ac:dyDescent="0.2">
      <c r="M341" s="434"/>
      <c r="N341" s="434"/>
      <c r="O341" s="434"/>
      <c r="P341" s="434"/>
      <c r="Q341" s="434"/>
      <c r="R341" s="434"/>
      <c r="S341" s="434"/>
    </row>
    <row r="342" spans="13:19" x14ac:dyDescent="0.2">
      <c r="M342" s="434"/>
      <c r="N342" s="434"/>
      <c r="O342" s="434"/>
      <c r="P342" s="434"/>
      <c r="Q342" s="434"/>
      <c r="R342" s="434"/>
      <c r="S342" s="434"/>
    </row>
    <row r="343" spans="13:19" x14ac:dyDescent="0.2">
      <c r="M343" s="434"/>
      <c r="N343" s="434"/>
      <c r="O343" s="434"/>
      <c r="P343" s="434"/>
      <c r="Q343" s="434"/>
      <c r="R343" s="434"/>
      <c r="S343" s="434"/>
    </row>
    <row r="345" spans="13:19" x14ac:dyDescent="0.2">
      <c r="M345" s="279" t="s">
        <v>526</v>
      </c>
    </row>
    <row r="347" spans="13:19" x14ac:dyDescent="0.2">
      <c r="M347" s="149" t="s">
        <v>525</v>
      </c>
    </row>
    <row r="348" spans="13:19" x14ac:dyDescent="0.2">
      <c r="M348" s="434" t="s">
        <v>524</v>
      </c>
      <c r="N348" s="434"/>
      <c r="O348" s="434"/>
      <c r="P348" s="434"/>
      <c r="Q348" s="434"/>
      <c r="R348" s="434"/>
      <c r="S348" s="434"/>
    </row>
    <row r="349" spans="13:19" x14ac:dyDescent="0.2">
      <c r="M349" s="434"/>
      <c r="N349" s="434"/>
      <c r="O349" s="434"/>
      <c r="P349" s="434"/>
      <c r="Q349" s="434"/>
      <c r="R349" s="434"/>
      <c r="S349" s="434"/>
    </row>
    <row r="350" spans="13:19" x14ac:dyDescent="0.2">
      <c r="M350" s="149" t="s">
        <v>523</v>
      </c>
    </row>
    <row r="351" spans="13:19" x14ac:dyDescent="0.2">
      <c r="M351" s="434" t="s">
        <v>522</v>
      </c>
      <c r="N351" s="434"/>
      <c r="O351" s="434"/>
      <c r="P351" s="434"/>
      <c r="Q351" s="434"/>
      <c r="R351" s="434"/>
      <c r="S351" s="434"/>
    </row>
    <row r="352" spans="13:19" x14ac:dyDescent="0.2">
      <c r="M352" s="434"/>
      <c r="N352" s="434"/>
      <c r="O352" s="434"/>
      <c r="P352" s="434"/>
      <c r="Q352" s="434"/>
      <c r="R352" s="434"/>
      <c r="S352" s="434"/>
    </row>
    <row r="354" spans="13:19" x14ac:dyDescent="0.2">
      <c r="M354" s="279" t="s">
        <v>521</v>
      </c>
    </row>
    <row r="356" spans="13:19" x14ac:dyDescent="0.2">
      <c r="M356" s="149" t="s">
        <v>520</v>
      </c>
    </row>
    <row r="358" spans="13:19" x14ac:dyDescent="0.2">
      <c r="M358" s="279" t="s">
        <v>519</v>
      </c>
    </row>
    <row r="360" spans="13:19" x14ac:dyDescent="0.2">
      <c r="M360" s="434" t="s">
        <v>518</v>
      </c>
      <c r="N360" s="434"/>
      <c r="O360" s="434"/>
      <c r="P360" s="434"/>
      <c r="Q360" s="434"/>
      <c r="R360" s="434"/>
      <c r="S360" s="434"/>
    </row>
    <row r="361" spans="13:19" x14ac:dyDescent="0.2">
      <c r="M361" s="434"/>
      <c r="N361" s="434"/>
      <c r="O361" s="434"/>
      <c r="P361" s="434"/>
      <c r="Q361" s="434"/>
      <c r="R361" s="434"/>
      <c r="S361" s="434"/>
    </row>
    <row r="362" spans="13:19" x14ac:dyDescent="0.2">
      <c r="M362" s="434"/>
      <c r="N362" s="434"/>
      <c r="O362" s="434"/>
      <c r="P362" s="434"/>
      <c r="Q362" s="434"/>
      <c r="R362" s="434"/>
      <c r="S362" s="434"/>
    </row>
    <row r="364" spans="13:19" x14ac:dyDescent="0.2">
      <c r="M364" s="149" t="s">
        <v>517</v>
      </c>
    </row>
    <row r="366" spans="13:19" x14ac:dyDescent="0.2">
      <c r="M366" s="279" t="s">
        <v>516</v>
      </c>
    </row>
    <row r="368" spans="13:19" x14ac:dyDescent="0.2">
      <c r="M368" s="434" t="s">
        <v>515</v>
      </c>
      <c r="N368" s="434"/>
      <c r="O368" s="434"/>
      <c r="P368" s="434"/>
      <c r="Q368" s="434"/>
      <c r="R368" s="434"/>
      <c r="S368" s="434"/>
    </row>
    <row r="369" spans="13:19" x14ac:dyDescent="0.2">
      <c r="M369" s="434"/>
      <c r="N369" s="434"/>
      <c r="O369" s="434"/>
      <c r="P369" s="434"/>
      <c r="Q369" s="434"/>
      <c r="R369" s="434"/>
      <c r="S369" s="434"/>
    </row>
    <row r="370" spans="13:19" x14ac:dyDescent="0.2">
      <c r="M370" s="434"/>
      <c r="N370" s="434"/>
      <c r="O370" s="434"/>
      <c r="P370" s="434"/>
      <c r="Q370" s="434"/>
      <c r="R370" s="434"/>
      <c r="S370" s="434"/>
    </row>
    <row r="372" spans="13:19" x14ac:dyDescent="0.2">
      <c r="M372" s="434" t="s">
        <v>514</v>
      </c>
      <c r="N372" s="434"/>
      <c r="O372" s="434"/>
      <c r="P372" s="434"/>
      <c r="Q372" s="434"/>
      <c r="R372" s="434"/>
      <c r="S372" s="434"/>
    </row>
    <row r="373" spans="13:19" x14ac:dyDescent="0.2">
      <c r="M373" s="434"/>
      <c r="N373" s="434"/>
      <c r="O373" s="434"/>
      <c r="P373" s="434"/>
      <c r="Q373" s="434"/>
      <c r="R373" s="434"/>
      <c r="S373" s="434"/>
    </row>
    <row r="374" spans="13:19" x14ac:dyDescent="0.2">
      <c r="M374" s="434"/>
      <c r="N374" s="434"/>
      <c r="O374" s="434"/>
      <c r="P374" s="434"/>
      <c r="Q374" s="434"/>
      <c r="R374" s="434"/>
      <c r="S374" s="434"/>
    </row>
    <row r="376" spans="13:19" x14ac:dyDescent="0.2">
      <c r="M376" s="279" t="s">
        <v>513</v>
      </c>
    </row>
    <row r="378" spans="13:19" x14ac:dyDescent="0.2">
      <c r="M378" s="434" t="s">
        <v>512</v>
      </c>
      <c r="N378" s="434"/>
      <c r="O378" s="434"/>
      <c r="P378" s="434"/>
      <c r="Q378" s="434"/>
      <c r="R378" s="434"/>
      <c r="S378" s="434"/>
    </row>
    <row r="379" spans="13:19" x14ac:dyDescent="0.2">
      <c r="M379" s="434"/>
      <c r="N379" s="434"/>
      <c r="O379" s="434"/>
      <c r="P379" s="434"/>
      <c r="Q379" s="434"/>
      <c r="R379" s="434"/>
      <c r="S379" s="434"/>
    </row>
    <row r="380" spans="13:19" x14ac:dyDescent="0.2">
      <c r="M380" s="434"/>
      <c r="N380" s="434"/>
      <c r="O380" s="434"/>
      <c r="P380" s="434"/>
      <c r="Q380" s="434"/>
      <c r="R380" s="434"/>
      <c r="S380" s="434"/>
    </row>
    <row r="381" spans="13:19" x14ac:dyDescent="0.2">
      <c r="M381" s="434"/>
      <c r="N381" s="434"/>
      <c r="O381" s="434"/>
      <c r="P381" s="434"/>
      <c r="Q381" s="434"/>
      <c r="R381" s="434"/>
      <c r="S381" s="434"/>
    </row>
    <row r="382" spans="13:19" x14ac:dyDescent="0.2">
      <c r="M382" s="434"/>
      <c r="N382" s="434"/>
      <c r="O382" s="434"/>
      <c r="P382" s="434"/>
      <c r="Q382" s="434"/>
      <c r="R382" s="434"/>
      <c r="S382" s="434"/>
    </row>
    <row r="384" spans="13:19" x14ac:dyDescent="0.2">
      <c r="M384" s="279" t="s">
        <v>511</v>
      </c>
    </row>
    <row r="386" spans="13:19" x14ac:dyDescent="0.2">
      <c r="M386" s="434" t="s">
        <v>510</v>
      </c>
      <c r="N386" s="434"/>
      <c r="O386" s="434"/>
      <c r="P386" s="434"/>
      <c r="Q386" s="434"/>
      <c r="R386" s="434"/>
      <c r="S386" s="434"/>
    </row>
    <row r="387" spans="13:19" x14ac:dyDescent="0.2">
      <c r="M387" s="434"/>
      <c r="N387" s="434"/>
      <c r="O387" s="434"/>
      <c r="P387" s="434"/>
      <c r="Q387" s="434"/>
      <c r="R387" s="434"/>
      <c r="S387" s="434"/>
    </row>
    <row r="389" spans="13:19" ht="15.75" customHeight="1" x14ac:dyDescent="0.2">
      <c r="N389" s="434" t="s">
        <v>509</v>
      </c>
      <c r="O389" s="434"/>
      <c r="P389" s="434"/>
      <c r="Q389" s="434"/>
      <c r="R389" s="434"/>
      <c r="S389" s="434"/>
    </row>
    <row r="390" spans="13:19" x14ac:dyDescent="0.2">
      <c r="N390" s="434"/>
      <c r="O390" s="434"/>
      <c r="P390" s="434"/>
      <c r="Q390" s="434"/>
      <c r="R390" s="434"/>
      <c r="S390" s="434"/>
    </row>
    <row r="391" spans="13:19" x14ac:dyDescent="0.2">
      <c r="N391" s="434"/>
      <c r="O391" s="434"/>
      <c r="P391" s="434"/>
      <c r="Q391" s="434"/>
      <c r="R391" s="434"/>
      <c r="S391" s="434"/>
    </row>
    <row r="392" spans="13:19" ht="15.75" customHeight="1" x14ac:dyDescent="0.2">
      <c r="N392" s="434" t="s">
        <v>508</v>
      </c>
      <c r="O392" s="434"/>
      <c r="P392" s="434"/>
      <c r="Q392" s="434"/>
      <c r="R392" s="434"/>
      <c r="S392" s="434"/>
    </row>
    <row r="393" spans="13:19" x14ac:dyDescent="0.2">
      <c r="N393" s="434"/>
      <c r="O393" s="434"/>
      <c r="P393" s="434"/>
      <c r="Q393" s="434"/>
      <c r="R393" s="434"/>
      <c r="S393" s="434"/>
    </row>
    <row r="394" spans="13:19" x14ac:dyDescent="0.2">
      <c r="N394" s="434"/>
      <c r="O394" s="434"/>
      <c r="P394" s="434"/>
      <c r="Q394" s="434"/>
      <c r="R394" s="434"/>
      <c r="S394" s="434"/>
    </row>
    <row r="396" spans="13:19" x14ac:dyDescent="0.2">
      <c r="M396" s="279" t="s">
        <v>507</v>
      </c>
    </row>
    <row r="398" spans="13:19" x14ac:dyDescent="0.2">
      <c r="M398" s="149" t="s">
        <v>506</v>
      </c>
    </row>
    <row r="399" spans="13:19" x14ac:dyDescent="0.2">
      <c r="M399" s="149" t="s">
        <v>505</v>
      </c>
    </row>
    <row r="400" spans="13:19" x14ac:dyDescent="0.2">
      <c r="M400" s="149" t="s">
        <v>504</v>
      </c>
    </row>
    <row r="401" spans="13:19" x14ac:dyDescent="0.2">
      <c r="M401" s="149" t="s">
        <v>503</v>
      </c>
    </row>
    <row r="403" spans="13:19" x14ac:dyDescent="0.2">
      <c r="M403" s="279" t="s">
        <v>502</v>
      </c>
    </row>
    <row r="405" spans="13:19" x14ac:dyDescent="0.2">
      <c r="M405" s="219" t="s">
        <v>326</v>
      </c>
    </row>
    <row r="407" spans="13:19" x14ac:dyDescent="0.2">
      <c r="M407" s="434" t="s">
        <v>501</v>
      </c>
      <c r="N407" s="434"/>
      <c r="O407" s="434"/>
      <c r="P407" s="434"/>
      <c r="Q407" s="434"/>
      <c r="R407" s="434"/>
      <c r="S407" s="434"/>
    </row>
    <row r="408" spans="13:19" x14ac:dyDescent="0.2">
      <c r="M408" s="434"/>
      <c r="N408" s="434"/>
      <c r="O408" s="434"/>
      <c r="P408" s="434"/>
      <c r="Q408" s="434"/>
      <c r="R408" s="434"/>
      <c r="S408" s="434"/>
    </row>
    <row r="409" spans="13:19" x14ac:dyDescent="0.2">
      <c r="M409" s="434"/>
      <c r="N409" s="434"/>
      <c r="O409" s="434"/>
      <c r="P409" s="434"/>
      <c r="Q409" s="434"/>
      <c r="R409" s="434"/>
      <c r="S409" s="434"/>
    </row>
    <row r="411" spans="13:19" x14ac:dyDescent="0.2">
      <c r="M411" s="219" t="s">
        <v>316</v>
      </c>
    </row>
    <row r="413" spans="13:19" x14ac:dyDescent="0.2">
      <c r="M413" s="434" t="s">
        <v>500</v>
      </c>
      <c r="N413" s="434"/>
      <c r="O413" s="434"/>
      <c r="P413" s="434"/>
      <c r="Q413" s="434"/>
      <c r="R413" s="434"/>
      <c r="S413" s="434"/>
    </row>
    <row r="414" spans="13:19" x14ac:dyDescent="0.2">
      <c r="M414" s="434"/>
      <c r="N414" s="434"/>
      <c r="O414" s="434"/>
      <c r="P414" s="434"/>
      <c r="Q414" s="434"/>
      <c r="R414" s="434"/>
      <c r="S414" s="434"/>
    </row>
    <row r="415" spans="13:19" x14ac:dyDescent="0.2">
      <c r="M415" s="434"/>
      <c r="N415" s="434"/>
      <c r="O415" s="434"/>
      <c r="P415" s="434"/>
      <c r="Q415" s="434"/>
      <c r="R415" s="434"/>
      <c r="S415" s="434"/>
    </row>
    <row r="417" spans="13:19" x14ac:dyDescent="0.2">
      <c r="M417" s="279" t="s">
        <v>499</v>
      </c>
    </row>
    <row r="419" spans="13:19" x14ac:dyDescent="0.2">
      <c r="M419" s="434" t="s">
        <v>498</v>
      </c>
      <c r="N419" s="434"/>
      <c r="O419" s="434"/>
      <c r="P419" s="434"/>
      <c r="Q419" s="434"/>
      <c r="R419" s="434"/>
      <c r="S419" s="434"/>
    </row>
    <row r="420" spans="13:19" x14ac:dyDescent="0.2">
      <c r="M420" s="434"/>
      <c r="N420" s="434"/>
      <c r="O420" s="434"/>
      <c r="P420" s="434"/>
      <c r="Q420" s="434"/>
      <c r="R420" s="434"/>
      <c r="S420" s="434"/>
    </row>
    <row r="421" spans="13:19" x14ac:dyDescent="0.2">
      <c r="M421" s="434"/>
      <c r="N421" s="434"/>
      <c r="O421" s="434"/>
      <c r="P421" s="434"/>
      <c r="Q421" s="434"/>
      <c r="R421" s="434"/>
      <c r="S421" s="434"/>
    </row>
    <row r="422" spans="13:19" x14ac:dyDescent="0.2">
      <c r="M422" s="434"/>
      <c r="N422" s="434"/>
      <c r="O422" s="434"/>
      <c r="P422" s="434"/>
      <c r="Q422" s="434"/>
      <c r="R422" s="434"/>
      <c r="S422" s="434"/>
    </row>
    <row r="423" spans="13:19" x14ac:dyDescent="0.2">
      <c r="M423" s="434"/>
      <c r="N423" s="434"/>
      <c r="O423" s="434"/>
      <c r="P423" s="434"/>
      <c r="Q423" s="434"/>
      <c r="R423" s="434"/>
      <c r="S423" s="434"/>
    </row>
    <row r="424" spans="13:19" x14ac:dyDescent="0.2">
      <c r="M424" s="434"/>
      <c r="N424" s="434"/>
      <c r="O424" s="434"/>
      <c r="P424" s="434"/>
      <c r="Q424" s="434"/>
      <c r="R424" s="434"/>
      <c r="S424" s="434"/>
    </row>
    <row r="426" spans="13:19" x14ac:dyDescent="0.2">
      <c r="M426" s="279" t="s">
        <v>497</v>
      </c>
    </row>
    <row r="428" spans="13:19" x14ac:dyDescent="0.2">
      <c r="M428" s="219" t="s">
        <v>326</v>
      </c>
    </row>
    <row r="430" spans="13:19" x14ac:dyDescent="0.2">
      <c r="M430" s="434" t="s">
        <v>496</v>
      </c>
      <c r="N430" s="434"/>
      <c r="O430" s="434"/>
      <c r="P430" s="434"/>
      <c r="Q430" s="434"/>
      <c r="R430" s="434"/>
      <c r="S430" s="434"/>
    </row>
    <row r="431" spans="13:19" x14ac:dyDescent="0.2">
      <c r="M431" s="434"/>
      <c r="N431" s="434"/>
      <c r="O431" s="434"/>
      <c r="P431" s="434"/>
      <c r="Q431" s="434"/>
      <c r="R431" s="434"/>
      <c r="S431" s="434"/>
    </row>
    <row r="432" spans="13:19" x14ac:dyDescent="0.2">
      <c r="M432" s="434"/>
      <c r="N432" s="434"/>
      <c r="O432" s="434"/>
      <c r="P432" s="434"/>
      <c r="Q432" s="434"/>
      <c r="R432" s="434"/>
      <c r="S432" s="434"/>
    </row>
    <row r="433" spans="13:19" x14ac:dyDescent="0.2">
      <c r="M433" s="434"/>
      <c r="N433" s="434"/>
      <c r="O433" s="434"/>
      <c r="P433" s="434"/>
      <c r="Q433" s="434"/>
      <c r="R433" s="434"/>
      <c r="S433" s="434"/>
    </row>
    <row r="435" spans="13:19" x14ac:dyDescent="0.2">
      <c r="M435" s="434" t="s">
        <v>495</v>
      </c>
      <c r="N435" s="434"/>
      <c r="O435" s="434"/>
      <c r="P435" s="434"/>
      <c r="Q435" s="434"/>
      <c r="R435" s="434"/>
      <c r="S435" s="434"/>
    </row>
    <row r="436" spans="13:19" x14ac:dyDescent="0.2">
      <c r="M436" s="434"/>
      <c r="N436" s="434"/>
      <c r="O436" s="434"/>
      <c r="P436" s="434"/>
      <c r="Q436" s="434"/>
      <c r="R436" s="434"/>
      <c r="S436" s="434"/>
    </row>
    <row r="437" spans="13:19" x14ac:dyDescent="0.2">
      <c r="M437" s="434"/>
      <c r="N437" s="434"/>
      <c r="O437" s="434"/>
      <c r="P437" s="434"/>
      <c r="Q437" s="434"/>
      <c r="R437" s="434"/>
      <c r="S437" s="434"/>
    </row>
    <row r="439" spans="13:19" x14ac:dyDescent="0.2">
      <c r="M439" s="219" t="s">
        <v>316</v>
      </c>
    </row>
    <row r="441" spans="13:19" x14ac:dyDescent="0.2">
      <c r="M441" s="149" t="s">
        <v>494</v>
      </c>
    </row>
    <row r="443" spans="13:19" x14ac:dyDescent="0.2">
      <c r="N443" s="149" t="s">
        <v>493</v>
      </c>
    </row>
    <row r="444" spans="13:19" x14ac:dyDescent="0.2">
      <c r="N444" s="149" t="s">
        <v>492</v>
      </c>
    </row>
    <row r="446" spans="13:19" x14ac:dyDescent="0.2">
      <c r="M446" s="149" t="s">
        <v>491</v>
      </c>
    </row>
    <row r="448" spans="13:19" x14ac:dyDescent="0.2">
      <c r="N448" s="149" t="s">
        <v>490</v>
      </c>
    </row>
    <row r="449" spans="14:14" x14ac:dyDescent="0.2">
      <c r="N449" s="149" t="s">
        <v>489</v>
      </c>
    </row>
  </sheetData>
  <mergeCells count="81">
    <mergeCell ref="M297:S298"/>
    <mergeCell ref="M430:S433"/>
    <mergeCell ref="N331:S333"/>
    <mergeCell ref="N334:S335"/>
    <mergeCell ref="M339:S343"/>
    <mergeCell ref="M348:S349"/>
    <mergeCell ref="M407:S409"/>
    <mergeCell ref="M413:S415"/>
    <mergeCell ref="M419:S424"/>
    <mergeCell ref="M300:S301"/>
    <mergeCell ref="M307:S309"/>
    <mergeCell ref="M313:S315"/>
    <mergeCell ref="N327:S328"/>
    <mergeCell ref="N329:S330"/>
    <mergeCell ref="M435:S437"/>
    <mergeCell ref="M386:S387"/>
    <mergeCell ref="N389:S391"/>
    <mergeCell ref="N392:S394"/>
    <mergeCell ref="M351:S352"/>
    <mergeCell ref="M360:S362"/>
    <mergeCell ref="M368:S370"/>
    <mergeCell ref="M372:S374"/>
    <mergeCell ref="M378:S382"/>
    <mergeCell ref="B245:I246"/>
    <mergeCell ref="M280:S281"/>
    <mergeCell ref="M285:S287"/>
    <mergeCell ref="N259:S260"/>
    <mergeCell ref="N261:S262"/>
    <mergeCell ref="N263:S264"/>
    <mergeCell ref="N271:S272"/>
    <mergeCell ref="N269:S270"/>
    <mergeCell ref="N273:S274"/>
    <mergeCell ref="N275:S276"/>
    <mergeCell ref="M224:S229"/>
    <mergeCell ref="M233:S238"/>
    <mergeCell ref="N257:S258"/>
    <mergeCell ref="M212:S213"/>
    <mergeCell ref="N162:S164"/>
    <mergeCell ref="N168:S171"/>
    <mergeCell ref="M177:S179"/>
    <mergeCell ref="M181:S182"/>
    <mergeCell ref="M192:S197"/>
    <mergeCell ref="M201:S204"/>
    <mergeCell ref="M132:S133"/>
    <mergeCell ref="M137:S138"/>
    <mergeCell ref="M145:S146"/>
    <mergeCell ref="M150:S151"/>
    <mergeCell ref="N157:S158"/>
    <mergeCell ref="B170:I172"/>
    <mergeCell ref="B196:I197"/>
    <mergeCell ref="B114:I115"/>
    <mergeCell ref="B120:I122"/>
    <mergeCell ref="B125:I127"/>
    <mergeCell ref="B137:I138"/>
    <mergeCell ref="B161:I162"/>
    <mergeCell ref="M28:S29"/>
    <mergeCell ref="M30:S31"/>
    <mergeCell ref="M66:S67"/>
    <mergeCell ref="M73:S75"/>
    <mergeCell ref="M76:S77"/>
    <mergeCell ref="B14:I15"/>
    <mergeCell ref="B23:I24"/>
    <mergeCell ref="M7:S8"/>
    <mergeCell ref="M19:S22"/>
    <mergeCell ref="M26:S27"/>
    <mergeCell ref="B84:I85"/>
    <mergeCell ref="B100:I101"/>
    <mergeCell ref="B110:I111"/>
    <mergeCell ref="B223:I224"/>
    <mergeCell ref="M38:S39"/>
    <mergeCell ref="M40:S41"/>
    <mergeCell ref="M50:S52"/>
    <mergeCell ref="M61:S62"/>
    <mergeCell ref="M81:S84"/>
    <mergeCell ref="C212:D212"/>
    <mergeCell ref="M90:S91"/>
    <mergeCell ref="M95:S98"/>
    <mergeCell ref="M100:S104"/>
    <mergeCell ref="M108:S109"/>
    <mergeCell ref="M121:S123"/>
    <mergeCell ref="B209:I2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35</vt:i4>
      </vt:variant>
      <vt:variant>
        <vt:lpstr>Named Ranges</vt:lpstr>
      </vt:variant>
      <vt:variant>
        <vt:i4>1</vt:i4>
      </vt:variant>
    </vt:vector>
  </HeadingPairs>
  <TitlesOfParts>
    <vt:vector size="36" baseType="lpstr">
      <vt:lpstr>Overview</vt:lpstr>
      <vt:lpstr>Q #1</vt:lpstr>
      <vt:lpstr>Q #2</vt:lpstr>
      <vt:lpstr>Q #3</vt:lpstr>
      <vt:lpstr>Q #4</vt:lpstr>
      <vt:lpstr>Q #5</vt:lpstr>
      <vt:lpstr>Q #6</vt:lpstr>
      <vt:lpstr>Q #7</vt:lpstr>
      <vt:lpstr>Q #8</vt:lpstr>
      <vt:lpstr>Q #9</vt:lpstr>
      <vt:lpstr>Q #10</vt:lpstr>
      <vt:lpstr>Q #11</vt:lpstr>
      <vt:lpstr>Q #12</vt:lpstr>
      <vt:lpstr>Q #13</vt:lpstr>
      <vt:lpstr>Q #14</vt:lpstr>
      <vt:lpstr>Q #15</vt:lpstr>
      <vt:lpstr>Q #16</vt:lpstr>
      <vt:lpstr>Q #17</vt:lpstr>
      <vt:lpstr>Q #18</vt:lpstr>
      <vt:lpstr>Q #19</vt:lpstr>
      <vt:lpstr>2013 #7</vt:lpstr>
      <vt:lpstr>2014 #7</vt:lpstr>
      <vt:lpstr>2014 #9</vt:lpstr>
      <vt:lpstr>2015 #10</vt:lpstr>
      <vt:lpstr>2015 #11</vt:lpstr>
      <vt:lpstr>2016 #12</vt:lpstr>
      <vt:lpstr>2016 #13</vt:lpstr>
      <vt:lpstr>2016 #14</vt:lpstr>
      <vt:lpstr>2017 #10</vt:lpstr>
      <vt:lpstr>2017 #12</vt:lpstr>
      <vt:lpstr>2018 #1</vt:lpstr>
      <vt:lpstr>2018 #11</vt:lpstr>
      <vt:lpstr>2018 #13</vt:lpstr>
      <vt:lpstr>2019 #10</vt:lpstr>
      <vt:lpstr>Essay Problems</vt:lpstr>
      <vt:lpstr>WeightMatrix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2026-08-31T12:34:23Z</dcterms:modified>
</cp:coreProperties>
</file>