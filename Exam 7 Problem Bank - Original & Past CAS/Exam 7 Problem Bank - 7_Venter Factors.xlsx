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Problem Bank/Exam 7 Problem Bank - Original &amp; Past CAS/"/>
    </mc:Choice>
  </mc:AlternateContent>
  <xr:revisionPtr revIDLastSave="0" documentId="13_ncr:1_{171CFFFF-85CE-A84D-B4EE-0714C619EB13}" xr6:coauthVersionLast="47" xr6:coauthVersionMax="47" xr10:uidLastSave="{00000000-0000-0000-0000-000000000000}"/>
  <bookViews>
    <workbookView xWindow="2760" yWindow="500" windowWidth="26420" windowHeight="19220" xr2:uid="{B2F629C4-F532-0048-94B5-6129BC4B4200}"/>
  </bookViews>
  <sheets>
    <sheet name="Overview" sheetId="9" r:id="rId1"/>
    <sheet name="Q #1" sheetId="1" r:id="rId2"/>
    <sheet name="Q #2" sheetId="2" r:id="rId3"/>
    <sheet name="Q #3" sheetId="3" r:id="rId4"/>
    <sheet name="Q #4" sheetId="4" r:id="rId5"/>
    <sheet name="Q #5" sheetId="5" r:id="rId6"/>
    <sheet name="Q #6" sheetId="6" r:id="rId7"/>
    <sheet name="Q #7" sheetId="7" r:id="rId8"/>
    <sheet name="Q #8" sheetId="8" r:id="rId9"/>
    <sheet name="Q #9" sheetId="10" r:id="rId10"/>
    <sheet name="Q #10" sheetId="11" r:id="rId11"/>
    <sheet name="Q #11" sheetId="12" r:id="rId12"/>
    <sheet name="Q #12" sheetId="13" r:id="rId13"/>
    <sheet name="Q #13" sheetId="25" r:id="rId14"/>
    <sheet name="Q #14" sheetId="15" r:id="rId15"/>
    <sheet name="Q #15" sheetId="23" r:id="rId16"/>
    <sheet name="Q #16" sheetId="24" r:id="rId17"/>
    <sheet name="Essay Problems" sheetId="16" r:id="rId18"/>
    <sheet name="2011 #4" sheetId="17" r:id="rId19"/>
    <sheet name="2014 #4" sheetId="18" r:id="rId20"/>
    <sheet name="2015 #5" sheetId="19" r:id="rId21"/>
    <sheet name="2016 #6" sheetId="20" r:id="rId22"/>
    <sheet name="2018 #9" sheetId="21" r:id="rId23"/>
    <sheet name="2018 #10" sheetId="22"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5" i="25" l="1"/>
  <c r="O6" i="25"/>
  <c r="O8" i="25"/>
  <c r="O17" i="25"/>
  <c r="O20" i="25" s="1"/>
  <c r="O18" i="25"/>
  <c r="O24" i="25"/>
  <c r="O27" i="25" s="1"/>
  <c r="O25" i="25"/>
  <c r="N46" i="25"/>
  <c r="O46" i="25"/>
  <c r="P46" i="25"/>
  <c r="Q47" i="25"/>
  <c r="Q48" i="25" s="1"/>
  <c r="M54" i="25"/>
  <c r="M55" i="25"/>
  <c r="M56" i="25"/>
  <c r="M57" i="25"/>
  <c r="M63" i="25"/>
  <c r="M64" i="25"/>
  <c r="M65" i="25"/>
  <c r="M66" i="25"/>
  <c r="P16" i="24"/>
  <c r="O16" i="24"/>
  <c r="N16" i="24"/>
  <c r="P15" i="24"/>
  <c r="O15" i="24"/>
  <c r="N15" i="24"/>
  <c r="P14" i="24"/>
  <c r="O14" i="24"/>
  <c r="N14" i="24"/>
  <c r="M53" i="23"/>
  <c r="M52" i="23"/>
  <c r="M51" i="23"/>
  <c r="M50" i="23"/>
  <c r="N10" i="23"/>
  <c r="O9" i="23"/>
  <c r="N9" i="23"/>
  <c r="P13" i="23" s="1"/>
  <c r="N8" i="23"/>
  <c r="O8" i="23" s="1"/>
  <c r="O13" i="23" s="1"/>
  <c r="M16" i="4"/>
  <c r="M7" i="22"/>
  <c r="N7" i="22"/>
  <c r="M8" i="22"/>
  <c r="N8" i="22" s="1"/>
  <c r="M9" i="22"/>
  <c r="N9" i="22"/>
  <c r="M10" i="22"/>
  <c r="N10" i="22"/>
  <c r="M12" i="22"/>
  <c r="M14" i="22" a="1"/>
  <c r="M14" i="22"/>
  <c r="M15" i="22"/>
  <c r="N44" i="22" a="1"/>
  <c r="N44" i="22"/>
  <c r="M7" i="20"/>
  <c r="N7" i="20"/>
  <c r="M8" i="20"/>
  <c r="N8" i="20"/>
  <c r="M9" i="20"/>
  <c r="N9" i="20"/>
  <c r="M11" i="20"/>
  <c r="M13" i="20"/>
  <c r="M15" i="20"/>
  <c r="L32" i="20"/>
  <c r="M32" i="20"/>
  <c r="N32" i="20"/>
  <c r="P32" i="20"/>
  <c r="Q32" i="20"/>
  <c r="R32" i="20"/>
  <c r="R34" i="20" s="1"/>
  <c r="N43" i="20" s="1"/>
  <c r="O43" i="20" s="1"/>
  <c r="L33" i="20"/>
  <c r="N33" i="20" s="1"/>
  <c r="N35" i="20" s="1"/>
  <c r="N42" i="20" s="1"/>
  <c r="O42" i="20" s="1"/>
  <c r="M45" i="20" s="1"/>
  <c r="M33" i="20"/>
  <c r="P33" i="20"/>
  <c r="Q33" i="20"/>
  <c r="R33" i="20"/>
  <c r="L34" i="20"/>
  <c r="M34" i="20"/>
  <c r="N34" i="20"/>
  <c r="L5" i="19"/>
  <c r="M5" i="19"/>
  <c r="M10" i="19" s="1"/>
  <c r="M11" i="19" s="1"/>
  <c r="L6" i="19"/>
  <c r="M6" i="19"/>
  <c r="L7" i="19"/>
  <c r="M7" i="19"/>
  <c r="L8" i="19"/>
  <c r="M8" i="19"/>
  <c r="M13" i="19"/>
  <c r="M8" i="18"/>
  <c r="N8" i="18"/>
  <c r="O8" i="18"/>
  <c r="M9" i="18"/>
  <c r="N9" i="18"/>
  <c r="O9" i="18"/>
  <c r="N13" i="18" s="1"/>
  <c r="N14" i="18" s="1"/>
  <c r="M10" i="18"/>
  <c r="N10" i="18"/>
  <c r="O10" i="18"/>
  <c r="M11" i="18"/>
  <c r="N11" i="18"/>
  <c r="O11" i="18"/>
  <c r="N16" i="18"/>
  <c r="N17" i="18"/>
  <c r="Q9" i="17"/>
  <c r="R9" i="17"/>
  <c r="S9" i="17"/>
  <c r="T9" i="17"/>
  <c r="U9" i="17"/>
  <c r="V9" i="17"/>
  <c r="V22" i="17"/>
  <c r="W22" i="17"/>
  <c r="V23" i="17"/>
  <c r="W23" i="17"/>
  <c r="R33" i="17" s="1"/>
  <c r="V24" i="17"/>
  <c r="W24" i="17"/>
  <c r="V25" i="17"/>
  <c r="W25" i="17"/>
  <c r="V26" i="17"/>
  <c r="W26" i="17"/>
  <c r="V27" i="17"/>
  <c r="W27" i="17"/>
  <c r="V28" i="17"/>
  <c r="W28" i="17"/>
  <c r="V29" i="17"/>
  <c r="W29" i="17"/>
  <c r="V30" i="17"/>
  <c r="W30" i="17"/>
  <c r="P47" i="25" l="1"/>
  <c r="P51" i="23"/>
  <c r="P50" i="23"/>
  <c r="O51" i="23"/>
  <c r="O52" i="23"/>
  <c r="O50" i="23"/>
  <c r="O10" i="23"/>
  <c r="Q13" i="23" s="1"/>
  <c r="O16" i="22"/>
  <c r="M16" i="22" a="1"/>
  <c r="M16" i="22" s="1"/>
  <c r="M17" i="22" s="1"/>
  <c r="O11" i="15"/>
  <c r="O15" i="15"/>
  <c r="O19" i="15"/>
  <c r="O25" i="15"/>
  <c r="N33" i="15"/>
  <c r="N34" i="15"/>
  <c r="O36" i="15"/>
  <c r="M6" i="12"/>
  <c r="N6" i="12"/>
  <c r="M7" i="12"/>
  <c r="N7" i="12"/>
  <c r="M8" i="12"/>
  <c r="N8" i="12"/>
  <c r="M9" i="12"/>
  <c r="O9" i="12"/>
  <c r="M10" i="12"/>
  <c r="O10" i="12"/>
  <c r="M11" i="12"/>
  <c r="M27" i="12" s="1"/>
  <c r="P11" i="12"/>
  <c r="M22" i="12"/>
  <c r="M23" i="12"/>
  <c r="M24" i="12"/>
  <c r="M25" i="12"/>
  <c r="M26" i="12"/>
  <c r="N7" i="11"/>
  <c r="O7" i="11"/>
  <c r="N8" i="11"/>
  <c r="O8" i="11"/>
  <c r="N9" i="11"/>
  <c r="O9" i="11"/>
  <c r="N13" i="11"/>
  <c r="N15" i="11" s="1"/>
  <c r="N16" i="11"/>
  <c r="N23" i="11"/>
  <c r="N30" i="11"/>
  <c r="N31" i="11"/>
  <c r="N33" i="11"/>
  <c r="P48" i="25" l="1"/>
  <c r="O47" i="25"/>
  <c r="Q50" i="23"/>
  <c r="N13" i="23"/>
  <c r="R19" i="8"/>
  <c r="R18" i="8"/>
  <c r="R17" i="8"/>
  <c r="N9" i="7"/>
  <c r="N14" i="7" s="1"/>
  <c r="N23" i="7" s="1"/>
  <c r="O8" i="7"/>
  <c r="N8" i="7"/>
  <c r="P7" i="7"/>
  <c r="O7" i="7"/>
  <c r="N7" i="7"/>
  <c r="O48" i="25" l="1"/>
  <c r="N47" i="25"/>
  <c r="N48" i="25" s="1"/>
  <c r="N49" i="25" s="1"/>
  <c r="N54" i="25" s="1"/>
  <c r="P49" i="25"/>
  <c r="P54" i="25" s="1"/>
  <c r="P55" i="25" s="1"/>
  <c r="Q49" i="25"/>
  <c r="Q54" i="25" s="1"/>
  <c r="N86" i="23"/>
  <c r="N51" i="23"/>
  <c r="N23" i="23"/>
  <c r="N89" i="23"/>
  <c r="N53" i="23"/>
  <c r="N22" i="23"/>
  <c r="N88" i="23"/>
  <c r="N87" i="23"/>
  <c r="N50" i="23"/>
  <c r="N52" i="23"/>
  <c r="N21" i="23"/>
  <c r="N20" i="23"/>
  <c r="N13" i="7"/>
  <c r="N22" i="7" s="1"/>
  <c r="N12" i="7"/>
  <c r="O22" i="7"/>
  <c r="Q27" i="6"/>
  <c r="O13" i="6"/>
  <c r="P13" i="6"/>
  <c r="P8" i="6" s="1"/>
  <c r="P19" i="6" s="1"/>
  <c r="Q13" i="6"/>
  <c r="R13" i="6"/>
  <c r="N13" i="6"/>
  <c r="S11" i="6"/>
  <c r="S10" i="6"/>
  <c r="S9" i="6"/>
  <c r="S8" i="6"/>
  <c r="S7" i="6"/>
  <c r="N55" i="25" l="1"/>
  <c r="N56" i="25" s="1"/>
  <c r="N57" i="25" s="1"/>
  <c r="O49" i="25"/>
  <c r="O54" i="25" s="1"/>
  <c r="O55" i="25" s="1"/>
  <c r="O56" i="25" s="1"/>
  <c r="Q29" i="23"/>
  <c r="P29" i="23"/>
  <c r="O29" i="23"/>
  <c r="N29" i="23"/>
  <c r="N55" i="23"/>
  <c r="N96" i="23"/>
  <c r="Q96" i="23"/>
  <c r="P96" i="23"/>
  <c r="O96" i="23"/>
  <c r="O10" i="6"/>
  <c r="O21" i="6" s="1"/>
  <c r="Q8" i="6"/>
  <c r="Q19" i="6" s="1"/>
  <c r="P9" i="6"/>
  <c r="P20" i="6" s="1"/>
  <c r="O8" i="6"/>
  <c r="O19" i="6" s="1"/>
  <c r="O7" i="6"/>
  <c r="O18" i="6" s="1"/>
  <c r="R7" i="6"/>
  <c r="R18" i="6" s="1"/>
  <c r="Q7" i="6"/>
  <c r="Q18" i="6" s="1"/>
  <c r="P7" i="6"/>
  <c r="P18" i="6" s="1"/>
  <c r="O21" i="7"/>
  <c r="O26" i="7" s="1"/>
  <c r="N21" i="7"/>
  <c r="N26" i="7" s="1"/>
  <c r="P21" i="7"/>
  <c r="P26" i="7" s="1"/>
  <c r="O9" i="6"/>
  <c r="O20" i="6" s="1"/>
  <c r="N59" i="25" l="1"/>
  <c r="T88" i="23"/>
  <c r="P102" i="23" s="1"/>
  <c r="T89" i="23"/>
  <c r="Q102" i="23" s="1"/>
  <c r="T87" i="23"/>
  <c r="O102" i="23" s="1"/>
  <c r="T86" i="23"/>
  <c r="N58" i="23"/>
  <c r="N61" i="23"/>
  <c r="N60" i="23"/>
  <c r="N59" i="23"/>
  <c r="T23" i="23"/>
  <c r="Q36" i="23" s="1"/>
  <c r="T22" i="23"/>
  <c r="P36" i="23" s="1"/>
  <c r="T21" i="23"/>
  <c r="O36" i="23" s="1"/>
  <c r="T20" i="23"/>
  <c r="N30" i="7"/>
  <c r="N24" i="6"/>
  <c r="Q26" i="6"/>
  <c r="N28" i="6" s="1"/>
  <c r="P20" i="4"/>
  <c r="O19" i="4"/>
  <c r="O18" i="4"/>
  <c r="N16" i="4"/>
  <c r="N17" i="4"/>
  <c r="N15" i="4"/>
  <c r="M20" i="4"/>
  <c r="M19" i="4"/>
  <c r="M18" i="4"/>
  <c r="M17" i="4"/>
  <c r="M15" i="4"/>
  <c r="M7" i="3"/>
  <c r="M9" i="3"/>
  <c r="M14" i="3" s="1"/>
  <c r="N8" i="3"/>
  <c r="M8" i="3"/>
  <c r="M13" i="3" s="1"/>
  <c r="O7" i="3"/>
  <c r="N7" i="3"/>
  <c r="N63" i="25" l="1"/>
  <c r="N64" i="25"/>
  <c r="N65" i="25"/>
  <c r="N66" i="25"/>
  <c r="W29" i="23"/>
  <c r="Q37" i="23" s="1"/>
  <c r="V29" i="23"/>
  <c r="P37" i="23" s="1"/>
  <c r="U29" i="23"/>
  <c r="O37" i="23" s="1"/>
  <c r="T29" i="23"/>
  <c r="N37" i="23" s="1"/>
  <c r="N36" i="23"/>
  <c r="N102" i="23"/>
  <c r="V96" i="23"/>
  <c r="P103" i="23" s="1"/>
  <c r="U96" i="23"/>
  <c r="O103" i="23" s="1"/>
  <c r="W96" i="23"/>
  <c r="Q103" i="23" s="1"/>
  <c r="T96" i="23"/>
  <c r="N103" i="23" s="1"/>
  <c r="N74" i="23"/>
  <c r="O74" i="23" s="1"/>
  <c r="P74" i="23" s="1"/>
  <c r="Q74" i="23" s="1"/>
  <c r="P66" i="23"/>
  <c r="P75" i="23" s="1"/>
  <c r="O66" i="23"/>
  <c r="O75" i="23" s="1"/>
  <c r="Q66" i="23"/>
  <c r="Q75" i="23" s="1"/>
  <c r="N66" i="23"/>
  <c r="N75" i="23" s="1"/>
  <c r="M12" i="3"/>
  <c r="M21" i="3" s="1"/>
  <c r="Q32" i="3"/>
  <c r="Q33" i="3"/>
  <c r="N22" i="3"/>
  <c r="M22" i="3"/>
  <c r="Q34" i="3"/>
  <c r="M23" i="3"/>
  <c r="O21" i="3"/>
  <c r="O26" i="3" s="1"/>
  <c r="O36" i="3" s="1"/>
  <c r="N21" i="3"/>
  <c r="M2" i="2"/>
  <c r="N2" i="2"/>
  <c r="O3" i="2"/>
  <c r="O4" i="2" s="1"/>
  <c r="O71" i="25" l="1"/>
  <c r="P71" i="25"/>
  <c r="O75" i="25" s="1"/>
  <c r="Q71" i="25"/>
  <c r="O76" i="25" s="1"/>
  <c r="N71" i="25"/>
  <c r="M26" i="3"/>
  <c r="M36" i="3"/>
  <c r="N26" i="3"/>
  <c r="N36" i="3" s="1"/>
  <c r="O34" i="3"/>
  <c r="O33" i="3"/>
  <c r="N3" i="2"/>
  <c r="M3" i="2" s="1"/>
  <c r="N4" i="2"/>
  <c r="M17" i="1"/>
  <c r="M16" i="1"/>
  <c r="M8" i="1"/>
  <c r="L8" i="1"/>
  <c r="M7" i="1"/>
  <c r="M10" i="1" s="1"/>
  <c r="M14" i="1" s="1"/>
  <c r="L7" i="1"/>
  <c r="M6" i="1"/>
  <c r="L6" i="1"/>
  <c r="M5" i="1"/>
  <c r="L5" i="1"/>
  <c r="M4" i="1"/>
  <c r="L4" i="1"/>
  <c r="O78" i="25" l="1"/>
  <c r="N34" i="3"/>
  <c r="M38" i="3" s="1"/>
  <c r="M4" i="2"/>
  <c r="M5" i="2" s="1"/>
  <c r="M10" i="2" s="1"/>
  <c r="O5" i="2"/>
  <c r="O10" i="2" s="1"/>
  <c r="M19" i="2" l="1"/>
  <c r="Q34" i="2" s="1"/>
  <c r="N5" i="2"/>
  <c r="N10" i="2" s="1"/>
  <c r="M18" i="2" s="1"/>
  <c r="Q33" i="2" s="1"/>
  <c r="M17" i="2" l="1"/>
  <c r="N25" i="2" s="1"/>
  <c r="N36" i="2" s="1"/>
  <c r="N34" i="2" s="1"/>
  <c r="M25" i="2"/>
  <c r="M36" i="2" s="1"/>
  <c r="M34" i="2" s="1"/>
  <c r="Q32" i="2"/>
  <c r="O25" i="2" l="1"/>
  <c r="O36" i="2" s="1"/>
  <c r="O34" i="2" s="1"/>
  <c r="O32" i="2"/>
  <c r="O33" i="2"/>
  <c r="M38" i="2"/>
  <c r="N32" i="2"/>
  <c r="M32" i="2"/>
  <c r="M33" i="2"/>
  <c r="N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N23" authorId="0" shapeId="0" xr:uid="{9318227C-04C2-BC48-B91B-E6037345DEF3}">
      <text>
        <r>
          <rPr>
            <b/>
            <sz val="10"/>
            <color rgb="FF000000"/>
            <rFont val="Tahoma"/>
            <family val="2"/>
          </rPr>
          <t>Rising Fellow:</t>
        </r>
        <r>
          <rPr>
            <sz val="10"/>
            <color rgb="FF000000"/>
            <rFont val="Tahoma"/>
            <family val="2"/>
          </rPr>
          <t xml:space="preserve">
</t>
        </r>
        <r>
          <rPr>
            <sz val="10"/>
            <color rgb="FF000000"/>
            <rFont val="Tahoma"/>
            <family val="2"/>
          </rPr>
          <t>A 10x10 triangle will result in a 9x9 LDF triangle. For the Venter Factor test, all columns need to have at least 3 LDFs. The last two columns can't be used and only 7 (10 - 3) LDF columns can be used to select column-pairs.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M16" authorId="0" shapeId="0" xr:uid="{3180B8A1-36DF-CD49-8DF9-8488335EECEE}">
      <text>
        <r>
          <rPr>
            <b/>
            <sz val="10"/>
            <color rgb="FF000000"/>
            <rFont val="Tahoma"/>
            <family val="2"/>
          </rPr>
          <t>Rising Fellow:</t>
        </r>
        <r>
          <rPr>
            <sz val="10"/>
            <color rgb="FF000000"/>
            <rFont val="Tahoma"/>
            <family val="2"/>
          </rPr>
          <t xml:space="preserve">
</t>
        </r>
        <r>
          <rPr>
            <sz val="10"/>
            <color rgb="FF000000"/>
            <rFont val="Tahoma"/>
            <family val="2"/>
          </rPr>
          <t>This is calculated with what's called an array formula. It's a nice shortcut to calculate a complex calculation that uses arrays.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<sst xmlns="http://schemas.openxmlformats.org/spreadsheetml/2006/main" count="1012" uniqueCount="590">
  <si>
    <t>a.</t>
  </si>
  <si>
    <t>b.</t>
  </si>
  <si>
    <t>c.</t>
  </si>
  <si>
    <t>Part a</t>
  </si>
  <si>
    <t>Part b</t>
  </si>
  <si>
    <t>Part c</t>
  </si>
  <si>
    <t>Given the following information:</t>
  </si>
  <si>
    <t>Accident Year</t>
  </si>
  <si>
    <t>12-24 Months</t>
  </si>
  <si>
    <t>24-36 Months</t>
  </si>
  <si>
    <t>36-48 Months</t>
  </si>
  <si>
    <t>48-60 Months</t>
  </si>
  <si>
    <t>60-72 Months</t>
  </si>
  <si>
    <t>72-84 Months</t>
  </si>
  <si>
    <t>Age-to-Age Factors</t>
  </si>
  <si>
    <t>Degrees of Freedom</t>
  </si>
  <si>
    <t>t-statistic for 0.95</t>
  </si>
  <si>
    <t>Using the Venter correlation test at the 10% t-statistic significance level, test the null hypothesis that the</t>
  </si>
  <si>
    <t>age-to-age factors from 12-24 months and 24-36 months are independent.</t>
  </si>
  <si>
    <t>X</t>
  </si>
  <si>
    <t>(12-24mo)</t>
  </si>
  <si>
    <t>Y</t>
  </si>
  <si>
    <t>(24-36mo)</t>
  </si>
  <si>
    <t>T = r * sqrt((n-2) / (1-r^2))</t>
  </si>
  <si>
    <t>T =</t>
  </si>
  <si>
    <t xml:space="preserve">DoF = </t>
  </si>
  <si>
    <t xml:space="preserve">t_3, 5% = </t>
  </si>
  <si>
    <t>Reject the null hypothesis that the age-to-age factors are independent.</t>
  </si>
  <si>
    <t xml:space="preserve">3.656 &gt; 2.353, so T is significant at the 10% level using a 2-tailed test. </t>
  </si>
  <si>
    <t xml:space="preserve">Correlation = </t>
  </si>
  <si>
    <t>12 Months</t>
  </si>
  <si>
    <t>24 Months</t>
  </si>
  <si>
    <t>36 Months</t>
  </si>
  <si>
    <t>Incremental Losses</t>
  </si>
  <si>
    <t>There is no further loss development after 36 Months.</t>
  </si>
  <si>
    <t>Calculate the estimated loss reserve for 2016 using the parameterized BF model after 1 iteration of h(w) and f(d).</t>
  </si>
  <si>
    <t>LDF</t>
  </si>
  <si>
    <t>CDF</t>
  </si>
  <si>
    <t>% Paid</t>
  </si>
  <si>
    <t>Inc % Paid</t>
  </si>
  <si>
    <t>d</t>
  </si>
  <si>
    <t>f(d)</t>
  </si>
  <si>
    <t>w</t>
  </si>
  <si>
    <t>Calculate New Column Factors, f(d)</t>
  </si>
  <si>
    <t>Estimate Incremental Losses Using Row and Column Factors</t>
  </si>
  <si>
    <t>AY</t>
  </si>
  <si>
    <t>h(w)</t>
  </si>
  <si>
    <t>Set Initial Column Factors, f(d), based  on incremental % paid</t>
  </si>
  <si>
    <t>h(w) = sum(f(d) * IncLoss_w,d) / sum(f(d)^2)</t>
  </si>
  <si>
    <t>Calculate Row factors, h(w):</t>
  </si>
  <si>
    <t>f(d) = sum(h(w) * IncLoss_w,d) / sum(h(w)^2)</t>
  </si>
  <si>
    <t>E[IncLoss_w,d] = f(d) * h(w)</t>
  </si>
  <si>
    <t>Resv(2016) =</t>
  </si>
  <si>
    <t>Given the following information as of December 31, 2016:</t>
  </si>
  <si>
    <t>Development</t>
  </si>
  <si>
    <t>Period(d)</t>
  </si>
  <si>
    <t>(12 Months)</t>
  </si>
  <si>
    <t>(24 Months)</t>
  </si>
  <si>
    <t>(36 Months)</t>
  </si>
  <si>
    <t>Calculate the estimated ultimate loss for accident year 2016 using the factor times parameter model after 1 iteration.</t>
  </si>
  <si>
    <t>h(w)^2 = sum[IncLoss_w,d^2 / f(d) ] / sum(f(d))</t>
  </si>
  <si>
    <t>f(d)^2 = sum[IncLoss_w,d^2 / h(w) ] / sum(h(w))</t>
  </si>
  <si>
    <t>(Incremental Losses)^2/f(d)</t>
  </si>
  <si>
    <t>(Incremental Losses)^2/h(w)</t>
  </si>
  <si>
    <t>48 Months</t>
  </si>
  <si>
    <t>Set up a table of the data that can be used in a multivariate regression model to test for diagonal effects.</t>
  </si>
  <si>
    <t>Discuss how to run the model and how to interpret the results to test the appropriateness of the</t>
  </si>
  <si>
    <t>chain ladder method.</t>
  </si>
  <si>
    <t>Cumulative Losses</t>
  </si>
  <si>
    <t>IncLoss</t>
  </si>
  <si>
    <t>CumLoss</t>
  </si>
  <si>
    <t>Age 0</t>
  </si>
  <si>
    <t>Age 1</t>
  </si>
  <si>
    <t>Age 2</t>
  </si>
  <si>
    <t>Dummy 1</t>
  </si>
  <si>
    <t>Dummy 2</t>
  </si>
  <si>
    <t>-</t>
  </si>
  <si>
    <t>Run the regression:</t>
  </si>
  <si>
    <t>If any of the coefficients for the dummy variables are significant, then there are diagonal effects in the data.</t>
  </si>
  <si>
    <t>Identify the three original Mack assumptions regarding the Chain Ladder Method.</t>
  </si>
  <si>
    <t>Briefly describe three testable implications of the Mack assumptions according to Venter Factors.</t>
  </si>
  <si>
    <t>For each of the implications in part b, briefly discuss how the implication could be tested.</t>
  </si>
  <si>
    <t>E[q(w,d+1)] = f(d) * c(w,d)</t>
  </si>
  <si>
    <t>1.     The f(d) factor, the LDF, is significant</t>
  </si>
  <si>
    <t>2.     The factor model is linear</t>
  </si>
  <si>
    <t>3.     There are no particularly high or low diagonals</t>
  </si>
  <si>
    <t>Test if the factor parameter is significant by seeing if the absolute value is greater than twice the standard deviation of the parameter.</t>
  </si>
  <si>
    <t>1.    Run a linear regression of incremental losses vs. prior cumulative losses.</t>
  </si>
  <si>
    <t xml:space="preserve">2.    Create a residual plot against the prior cumulative loss. </t>
  </si>
  <si>
    <t>If there is a pattern in the residuals (e.g. positive-negative-positive), this is evidence that emergence is a non-linear function of prior losses.</t>
  </si>
  <si>
    <t>3.    Run the high-low diagonal test to see if there are significantly high/low diagonals.</t>
  </si>
  <si>
    <t>A parameterized Bornhuetter-Ferguson model and Chain Ladder model were fit to the following</t>
  </si>
  <si>
    <t>incremental paid loss triangle:</t>
  </si>
  <si>
    <t>60 Months</t>
  </si>
  <si>
    <t>Incremental Paid Losses</t>
  </si>
  <si>
    <t>BF Parameters</t>
  </si>
  <si>
    <t>Age(d)</t>
  </si>
  <si>
    <t>Year(w)</t>
  </si>
  <si>
    <t>Calculate the adjusted SSE for the parameterized BF model.</t>
  </si>
  <si>
    <t>Determine whether the parameterized BF model or the Chain Ladder model is more appropriate for the data.</t>
  </si>
  <si>
    <t>Briefly discuss how the parameterized BF model could be improved as measured by the adjusted SSE.</t>
  </si>
  <si>
    <t>Expected Incremental Losses</t>
  </si>
  <si>
    <t>Squared Error</t>
  </si>
  <si>
    <t xml:space="preserve">SSE = </t>
  </si>
  <si>
    <t>Adjusted SSE = SSE / (n - p)^2</t>
  </si>
  <si>
    <t xml:space="preserve">Adjusted SSE = </t>
  </si>
  <si>
    <t xml:space="preserve">n = </t>
  </si>
  <si>
    <t xml:space="preserve">p = </t>
  </si>
  <si>
    <t>The chain ladder method has a lower adjusted SSE, so it is more appropriate by this metric.</t>
  </si>
  <si>
    <t xml:space="preserve">We could use one h parameter instead of one for each year (like the Cape Cod method). </t>
  </si>
  <si>
    <t>The SSE would increase, but the model might be improved with a lower adjusted SSE due to fewer parameters.</t>
  </si>
  <si>
    <t>Calculate the estimated unpaid loss for accident year 2015 after one full iteration of calculating the</t>
  </si>
  <si>
    <t>f(d) and h(w) parameters.</t>
  </si>
  <si>
    <t>(000)</t>
  </si>
  <si>
    <t>For a 10-year loss triangle, an actuary ran a linear regression of incremental loss against previous cumulative</t>
  </si>
  <si>
    <t>loss to test the significance of the factors for the chain ladder method. Below is a summary of the results</t>
  </si>
  <si>
    <t>from the regression:</t>
  </si>
  <si>
    <t>0 to 1</t>
  </si>
  <si>
    <t>1 to 2</t>
  </si>
  <si>
    <t>2 to 3</t>
  </si>
  <si>
    <t>3 to 4</t>
  </si>
  <si>
    <t>4 to 5</t>
  </si>
  <si>
    <t>5 to 6</t>
  </si>
  <si>
    <t>6 to 7</t>
  </si>
  <si>
    <t>7 to 8</t>
  </si>
  <si>
    <t>8 to 9</t>
  </si>
  <si>
    <r>
      <t xml:space="preserve">factor </t>
    </r>
    <r>
      <rPr>
        <i/>
        <sz val="12"/>
        <color rgb="FF000000"/>
        <rFont val="Calibri"/>
        <family val="2"/>
      </rPr>
      <t>b</t>
    </r>
  </si>
  <si>
    <r>
      <t xml:space="preserve">std dev of </t>
    </r>
    <r>
      <rPr>
        <i/>
        <sz val="12"/>
        <color rgb="FF000000"/>
        <rFont val="Calibri"/>
        <family val="2"/>
      </rPr>
      <t>b</t>
    </r>
  </si>
  <si>
    <t>The actuary is comparing the chain ladder model to the parameterized BF and Cape Cod models.</t>
  </si>
  <si>
    <t>For each model, fitted incremental losses were calculated for all development periods after the age 0.</t>
  </si>
  <si>
    <t>The sum squared error (SSE) between the actual and fitted incremental losses for each model is below:</t>
  </si>
  <si>
    <t>Model</t>
  </si>
  <si>
    <t>Chain Ladder</t>
  </si>
  <si>
    <t>Parameterized BF</t>
  </si>
  <si>
    <t>Parameterized Cape Cod</t>
  </si>
  <si>
    <t>SSE</t>
  </si>
  <si>
    <t>Evaluate the significance of the factors in the chain ladder model.</t>
  </si>
  <si>
    <t>Evaluate the appropriateness of the chain ladder model of loss emergence compared to the alternative</t>
  </si>
  <si>
    <t>loss emergence models, based on how well each model fits the data.</t>
  </si>
  <si>
    <t>Briefly discuss whether parts a and b support one of the Mack assumptions.</t>
  </si>
  <si>
    <t>For each of the development periods (except the 7 to 8 factor) the absolute value of the factor coefficient is more than twice the standard deviation. This means that the development factors for the chain ladder method are statistically significant. The first testable implication, significance of factors, passes.</t>
  </si>
  <si>
    <t>We can do a goodness-of-fit test and compare the adjusted SSE of each of the models:</t>
  </si>
  <si>
    <t>The number of incremental loss observations(n) for a 10-year triangle, excluding the first column, is 45 (=9+8+…+1)</t>
  </si>
  <si>
    <t># Parameters</t>
  </si>
  <si>
    <t>Adjusted SSE</t>
  </si>
  <si>
    <t>Mack’s first assumption is that expected future incremental loss is proportional to losses-to-date.  Part a supports this assumption by showing that the development factor is statistically significant. 
A second testable implication of this assumption is that the chain ladder method is superior to alternative loss emergence models. Part b shows the chain  ladder method is not superior to the parameterized BF model, so this testable implication fails and is evidence against the chain ladder method.</t>
  </si>
  <si>
    <t>Discussion</t>
  </si>
  <si>
    <t>For part b, the parameterized cape cod method has the same number of parameters as the chain ladder method. One way to see this is that the cape cod method (described by Venter) is the same as the additive chain ladder, so it has the same number of parameters. 
You could also use AIC or BIC to compare the different models, but Venter uses adjusted SSE.</t>
  </si>
  <si>
    <t>Make sure to remember to take the square root to get f(d) and h(w).</t>
  </si>
  <si>
    <t>This is a problem about implication 2, the superiority of alternative emergence patterns, which tests Mack’s 1st assumption. Adjusted SSE, AIC and BIC are measures that modify SSE for the number of parameters. Models with a lower numbers are more appropriate in general. Be sure to know how to review output like this to assess the appropriateness of a model.
Calculating the number of observations (n) and parameters (p) can be a bit tricky. Venter doesn’t count the first column towards the number of observations because those aren’t estimated by the model. Venter discusses the number of parameters on pg. 817:</t>
  </si>
  <si>
    <t>p(BF) = 2 * #AYs - 2</t>
  </si>
  <si>
    <t>p(LDF) = #AYs - 1</t>
  </si>
  <si>
    <r>
      <t xml:space="preserve">There are three other testable implications:
•     The factor model is superior to other models, such as the row-factor parameterized BF model
•     The factor is stable over time
•     There is no correlation among columns
</t>
    </r>
    <r>
      <rPr>
        <b/>
        <u/>
        <sz val="12"/>
        <color theme="1"/>
        <rFont val="Calibri"/>
        <family val="2"/>
      </rPr>
      <t>Mack vs Venter: Assumptions and Implications</t>
    </r>
    <r>
      <rPr>
        <sz val="12"/>
        <color theme="1"/>
        <rFont val="Calibri"/>
        <family val="2"/>
      </rPr>
      <t xml:space="preserve">
According to Venter (pg. 813) , </t>
    </r>
    <r>
      <rPr>
        <b/>
        <sz val="12"/>
        <color theme="1"/>
        <rFont val="Calibri"/>
        <family val="2"/>
      </rPr>
      <t>implications 1-4</t>
    </r>
    <r>
      <rPr>
        <sz val="12"/>
        <color theme="1"/>
        <rFont val="Calibri"/>
        <family val="2"/>
      </rPr>
      <t xml:space="preserve"> are tests of Mack's 1st assumption about linearity. 
Venter also states (pg. 832) that</t>
    </r>
    <r>
      <rPr>
        <b/>
        <sz val="12"/>
        <color theme="1"/>
        <rFont val="Calibri"/>
        <family val="2"/>
      </rPr>
      <t xml:space="preserve"> implications 5-6</t>
    </r>
    <r>
      <rPr>
        <sz val="12"/>
        <color theme="1"/>
        <rFont val="Calibri"/>
        <family val="2"/>
      </rPr>
      <t xml:space="preserve"> are tests of Mack's 2nd assumption about independence.
Regarding Implication 5, there's some inconsistency between Mack and Venter:
•     If you look on pg. 109 of Mack (1994), it's clear that the linearity assumption (assumption 1) implies that "subsequent development factors... are uncorrelated."
•     Looking at the Venter Factors paper, pg. 832-833 says that the correlation test is to check for dependencies in the triangle, which is a test on the independence assumption (assumption 2).
So, there's a bit of disagreement between Venter and Mack regarding what assumption is tested by correlation of development columns.</t>
    </r>
  </si>
  <si>
    <t>SHOW ALL WORK.</t>
  </si>
  <si>
    <t>Solution -&gt;</t>
  </si>
  <si>
    <t>The chain ladder method assumes accident years are independent. Calendar year effects violate this assumption. If there are significant diagonal effects, then the chain ladder method is not appropriate.</t>
  </si>
  <si>
    <t>The parameterized BF model has the lowest SSE. Based on this test, the parameterized BF appears to be a more appropriate loss emergence model than the chain ladder model for this data.</t>
  </si>
  <si>
    <t>• Assume observations of incremental losses have a constant variance</t>
  </si>
  <si>
    <t>• Volume-weighted loss development factors are used as the f(d) starting point</t>
  </si>
  <si>
    <t>• Assume observations of incremental losses have a variance proportional to f(d)h(w)</t>
  </si>
  <si>
    <t>• The starting column factors, f(d), are:</t>
  </si>
  <si>
    <t>• Assume losses are fully developed at 36 months</t>
  </si>
  <si>
    <t>• Expected incremental losses are proportional to losses emerged to-date:</t>
  </si>
  <si>
    <t>• Incremental losses are independent between accident years</t>
  </si>
  <si>
    <t>• Variance of incremental losses is a function of the age and cumulative losses-to-date</t>
  </si>
  <si>
    <t>• The table below summarizes the parameters of the parameterized BF model after convergence:</t>
  </si>
  <si>
    <t>• The adjusted SSE from the Chain Ladder Method is 64,038</t>
  </si>
  <si>
    <t>• A parameterized BF model is fit to the losses using the following initial seeds for the f(d) factors:</t>
  </si>
  <si>
    <t>• Variance of each observations is assumed to be proportional to f(d) h(w)</t>
  </si>
  <si>
    <t>RF Venter Factors - 1</t>
  </si>
  <si>
    <t>RF Venter Factors - 2</t>
  </si>
  <si>
    <t>RF Venter Factors - 3</t>
  </si>
  <si>
    <t>RF Venter Factors - 4</t>
  </si>
  <si>
    <t>RF Venter Factors - 5</t>
  </si>
  <si>
    <t>RF Venter Factors - 6</t>
  </si>
  <si>
    <t>RF Venter Factors - 7</t>
  </si>
  <si>
    <t>RF Venter Factors - 8</t>
  </si>
  <si>
    <t>Recipe</t>
  </si>
  <si>
    <t>Venter Factors - Correlation of Development Factors</t>
  </si>
  <si>
    <t>Venter Factors - Parameterized BF: f(d)h(w) – Constant Variance</t>
  </si>
  <si>
    <t>Venter Factors - Parameterized BF: f(d)h(w) – Var ∝ f(d)h(w)</t>
  </si>
  <si>
    <t>Venter Factors - Testing for Significantly High/Low Diagonals</t>
  </si>
  <si>
    <t>Venter Factors - Goodness of Fit Test</t>
  </si>
  <si>
    <t xml:space="preserve">Ult (2016) = </t>
  </si>
  <si>
    <t xml:space="preserve">Unpaid(2015) = </t>
  </si>
  <si>
    <t>Dependent Variable (y) - Incremental Losses</t>
  </si>
  <si>
    <t>Independent Variables (xs) - Prior Cumulative Loss &amp; Dummy variables</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</si>
  <si>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</si>
  <si>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</si>
  <si>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</si>
  <si>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</si>
  <si>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</si>
  <si>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</si>
  <si>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</si>
  <si>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</si>
  <si>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</si>
  <si>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Provide two methods for improving stability in development factors.</t>
  </si>
  <si>
    <t>Method 2: Adjust the triangle for measurable instability. For example, the Berquist/Sherman approach adjusts the loss triangle to latest claims settlement pattern</t>
  </si>
  <si>
    <t>Briefly describe two other tests for stability.</t>
  </si>
  <si>
    <t>Method 1: Use a weighted average of the development factors, with more weight going to the most recent years</t>
  </si>
  <si>
    <t>Part c:</t>
  </si>
  <si>
    <t>Using the graph, briefly comment on the assumption that the age 1 to age 2 development factor is stable over time.</t>
  </si>
  <si>
    <t>• State-space model; compares the degree of instability of the observations around the current mean to the degree of instability in the mean itself over time. This helps us determine whether to use all of the data or a weighted average that favors more recent years</t>
  </si>
  <si>
    <t>• Plot incremental residuals against time (i.e. AY); if there are strings of positive and  negative residuals in a row, then development factors may not be stable</t>
  </si>
  <si>
    <t>Part b:</t>
  </si>
  <si>
    <t>In general, the age 1 to age 2 development factor is NOT stable over time. However, there are temporary periods of stability.</t>
  </si>
  <si>
    <t>Part a:</t>
  </si>
  <si>
    <t>RF Venter Factors - 9</t>
  </si>
  <si>
    <t>For part b, we're specifically told that the tolerance is two standard deviations. This is different than the paper, which used 3.33 standard deviations.</t>
  </si>
  <si>
    <t>We can conclude that correlation exists within the triangle if we have more than 2.1 + 2*sqrt(1.89) = 4.85 significant correlations.</t>
  </si>
  <si>
    <r>
      <t>Threshold</t>
    </r>
    <r>
      <rPr>
        <vertAlign val="subscript"/>
        <sz val="12"/>
        <color theme="1"/>
        <rFont val="Calibri"/>
        <family val="2"/>
      </rPr>
      <t>10%</t>
    </r>
    <r>
      <rPr>
        <sz val="12"/>
        <color theme="1"/>
        <rFont val="Calibri"/>
        <family val="2"/>
      </rPr>
      <t xml:space="preserve"> = </t>
    </r>
  </si>
  <si>
    <t xml:space="preserve">Variance = </t>
  </si>
  <si>
    <t>Mean =</t>
  </si>
  <si>
    <t>For a binomial distribution:</t>
  </si>
  <si>
    <t>The number of column pairs that display significant correlation at the 10% level is a binomial random variable with parameters 21 and 0.1</t>
  </si>
  <si>
    <t>&lt;-m = (n-3 choose 2) possible column pairs</t>
  </si>
  <si>
    <t>m =</t>
  </si>
  <si>
    <t>Given a 10 x 10 loss triangle, determine the number of significant correlations required at the 10% level to conclude that correlation exists within the triangle. Assume a tolerance of two standard deviations</t>
  </si>
  <si>
    <t>&lt;-n-2</t>
  </si>
  <si>
    <t>df =</t>
  </si>
  <si>
    <t>Determine if the correlation between the first two columns is significant at the 10% level.</t>
  </si>
  <si>
    <t>&lt;-r*((n-2)/(1-r^2))^0.5</t>
  </si>
  <si>
    <t xml:space="preserve">T = </t>
  </si>
  <si>
    <t>Correlation r =</t>
  </si>
  <si>
    <t>• The t-statistic for 0.95 at 1 degree of freedom is:</t>
  </si>
  <si>
    <t>Calculate the correlation and test statistic:</t>
  </si>
  <si>
    <t>Y = 1 to 2</t>
  </si>
  <si>
    <t>X = 0 to 1</t>
  </si>
  <si>
    <t>60 mo.</t>
  </si>
  <si>
    <t>48 mo.</t>
  </si>
  <si>
    <t>36 mo.</t>
  </si>
  <si>
    <t>24 mo.</t>
  </si>
  <si>
    <t>12 mo.</t>
  </si>
  <si>
    <t>Incremental Incurred Losses ($000)</t>
  </si>
  <si>
    <t>Create the following table:</t>
  </si>
  <si>
    <t>Given the following incremental incurred losses:</t>
  </si>
  <si>
    <t>RF Venter Factors - 10</t>
  </si>
  <si>
    <r>
      <rPr>
        <b/>
        <sz val="12"/>
        <color theme="1"/>
        <rFont val="Calibri"/>
        <family val="2"/>
        <scheme val="minor"/>
      </rPr>
      <t>Part b note:</t>
    </r>
    <r>
      <rPr>
        <sz val="12"/>
        <color theme="1"/>
        <rFont val="Calibri"/>
        <family val="2"/>
        <scheme val="minor"/>
      </rPr>
      <t xml:space="preserve">
In the Venter paper, the incremental losses under the Cape Cod method are equal to f(d)h. Since the h is constant, we can think of f(d)h as g(d), where g(d) is the an additive factor for the period. 
Under the additive chain-ladder model, we don't multiply the prior cumulative losses by a link ratio. Instead, we add a constant amount to the prior cumulative losses to get the cumulative losses for the period in question. 
In the regression analysis, when we put the prior cumulative losses in the matrix, the resulting f(d) parameters are link ratios. If we replace them with 1's, the resulting parameters are the g(d) additive amounts (kind of like dummy variables for the diagonals).</t>
    </r>
  </si>
  <si>
    <t>q(w,d) = 1.05f(d)h(w), w + d = 3; f(d)h(w) otherwise</t>
  </si>
  <si>
    <t>With the mult. Effect, the BF estimate of a data cell is:</t>
  </si>
  <si>
    <t>Without the mult. effect, the BF estimate of a data cell is q(w,d) = f(d)h(w)</t>
  </si>
  <si>
    <t>Cum. Age 2</t>
  </si>
  <si>
    <t>Cum. Age 1</t>
  </si>
  <si>
    <t>Cum. Age 0</t>
  </si>
  <si>
    <t>Incr. Ages 1-3</t>
  </si>
  <si>
    <t>Ignoring parts a. and b. above, assume that the diagonal w + d = 3 has been estimated to be 5% higher than normal, which implies a multiplicative effect. How does this change the Bornhuetter/Ferguson estimate of a specific data cell?</t>
  </si>
  <si>
    <t>Same as part a. except the cumulative losses are replaced with 1s (since the Cape Cod method is the same as the additive chain-ladder method)</t>
  </si>
  <si>
    <t>Using the Cape Cod method, create the matrix of data needed to run the multiple regression.</t>
  </si>
  <si>
    <t>Dummy 2 represents the incremental losses on the latest diagonal</t>
  </si>
  <si>
    <t>Using the standard chain-ladder method, create the matrix of data needed to run the multiple regression.</t>
  </si>
  <si>
    <t>Dummy 1 represents the incremental losses on the second latest diagonal</t>
  </si>
  <si>
    <t>An insurer would like to test for additive diagonal effects in its loss data using a multiple regression. Given the following incremental losses:</t>
  </si>
  <si>
    <t>RF Venter Factors - 11</t>
  </si>
  <si>
    <t>Briefly describe a graph that would support the conclusion in part a. above.</t>
  </si>
  <si>
    <t>Using the data above, determine whether or not the chain-ladder method is appropriate to use when modeling the emergence of losses.</t>
  </si>
  <si>
    <r>
      <t xml:space="preserve">Std. Dev. </t>
    </r>
    <r>
      <rPr>
        <i/>
        <sz val="12"/>
        <color theme="1"/>
        <rFont val="Calibri"/>
        <family val="2"/>
        <scheme val="minor"/>
      </rPr>
      <t>b</t>
    </r>
  </si>
  <si>
    <t>b</t>
  </si>
  <si>
    <r>
      <t xml:space="preserve">Std. Dev. </t>
    </r>
    <r>
      <rPr>
        <i/>
        <sz val="12"/>
        <color theme="1"/>
        <rFont val="Calibri"/>
        <family val="2"/>
        <scheme val="minor"/>
      </rPr>
      <t>a</t>
    </r>
  </si>
  <si>
    <t>a</t>
  </si>
  <si>
    <t>36-48</t>
  </si>
  <si>
    <t>24-36</t>
  </si>
  <si>
    <t>12-24</t>
  </si>
  <si>
    <t>Regression Results</t>
  </si>
  <si>
    <r>
      <t xml:space="preserve">•  The regression yielded the following results, where </t>
    </r>
    <r>
      <rPr>
        <i/>
        <sz val="12"/>
        <color theme="1"/>
        <rFont val="Calibri (Body)"/>
      </rPr>
      <t>a</t>
    </r>
    <r>
      <rPr>
        <sz val="12"/>
        <color theme="1"/>
        <rFont val="Calibri"/>
        <family val="2"/>
        <scheme val="minor"/>
      </rPr>
      <t xml:space="preserve"> is a constant and </t>
    </r>
    <r>
      <rPr>
        <i/>
        <sz val="12"/>
        <color theme="1"/>
        <rFont val="Calibri"/>
        <family val="2"/>
        <scheme val="minor"/>
      </rPr>
      <t>b</t>
    </r>
    <r>
      <rPr>
        <sz val="12"/>
        <color theme="1"/>
        <rFont val="Calibri"/>
        <family val="2"/>
        <scheme val="minor"/>
      </rPr>
      <t xml:space="preserve"> is the age-to-age  factor:</t>
    </r>
  </si>
  <si>
    <t>Plot the incremental losses between 12 and 24 months against the cumulative losses at 12 months. If the data points do not form roughly a straight line through the origin with a slope equal to the development factor, then we can conclude that the chain-ladder is not appropriate</t>
  </si>
  <si>
    <t>•  An actuary has decided to test the significance of the age-to-age factors using a regression of  incremental losses against the previous cumulative losses</t>
  </si>
  <si>
    <t>72 mo.</t>
  </si>
  <si>
    <t>Given the following for an insurer as of December 31, 2012:</t>
  </si>
  <si>
    <t>RF Venter Factors - 12</t>
  </si>
  <si>
    <t>Estimate the AY 2011 reserves using the Bornhuetter/Ferguson, Cape Cod and chain-ladder methods.</t>
  </si>
  <si>
    <t>36-48 LDF =</t>
  </si>
  <si>
    <t>24-36 LDF =</t>
  </si>
  <si>
    <t>Chain-Ladder Method:</t>
  </si>
  <si>
    <t>f(d) - BF</t>
  </si>
  <si>
    <t>Age d</t>
  </si>
  <si>
    <t>Incremental losses at 48 mo. =</t>
  </si>
  <si>
    <t>Incremental losses at 36 mo. =</t>
  </si>
  <si>
    <t>h(w) - BF</t>
  </si>
  <si>
    <t>Accident Year w</t>
  </si>
  <si>
    <t>CC Method:</t>
  </si>
  <si>
    <t xml:space="preserve">36 mo. </t>
  </si>
  <si>
    <t>BF Method:</t>
  </si>
  <si>
    <t>Given the following for an insurer:</t>
  </si>
  <si>
    <t>RF Venter Factors - 13</t>
  </si>
  <si>
    <r>
      <rPr>
        <b/>
        <sz val="12"/>
        <color theme="1"/>
        <rFont val="Calibri"/>
        <family val="2"/>
        <scheme val="minor"/>
      </rPr>
      <t xml:space="preserve">Part b note:
</t>
    </r>
    <r>
      <rPr>
        <sz val="12"/>
        <color theme="1"/>
        <rFont val="Calibri"/>
        <family val="2"/>
        <scheme val="minor"/>
      </rPr>
      <t xml:space="preserve">An inflation model is discussed on pg. 835-836 in Venter. The idea is to simplify the number of parameters for f(d) and h(w) instead of having an individually estimated parameter for each age (d) and accident year (w):
f(d) = (1 + i)^d
h(w) = h(1 + k)^w
inflation factor:
 g(w,d)= (1 + j)^(w+d)
estimated incremental (w,d) = h(w) * f(d) * g(w,d)
i - parameter to calculate f(d) 
j - inflation trend
k - parameter to calculate h(w)
</t>
    </r>
  </si>
  <si>
    <t>Notice that these losses match our prediction from part b.</t>
  </si>
  <si>
    <t>Incremental Losses =</t>
  </si>
  <si>
    <t>Demonstrate how the insurer could remove the CY trend from the model and maintain the same prediction.</t>
  </si>
  <si>
    <t>New k =</t>
  </si>
  <si>
    <t>New I =</t>
  </si>
  <si>
    <t>Using these parameters, estimate the incremental losses for AY 2008 at 60 months.</t>
  </si>
  <si>
    <t>The CY trend, j, can remove since i becomes i + j + ij and k becomes k + j + jk</t>
  </si>
  <si>
    <t>k</t>
  </si>
  <si>
    <t>j</t>
  </si>
  <si>
    <t>h*(1+i)^d*(1+j)^(w+d)*(1+k)^w can be expanded to h*(1+i+j+ij)^d*(1+k+j+jk)^w</t>
  </si>
  <si>
    <t>i</t>
  </si>
  <si>
    <t>h</t>
  </si>
  <si>
    <t>Value</t>
  </si>
  <si>
    <t>Parameter</t>
  </si>
  <si>
    <t>&lt;-AY 2008 is year w = 1</t>
  </si>
  <si>
    <t>To reduce the number of parameters needed, the insurer fit an inflationary model to the loss triangle, resulting in the following parameters:</t>
  </si>
  <si>
    <t>The model for the (w,d) cell is h*(1+i)^d*(1+j)^(w+d)*(1+k)^w</t>
  </si>
  <si>
    <t>Given that the latest accident year in the triangle is 2012, estimate the incremental losses for AY 2008 at 60 months under each model.</t>
  </si>
  <si>
    <t>Additive CL with Mult. Diagonal &amp; AY Effects</t>
  </si>
  <si>
    <t>• Assume that the top left cell in the triangle is cell (w = 0, d = 0)</t>
  </si>
  <si>
    <t>AY 2008</t>
  </si>
  <si>
    <t>Latest Diagonal</t>
  </si>
  <si>
    <t>f(5)</t>
  </si>
  <si>
    <t>f(4)</t>
  </si>
  <si>
    <t>f(3)</t>
  </si>
  <si>
    <t>f(2)</t>
  </si>
  <si>
    <t>f(1)</t>
  </si>
  <si>
    <t>Additive CL with Mult. Diagonal Effects</t>
  </si>
  <si>
    <t>Additive Chain-Ladder with Multiplicative Diagonal &amp; AY Effects</t>
  </si>
  <si>
    <t>Incremental losses =</t>
  </si>
  <si>
    <t>the latest diagonal (diagonal 5)</t>
  </si>
  <si>
    <t>Additive Chain-Ladder with Multiplicative Diagonal Effects</t>
  </si>
  <si>
    <t>Since the latest AY in the triangle is 2012, AY 2008 at 60 months resides on</t>
  </si>
  <si>
    <t>60 months corresponds to age 4 for AY 2008</t>
  </si>
  <si>
    <t>Additive CL with Additive Diagonal Effects</t>
  </si>
  <si>
    <t>Additive Chain-Ladder with Additive Diagonal Effects</t>
  </si>
  <si>
    <t>Various additive chain-ladder models were fit to a 6 x 6 loss triangle, resulting in the following parameters:</t>
  </si>
  <si>
    <t>RF Venter Factors - 14</t>
  </si>
  <si>
    <t>• Group AY's using apparent jumps in loss levels and fit a single $h$ parameter to each group</t>
  </si>
  <si>
    <t>• Fit a trend line through the ultimate loss parameters</t>
  </si>
  <si>
    <t>Question #4</t>
  </si>
  <si>
    <t>The Cape Cod model states that the next period's expected emerged loss is a lag factor f(d) times the expected ultimate loss amount h.  Since h does not vary by accident year, this is equivalent to the additive chain-ladder model which states that the next period's expected emerged loss is a constant g(d) for all accident years.  Thus, if we fit the Cape Cod model, we can define g(d) = f(d)h for the additive chain-ladder model.  Similarly, if we fit the additive chain-ladder model, we can define f(d)h = g(d) for the Cape Cod model</t>
  </si>
  <si>
    <t>Question #3</t>
  </si>
  <si>
    <t>• Factor times parameter including a CY effect -- states that the next period's expected emerged  loss is a lag factor times the expected ultimate loss amount for an AY times a CY effect factor</t>
  </si>
  <si>
    <t>• Factor times parameter -- states that the next period's expected emerged loss is a lag factor  times the expected ultimate loss amount for an AY</t>
  </si>
  <si>
    <t>• Linear with constant -- states that the next period's expected emerged loss is a linear function  of the previous cumulative losses PLUS a constant</t>
  </si>
  <si>
    <t>Question #2</t>
  </si>
  <si>
    <t>• Additive CY effects -- use regression to determine if any diagonal dummy variables are significant.  If so, then an additive CY effect exists and accident years are not independent</t>
  </si>
  <si>
    <t>• Correlation of development factors -- calculate the sample correlation coefficients for all  pairs of columns in the development factor triangle.  Count the number of significant correlations  to determine if correlation exists</t>
  </si>
  <si>
    <t>Briefly describe three methods for reducing the number of parameters needed to fit the Bornhuetter/Ferguson model.</t>
  </si>
  <si>
    <t>• Stability -- plot incremental residuals against time (i.e. AY).  If there are not strings of positive  or negative residuals in a row, we can assume stability</t>
  </si>
  <si>
    <t>Explain why the additive chain-ladder model and the Cape Cod model will always produce the same results.</t>
  </si>
  <si>
    <t>• Linearity -- plot incremental residuals against previous cumulative losses.  If there are not strings of positive or negative residuals in a row, we can assume linearity</t>
  </si>
  <si>
    <t>Briefly describe three alternatives to the standard chain-ladder emergence pattern.</t>
  </si>
  <si>
    <t>• Superiority to alternative emergence patterns -- use the sum of squared errors to determine which emergence pattern provides the best fit.  Test statistics such as AIC and BIC could be used as well</t>
  </si>
  <si>
    <t>• Significance of the factor f(d) - the absolute value of $f(d)$ should be at least twice from zero its standard deviation for the factor to be considered significantly different</t>
  </si>
  <si>
    <t>Briefly describe six testable implications of Mack's chain-ladder assumptions.</t>
  </si>
  <si>
    <t>Question #1</t>
  </si>
  <si>
    <t>Solutions -&gt;</t>
  </si>
  <si>
    <t>RF Venter Factors - Essay Problems</t>
  </si>
  <si>
    <t>Venter Factors - pg. 820 - 821</t>
  </si>
  <si>
    <t>Source</t>
  </si>
  <si>
    <t xml:space="preserve">For part b, the key graph is to show incremental losses at age d+1 compared to cumulative losses at age d. This is a bit different than the Mack (Chain Ladder) approach, which shows cumulative losses on both axes. But, both graphs show the same information to test the chain ladder method. </t>
  </si>
  <si>
    <t>Inc Dev Factor =</t>
  </si>
  <si>
    <t>Support graphically the answer from part a. above.</t>
  </si>
  <si>
    <t>1 point</t>
  </si>
  <si>
    <t>method better models the emergence of losses.</t>
  </si>
  <si>
    <t>Use the data above to demonstrate whether the chain ladder method or the linear plus a constant</t>
  </si>
  <si>
    <t>Standard Dev. of b</t>
  </si>
  <si>
    <t>Factor b</t>
  </si>
  <si>
    <t>Standard Dev. of a</t>
  </si>
  <si>
    <t>Constant a</t>
  </si>
  <si>
    <r>
      <t>IncLoss</t>
    </r>
    <r>
      <rPr>
        <vertAlign val="subscript"/>
        <sz val="12"/>
        <color theme="1"/>
        <rFont val="Calibri"/>
        <family val="2"/>
        <scheme val="minor"/>
      </rPr>
      <t>1</t>
    </r>
  </si>
  <si>
    <r>
      <t>Loss</t>
    </r>
    <r>
      <rPr>
        <vertAlign val="subscript"/>
        <sz val="12"/>
        <color theme="1"/>
        <rFont val="Calibri"/>
        <family val="2"/>
        <scheme val="minor"/>
      </rPr>
      <t>0</t>
    </r>
  </si>
  <si>
    <t>A linear regression of the incremental losses against the previous cumulative losses was performed yielding the following table:</t>
  </si>
  <si>
    <t xml:space="preserve">Plot incremental losses at age d+1 against cumulative losses at age d. If we see that a straight line through the origin with a slope of the chain ladder development factor fits the data reasonably well, then the chain ladder method is supported. This is the case for ages 0 to 1, so the chain ladder is supported </t>
  </si>
  <si>
    <t>Part b.</t>
  </si>
  <si>
    <r>
      <t xml:space="preserve">Based on the above, the constant a term is </t>
    </r>
    <r>
      <rPr>
        <i/>
        <u/>
        <sz val="12"/>
        <color theme="1"/>
        <rFont val="Calibri (Body)"/>
      </rPr>
      <t>not significant</t>
    </r>
    <r>
      <rPr>
        <sz val="12"/>
        <color theme="1"/>
        <rFont val="Calibri"/>
        <family val="2"/>
        <scheme val="minor"/>
      </rPr>
      <t xml:space="preserve"> for any of the development periods. For each of the development periods the factor b term is significant, so the chain ladder method is superior to the alternative model.</t>
    </r>
  </si>
  <si>
    <t>|a|/sd(a)</t>
  </si>
  <si>
    <t>Year</t>
  </si>
  <si>
    <t>Age in Years</t>
  </si>
  <si>
    <t>Cumulative Reported Losses ($000}</t>
  </si>
  <si>
    <t>We test whether the linear plus a constant method is better by testing the significance of the constant a term. A rough estimate of statistical significance is if the absolute value of the factor is at least twice as large as the standard deviation:</t>
  </si>
  <si>
    <t>Given the following loss development triangle:</t>
  </si>
  <si>
    <t>Part a.</t>
  </si>
  <si>
    <t>Points:</t>
  </si>
  <si>
    <t>Q #4</t>
  </si>
  <si>
    <t>Exam 7</t>
  </si>
  <si>
    <t>Spring 2011</t>
  </si>
  <si>
    <t>Source:</t>
  </si>
  <si>
    <t xml:space="preserve">Venter Factors – Correlation of Development Factors </t>
  </si>
  <si>
    <r>
      <rPr>
        <b/>
        <sz val="12"/>
        <color theme="1"/>
        <rFont val="Calibri"/>
        <family val="2"/>
        <scheme val="minor"/>
      </rPr>
      <t>Note:</t>
    </r>
    <r>
      <rPr>
        <b/>
        <i/>
        <sz val="12"/>
        <color theme="1"/>
        <rFont val="Calibri"/>
        <family val="2"/>
        <scheme val="minor"/>
      </rPr>
      <t xml:space="preserve"> </t>
    </r>
    <r>
      <rPr>
        <i/>
        <sz val="12"/>
        <color theme="1"/>
        <rFont val="Calibri"/>
        <family val="2"/>
        <scheme val="minor"/>
      </rPr>
      <t>This problem was modified to align with the errata released by the CAS for Venter Factors in February 2020.  The original problem incorrectly stated that the critical values shown were for the t-statistic for 0.90.  The table actually shows the critical values for 0.95. Since this is a two-sided test, these are the correct critical values for the 10% significance level.</t>
    </r>
    <r>
      <rPr>
        <sz val="12"/>
        <color theme="1"/>
        <rFont val="Calibri"/>
        <family val="2"/>
        <scheme val="minor"/>
      </rPr>
      <t xml:space="preserve">
According to the Examiners’ Report, one of the most common errors was to calculate the degrees of freedom incorrectly. The correct calculation is DF = n - 2. 
Part b is a question about the three Mack assumptions. The problem in part a tests the assumption of independence between accident years, so to get credit for part b you need to state the other two assumptions.</t>
    </r>
  </si>
  <si>
    <t>to date by a factor that depends on age.</t>
  </si>
  <si>
    <t xml:space="preserve">• Variance of incremental losses in the next period is proportional to the cumulative losses </t>
  </si>
  <si>
    <t>State two other basic chain-ladder assumptions needed for least squares optimality.</t>
  </si>
  <si>
    <t>0.5 point</t>
  </si>
  <si>
    <t>a factor that depends on age.</t>
  </si>
  <si>
    <t xml:space="preserve">• Incremental losses in the next period are equal to the cumulative losses to date times </t>
  </si>
  <si>
    <t>independent from 12 months to 36 months, using a 10% t-statistic significance standard.</t>
  </si>
  <si>
    <t>Evaluate whether the triangle above meets the assumption that the age-to-age factors are</t>
  </si>
  <si>
    <t>3.25 points</t>
  </si>
  <si>
    <t>is the sample correlation coefficient.</t>
  </si>
  <si>
    <t>•  Assume                            is t-distributed with n - 2 degrees of freedom where r</t>
  </si>
  <si>
    <t>Since |T| = 2.28 &lt; 2.92, we conclude that the correlation between the first two columns is not significant at the 10% level. Thus, the independence assumption is met.</t>
  </si>
  <si>
    <t>t-statistic</t>
  </si>
  <si>
    <t>t-statistic =</t>
  </si>
  <si>
    <t>DF</t>
  </si>
  <si>
    <t>&lt;-map to the t-statistic</t>
  </si>
  <si>
    <t>DF =</t>
  </si>
  <si>
    <t>t-statistic for 0.95 at Various Degrees of Freedom (DF)</t>
  </si>
  <si>
    <t>r =</t>
  </si>
  <si>
    <t xml:space="preserve">Year </t>
  </si>
  <si>
    <t>72 Months</t>
  </si>
  <si>
    <t>Cumulative Reported Losses ($000)</t>
  </si>
  <si>
    <t>Create the following table with cumulative factors converted to incremental factors:</t>
  </si>
  <si>
    <t>Given the following loss information:</t>
  </si>
  <si>
    <t>Spring 2014</t>
  </si>
  <si>
    <t>hypothesis that the 12-24 month and 24-36 month age-to-age factors are independent.</t>
  </si>
  <si>
    <r>
      <t>Using Mack's correlation test with a 10%</t>
    </r>
    <r>
      <rPr>
        <i/>
        <sz val="12"/>
        <color theme="1"/>
        <rFont val="Calibri"/>
        <family val="2"/>
        <scheme val="minor"/>
      </rPr>
      <t xml:space="preserve"> t</t>
    </r>
    <r>
      <rPr>
        <sz val="12"/>
        <color theme="1"/>
        <rFont val="Calibri"/>
        <family val="2"/>
        <scheme val="minor"/>
      </rPr>
      <t>-statistic significance standard, test the null</t>
    </r>
  </si>
  <si>
    <t>where r is the sample correlation coefficient.</t>
  </si>
  <si>
    <r>
      <t xml:space="preserve">is </t>
    </r>
    <r>
      <rPr>
        <i/>
        <sz val="12"/>
        <color theme="1"/>
        <rFont val="Calibri"/>
        <family val="2"/>
        <scheme val="minor"/>
      </rPr>
      <t>t</t>
    </r>
    <r>
      <rPr>
        <sz val="12"/>
        <color theme="1"/>
        <rFont val="Calibri"/>
        <family val="2"/>
        <scheme val="minor"/>
      </rPr>
      <t>-distributed with (n - 2) degrees of freedom,</t>
    </r>
  </si>
  <si>
    <t xml:space="preserve">Assume that </t>
  </si>
  <si>
    <r>
      <rPr>
        <b/>
        <sz val="12"/>
        <color theme="1"/>
        <rFont val="Calibri"/>
        <family val="2"/>
        <scheme val="minor"/>
      </rPr>
      <t>Note:</t>
    </r>
    <r>
      <rPr>
        <b/>
        <i/>
        <sz val="12"/>
        <color theme="1"/>
        <rFont val="Calibri"/>
        <family val="2"/>
        <scheme val="minor"/>
      </rPr>
      <t xml:space="preserve"> </t>
    </r>
    <r>
      <rPr>
        <i/>
        <sz val="12"/>
        <color theme="1"/>
        <rFont val="Calibri"/>
        <family val="2"/>
        <scheme val="minor"/>
      </rPr>
      <t>This problem was modified to align with the errata released by the CAS for Venter Factors in February 2020.  The original problem incorrectly stated that the critical values shown were for the t-statistic for 0.90.  The table actually shows the critical values for 0.95. Since this is a two-sided test, these are the correct critical values for the 10% significance level.</t>
    </r>
  </si>
  <si>
    <t>for 0.95</t>
  </si>
  <si>
    <t>Freedom</t>
  </si>
  <si>
    <t>Since |T| = 0.455 &lt; 2.920, we conclude that the correlation between the first two columns is not significant at the 10% level.</t>
  </si>
  <si>
    <r>
      <rPr>
        <i/>
        <sz val="12"/>
        <color theme="1"/>
        <rFont val="Calibri"/>
        <family val="2"/>
        <scheme val="minor"/>
      </rPr>
      <t>t</t>
    </r>
    <r>
      <rPr>
        <sz val="12"/>
        <color theme="1"/>
        <rFont val="Calibri"/>
        <family val="2"/>
        <scheme val="minor"/>
      </rPr>
      <t>-statistic</t>
    </r>
  </si>
  <si>
    <t>Degrees of</t>
  </si>
  <si>
    <t>&lt;-maps to 2.920 on the t-statistic</t>
  </si>
  <si>
    <t xml:space="preserve">r = </t>
  </si>
  <si>
    <t>60-72
months</t>
  </si>
  <si>
    <t>48-60 
months</t>
  </si>
  <si>
    <t>36-48 
Months</t>
  </si>
  <si>
    <t>24-36 
Months</t>
  </si>
  <si>
    <t>12-24 
Months</t>
  </si>
  <si>
    <t>Age-to-Age Loss Development Factors</t>
  </si>
  <si>
    <r>
      <t>(LDF</t>
    </r>
    <r>
      <rPr>
        <vertAlign val="subscript"/>
        <sz val="12"/>
        <color theme="1"/>
        <rFont val="Calibri"/>
        <family val="2"/>
      </rPr>
      <t>24</t>
    </r>
    <r>
      <rPr>
        <sz val="12"/>
        <color theme="1"/>
        <rFont val="Calibri"/>
        <family val="2"/>
      </rPr>
      <t>-1)</t>
    </r>
  </si>
  <si>
    <r>
      <t>(LDF</t>
    </r>
    <r>
      <rPr>
        <vertAlign val="subscript"/>
        <sz val="12"/>
        <color theme="1"/>
        <rFont val="Calibri"/>
        <family val="2"/>
      </rPr>
      <t>12</t>
    </r>
    <r>
      <rPr>
        <sz val="12"/>
        <color theme="1"/>
        <rFont val="Calibri"/>
        <family val="2"/>
      </rPr>
      <t>-1)</t>
    </r>
  </si>
  <si>
    <t>Q #5</t>
  </si>
  <si>
    <t>Spring 2015</t>
  </si>
  <si>
    <t>Mack (Chain Ladder) – Correlation of Adjacent LDFs</t>
  </si>
  <si>
    <t>Venter Factors – Correlation of Development Factors</t>
  </si>
  <si>
    <t>Part c is a relatively obscure question. The solution above uses the two reasons discussed on the bottom of pg. 157 in Mack (Chain Ladder). Venter Factors also discusses looking at the whole triangle vs individual pairs of adjacent columns on pg. 834.</t>
  </si>
  <si>
    <t>•  At a 10% level of significance, 10% of the pairs of columns could exhibit significant correlation by random chance.  Thus, we need to check the whole triangle to determine if correlation is truly present</t>
  </si>
  <si>
    <t>•  It is more important to know whether correlation globally prevails than finding  a small portion of the triangle that is correlated</t>
  </si>
  <si>
    <t>•  In order to avoid an accumulation of the error probabilities.</t>
  </si>
  <si>
    <t>Two of the following:</t>
  </si>
  <si>
    <t>Part c.</t>
  </si>
  <si>
    <t>weight</t>
  </si>
  <si>
    <r>
      <t>T</t>
    </r>
    <r>
      <rPr>
        <vertAlign val="subscript"/>
        <sz val="12"/>
        <color theme="1"/>
        <rFont val="Calibri"/>
        <family val="2"/>
      </rPr>
      <t>k</t>
    </r>
  </si>
  <si>
    <r>
      <t>S</t>
    </r>
    <r>
      <rPr>
        <vertAlign val="subscript"/>
        <sz val="12"/>
        <color theme="1"/>
        <rFont val="Calibri"/>
        <family val="2"/>
      </rPr>
      <t>k</t>
    </r>
  </si>
  <si>
    <t>n</t>
  </si>
  <si>
    <t>Calculate T_k, Spearman's rank correlation coeffictiont for each period and weighted average T:</t>
  </si>
  <si>
    <r>
      <t>Note:</t>
    </r>
    <r>
      <rPr>
        <sz val="12"/>
        <color theme="1"/>
        <rFont val="Calibri"/>
        <family val="2"/>
      </rPr>
      <t xml:space="preserve"> Use the Rank(number, array, 1) formula to easily get the rank order of the LDFs.</t>
    </r>
  </si>
  <si>
    <r>
      <t>(Rank Diff)</t>
    </r>
    <r>
      <rPr>
        <vertAlign val="superscript"/>
        <sz val="12"/>
        <color rgb="FF000000"/>
        <rFont val="Calibri"/>
        <family val="2"/>
      </rPr>
      <t>2</t>
    </r>
  </si>
  <si>
    <r>
      <t>Rank</t>
    </r>
    <r>
      <rPr>
        <vertAlign val="subscript"/>
        <sz val="12"/>
        <color rgb="FF000000"/>
        <rFont val="Calibri"/>
        <family val="2"/>
      </rPr>
      <t>3</t>
    </r>
  </si>
  <si>
    <r>
      <t>Rank</t>
    </r>
    <r>
      <rPr>
        <vertAlign val="subscript"/>
        <sz val="12"/>
        <color rgb="FF000000"/>
        <rFont val="Calibri"/>
        <family val="2"/>
      </rPr>
      <t>prior</t>
    </r>
  </si>
  <si>
    <r>
      <t>Rank</t>
    </r>
    <r>
      <rPr>
        <vertAlign val="subscript"/>
        <sz val="12"/>
        <color rgb="FF000000"/>
        <rFont val="Calibri"/>
        <family val="2"/>
      </rPr>
      <t>2</t>
    </r>
  </si>
  <si>
    <t>Development period 3 (36-48):</t>
  </si>
  <si>
    <t>Development period 2 (24-36):</t>
  </si>
  <si>
    <t>columns.</t>
  </si>
  <si>
    <t>of a loss development triangle as a whole instead of correlations between pairs of</t>
  </si>
  <si>
    <t>Briefly describe two reasons why it may be more appropriate to consider the correlation</t>
  </si>
  <si>
    <t>10% level.</t>
  </si>
  <si>
    <r>
      <rPr>
        <b/>
        <sz val="12"/>
        <color theme="1"/>
        <rFont val="Calibri"/>
        <family val="2"/>
        <scheme val="minor"/>
      </rPr>
      <t>Note:</t>
    </r>
    <r>
      <rPr>
        <sz val="12"/>
        <color theme="1"/>
        <rFont val="Calibri"/>
        <family val="2"/>
        <scheme val="minor"/>
      </rPr>
      <t xml:space="preserve">
This problem was modified to align with the errata released by the CAS for Venter Factors in February 2020.  The original problem incorrectly stated that the critical values shown were for the t-statistic for 0.90.  The table actually shows the critical values for 0.95. Since this is a two-sided test, these are the correct critical values for the 10% significance level</t>
    </r>
  </si>
  <si>
    <t>development factor columns (12-24 Months) and (24-36 Months) is significant at the</t>
  </si>
  <si>
    <t>Using Venter's correlation test, determine whether the correlation between the pair of</t>
  </si>
  <si>
    <t>2 points</t>
  </si>
  <si>
    <t>Since |T| = 0.94 &lt; 6.314, we conclude that the correlation between the first two columns is not significant at the 10% level</t>
  </si>
  <si>
    <t>⇽ maps to 6.314 on the t-statistic</t>
  </si>
  <si>
    <t>DoF = n - 2 =</t>
  </si>
  <si>
    <t>• The following table displays the t-statistic for 0.9 at various degrees of freedom:</t>
  </si>
  <si>
    <t xml:space="preserve">• Assume that </t>
  </si>
  <si>
    <t>⇽ Use CORREL( ) to easily calculate correlation</t>
  </si>
  <si>
    <t xml:space="preserve"> Months </t>
  </si>
  <si>
    <t xml:space="preserve">48-60 </t>
  </si>
  <si>
    <t xml:space="preserve">36-48 </t>
  </si>
  <si>
    <t xml:space="preserve"> 24-36 </t>
  </si>
  <si>
    <t xml:space="preserve">12-24 </t>
  </si>
  <si>
    <t xml:space="preserve">Accident </t>
  </si>
  <si>
    <t>Y = 24-36</t>
  </si>
  <si>
    <t>X = 12-24</t>
  </si>
  <si>
    <t>Age-to-age development factors</t>
  </si>
  <si>
    <t>Given the following information</t>
  </si>
  <si>
    <t>Q #6</t>
  </si>
  <si>
    <t>Spring 2016</t>
  </si>
  <si>
    <t>Venter Factors.</t>
  </si>
  <si>
    <t>Describe an alternative method of testing the stability of the age-to-age factors based on</t>
  </si>
  <si>
    <t>age-to-age factor considering the chart above.</t>
  </si>
  <si>
    <t>Support the actuary's claim and provide two methods that could improve the estimated</t>
  </si>
  <si>
    <t>0.75 point</t>
  </si>
  <si>
    <t>•  An actuary believes that the all-year weighted average is inappropriate.</t>
  </si>
  <si>
    <t>•  The all-year weighted average is used to calculate the age 1 to age 2 factor.</t>
  </si>
  <si>
    <t>Plot raw residuals against time.  If there are strings of positives and negatives in a row, then development factors are not stable</t>
  </si>
  <si>
    <t>2. Adjust the data for systematic changes</t>
  </si>
  <si>
    <t>1. Use a five-year weighted average</t>
  </si>
  <si>
    <t>Two methods are as follows:</t>
  </si>
  <si>
    <t>The age-to-age factor is not stable over time and shows an increasing trend</t>
  </si>
  <si>
    <t>Q #9</t>
  </si>
  <si>
    <t>Spring 2018</t>
  </si>
  <si>
    <r>
      <t>SS</t>
    </r>
    <r>
      <rPr>
        <vertAlign val="subscript"/>
        <sz val="12"/>
        <color theme="1"/>
        <rFont val="Calibri (Body)"/>
      </rPr>
      <t>reg</t>
    </r>
    <r>
      <rPr>
        <sz val="12"/>
        <color theme="1"/>
        <rFont val="Calibri"/>
        <family val="2"/>
        <scheme val="minor"/>
      </rPr>
      <t xml:space="preserve"> ; SS</t>
    </r>
    <r>
      <rPr>
        <vertAlign val="subscript"/>
        <sz val="12"/>
        <color theme="1"/>
        <rFont val="Calibri (Body)"/>
      </rPr>
      <t>resid</t>
    </r>
    <r>
      <rPr>
        <sz val="12"/>
        <color theme="1"/>
        <rFont val="Calibri"/>
        <family val="2"/>
        <scheme val="minor"/>
      </rPr>
      <t xml:space="preserve"> ⇾    </t>
    </r>
  </si>
  <si>
    <t>F statistic ; Deg of Freedom ⇾</t>
  </si>
  <si>
    <r>
      <t>r</t>
    </r>
    <r>
      <rPr>
        <vertAlign val="superscript"/>
        <sz val="12"/>
        <color theme="1"/>
        <rFont val="Calibri (Body)"/>
      </rPr>
      <t>2</t>
    </r>
    <r>
      <rPr>
        <sz val="12"/>
        <color theme="1"/>
        <rFont val="Calibri"/>
        <family val="2"/>
        <scheme val="minor"/>
      </rPr>
      <t xml:space="preserve"> ; std error for y estimate⇾  </t>
    </r>
  </si>
  <si>
    <r>
      <t>⇽ Note that these match s</t>
    </r>
    <r>
      <rPr>
        <vertAlign val="subscript"/>
        <sz val="12"/>
        <color theme="1"/>
        <rFont val="Calibri (Body)"/>
      </rPr>
      <t>b</t>
    </r>
    <r>
      <rPr>
        <sz val="12"/>
        <color theme="1"/>
        <rFont val="Calibri"/>
        <family val="2"/>
        <scheme val="minor"/>
      </rPr>
      <t xml:space="preserve"> and s</t>
    </r>
    <r>
      <rPr>
        <vertAlign val="subscript"/>
        <sz val="12"/>
        <color theme="1"/>
        <rFont val="Calibri (Body)"/>
      </rPr>
      <t>a</t>
    </r>
    <r>
      <rPr>
        <sz val="12"/>
        <color theme="1"/>
        <rFont val="Calibri"/>
        <family val="2"/>
        <scheme val="minor"/>
      </rPr>
      <t xml:space="preserve"> from above</t>
    </r>
  </si>
  <si>
    <t>standard errors ⇾</t>
  </si>
  <si>
    <t>coefficients ⇾</t>
  </si>
  <si>
    <t>Below is the output. For the exam, only the top two rows are important:</t>
  </si>
  <si>
    <t>= LINEST( y values, x values, TRUE, TRUE)</t>
  </si>
  <si>
    <t>to date would differ under the chain ladder versus additive model.</t>
  </si>
  <si>
    <t>Discuss how the estimated future loss emergence for a year with abnormally high losses</t>
  </si>
  <si>
    <t>model assumption that this test is used to validate.</t>
  </si>
  <si>
    <t xml:space="preserve">The problem only asks about the development factor (b), so you don't actually need to state whether the constant (a) is significant or not for full credit, but most sample solutions do.
You can calculate the coefficients and standard errors for a linear regression easily in Excel using the LINEST( ) formula. To get the standard errors, you need to state that you want the statistics, so the formula is: </t>
  </si>
  <si>
    <t>Test for significance of the 12-24 loss development factor and state the chain ladder</t>
  </si>
  <si>
    <r>
      <t xml:space="preserve">where </t>
    </r>
    <r>
      <rPr>
        <sz val="12"/>
        <color theme="1"/>
        <rFont val="Calibri"/>
        <family val="2"/>
      </rPr>
      <t>ϵ</t>
    </r>
    <r>
      <rPr>
        <vertAlign val="subscript"/>
        <sz val="12"/>
        <color theme="1"/>
        <rFont val="Calibri"/>
        <family val="2"/>
        <scheme val="minor"/>
      </rPr>
      <t xml:space="preserve">i </t>
    </r>
    <r>
      <rPr>
        <sz val="12"/>
        <color theme="1"/>
        <rFont val="Calibri"/>
        <family val="2"/>
        <scheme val="minor"/>
      </rPr>
      <t>are the error terms.</t>
    </r>
  </si>
  <si>
    <t>The future losses under the chain-ladder method would be abnormally high since it would be applying a multiplicative factor to abnormally high losses to date.  Future losses under the additive model would not be impacted by abnormally high losses because the model is not impacted by losses to date.</t>
  </si>
  <si>
    <t xml:space="preserve">    intercept (a) are calculated as:</t>
  </si>
  <si>
    <r>
      <t xml:space="preserve">The assumption being tested is the </t>
    </r>
    <r>
      <rPr>
        <b/>
        <sz val="12"/>
        <color theme="1"/>
        <rFont val="Calibri"/>
        <family val="2"/>
        <scheme val="minor"/>
      </rPr>
      <t>linearity assumption</t>
    </r>
    <r>
      <rPr>
        <sz val="12"/>
        <color theme="1"/>
        <rFont val="Calibri"/>
        <family val="2"/>
        <scheme val="minor"/>
      </rPr>
      <t>, which states that the expected cumulative loss in the next development period is proportional to the losses to date.</t>
    </r>
  </si>
  <si>
    <t>•  For a simple linear regression y = a + bx, the standard error for the slope (b) and</t>
  </si>
  <si>
    <t>⇾ b is NOT significant</t>
  </si>
  <si>
    <r>
      <t>b (0.5) &lt; 2 * s</t>
    </r>
    <r>
      <rPr>
        <vertAlign val="subscript"/>
        <sz val="12"/>
        <color theme="1"/>
        <rFont val="Calibri (Body)"/>
      </rPr>
      <t>b</t>
    </r>
  </si>
  <si>
    <t xml:space="preserve">        o  b = </t>
  </si>
  <si>
    <t>⇾ a is significant</t>
  </si>
  <si>
    <r>
      <t>a (1,075) &gt; 2 * s</t>
    </r>
    <r>
      <rPr>
        <vertAlign val="subscript"/>
        <sz val="12"/>
        <color theme="1"/>
        <rFont val="Calibri (Body)"/>
      </rPr>
      <t>a</t>
    </r>
  </si>
  <si>
    <t xml:space="preserve">        o  a = </t>
  </si>
  <si>
    <t xml:space="preserve">    loss at age 12 was performed. The resulting regression coefficients are:</t>
  </si>
  <si>
    <r>
      <t>s</t>
    </r>
    <r>
      <rPr>
        <vertAlign val="subscript"/>
        <sz val="12"/>
        <color theme="1"/>
        <rFont val="Calibri (Body)"/>
      </rPr>
      <t>a</t>
    </r>
    <r>
      <rPr>
        <sz val="12"/>
        <color theme="1"/>
        <rFont val="Calibri"/>
        <family val="2"/>
        <scheme val="minor"/>
      </rPr>
      <t xml:space="preserve"> = </t>
    </r>
  </si>
  <si>
    <t>•  A simple linear regression y = a + bx of the incremental loss at age 24 over the cumulative</t>
  </si>
  <si>
    <r>
      <t>s</t>
    </r>
    <r>
      <rPr>
        <vertAlign val="subscript"/>
        <sz val="12"/>
        <color theme="1"/>
        <rFont val="Calibri (Body)"/>
      </rPr>
      <t>b</t>
    </r>
    <r>
      <rPr>
        <sz val="12"/>
        <color theme="1"/>
        <rFont val="Calibri"/>
        <family val="2"/>
        <scheme val="minor"/>
      </rPr>
      <t xml:space="preserve"> = </t>
    </r>
  </si>
  <si>
    <t>•  There are no calendar or accident date trends in the data.</t>
  </si>
  <si>
    <t>Alternative Calc</t>
  </si>
  <si>
    <t>n - 2 =</t>
  </si>
  <si>
    <t>•  Exposures are stable over the years.</t>
  </si>
  <si>
    <r>
      <t>sum((x</t>
    </r>
    <r>
      <rPr>
        <vertAlign val="subscript"/>
        <sz val="12"/>
        <color theme="1"/>
        <rFont val="Calibri (Body)"/>
      </rPr>
      <t>i</t>
    </r>
    <r>
      <rPr>
        <sz val="12"/>
        <color theme="1"/>
        <rFont val="Calibri"/>
        <family val="2"/>
        <scheme val="minor"/>
      </rPr>
      <t xml:space="preserve"> - x</t>
    </r>
    <r>
      <rPr>
        <vertAlign val="subscript"/>
        <sz val="12"/>
        <color theme="1"/>
        <rFont val="Calibri (Body)"/>
      </rPr>
      <t>bar</t>
    </r>
    <r>
      <rPr>
        <sz val="12"/>
        <color theme="1"/>
        <rFont val="Calibri"/>
        <family val="2"/>
        <scheme val="minor"/>
      </rPr>
      <t>)^2)</t>
    </r>
  </si>
  <si>
    <r>
      <t>x</t>
    </r>
    <r>
      <rPr>
        <vertAlign val="subscript"/>
        <sz val="12"/>
        <color theme="1"/>
        <rFont val="Calibri (Body)"/>
      </rPr>
      <t>bar</t>
    </r>
    <r>
      <rPr>
        <sz val="12"/>
        <color theme="1"/>
        <rFont val="Calibri"/>
        <family val="2"/>
        <scheme val="minor"/>
      </rPr>
      <t xml:space="preserve"> = </t>
    </r>
  </si>
  <si>
    <r>
      <t>s</t>
    </r>
    <r>
      <rPr>
        <vertAlign val="subscript"/>
        <sz val="12"/>
        <color theme="1"/>
        <rFont val="Calibri (Body)"/>
      </rPr>
      <t>b</t>
    </r>
    <r>
      <rPr>
        <sz val="12"/>
        <color theme="1"/>
        <rFont val="Calibri"/>
        <family val="2"/>
        <scheme val="minor"/>
      </rPr>
      <t xml:space="preserve"> term </t>
    </r>
  </si>
  <si>
    <t>Residual (ϵ)</t>
  </si>
  <si>
    <t>Fitted</t>
  </si>
  <si>
    <t>Incremental Paid Loss ($000) 
as of (months)</t>
  </si>
  <si>
    <t>First, calculate the fitted losses and residuals (error terms ϵ) at 24 months:</t>
  </si>
  <si>
    <t>Given the following information as of December 31, 2017:</t>
  </si>
  <si>
    <t>Q #10</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</si>
  <si>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</si>
  <si>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RF Venter Factors - 15</t>
  </si>
  <si>
    <t>Given the following incremental losses for an insurer as of December 31, 2015:</t>
  </si>
  <si>
    <t>Calculate the incremental development factors:</t>
  </si>
  <si>
    <t>Incr.</t>
  </si>
  <si>
    <t>Ult.</t>
  </si>
  <si>
    <t>Assuming that the variance of the residuals is constant over the triangle, use the Bornhuetter/ Ferguson method to determine the values of h(w) and f(d) after two iterations. Assume that the starting f(d)'s are NOT part of the first iteration.</t>
  </si>
  <si>
    <t>First iteration:</t>
  </si>
  <si>
    <t>Second iteration:</t>
  </si>
  <si>
    <t>Calculate the h(w) values:</t>
  </si>
  <si>
    <t>Assuming that the variance of the residuals is constant over the triangle, use the Cape Cod method to determine the values of h and f(d) after two iterations. Assume that the starting f(d)'s are NOT part of the first iteration.</t>
  </si>
  <si>
    <t>Assuming that the variance of the residuals is proportional to f(d)h(w), use the Bornhuetter/ Ferguson method to determine the values of h(w) and f(d) after two iterations. Assume that the starting f(d)'s are NOT part of the first iteration.</t>
  </si>
  <si>
    <t>Calculate the f(d) values:</t>
  </si>
  <si>
    <t>Final h(w) and f(d) values after the second iteration are as follows:</t>
  </si>
  <si>
    <t>h(w) = sum(f(d) * IncLoss_w,d) / sum(f(d)^2)  &lt;-- over all accident years and development period</t>
  </si>
  <si>
    <t>f(d) Triangle</t>
  </si>
  <si>
    <r>
      <t>h</t>
    </r>
    <r>
      <rPr>
        <vertAlign val="superscript"/>
        <sz val="12"/>
        <color theme="1"/>
        <rFont val="Calibri"/>
        <family val="2"/>
      </rPr>
      <t>CC</t>
    </r>
    <r>
      <rPr>
        <sz val="12"/>
        <color theme="1"/>
        <rFont val="Calibri"/>
        <family val="2"/>
      </rPr>
      <t xml:space="preserve"> = </t>
    </r>
  </si>
  <si>
    <t>With the Cape Cod approach, h and f(d) don't change after 1 iteration (you can check by re-calculating h), so we do not need to run further iterations.</t>
  </si>
  <si>
    <t>Final h and f(d) values  are as follows:</t>
  </si>
  <si>
    <t>This problem tests both the constant variance and proportional variance versions of the f(d)h(w) model as well as the Cape Cod version. These methods are iterative, but because the whole triangle is used for the Cape Cod version, only one iteration is needed.</t>
  </si>
  <si>
    <t>RF Venter Factors - 16</t>
  </si>
  <si>
    <t>Various emergence methods were used on a 5 x 5 triangle. The resulting SSEs are as follows:</t>
  </si>
  <si>
    <t>The three test statistics are Adjusted SSE, AIC, and BIC:</t>
  </si>
  <si>
    <t>Method</t>
  </si>
  <si>
    <t>Chain-Ladder</t>
  </si>
  <si>
    <t>Bornhuetter/Ferguson</t>
  </si>
  <si>
    <t>Cape Cod</t>
  </si>
  <si>
    <t>n =</t>
  </si>
  <si>
    <t>&lt;-number of predicted points (see Discussion)</t>
  </si>
  <si>
    <t>Use three different test statistics to compare the fits of each model. Comment on any contradictions between the test statistics.</t>
  </si>
  <si>
    <t>BF Method</t>
  </si>
  <si>
    <t>CC Method</t>
  </si>
  <si>
    <t>p (parameters)</t>
  </si>
  <si>
    <t>AIC</t>
  </si>
  <si>
    <t>BIC</t>
  </si>
  <si>
    <t>Comments on differences between test statistics</t>
  </si>
  <si>
    <t>In general, the tests agree that the CC method is the better model since it has the lowest statistic two out of three times. However, the AIC statistic favors the BF model. This is due to the fact that the AIC does not penalize enough for the number of parameters.</t>
  </si>
  <si>
    <r>
      <t xml:space="preserve">For the number of parameters, n, we exclude the first column because we’re only making predictions for incremental losses </t>
    </r>
    <r>
      <rPr>
        <i/>
        <u/>
        <sz val="12"/>
        <color theme="1"/>
        <rFont val="Calibri (Body)"/>
      </rPr>
      <t>after the first development period</t>
    </r>
    <r>
      <rPr>
        <sz val="12"/>
        <color theme="1"/>
        <rFont val="Calibri"/>
        <family val="2"/>
        <scheme val="minor"/>
      </rPr>
      <t>. Therefore, we don’t consider the first development period in the test.
Below is an explanation of the number of parameters for each method:</t>
    </r>
  </si>
  <si>
    <t>Number of Parameters</t>
  </si>
  <si>
    <r>
      <rPr>
        <b/>
        <sz val="12"/>
        <color theme="1"/>
        <rFont val="Calibri"/>
        <family val="2"/>
      </rPr>
      <t>CL Method:</t>
    </r>
    <r>
      <rPr>
        <sz val="12"/>
        <color theme="1"/>
        <rFont val="Calibri"/>
        <family val="2"/>
      </rPr>
      <t xml:space="preserve"> </t>
    </r>
  </si>
  <si>
    <t xml:space="preserve">A parameter is needed for each AY except the first because we assume the first AY is fully developed. Think of the number of parameters here as the number of LDFs you’d use. </t>
  </si>
  <si>
    <t xml:space="preserve">Parameterized BF Method: </t>
  </si>
  <si>
    <t>A parameter is needed for each AY and development period. Since we assume the first AY is fully developed and because we’re not predicting the first development period, two fewer parameters are needed. See Venter’s discussion on pg. 817 for more.</t>
  </si>
  <si>
    <r>
      <rPr>
        <b/>
        <sz val="12"/>
        <color theme="1"/>
        <rFont val="Calibri"/>
        <family val="2"/>
      </rPr>
      <t>Cape Cod Method:</t>
    </r>
    <r>
      <rPr>
        <sz val="12"/>
        <color theme="1"/>
        <rFont val="Calibri"/>
        <family val="2"/>
      </rPr>
      <t xml:space="preserve"> </t>
    </r>
  </si>
  <si>
    <t>From Venter Factors pg. 818: 
"CC seems to have one more parameter than the chain ladder, namely h. However, any change in h can be offset by inverse changes in all the f's. CC thus has the same number of parameters as the chain ladder."</t>
  </si>
  <si>
    <t>The result is the same as the additive Chain Ladder method.</t>
  </si>
  <si>
    <t>AY 2011 Reserves =</t>
  </si>
  <si>
    <t>Reserve estimate for AY 2011:</t>
  </si>
  <si>
    <t>Calculate new f(d) factors:</t>
  </si>
  <si>
    <t>AY(w)</t>
  </si>
  <si>
    <t>48-Ult</t>
  </si>
  <si>
    <t>LDF Age</t>
  </si>
  <si>
    <t>Starting f(d) values, because we need f(d) parameters for all development periods:</t>
  </si>
  <si>
    <t>Iterative Cape Cod Method</t>
  </si>
  <si>
    <t>The Cape Cod method answer above is a bit of a shortcut taking advantage of how the Cape Cod and additive chain-ladder methods result in the same reserve. Instead, you could calculate the reserve with the full Cape Cod method. The key thing is that it's an iterative method, so after calculating the h parameter, we need to re-calculate new f(d) parameters:</t>
  </si>
  <si>
    <t>The CC method gives the same results as additive chain-ladder, where the development terms are the average emerged at each development period (pg. 826). We can use this as a shortcut to calculate the AY 2011 Reserves:</t>
  </si>
  <si>
    <t>Venter Factors - pg. 820</t>
  </si>
  <si>
    <t>• Assume that subsequent periods all have the same expected percentage development</t>
  </si>
  <si>
    <t>Since |T| = 1.165 &lt; 6.315, we conclude that the correlation between the first two columns is not significant at the 10% level</t>
  </si>
  <si>
    <t>For the BF and Cape Cod methods, assume the variance of the incremental observations is constant.</t>
  </si>
  <si>
    <t>Calculate Spearman's rank correlation coefficient for the triangle as a whole.</t>
  </si>
  <si>
    <t>Since the absolute value of the age-to-age factors are not twice their standard deviations, they are not significant, but two out of the three constants are twice their standard deviations, meaning the constants are statistically significant.</t>
  </si>
  <si>
    <t>This implies that the chain-ladder method is NOT appropriate to use here and that a linear with constant model is more strongly supported.</t>
  </si>
  <si>
    <t>For part a, we're testing "Implication 2: Superiority to Alternative Emergence Patterns". When the constant term is more statistically significant than the factor, this suggests that a linear with constant model is better than the normal chain ladder (see pg. 814-816 in Venter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</si>
</sst>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43" formatCode="_(* #,##0.00_);_(* \(#,##0.00\);_(* &quot;-&quot;??_);_(@_)"/>
    <numFmt numFmtId="164" formatCode="0.000"/>
    <numFmt numFmtId="165" formatCode="_-* #,##0.000_-;\-* #,##0.000_-;_-* &quot;-&quot;??_-;_-@_-"/>
    <numFmt numFmtId="166" formatCode="0.0%"/>
    <numFmt numFmtId="167" formatCode="_-* #,##0_-;\-* #,##0_-;_-* &quot;-&quot;??_-;_-@_-"/>
    <numFmt numFmtId="168" formatCode="_(* #,##0_);_(* \(#,##0\);_(* &quot;-&quot;??_);_(@_)"/>
    <numFmt numFmtId="169" formatCode="#,##0.0000"/>
    <numFmt numFmtId="170" formatCode="#,##0.000"/>
    <numFmt numFmtId="171" formatCode="&quot;$&quot;#,##0"/>
    <numFmt numFmtId="172" formatCode="_(* #,##0.000_);_(* \(#,##0.000\);_(* &quot;-&quot;??_);_(@_)"/>
    <numFmt numFmtId="173" formatCode="0&quot;-36&quot;"/>
    <numFmt numFmtId="174" formatCode="0&quot;-24&quot;"/>
    <numFmt numFmtId="175" formatCode="0.0000"/>
    <numFmt numFmtId="176" formatCode="&quot;$&quot;#,##0.00"/>
    <numFmt numFmtId="177" formatCode="_-* #,##0.00_-;\-* #,##0.00_-;_-* &quot;-&quot;??_-;_-@_-"/>
  </numFmts>
  <fonts count="51"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b/>
      <sz val="12"/>
      <color rgb="FF000000"/>
      <name val="Calibri"/>
      <family val="2"/>
    </font>
    <font>
      <b/>
      <sz val="14"/>
      <color rgb="FF000000"/>
      <name val="Calibri"/>
      <family val="2"/>
    </font>
    <font>
      <b/>
      <sz val="12"/>
      <color theme="1"/>
      <name val="Calibri"/>
      <family val="2"/>
    </font>
    <font>
      <i/>
      <sz val="12"/>
      <color rgb="FF000000"/>
      <name val="Calibri"/>
      <family val="2"/>
    </font>
    <font>
      <b/>
      <sz val="11"/>
      <color theme="1"/>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2"/>
      <color theme="1"/>
      <name val="Calibri"/>
      <family val="2"/>
      <scheme val="minor"/>
    </font>
    <font>
      <b/>
      <u/>
      <sz val="12"/>
      <color theme="1"/>
      <name val="Calibri (Body)"/>
    </font>
    <font>
      <b/>
      <sz val="14"/>
      <color theme="1"/>
      <name val="Calibri"/>
      <family val="2"/>
      <scheme val="minor"/>
    </font>
    <font>
      <u/>
      <sz val="12"/>
      <color theme="1"/>
      <name val="Calibri"/>
      <family val="2"/>
      <scheme val="minor"/>
    </font>
    <font>
      <vertAlign val="subscript"/>
      <sz val="12"/>
      <color theme="1"/>
      <name val="Calibri"/>
      <family val="2"/>
    </font>
    <font>
      <b/>
      <sz val="14"/>
      <color rgb="FF000000"/>
      <name val="Calibri"/>
      <family val="2"/>
      <scheme val="minor"/>
    </font>
    <font>
      <b/>
      <sz val="10"/>
      <color rgb="FF000000"/>
      <name val="Tahoma"/>
      <family val="2"/>
    </font>
    <font>
      <sz val="10"/>
      <color rgb="FF000000"/>
      <name val="Tahoma"/>
      <family val="2"/>
    </font>
    <font>
      <i/>
      <sz val="12"/>
      <color theme="1"/>
      <name val="Calibri"/>
      <family val="2"/>
      <scheme val="minor"/>
    </font>
    <font>
      <i/>
      <sz val="12"/>
      <color theme="1"/>
      <name val="Calibri (Body)"/>
    </font>
    <font>
      <sz val="14"/>
      <color theme="1"/>
      <name val="Calibri"/>
      <family val="2"/>
      <scheme val="minor"/>
    </font>
    <font>
      <sz val="12"/>
      <color rgb="FF000000"/>
      <name val="Helvetica"/>
      <family val="2"/>
    </font>
    <font>
      <sz val="12"/>
      <color rgb="FF000000"/>
      <name val="Calibri"/>
      <family val="2"/>
      <scheme val="minor"/>
    </font>
    <font>
      <vertAlign val="subscript"/>
      <sz val="12"/>
      <color theme="1"/>
      <name val="Calibri"/>
      <family val="2"/>
      <scheme val="minor"/>
    </font>
    <font>
      <i/>
      <u/>
      <sz val="12"/>
      <color theme="1"/>
      <name val="Calibri (Body)"/>
    </font>
    <font>
      <b/>
      <i/>
      <sz val="12"/>
      <color theme="1"/>
      <name val="Calibri"/>
      <family val="2"/>
      <scheme val="minor"/>
    </font>
    <font>
      <i/>
      <u/>
      <sz val="12"/>
      <color theme="1"/>
      <name val="Calibri"/>
      <family val="2"/>
      <scheme val="minor"/>
    </font>
    <font>
      <sz val="12"/>
      <color theme="1"/>
      <name val="Arial"/>
      <family val="2"/>
    </font>
    <font>
      <vertAlign val="superscript"/>
      <sz val="12"/>
      <color rgb="FF000000"/>
      <name val="Calibri"/>
      <family val="2"/>
    </font>
    <font>
      <vertAlign val="subscript"/>
      <sz val="12"/>
      <color rgb="FF000000"/>
      <name val="Calibri"/>
      <family val="2"/>
    </font>
    <font>
      <vertAlign val="subscript"/>
      <sz val="12"/>
      <color theme="1"/>
      <name val="Calibri (Body)"/>
    </font>
    <font>
      <vertAlign val="superscript"/>
      <sz val="12"/>
      <color theme="1"/>
      <name val="Calibri (Body)"/>
    </font>
    <font>
      <b/>
      <u/>
      <sz val="12"/>
      <color theme="1"/>
      <name val="Calibri"/>
      <family val="2"/>
      <scheme val="minor"/>
    </font>
    <font>
      <vertAlign val="superscript"/>
      <sz val="12"/>
      <color theme="1"/>
      <name val="Calibri"/>
      <family val="2"/>
    </font>
  </fonts>
  <fills count="6">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bgColor indexed="64"/>
      </patternFill>
    </fill>
    <fill>
      <patternFill patternType="solid">
        <fgColor theme="8" tint="0.59999389629810485"/>
        <bgColor indexed="64"/>
      </patternFill>
    </fill>
  </fills>
  <borders count="33">
    <border>
      <left/>
      <right/>
      <top/>
      <bottom/>
      <diagonal/>
    </border>
    <border>
      <left style="medium">
        <color indexed="64"/>
      </left>
      <right/>
      <top/>
      <bottom/>
      <diagonal/>
    </border>
    <border>
      <left/>
      <right style="medium">
        <color indexed="64"/>
      </right>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thin">
        <color auto="1"/>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8">
    <xf numFmtId="0" fontId="0" fillId="0" borderId="0"/>
    <xf numFmtId="43" fontId="11" fillId="0" borderId="0" applyFont="0" applyFill="0" applyBorder="0" applyAlignment="0" applyProtection="0"/>
    <xf numFmtId="9" fontId="11" fillId="0" borderId="0" applyFont="0" applyFill="0" applyBorder="0" applyAlignment="0" applyProtection="0"/>
    <xf numFmtId="0" fontId="23" fillId="0" borderId="0"/>
    <xf numFmtId="0" fontId="7" fillId="0" borderId="0"/>
    <xf numFmtId="0" fontId="24" fillId="0" borderId="0" applyNumberForma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461">
    <xf numFmtId="0" fontId="0" fillId="0" borderId="0" xfId="0"/>
    <xf numFmtId="0" fontId="12" fillId="2" borderId="1" xfId="0" applyFont="1" applyFill="1" applyBorder="1"/>
    <xf numFmtId="2" fontId="13" fillId="2" borderId="1" xfId="0" applyNumberFormat="1" applyFont="1" applyFill="1" applyBorder="1" applyAlignment="1">
      <alignment horizontal="left"/>
    </xf>
    <xf numFmtId="0" fontId="12" fillId="0" borderId="0" xfId="0" applyFont="1"/>
    <xf numFmtId="0" fontId="14" fillId="0" borderId="0" xfId="0" applyFont="1"/>
    <xf numFmtId="0" fontId="15" fillId="0" borderId="0" xfId="0" applyFont="1"/>
    <xf numFmtId="0" fontId="17" fillId="0" borderId="0" xfId="0" applyFont="1" applyAlignment="1">
      <alignment horizontal="center" vertical="center" wrapText="1"/>
    </xf>
    <xf numFmtId="0" fontId="17" fillId="2" borderId="2" xfId="0" applyFont="1" applyFill="1" applyBorder="1" applyAlignment="1">
      <alignment horizontal="center" vertical="center" wrapText="1"/>
    </xf>
    <xf numFmtId="0" fontId="17" fillId="2" borderId="0" xfId="0" applyFont="1" applyFill="1" applyAlignment="1">
      <alignment horizontal="center" vertical="center" wrapText="1"/>
    </xf>
    <xf numFmtId="164" fontId="17" fillId="0" borderId="0" xfId="0" applyNumberFormat="1" applyFont="1" applyAlignment="1">
      <alignment horizontal="center" vertical="center" wrapText="1"/>
    </xf>
    <xf numFmtId="3" fontId="17" fillId="0" borderId="0" xfId="0" applyNumberFormat="1" applyFont="1" applyAlignment="1">
      <alignment horizontal="center" vertical="center" wrapText="1"/>
    </xf>
    <xf numFmtId="3" fontId="17" fillId="2" borderId="0" xfId="0" applyNumberFormat="1" applyFont="1" applyFill="1" applyAlignment="1">
      <alignment horizontal="center" vertical="center" wrapText="1"/>
    </xf>
    <xf numFmtId="0" fontId="19" fillId="0" borderId="0" xfId="0" applyFont="1"/>
    <xf numFmtId="0" fontId="20" fillId="0" borderId="0" xfId="0" applyFont="1"/>
    <xf numFmtId="0" fontId="18" fillId="0" borderId="0" xfId="0" applyFont="1"/>
    <xf numFmtId="0" fontId="17" fillId="0" borderId="0" xfId="0" applyFont="1"/>
    <xf numFmtId="0" fontId="17" fillId="0" borderId="5"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3" xfId="0" applyFont="1" applyBorder="1" applyAlignment="1">
      <alignment horizontal="center" vertical="center" wrapText="1"/>
    </xf>
    <xf numFmtId="3" fontId="17" fillId="0" borderId="3" xfId="0" applyNumberFormat="1" applyFont="1" applyBorder="1" applyAlignment="1">
      <alignment horizontal="center" vertical="center" wrapText="1"/>
    </xf>
    <xf numFmtId="0" fontId="17" fillId="0" borderId="0" xfId="0" applyFont="1" applyAlignment="1">
      <alignment horizontal="left" vertical="center"/>
    </xf>
    <xf numFmtId="10" fontId="17" fillId="2" borderId="0" xfId="0" applyNumberFormat="1" applyFont="1" applyFill="1" applyAlignment="1">
      <alignment horizontal="center" vertical="center" wrapText="1"/>
    </xf>
    <xf numFmtId="168" fontId="20" fillId="0" borderId="0" xfId="1" applyNumberFormat="1" applyFont="1"/>
    <xf numFmtId="0" fontId="17" fillId="2" borderId="3" xfId="0" applyFont="1" applyFill="1" applyBorder="1" applyAlignment="1">
      <alignment horizontal="right" vertical="center"/>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0" borderId="3" xfId="0" applyFont="1" applyBorder="1" applyAlignment="1">
      <alignment horizontal="right" vertical="center"/>
    </xf>
    <xf numFmtId="0" fontId="20" fillId="2" borderId="8" xfId="0" applyFont="1" applyFill="1" applyBorder="1" applyAlignment="1">
      <alignment horizontal="center" vertical="center"/>
    </xf>
    <xf numFmtId="0" fontId="20" fillId="2" borderId="0" xfId="0" applyFont="1" applyFill="1" applyAlignment="1">
      <alignment horizontal="center" vertical="center"/>
    </xf>
    <xf numFmtId="0" fontId="17" fillId="2" borderId="13" xfId="0" applyFont="1" applyFill="1" applyBorder="1" applyAlignment="1">
      <alignment horizontal="center" vertical="center" wrapText="1"/>
    </xf>
    <xf numFmtId="0" fontId="16" fillId="2" borderId="0" xfId="0" applyFont="1" applyFill="1" applyAlignment="1">
      <alignment horizontal="center"/>
    </xf>
    <xf numFmtId="0" fontId="17" fillId="2" borderId="5" xfId="0" applyFont="1" applyFill="1" applyBorder="1" applyAlignment="1">
      <alignment horizontal="center" wrapText="1"/>
    </xf>
    <xf numFmtId="0" fontId="10" fillId="2" borderId="8" xfId="0" applyFont="1" applyFill="1" applyBorder="1" applyAlignment="1">
      <alignment horizontal="center" vertical="center"/>
    </xf>
    <xf numFmtId="0" fontId="10" fillId="2" borderId="0" xfId="0" applyFont="1" applyFill="1"/>
    <xf numFmtId="0" fontId="10" fillId="2" borderId="2" xfId="0" applyFont="1" applyFill="1" applyBorder="1"/>
    <xf numFmtId="0" fontId="10" fillId="0" borderId="0" xfId="0" applyFont="1"/>
    <xf numFmtId="164" fontId="10" fillId="0" borderId="0" xfId="0" applyNumberFormat="1" applyFont="1"/>
    <xf numFmtId="0" fontId="10" fillId="0" borderId="0" xfId="0" applyFont="1" applyAlignment="1">
      <alignment horizontal="left" wrapText="1"/>
    </xf>
    <xf numFmtId="0" fontId="10" fillId="2" borderId="8" xfId="0" applyFont="1" applyFill="1" applyBorder="1"/>
    <xf numFmtId="0" fontId="10" fillId="2" borderId="12" xfId="0" applyFont="1" applyFill="1" applyBorder="1"/>
    <xf numFmtId="0" fontId="10" fillId="0" borderId="0" xfId="0" applyFont="1" applyAlignment="1">
      <alignment wrapText="1"/>
    </xf>
    <xf numFmtId="0" fontId="10" fillId="0" borderId="7" xfId="0" applyFont="1" applyBorder="1" applyAlignment="1">
      <alignment horizontal="center"/>
    </xf>
    <xf numFmtId="0" fontId="10" fillId="0" borderId="5" xfId="0" applyFont="1" applyBorder="1"/>
    <xf numFmtId="0" fontId="10" fillId="2" borderId="5" xfId="0" applyFont="1" applyFill="1" applyBorder="1" applyAlignment="1">
      <alignment horizontal="center"/>
    </xf>
    <xf numFmtId="3" fontId="10" fillId="0" borderId="0" xfId="0" applyNumberFormat="1" applyFont="1" applyAlignment="1">
      <alignment horizontal="center"/>
    </xf>
    <xf numFmtId="3" fontId="10" fillId="2" borderId="0" xfId="0" applyNumberFormat="1" applyFont="1" applyFill="1"/>
    <xf numFmtId="0" fontId="10" fillId="2" borderId="1" xfId="0" applyFont="1" applyFill="1" applyBorder="1"/>
    <xf numFmtId="0" fontId="10" fillId="0" borderId="4" xfId="0" applyFont="1" applyBorder="1" applyAlignment="1">
      <alignment horizontal="center"/>
    </xf>
    <xf numFmtId="0" fontId="10" fillId="0" borderId="5" xfId="0" applyFont="1" applyBorder="1" applyAlignment="1">
      <alignment horizontal="center"/>
    </xf>
    <xf numFmtId="0" fontId="10" fillId="0" borderId="3" xfId="0" applyFont="1" applyBorder="1" applyAlignment="1">
      <alignment horizontal="center"/>
    </xf>
    <xf numFmtId="167" fontId="10" fillId="0" borderId="0" xfId="1" applyNumberFormat="1" applyFont="1"/>
    <xf numFmtId="0" fontId="10" fillId="2" borderId="0" xfId="0" quotePrefix="1" applyFont="1" applyFill="1"/>
    <xf numFmtId="167" fontId="10" fillId="0" borderId="0" xfId="0" applyNumberFormat="1" applyFont="1"/>
    <xf numFmtId="2" fontId="10" fillId="2" borderId="0" xfId="0" applyNumberFormat="1" applyFont="1" applyFill="1" applyAlignment="1">
      <alignment horizontal="center"/>
    </xf>
    <xf numFmtId="0" fontId="10" fillId="0" borderId="4" xfId="0" applyFont="1" applyBorder="1"/>
    <xf numFmtId="0" fontId="10" fillId="0" borderId="3" xfId="0" applyFont="1" applyBorder="1"/>
    <xf numFmtId="166" fontId="10" fillId="0" borderId="0" xfId="0" applyNumberFormat="1" applyFont="1" applyAlignment="1">
      <alignment horizontal="center"/>
    </xf>
    <xf numFmtId="0" fontId="10" fillId="0" borderId="0" xfId="0" quotePrefix="1" applyFont="1"/>
    <xf numFmtId="3" fontId="10" fillId="0" borderId="0" xfId="0" applyNumberFormat="1" applyFont="1"/>
    <xf numFmtId="10" fontId="10" fillId="0" borderId="0" xfId="0" applyNumberFormat="1" applyFont="1"/>
    <xf numFmtId="0" fontId="10" fillId="2" borderId="0" xfId="0" applyFont="1" applyFill="1" applyAlignment="1">
      <alignment wrapText="1"/>
    </xf>
    <xf numFmtId="0" fontId="10" fillId="2" borderId="2" xfId="0" applyFont="1" applyFill="1" applyBorder="1" applyAlignment="1">
      <alignment wrapText="1"/>
    </xf>
    <xf numFmtId="167" fontId="20" fillId="0" borderId="6" xfId="1" applyNumberFormat="1" applyFont="1" applyBorder="1"/>
    <xf numFmtId="167" fontId="20" fillId="0" borderId="0" xfId="1" applyNumberFormat="1" applyFont="1"/>
    <xf numFmtId="166" fontId="10" fillId="0" borderId="0" xfId="0" applyNumberFormat="1" applyFont="1"/>
    <xf numFmtId="0" fontId="10" fillId="2" borderId="0" xfId="0" applyFont="1" applyFill="1" applyAlignment="1">
      <alignment horizontal="center" vertical="center"/>
    </xf>
    <xf numFmtId="165" fontId="10" fillId="0" borderId="0" xfId="1" applyNumberFormat="1" applyFont="1"/>
    <xf numFmtId="166" fontId="10" fillId="0" borderId="5" xfId="2" applyNumberFormat="1" applyFont="1" applyBorder="1"/>
    <xf numFmtId="10" fontId="10" fillId="0" borderId="0" xfId="0" applyNumberFormat="1" applyFont="1" applyAlignment="1">
      <alignment horizontal="center"/>
    </xf>
    <xf numFmtId="167" fontId="10" fillId="0" borderId="0" xfId="0" applyNumberFormat="1" applyFont="1" applyAlignment="1">
      <alignment horizontal="center"/>
    </xf>
    <xf numFmtId="0" fontId="9" fillId="0" borderId="0" xfId="0" applyFont="1"/>
    <xf numFmtId="0" fontId="22" fillId="0" borderId="0" xfId="0" applyFont="1"/>
    <xf numFmtId="0" fontId="10" fillId="0" borderId="9" xfId="0" applyFont="1" applyBorder="1" applyAlignment="1">
      <alignment horizontal="center"/>
    </xf>
    <xf numFmtId="164" fontId="10" fillId="0" borderId="11" xfId="0" applyNumberFormat="1" applyFont="1" applyBorder="1" applyAlignment="1">
      <alignment horizontal="center"/>
    </xf>
    <xf numFmtId="0" fontId="8" fillId="0" borderId="0" xfId="0" applyFont="1"/>
    <xf numFmtId="0" fontId="8" fillId="0" borderId="9" xfId="0" applyFont="1" applyBorder="1"/>
    <xf numFmtId="167" fontId="8" fillId="0" borderId="11" xfId="0" applyNumberFormat="1" applyFont="1" applyBorder="1"/>
    <xf numFmtId="168" fontId="8" fillId="0" borderId="11" xfId="1" applyNumberFormat="1" applyFont="1" applyBorder="1"/>
    <xf numFmtId="167" fontId="8" fillId="0" borderId="11" xfId="0" applyNumberFormat="1" applyFont="1" applyBorder="1" applyAlignment="1">
      <alignment horizontal="center"/>
    </xf>
    <xf numFmtId="0" fontId="7" fillId="0" borderId="14" xfId="3" applyFont="1" applyBorder="1" applyAlignment="1">
      <alignment horizontal="center" vertical="center"/>
    </xf>
    <xf numFmtId="0" fontId="7" fillId="0" borderId="8" xfId="3" applyFont="1" applyBorder="1" applyAlignment="1">
      <alignment vertical="center" wrapText="1"/>
    </xf>
    <xf numFmtId="0" fontId="20" fillId="0" borderId="8" xfId="3" applyFont="1" applyBorder="1" applyAlignment="1">
      <alignment horizontal="center" vertical="center"/>
    </xf>
    <xf numFmtId="0" fontId="7" fillId="0" borderId="12" xfId="3" applyFont="1" applyBorder="1" applyAlignment="1">
      <alignment horizontal="center" vertical="center"/>
    </xf>
    <xf numFmtId="0" fontId="7" fillId="0" borderId="0" xfId="3" applyFont="1" applyAlignment="1">
      <alignment horizontal="center" vertical="center"/>
    </xf>
    <xf numFmtId="0" fontId="7" fillId="0" borderId="1" xfId="4" applyBorder="1"/>
    <xf numFmtId="0" fontId="7" fillId="0" borderId="0" xfId="4"/>
    <xf numFmtId="0" fontId="7" fillId="0" borderId="2" xfId="4" applyBorder="1"/>
    <xf numFmtId="0" fontId="24" fillId="0" borderId="0" xfId="5" applyBorder="1"/>
    <xf numFmtId="0" fontId="25" fillId="0" borderId="0" xfId="4" applyFont="1"/>
    <xf numFmtId="0" fontId="7" fillId="0" borderId="0" xfId="4" applyAlignment="1">
      <alignment horizontal="left" vertical="top"/>
    </xf>
    <xf numFmtId="0" fontId="26" fillId="0" borderId="0" xfId="4" applyFont="1"/>
    <xf numFmtId="0" fontId="13" fillId="0" borderId="0" xfId="4" applyFont="1" applyAlignment="1">
      <alignment horizontal="left" vertical="top"/>
    </xf>
    <xf numFmtId="0" fontId="7" fillId="0" borderId="15" xfId="3" applyFont="1" applyBorder="1" applyAlignment="1">
      <alignment horizontal="center" vertical="center"/>
    </xf>
    <xf numFmtId="0" fontId="7" fillId="0" borderId="16" xfId="3" applyFont="1" applyBorder="1" applyAlignment="1">
      <alignment horizontal="center" vertical="center"/>
    </xf>
    <xf numFmtId="0" fontId="7" fillId="0" borderId="17" xfId="3" applyFont="1" applyBorder="1" applyAlignment="1">
      <alignment horizontal="center" vertical="center"/>
    </xf>
    <xf numFmtId="0" fontId="27" fillId="0" borderId="0" xfId="0" applyFont="1"/>
    <xf numFmtId="164" fontId="27" fillId="0" borderId="0" xfId="0" applyNumberFormat="1" applyFont="1"/>
    <xf numFmtId="2" fontId="27" fillId="0" borderId="0" xfId="0" applyNumberFormat="1" applyFont="1"/>
    <xf numFmtId="2" fontId="0" fillId="0" borderId="0" xfId="0" applyNumberFormat="1"/>
    <xf numFmtId="169" fontId="0" fillId="0" borderId="0" xfId="0" applyNumberFormat="1"/>
    <xf numFmtId="3" fontId="0" fillId="0" borderId="0" xfId="0" applyNumberFormat="1"/>
    <xf numFmtId="0" fontId="0" fillId="0" borderId="0" xfId="0" applyAlignment="1">
      <alignment horizontal="left"/>
    </xf>
    <xf numFmtId="0" fontId="0" fillId="2" borderId="11" xfId="0" applyFill="1" applyBorder="1"/>
    <xf numFmtId="0" fontId="0" fillId="2" borderId="10" xfId="0" applyFill="1" applyBorder="1"/>
    <xf numFmtId="0" fontId="0" fillId="2" borderId="9" xfId="0" applyFill="1" applyBorder="1"/>
    <xf numFmtId="0" fontId="0" fillId="2" borderId="2" xfId="0" applyFill="1" applyBorder="1"/>
    <xf numFmtId="0" fontId="0" fillId="2" borderId="0" xfId="0" applyFill="1"/>
    <xf numFmtId="0" fontId="28" fillId="2" borderId="0" xfId="0" applyFont="1" applyFill="1"/>
    <xf numFmtId="0" fontId="0" fillId="2" borderId="1" xfId="0" applyFill="1" applyBorder="1"/>
    <xf numFmtId="6" fontId="0" fillId="2" borderId="0" xfId="0" applyNumberFormat="1" applyFill="1"/>
    <xf numFmtId="0" fontId="0" fillId="2" borderId="0" xfId="0" applyFill="1" applyAlignment="1">
      <alignment horizontal="center"/>
    </xf>
    <xf numFmtId="0" fontId="0" fillId="2" borderId="0" xfId="0" quotePrefix="1" applyFill="1" applyAlignment="1">
      <alignment horizontal="left"/>
    </xf>
    <xf numFmtId="0" fontId="0" fillId="2" borderId="0" xfId="0" quotePrefix="1" applyFill="1" applyAlignment="1">
      <alignment horizontal="center"/>
    </xf>
    <xf numFmtId="164" fontId="0" fillId="0" borderId="0" xfId="0" applyNumberFormat="1"/>
    <xf numFmtId="0" fontId="0" fillId="2" borderId="0" xfId="0" quotePrefix="1" applyFill="1"/>
    <xf numFmtId="6" fontId="0" fillId="0" borderId="0" xfId="0" applyNumberFormat="1"/>
    <xf numFmtId="0" fontId="29" fillId="0" borderId="0" xfId="0" applyFont="1"/>
    <xf numFmtId="0" fontId="0" fillId="2" borderId="12" xfId="0" applyFill="1" applyBorder="1"/>
    <xf numFmtId="0" fontId="0" fillId="2" borderId="8" xfId="0" applyFill="1" applyBorder="1"/>
    <xf numFmtId="0" fontId="0" fillId="2" borderId="8" xfId="0" applyFill="1" applyBorder="1" applyAlignment="1">
      <alignment horizontal="center"/>
    </xf>
    <xf numFmtId="0" fontId="27" fillId="2" borderId="8" xfId="0" applyFont="1" applyFill="1" applyBorder="1"/>
    <xf numFmtId="0" fontId="30" fillId="0" borderId="0" xfId="0" applyFont="1"/>
    <xf numFmtId="0" fontId="29" fillId="0" borderId="0" xfId="0" applyFont="1" applyAlignment="1">
      <alignment horizontal="left"/>
    </xf>
    <xf numFmtId="2" fontId="6" fillId="0" borderId="0" xfId="0" applyNumberFormat="1" applyFont="1" applyAlignment="1">
      <alignment horizontal="center"/>
    </xf>
    <xf numFmtId="0" fontId="6" fillId="0" borderId="0" xfId="0" applyFont="1" applyAlignment="1">
      <alignment horizontal="center"/>
    </xf>
    <xf numFmtId="0" fontId="0" fillId="0" borderId="0" xfId="0" applyAlignment="1">
      <alignment horizontal="center"/>
    </xf>
    <xf numFmtId="0" fontId="0" fillId="2" borderId="0" xfId="0" applyFill="1" applyAlignment="1">
      <alignment wrapText="1"/>
    </xf>
    <xf numFmtId="164" fontId="0" fillId="0" borderId="0" xfId="0" applyNumberFormat="1" applyAlignment="1">
      <alignment horizontal="center"/>
    </xf>
    <xf numFmtId="0" fontId="0" fillId="2" borderId="0" xfId="0" applyFill="1" applyAlignment="1">
      <alignment horizontal="left"/>
    </xf>
    <xf numFmtId="4" fontId="0" fillId="0" borderId="0" xfId="0" applyNumberFormat="1" applyAlignment="1">
      <alignment horizontal="center"/>
    </xf>
    <xf numFmtId="170" fontId="0" fillId="0" borderId="0" xfId="0" applyNumberFormat="1" applyAlignment="1">
      <alignment horizontal="center"/>
    </xf>
    <xf numFmtId="171" fontId="0" fillId="2" borderId="4" xfId="0" applyNumberFormat="1" applyFill="1" applyBorder="1" applyAlignment="1">
      <alignment horizontal="center"/>
    </xf>
    <xf numFmtId="171" fontId="0" fillId="2" borderId="5" xfId="0" applyNumberFormat="1" applyFill="1" applyBorder="1" applyAlignment="1">
      <alignment horizontal="center"/>
    </xf>
    <xf numFmtId="171" fontId="0" fillId="2" borderId="7" xfId="0" applyNumberFormat="1" applyFill="1" applyBorder="1" applyAlignment="1">
      <alignment horizontal="center"/>
    </xf>
    <xf numFmtId="0" fontId="0" fillId="2" borderId="7" xfId="0" applyFill="1" applyBorder="1" applyAlignment="1">
      <alignment horizontal="center"/>
    </xf>
    <xf numFmtId="171" fontId="0" fillId="2" borderId="3" xfId="0" applyNumberFormat="1" applyFill="1" applyBorder="1" applyAlignment="1">
      <alignment horizontal="center"/>
    </xf>
    <xf numFmtId="171" fontId="0" fillId="2" borderId="0" xfId="0" applyNumberFormat="1" applyFill="1" applyAlignment="1">
      <alignment horizontal="center"/>
    </xf>
    <xf numFmtId="171" fontId="0" fillId="2" borderId="18" xfId="0" applyNumberFormat="1" applyFill="1" applyBorder="1" applyAlignment="1">
      <alignment horizontal="center"/>
    </xf>
    <xf numFmtId="0" fontId="0" fillId="2" borderId="18" xfId="0" applyFill="1" applyBorder="1" applyAlignment="1">
      <alignment horizontal="center"/>
    </xf>
    <xf numFmtId="172" fontId="0" fillId="0" borderId="0" xfId="1" applyNumberFormat="1" applyFont="1" applyAlignment="1">
      <alignment horizontal="center"/>
    </xf>
    <xf numFmtId="0" fontId="0" fillId="0" borderId="3" xfId="0" applyBorder="1" applyAlignment="1">
      <alignment horizontal="center"/>
    </xf>
    <xf numFmtId="0" fontId="0" fillId="0" borderId="5" xfId="0" applyBorder="1" applyAlignment="1">
      <alignment horizontal="center"/>
    </xf>
    <xf numFmtId="3" fontId="0" fillId="0" borderId="5" xfId="0" applyNumberFormat="1" applyBorder="1" applyAlignment="1">
      <alignment horizontal="center"/>
    </xf>
    <xf numFmtId="0" fontId="0" fillId="0" borderId="4" xfId="0" applyBorder="1" applyAlignment="1">
      <alignment horizontal="center"/>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0" fontId="0" fillId="2" borderId="23" xfId="0" applyFill="1" applyBorder="1" applyAlignment="1">
      <alignment horizontal="center"/>
    </xf>
    <xf numFmtId="9" fontId="0" fillId="0" borderId="0" xfId="0" applyNumberFormat="1"/>
    <xf numFmtId="0" fontId="32" fillId="3" borderId="1" xfId="0" applyFont="1" applyFill="1" applyBorder="1"/>
    <xf numFmtId="3" fontId="0" fillId="0" borderId="0" xfId="0" applyNumberFormat="1" applyAlignment="1">
      <alignment horizontal="center"/>
    </xf>
    <xf numFmtId="3" fontId="0" fillId="0" borderId="3" xfId="0" applyNumberFormat="1" applyBorder="1" applyAlignment="1">
      <alignment horizontal="center"/>
    </xf>
    <xf numFmtId="4" fontId="0" fillId="0" borderId="0" xfId="0" applyNumberFormat="1"/>
    <xf numFmtId="0" fontId="0" fillId="2" borderId="2" xfId="0" applyFill="1" applyBorder="1" applyAlignment="1">
      <alignment horizontal="left" wrapText="1"/>
    </xf>
    <xf numFmtId="2" fontId="0" fillId="2" borderId="4" xfId="0" applyNumberFormat="1" applyFill="1" applyBorder="1" applyAlignment="1">
      <alignment horizontal="center"/>
    </xf>
    <xf numFmtId="2" fontId="0" fillId="2" borderId="5" xfId="0" applyNumberFormat="1" applyFill="1" applyBorder="1" applyAlignment="1">
      <alignment horizontal="center"/>
    </xf>
    <xf numFmtId="2" fontId="0" fillId="2" borderId="3" xfId="0" applyNumberFormat="1" applyFill="1" applyBorder="1" applyAlignment="1">
      <alignment horizontal="center"/>
    </xf>
    <xf numFmtId="2" fontId="0" fillId="2" borderId="0" xfId="0" applyNumberFormat="1" applyFill="1" applyAlignment="1">
      <alignment horizontal="center"/>
    </xf>
    <xf numFmtId="0" fontId="35" fillId="2" borderId="24" xfId="0" applyFont="1" applyFill="1" applyBorder="1" applyAlignment="1">
      <alignment horizontal="center"/>
    </xf>
    <xf numFmtId="2" fontId="0" fillId="2" borderId="25" xfId="0" applyNumberFormat="1" applyFill="1" applyBorder="1" applyAlignment="1">
      <alignment horizontal="center"/>
    </xf>
    <xf numFmtId="2" fontId="0" fillId="2" borderId="26" xfId="0" applyNumberFormat="1" applyFill="1" applyBorder="1" applyAlignment="1">
      <alignment horizontal="center"/>
    </xf>
    <xf numFmtId="0" fontId="0" fillId="2" borderId="19" xfId="0" quotePrefix="1" applyFill="1" applyBorder="1" applyAlignment="1">
      <alignment horizontal="center"/>
    </xf>
    <xf numFmtId="0" fontId="0" fillId="2" borderId="20" xfId="0" quotePrefix="1" applyFill="1" applyBorder="1" applyAlignment="1">
      <alignment horizontal="center"/>
    </xf>
    <xf numFmtId="0" fontId="0" fillId="2" borderId="21" xfId="0" applyFill="1" applyBorder="1"/>
    <xf numFmtId="0" fontId="0" fillId="2" borderId="2" xfId="0" quotePrefix="1" applyFill="1" applyBorder="1"/>
    <xf numFmtId="0" fontId="0" fillId="2" borderId="2" xfId="0" quotePrefix="1" applyFill="1" applyBorder="1" applyAlignment="1">
      <alignment horizontal="left" wrapText="1"/>
    </xf>
    <xf numFmtId="3" fontId="27" fillId="0" borderId="0" xfId="0" applyNumberFormat="1" applyFont="1"/>
    <xf numFmtId="0" fontId="0" fillId="2" borderId="4" xfId="0" applyFill="1" applyBorder="1"/>
    <xf numFmtId="0" fontId="0" fillId="2" borderId="3" xfId="0" applyFill="1" applyBorder="1"/>
    <xf numFmtId="0" fontId="0" fillId="2" borderId="24" xfId="0" applyFill="1" applyBorder="1" applyAlignment="1">
      <alignment horizontal="center"/>
    </xf>
    <xf numFmtId="3" fontId="0" fillId="0" borderId="0" xfId="0" applyNumberFormat="1" applyAlignment="1">
      <alignment horizontal="left"/>
    </xf>
    <xf numFmtId="171" fontId="0" fillId="2" borderId="2" xfId="0" applyNumberFormat="1" applyFill="1" applyBorder="1" applyAlignment="1">
      <alignment horizontal="center"/>
    </xf>
    <xf numFmtId="171" fontId="0" fillId="2" borderId="25" xfId="0" applyNumberFormat="1" applyFill="1" applyBorder="1" applyAlignment="1">
      <alignment horizontal="center"/>
    </xf>
    <xf numFmtId="171" fontId="0" fillId="2" borderId="26" xfId="0" applyNumberFormat="1" applyFill="1" applyBorder="1" applyAlignment="1">
      <alignment horizontal="center"/>
    </xf>
    <xf numFmtId="171" fontId="0" fillId="2" borderId="6" xfId="0" applyNumberFormat="1" applyFill="1" applyBorder="1" applyAlignment="1">
      <alignment horizontal="center"/>
    </xf>
    <xf numFmtId="0" fontId="0" fillId="2" borderId="2" xfId="0" applyFill="1" applyBorder="1" applyAlignment="1">
      <alignment horizontal="center"/>
    </xf>
    <xf numFmtId="164" fontId="0" fillId="0" borderId="0" xfId="0" applyNumberFormat="1" applyAlignment="1">
      <alignment horizontal="left"/>
    </xf>
    <xf numFmtId="170" fontId="0" fillId="0" borderId="0" xfId="0" applyNumberFormat="1" applyAlignment="1">
      <alignment horizontal="left"/>
    </xf>
    <xf numFmtId="170" fontId="0" fillId="0" borderId="0" xfId="0" applyNumberFormat="1"/>
    <xf numFmtId="3" fontId="27" fillId="0" borderId="0" xfId="0" applyNumberFormat="1" applyFont="1" applyAlignment="1">
      <alignment horizontal="left"/>
    </xf>
    <xf numFmtId="0" fontId="30" fillId="0" borderId="0" xfId="0" applyFont="1" applyAlignment="1">
      <alignment horizontal="left"/>
    </xf>
    <xf numFmtId="3" fontId="0" fillId="2" borderId="0" xfId="0" applyNumberFormat="1" applyFill="1" applyAlignment="1">
      <alignment horizontal="center"/>
    </xf>
    <xf numFmtId="0" fontId="0" fillId="0" borderId="9" xfId="0" applyBorder="1" applyAlignment="1">
      <alignment horizontal="left"/>
    </xf>
    <xf numFmtId="3" fontId="0" fillId="2" borderId="20" xfId="0" applyNumberFormat="1" applyFill="1" applyBorder="1" applyAlignment="1">
      <alignment horizontal="center"/>
    </xf>
    <xf numFmtId="0" fontId="0" fillId="2" borderId="27"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3" fontId="0" fillId="2" borderId="5" xfId="0" applyNumberFormat="1" applyFill="1" applyBorder="1" applyAlignment="1">
      <alignment horizontal="center"/>
    </xf>
    <xf numFmtId="0" fontId="37" fillId="0" borderId="0" xfId="0" applyFont="1"/>
    <xf numFmtId="3" fontId="0" fillId="0" borderId="11" xfId="0" applyNumberFormat="1" applyBorder="1" applyAlignment="1">
      <alignment horizontal="left"/>
    </xf>
    <xf numFmtId="3" fontId="0" fillId="0" borderId="10" xfId="0" applyNumberFormat="1" applyBorder="1" applyAlignment="1">
      <alignment horizontal="left"/>
    </xf>
    <xf numFmtId="0" fontId="35" fillId="2" borderId="7" xfId="0" applyFont="1" applyFill="1" applyBorder="1" applyAlignment="1">
      <alignment horizontal="center"/>
    </xf>
    <xf numFmtId="0" fontId="35" fillId="2" borderId="18" xfId="0" quotePrefix="1" applyFont="1" applyFill="1" applyBorder="1" applyAlignment="1">
      <alignment horizontal="center"/>
    </xf>
    <xf numFmtId="3" fontId="0" fillId="2" borderId="3" xfId="0" applyNumberFormat="1" applyFill="1" applyBorder="1" applyAlignment="1">
      <alignment horizontal="center"/>
    </xf>
    <xf numFmtId="0" fontId="27" fillId="0" borderId="0" xfId="0" applyFont="1" applyAlignment="1">
      <alignment horizontal="left"/>
    </xf>
    <xf numFmtId="0" fontId="0" fillId="2" borderId="21" xfId="0" quotePrefix="1" applyFill="1" applyBorder="1" applyAlignment="1">
      <alignment horizontal="center"/>
    </xf>
    <xf numFmtId="4" fontId="0" fillId="2" borderId="2" xfId="0" applyNumberFormat="1" applyFill="1" applyBorder="1" applyAlignment="1">
      <alignment horizontal="center"/>
    </xf>
    <xf numFmtId="4" fontId="0" fillId="2" borderId="0" xfId="0" applyNumberFormat="1" applyFill="1" applyAlignment="1">
      <alignment horizontal="center"/>
    </xf>
    <xf numFmtId="4" fontId="0" fillId="2" borderId="4" xfId="0" applyNumberFormat="1" applyFill="1" applyBorder="1" applyAlignment="1">
      <alignment horizontal="center"/>
    </xf>
    <xf numFmtId="4" fontId="0" fillId="2" borderId="5" xfId="0" applyNumberFormat="1" applyFill="1" applyBorder="1" applyAlignment="1">
      <alignment horizontal="center"/>
    </xf>
    <xf numFmtId="3" fontId="0" fillId="2" borderId="7" xfId="0" applyNumberFormat="1" applyFill="1" applyBorder="1" applyAlignment="1">
      <alignment horizontal="center"/>
    </xf>
    <xf numFmtId="0" fontId="0" fillId="2" borderId="3" xfId="0" applyFill="1" applyBorder="1" applyAlignment="1">
      <alignment horizontal="center"/>
    </xf>
    <xf numFmtId="3" fontId="0" fillId="2" borderId="4" xfId="0" applyNumberFormat="1" applyFill="1" applyBorder="1" applyAlignment="1">
      <alignment horizontal="center"/>
    </xf>
    <xf numFmtId="0" fontId="38" fillId="0" borderId="0" xfId="0" applyFont="1"/>
    <xf numFmtId="0" fontId="0" fillId="0" borderId="0" xfId="0" quotePrefix="1" applyAlignment="1">
      <alignment horizontal="left"/>
    </xf>
    <xf numFmtId="0" fontId="0" fillId="2" borderId="11" xfId="0" applyFill="1" applyBorder="1" applyAlignment="1">
      <alignment horizontal="left"/>
    </xf>
    <xf numFmtId="0" fontId="0" fillId="2" borderId="10" xfId="0" applyFill="1" applyBorder="1" applyAlignment="1">
      <alignment horizontal="left"/>
    </xf>
    <xf numFmtId="0" fontId="0" fillId="2" borderId="9"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27" fillId="2" borderId="0" xfId="0" applyFont="1" applyFill="1" applyAlignment="1">
      <alignment horizontal="left"/>
    </xf>
    <xf numFmtId="6" fontId="0" fillId="2" borderId="0" xfId="0" applyNumberFormat="1" applyFill="1" applyAlignment="1">
      <alignment horizontal="left"/>
    </xf>
    <xf numFmtId="0" fontId="39" fillId="2" borderId="0" xfId="0" applyFont="1" applyFill="1" applyAlignment="1">
      <alignment horizontal="left"/>
    </xf>
    <xf numFmtId="2" fontId="0" fillId="2" borderId="0" xfId="0" applyNumberFormat="1" applyFill="1" applyAlignment="1">
      <alignment horizontal="left"/>
    </xf>
    <xf numFmtId="0" fontId="27" fillId="0" borderId="0" xfId="0" quotePrefix="1" applyFont="1" applyAlignment="1">
      <alignment horizontal="left"/>
    </xf>
    <xf numFmtId="0" fontId="0" fillId="2" borderId="12" xfId="0" applyFill="1" applyBorder="1" applyAlignment="1">
      <alignment horizontal="left"/>
    </xf>
    <xf numFmtId="0" fontId="0" fillId="2" borderId="8" xfId="0" applyFill="1" applyBorder="1" applyAlignment="1">
      <alignment horizontal="left"/>
    </xf>
    <xf numFmtId="0" fontId="29" fillId="2" borderId="14" xfId="0" applyFont="1" applyFill="1" applyBorder="1"/>
    <xf numFmtId="0" fontId="29" fillId="0" borderId="0" xfId="0" applyFont="1" applyAlignment="1">
      <alignment vertical="center"/>
    </xf>
    <xf numFmtId="0" fontId="0" fillId="0" borderId="0" xfId="0" applyAlignment="1">
      <alignment horizontal="left" vertical="center" wrapText="1"/>
    </xf>
    <xf numFmtId="0" fontId="0" fillId="0" borderId="0" xfId="0" applyAlignment="1">
      <alignment wrapText="1"/>
    </xf>
    <xf numFmtId="0" fontId="0" fillId="2" borderId="10" xfId="0" quotePrefix="1" applyFill="1" applyBorder="1"/>
    <xf numFmtId="4" fontId="0" fillId="0" borderId="0" xfId="0" applyNumberFormat="1" applyAlignment="1">
      <alignment horizontal="center" wrapText="1"/>
    </xf>
    <xf numFmtId="3" fontId="0" fillId="0" borderId="18" xfId="0" applyNumberFormat="1" applyBorder="1" applyAlignment="1">
      <alignment horizontal="center"/>
    </xf>
    <xf numFmtId="164" fontId="0" fillId="2" borderId="4" xfId="0" applyNumberFormat="1" applyFill="1" applyBorder="1" applyAlignment="1">
      <alignment horizontal="center"/>
    </xf>
    <xf numFmtId="164" fontId="0" fillId="2" borderId="5" xfId="0" applyNumberFormat="1" applyFill="1" applyBorder="1" applyAlignment="1">
      <alignment horizontal="center"/>
    </xf>
    <xf numFmtId="164" fontId="0" fillId="2" borderId="3" xfId="0" applyNumberFormat="1" applyFill="1" applyBorder="1" applyAlignment="1">
      <alignment horizontal="center"/>
    </xf>
    <xf numFmtId="164" fontId="0" fillId="2" borderId="0" xfId="0" applyNumberFormat="1" applyFill="1" applyAlignment="1">
      <alignment horizontal="center"/>
    </xf>
    <xf numFmtId="0" fontId="0" fillId="4" borderId="0" xfId="0" applyFill="1"/>
    <xf numFmtId="0" fontId="0" fillId="0" borderId="7" xfId="0" applyBorder="1" applyAlignment="1">
      <alignment horizontal="center"/>
    </xf>
    <xf numFmtId="3" fontId="0" fillId="2" borderId="18" xfId="0" applyNumberFormat="1" applyFill="1" applyBorder="1" applyAlignment="1">
      <alignment horizontal="center"/>
    </xf>
    <xf numFmtId="0" fontId="0" fillId="0" borderId="3" xfId="0" applyBorder="1"/>
    <xf numFmtId="2" fontId="0" fillId="0" borderId="0" xfId="0" applyNumberFormat="1" applyAlignment="1">
      <alignment horizontal="center"/>
    </xf>
    <xf numFmtId="0" fontId="6" fillId="0" borderId="3" xfId="0" applyFont="1" applyBorder="1" applyAlignment="1">
      <alignment horizontal="center" vertical="center"/>
    </xf>
    <xf numFmtId="3" fontId="0" fillId="2" borderId="25" xfId="0" applyNumberFormat="1" applyFill="1" applyBorder="1" applyAlignment="1">
      <alignment horizontal="center"/>
    </xf>
    <xf numFmtId="3" fontId="0" fillId="2" borderId="26" xfId="0" applyNumberFormat="1" applyFill="1" applyBorder="1" applyAlignment="1">
      <alignment horizontal="center"/>
    </xf>
    <xf numFmtId="3" fontId="0" fillId="2" borderId="6" xfId="0" applyNumberFormat="1" applyFill="1" applyBorder="1" applyAlignment="1">
      <alignment horizontal="center"/>
    </xf>
    <xf numFmtId="0" fontId="0" fillId="0" borderId="5" xfId="0" applyBorder="1" applyAlignment="1">
      <alignment horizontal="center" vertical="center"/>
    </xf>
    <xf numFmtId="0" fontId="0" fillId="0" borderId="4" xfId="0" applyBorder="1" applyAlignment="1">
      <alignment horizontal="center" vertical="center"/>
    </xf>
    <xf numFmtId="2" fontId="27" fillId="2" borderId="0" xfId="0" applyNumberFormat="1" applyFont="1" applyFill="1" applyAlignment="1">
      <alignment horizontal="center"/>
    </xf>
    <xf numFmtId="0" fontId="27" fillId="2" borderId="0" xfId="0" applyFont="1" applyFill="1"/>
    <xf numFmtId="0" fontId="0" fillId="2" borderId="14" xfId="0" applyFill="1" applyBorder="1" applyAlignment="1">
      <alignment horizontal="left"/>
    </xf>
    <xf numFmtId="0" fontId="0" fillId="0" borderId="0" xfId="0" applyAlignment="1">
      <alignment vertical="center" wrapText="1"/>
    </xf>
    <xf numFmtId="0" fontId="0" fillId="0" borderId="0" xfId="0" applyAlignment="1">
      <alignment vertical="center"/>
    </xf>
    <xf numFmtId="0" fontId="17" fillId="0" borderId="0" xfId="0" applyFont="1" applyAlignment="1">
      <alignment vertical="center"/>
    </xf>
    <xf numFmtId="43" fontId="27" fillId="0" borderId="0" xfId="0" applyNumberFormat="1" applyFont="1"/>
    <xf numFmtId="0" fontId="0" fillId="2" borderId="17" xfId="0" applyFill="1" applyBorder="1"/>
    <xf numFmtId="0" fontId="0" fillId="2" borderId="16" xfId="0" applyFill="1" applyBorder="1"/>
    <xf numFmtId="0" fontId="0" fillId="2" borderId="16" xfId="0" quotePrefix="1" applyFill="1" applyBorder="1"/>
    <xf numFmtId="0" fontId="0" fillId="2" borderId="15" xfId="0" applyFill="1" applyBorder="1" applyAlignment="1">
      <alignment horizontal="left"/>
    </xf>
    <xf numFmtId="0" fontId="0" fillId="0" borderId="0" xfId="0"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3" xfId="0" applyBorder="1" applyAlignment="1">
      <alignment horizontal="center" vertical="center"/>
    </xf>
    <xf numFmtId="173" fontId="0" fillId="0" borderId="5" xfId="0" applyNumberFormat="1" applyBorder="1" applyAlignment="1">
      <alignment horizontal="center" vertical="center"/>
    </xf>
    <xf numFmtId="174" fontId="0" fillId="0" borderId="5" xfId="0" applyNumberFormat="1" applyBorder="1" applyAlignment="1">
      <alignment horizontal="center" vertical="center"/>
    </xf>
    <xf numFmtId="0" fontId="0" fillId="0" borderId="0" xfId="0" applyAlignment="1">
      <alignment vertical="top" wrapText="1"/>
    </xf>
    <xf numFmtId="164" fontId="0" fillId="2" borderId="22" xfId="0" applyNumberFormat="1" applyFill="1" applyBorder="1" applyAlignment="1">
      <alignment horizontal="center"/>
    </xf>
    <xf numFmtId="164" fontId="0" fillId="2" borderId="24" xfId="0" applyNumberFormat="1" applyFill="1" applyBorder="1" applyAlignment="1">
      <alignment horizontal="center"/>
    </xf>
    <xf numFmtId="0" fontId="6" fillId="0" borderId="0" xfId="0" applyFont="1"/>
    <xf numFmtId="0" fontId="0" fillId="2" borderId="25" xfId="0" applyFill="1" applyBorder="1" applyAlignment="1">
      <alignment horizontal="center"/>
    </xf>
    <xf numFmtId="164" fontId="6" fillId="0" borderId="0" xfId="0" applyNumberFormat="1" applyFont="1" applyAlignment="1">
      <alignment horizontal="center"/>
    </xf>
    <xf numFmtId="175" fontId="6" fillId="0" borderId="0" xfId="0" applyNumberFormat="1" applyFont="1" applyAlignment="1">
      <alignment horizontal="center"/>
    </xf>
    <xf numFmtId="2" fontId="6" fillId="0" borderId="0" xfId="0" applyNumberFormat="1" applyFont="1"/>
    <xf numFmtId="2" fontId="6" fillId="0" borderId="3" xfId="0" applyNumberFormat="1" applyFont="1" applyBorder="1" applyAlignment="1">
      <alignment horizontal="center"/>
    </xf>
    <xf numFmtId="0" fontId="6" fillId="0" borderId="5" xfId="0" applyFont="1" applyBorder="1" applyAlignment="1">
      <alignment horizontal="center"/>
    </xf>
    <xf numFmtId="0" fontId="6" fillId="0" borderId="4" xfId="0" applyFont="1" applyBorder="1" applyAlignment="1">
      <alignment horizontal="center"/>
    </xf>
    <xf numFmtId="0" fontId="43" fillId="0" borderId="0" xfId="0" applyFont="1"/>
    <xf numFmtId="164" fontId="6" fillId="0" borderId="11" xfId="0" applyNumberFormat="1" applyFont="1" applyBorder="1" applyAlignment="1">
      <alignment horizontal="center"/>
    </xf>
    <xf numFmtId="0" fontId="6" fillId="0" borderId="9" xfId="0" applyFont="1" applyBorder="1" applyAlignment="1">
      <alignment horizontal="center"/>
    </xf>
    <xf numFmtId="0" fontId="6" fillId="0" borderId="3" xfId="0" applyFont="1" applyBorder="1" applyAlignment="1">
      <alignment horizontal="center"/>
    </xf>
    <xf numFmtId="164" fontId="6" fillId="0" borderId="0" xfId="0" applyNumberFormat="1" applyFont="1"/>
    <xf numFmtId="0" fontId="44" fillId="0" borderId="0" xfId="0" applyFont="1"/>
    <xf numFmtId="0" fontId="17" fillId="0" borderId="25" xfId="0" applyFont="1" applyBorder="1" applyAlignment="1">
      <alignment horizontal="center" vertical="center" wrapText="1"/>
    </xf>
    <xf numFmtId="43" fontId="0" fillId="0" borderId="0" xfId="1" applyFont="1"/>
    <xf numFmtId="0" fontId="0" fillId="2" borderId="19" xfId="0" applyFill="1" applyBorder="1"/>
    <xf numFmtId="0" fontId="0" fillId="2" borderId="23" xfId="0" applyFill="1" applyBorder="1"/>
    <xf numFmtId="0" fontId="0" fillId="2" borderId="26" xfId="0" applyFill="1" applyBorder="1" applyAlignment="1">
      <alignment horizontal="center"/>
    </xf>
    <xf numFmtId="0" fontId="0" fillId="2" borderId="6" xfId="0" quotePrefix="1" applyFill="1" applyBorder="1" applyAlignment="1">
      <alignment horizontal="center"/>
    </xf>
    <xf numFmtId="168" fontId="0" fillId="0" borderId="0" xfId="1" applyNumberFormat="1" applyFont="1"/>
    <xf numFmtId="43" fontId="0" fillId="0" borderId="0" xfId="0" applyNumberFormat="1"/>
    <xf numFmtId="172" fontId="0" fillId="0" borderId="0" xfId="1" applyNumberFormat="1" applyFont="1"/>
    <xf numFmtId="3" fontId="0" fillId="0" borderId="17" xfId="0" applyNumberFormat="1" applyBorder="1" applyAlignment="1">
      <alignment horizontal="center"/>
    </xf>
    <xf numFmtId="3" fontId="0" fillId="0" borderId="15" xfId="0" applyNumberFormat="1" applyBorder="1" applyAlignment="1">
      <alignment horizontal="center"/>
    </xf>
    <xf numFmtId="0" fontId="0" fillId="0" borderId="0" xfId="0" applyAlignment="1">
      <alignment horizontal="right"/>
    </xf>
    <xf numFmtId="0" fontId="0" fillId="0" borderId="2" xfId="0" applyBorder="1" applyAlignment="1">
      <alignment horizontal="center"/>
    </xf>
    <xf numFmtId="164" fontId="0" fillId="0" borderId="1" xfId="0" applyNumberFormat="1" applyBorder="1" applyAlignment="1">
      <alignment horizontal="center"/>
    </xf>
    <xf numFmtId="2" fontId="0" fillId="0" borderId="2" xfId="0" applyNumberFormat="1" applyBorder="1" applyAlignment="1">
      <alignment horizontal="center"/>
    </xf>
    <xf numFmtId="2" fontId="0" fillId="5" borderId="2" xfId="0" applyNumberFormat="1" applyFill="1" applyBorder="1" applyAlignment="1">
      <alignment horizontal="center"/>
    </xf>
    <xf numFmtId="164" fontId="0" fillId="5" borderId="1" xfId="0" applyNumberFormat="1" applyFill="1" applyBorder="1" applyAlignment="1">
      <alignment horizontal="center"/>
    </xf>
    <xf numFmtId="3" fontId="0" fillId="5" borderId="12" xfId="0" applyNumberFormat="1" applyFill="1" applyBorder="1" applyAlignment="1">
      <alignment horizontal="center"/>
    </xf>
    <xf numFmtId="0" fontId="0" fillId="5" borderId="14" xfId="0" applyFill="1" applyBorder="1" applyAlignment="1">
      <alignment horizontal="center"/>
    </xf>
    <xf numFmtId="0" fontId="0" fillId="0" borderId="0" xfId="0" applyAlignment="1">
      <alignment horizontal="center" wrapText="1"/>
    </xf>
    <xf numFmtId="0" fontId="0" fillId="0" borderId="0" xfId="0" quotePrefix="1"/>
    <xf numFmtId="3" fontId="0" fillId="2" borderId="0" xfId="0" applyNumberFormat="1" applyFill="1" applyAlignment="1">
      <alignment horizontal="left"/>
    </xf>
    <xf numFmtId="0" fontId="0" fillId="0" borderId="0" xfId="0" applyAlignment="1">
      <alignment horizontal="left" vertical="top" wrapText="1"/>
    </xf>
    <xf numFmtId="176" fontId="0" fillId="2" borderId="0" xfId="0" applyNumberFormat="1" applyFill="1"/>
    <xf numFmtId="176" fontId="0" fillId="2" borderId="2" xfId="0" applyNumberFormat="1" applyFill="1" applyBorder="1"/>
    <xf numFmtId="0" fontId="0" fillId="0" borderId="4" xfId="0" applyBorder="1"/>
    <xf numFmtId="0" fontId="0" fillId="0" borderId="5" xfId="0" applyBorder="1"/>
    <xf numFmtId="3" fontId="0" fillId="0" borderId="5" xfId="0" applyNumberFormat="1" applyBorder="1" applyAlignment="1">
      <alignment horizontal="left"/>
    </xf>
    <xf numFmtId="3" fontId="0" fillId="0" borderId="3" xfId="0" quotePrefix="1" applyNumberFormat="1" applyBorder="1" applyAlignment="1">
      <alignment horizontal="left"/>
    </xf>
    <xf numFmtId="170" fontId="0" fillId="0" borderId="0" xfId="0" quotePrefix="1" applyNumberFormat="1" applyAlignment="1">
      <alignment horizontal="left"/>
    </xf>
    <xf numFmtId="3" fontId="0" fillId="0" borderId="0" xfId="0" quotePrefix="1" applyNumberFormat="1" applyAlignment="1">
      <alignment horizontal="left"/>
    </xf>
    <xf numFmtId="0" fontId="0" fillId="0" borderId="3" xfId="0" quotePrefix="1" applyBorder="1" applyAlignment="1">
      <alignment horizontal="left"/>
    </xf>
    <xf numFmtId="0" fontId="4" fillId="0" borderId="4" xfId="0" applyFont="1" applyBorder="1" applyAlignment="1">
      <alignment horizontal="center"/>
    </xf>
    <xf numFmtId="0" fontId="4" fillId="0" borderId="5" xfId="0" applyFont="1" applyBorder="1" applyAlignment="1">
      <alignment horizontal="center"/>
    </xf>
    <xf numFmtId="0" fontId="4" fillId="0" borderId="3" xfId="0" applyFont="1" applyBorder="1" applyAlignment="1">
      <alignment horizontal="center"/>
    </xf>
    <xf numFmtId="4" fontId="0" fillId="0" borderId="0" xfId="0" applyNumberFormat="1" applyAlignment="1">
      <alignment horizontal="left"/>
    </xf>
    <xf numFmtId="0" fontId="49" fillId="0" borderId="0" xfId="0" applyFont="1" applyAlignment="1">
      <alignment horizontal="left"/>
    </xf>
    <xf numFmtId="0" fontId="39" fillId="0" borderId="0" xfId="0" applyFont="1"/>
    <xf numFmtId="0" fontId="4" fillId="0" borderId="0" xfId="0" applyFont="1"/>
    <xf numFmtId="0" fontId="0" fillId="0" borderId="28" xfId="0" applyBorder="1"/>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164" fontId="0" fillId="0" borderId="16" xfId="0" applyNumberFormat="1" applyBorder="1" applyAlignment="1">
      <alignment horizontal="center"/>
    </xf>
    <xf numFmtId="164" fontId="0" fillId="0" borderId="17" xfId="0" applyNumberFormat="1" applyBorder="1" applyAlignment="1">
      <alignment horizontal="center"/>
    </xf>
    <xf numFmtId="165" fontId="4" fillId="0" borderId="0" xfId="1" applyNumberFormat="1" applyFont="1"/>
    <xf numFmtId="165" fontId="4" fillId="0" borderId="0" xfId="0" applyNumberFormat="1" applyFont="1"/>
    <xf numFmtId="0" fontId="4" fillId="0" borderId="0" xfId="0" applyFont="1" applyAlignment="1">
      <alignment horizontal="center"/>
    </xf>
    <xf numFmtId="177" fontId="4" fillId="0" borderId="0" xfId="0" applyNumberFormat="1" applyFont="1" applyAlignment="1">
      <alignment horizontal="center"/>
    </xf>
    <xf numFmtId="0" fontId="0" fillId="0" borderId="5" xfId="0" applyBorder="1" applyAlignment="1">
      <alignment horizontal="left"/>
    </xf>
    <xf numFmtId="170" fontId="0" fillId="0" borderId="5" xfId="0" applyNumberFormat="1" applyBorder="1" applyAlignment="1">
      <alignment horizontal="left"/>
    </xf>
    <xf numFmtId="0" fontId="0" fillId="0" borderId="3" xfId="0" applyBorder="1" applyAlignment="1">
      <alignment horizontal="left"/>
    </xf>
    <xf numFmtId="0" fontId="28" fillId="2" borderId="10" xfId="0" applyFont="1" applyFill="1" applyBorder="1"/>
    <xf numFmtId="3" fontId="0" fillId="0" borderId="3" xfId="0" applyNumberFormat="1" applyBorder="1" applyAlignment="1">
      <alignment horizontal="left"/>
    </xf>
    <xf numFmtId="0" fontId="26" fillId="0" borderId="0" xfId="0" applyFont="1"/>
    <xf numFmtId="0" fontId="3" fillId="0" borderId="0" xfId="0" applyFont="1"/>
    <xf numFmtId="164" fontId="3" fillId="0" borderId="0" xfId="0" applyNumberFormat="1" applyFont="1"/>
    <xf numFmtId="164" fontId="3" fillId="0" borderId="0" xfId="0" applyNumberFormat="1" applyFont="1" applyAlignment="1">
      <alignment horizontal="left"/>
    </xf>
    <xf numFmtId="0" fontId="3" fillId="0" borderId="0" xfId="0" applyFont="1" applyAlignment="1">
      <alignment horizontal="left"/>
    </xf>
    <xf numFmtId="170" fontId="3" fillId="0" borderId="0" xfId="0" applyNumberFormat="1" applyFont="1" applyAlignment="1">
      <alignment horizontal="left"/>
    </xf>
    <xf numFmtId="3" fontId="3" fillId="0" borderId="0" xfId="0" applyNumberFormat="1" applyFont="1" applyAlignment="1">
      <alignment horizontal="left"/>
    </xf>
    <xf numFmtId="6" fontId="3" fillId="0" borderId="11" xfId="0" applyNumberFormat="1" applyFont="1" applyBorder="1" applyAlignment="1">
      <alignment horizontal="center"/>
    </xf>
    <xf numFmtId="0" fontId="3" fillId="0" borderId="9" xfId="0" applyFont="1" applyBorder="1" applyAlignment="1">
      <alignment horizontal="center"/>
    </xf>
    <xf numFmtId="6" fontId="3" fillId="0" borderId="0" xfId="0" applyNumberFormat="1" applyFont="1" applyAlignment="1">
      <alignment horizontal="center"/>
    </xf>
    <xf numFmtId="10" fontId="3" fillId="0" borderId="0" xfId="0" applyNumberFormat="1" applyFont="1" applyAlignment="1">
      <alignment horizontal="center"/>
    </xf>
    <xf numFmtId="0" fontId="3" fillId="0" borderId="3" xfId="0"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2" fontId="3" fillId="0" borderId="0" xfId="6" applyNumberFormat="1" applyFont="1" applyAlignment="1">
      <alignment horizontal="center"/>
    </xf>
    <xf numFmtId="0" fontId="3" fillId="0" borderId="0" xfId="0" applyFont="1" applyAlignment="1">
      <alignment horizontal="right"/>
    </xf>
    <xf numFmtId="2" fontId="3" fillId="0" borderId="0" xfId="0" applyNumberFormat="1" applyFont="1" applyAlignment="1">
      <alignment horizontal="center"/>
    </xf>
    <xf numFmtId="0" fontId="3" fillId="0" borderId="0" xfId="0" applyFont="1" applyAlignment="1">
      <alignment horizontal="center"/>
    </xf>
    <xf numFmtId="164" fontId="3" fillId="0" borderId="0" xfId="0" applyNumberFormat="1" applyFont="1" applyAlignment="1">
      <alignment horizontal="center"/>
    </xf>
    <xf numFmtId="164" fontId="3" fillId="0" borderId="0" xfId="6" applyNumberFormat="1" applyFont="1" applyAlignment="1">
      <alignment horizontal="center"/>
    </xf>
    <xf numFmtId="166" fontId="3" fillId="0" borderId="5" xfId="7" applyNumberFormat="1" applyFont="1" applyBorder="1" applyAlignment="1">
      <alignment horizontal="center"/>
    </xf>
    <xf numFmtId="16" fontId="3" fillId="0" borderId="5" xfId="0" quotePrefix="1" applyNumberFormat="1" applyFont="1" applyBorder="1" applyAlignment="1">
      <alignment horizontal="center"/>
    </xf>
    <xf numFmtId="0" fontId="3" fillId="0" borderId="0" xfId="6" applyNumberFormat="1" applyFont="1" applyAlignment="1">
      <alignment horizontal="center"/>
    </xf>
    <xf numFmtId="0" fontId="12" fillId="0" borderId="0" xfId="0" applyFont="1" applyAlignment="1">
      <alignment horizontal="left"/>
    </xf>
    <xf numFmtId="3" fontId="3" fillId="0" borderId="0" xfId="0" applyNumberFormat="1" applyFont="1" applyAlignment="1">
      <alignment horizontal="center"/>
    </xf>
    <xf numFmtId="3" fontId="3" fillId="0" borderId="11" xfId="0" applyNumberFormat="1" applyFont="1" applyBorder="1" applyAlignment="1">
      <alignment horizontal="center"/>
    </xf>
    <xf numFmtId="0" fontId="3" fillId="0" borderId="9" xfId="0" applyFont="1" applyBorder="1" applyAlignment="1">
      <alignment horizontal="left"/>
    </xf>
    <xf numFmtId="170" fontId="3" fillId="0" borderId="0" xfId="0" applyNumberFormat="1" applyFont="1" applyAlignment="1">
      <alignment horizontal="center"/>
    </xf>
    <xf numFmtId="0" fontId="3" fillId="2" borderId="11" xfId="0" applyFont="1" applyFill="1" applyBorder="1"/>
    <xf numFmtId="0" fontId="3" fillId="2" borderId="10" xfId="0" applyFont="1" applyFill="1" applyBorder="1"/>
    <xf numFmtId="0" fontId="3" fillId="2" borderId="9" xfId="0" applyFont="1" applyFill="1" applyBorder="1"/>
    <xf numFmtId="3" fontId="16" fillId="0" borderId="0" xfId="0" applyNumberFormat="1" applyFont="1" applyAlignment="1">
      <alignment horizontal="left"/>
    </xf>
    <xf numFmtId="0" fontId="3" fillId="2" borderId="2" xfId="0" applyFont="1" applyFill="1" applyBorder="1"/>
    <xf numFmtId="0" fontId="3" fillId="2" borderId="0" xfId="0" applyFont="1" applyFill="1"/>
    <xf numFmtId="3" fontId="3" fillId="2" borderId="0" xfId="0" applyNumberFormat="1" applyFont="1" applyFill="1" applyAlignment="1">
      <alignment horizontal="center"/>
    </xf>
    <xf numFmtId="0" fontId="3" fillId="2" borderId="0" xfId="0" applyFont="1" applyFill="1" applyAlignment="1">
      <alignment horizontal="left"/>
    </xf>
    <xf numFmtId="0" fontId="3" fillId="2" borderId="1" xfId="0" applyFont="1" applyFill="1" applyBorder="1"/>
    <xf numFmtId="0" fontId="3" fillId="2" borderId="0" xfId="0" quotePrefix="1" applyFont="1" applyFill="1"/>
    <xf numFmtId="170" fontId="3" fillId="2" borderId="4" xfId="0" applyNumberFormat="1" applyFont="1" applyFill="1" applyBorder="1" applyAlignment="1">
      <alignment horizontal="center"/>
    </xf>
    <xf numFmtId="170" fontId="3" fillId="2" borderId="5" xfId="0" applyNumberFormat="1" applyFont="1" applyFill="1" applyBorder="1" applyAlignment="1">
      <alignment horizontal="center"/>
    </xf>
    <xf numFmtId="0" fontId="3" fillId="2" borderId="22" xfId="0" applyFont="1" applyFill="1" applyBorder="1" applyAlignment="1">
      <alignment horizontal="center"/>
    </xf>
    <xf numFmtId="0" fontId="3" fillId="2" borderId="19" xfId="0" applyFont="1" applyFill="1" applyBorder="1" applyAlignment="1">
      <alignment horizontal="center"/>
    </xf>
    <xf numFmtId="0" fontId="3" fillId="2" borderId="20" xfId="0" applyFont="1" applyFill="1" applyBorder="1" applyAlignment="1">
      <alignment horizontal="center"/>
    </xf>
    <xf numFmtId="3" fontId="3" fillId="2" borderId="20" xfId="0" applyNumberFormat="1" applyFont="1" applyFill="1" applyBorder="1" applyAlignment="1">
      <alignment horizontal="center"/>
    </xf>
    <xf numFmtId="0" fontId="3" fillId="2" borderId="27"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3" fontId="3" fillId="2" borderId="5" xfId="0" applyNumberFormat="1" applyFont="1" applyFill="1" applyBorder="1" applyAlignment="1">
      <alignment horizontal="center"/>
    </xf>
    <xf numFmtId="0" fontId="3" fillId="2" borderId="0" xfId="0" applyFont="1" applyFill="1" applyAlignment="1">
      <alignment horizontal="center"/>
    </xf>
    <xf numFmtId="0" fontId="16" fillId="0" borderId="0" xfId="0" applyFont="1" applyAlignment="1">
      <alignment horizontal="left"/>
    </xf>
    <xf numFmtId="6" fontId="3" fillId="2" borderId="5" xfId="0" applyNumberFormat="1" applyFont="1" applyFill="1" applyBorder="1" applyAlignment="1">
      <alignment horizontal="center"/>
    </xf>
    <xf numFmtId="6" fontId="3" fillId="2" borderId="3" xfId="0" applyNumberFormat="1" applyFont="1" applyFill="1" applyBorder="1" applyAlignment="1">
      <alignment horizontal="center"/>
    </xf>
    <xf numFmtId="6" fontId="3" fillId="2" borderId="0" xfId="0" applyNumberFormat="1" applyFont="1" applyFill="1" applyAlignment="1">
      <alignment horizontal="center"/>
    </xf>
    <xf numFmtId="0" fontId="3" fillId="2" borderId="24" xfId="0" applyFont="1" applyFill="1" applyBorder="1" applyAlignment="1">
      <alignment horizontal="center"/>
    </xf>
    <xf numFmtId="0" fontId="3" fillId="0" borderId="11" xfId="0" applyFont="1" applyBorder="1" applyAlignment="1">
      <alignment horizontal="center"/>
    </xf>
    <xf numFmtId="9" fontId="3" fillId="0" borderId="0" xfId="0" applyNumberFormat="1" applyFont="1"/>
    <xf numFmtId="6" fontId="3" fillId="0" borderId="0" xfId="0" applyNumberFormat="1" applyFont="1"/>
    <xf numFmtId="0" fontId="16" fillId="0" borderId="0" xfId="0" applyFont="1"/>
    <xf numFmtId="0" fontId="3" fillId="2" borderId="12" xfId="0" applyFont="1" applyFill="1" applyBorder="1"/>
    <xf numFmtId="0" fontId="3" fillId="2" borderId="8" xfId="0" applyFont="1" applyFill="1" applyBorder="1"/>
    <xf numFmtId="0" fontId="3" fillId="2" borderId="8" xfId="0" applyFont="1" applyFill="1" applyBorder="1" applyAlignment="1">
      <alignment horizontal="center"/>
    </xf>
    <xf numFmtId="0" fontId="20" fillId="2" borderId="8" xfId="0" applyFont="1" applyFill="1" applyBorder="1"/>
    <xf numFmtId="0" fontId="19" fillId="3" borderId="1" xfId="0" applyFont="1" applyFill="1" applyBorder="1"/>
    <xf numFmtId="0" fontId="2" fillId="2" borderId="0" xfId="0" applyFont="1" applyFill="1" applyAlignment="1">
      <alignment horizontal="left"/>
    </xf>
    <xf numFmtId="0" fontId="7" fillId="0" borderId="0" xfId="4" applyAlignment="1">
      <alignment horizontal="left" vertical="top" wrapText="1"/>
    </xf>
    <xf numFmtId="0" fontId="7" fillId="0" borderId="0" xfId="4" applyAlignment="1">
      <alignment horizontal="left" vertical="top"/>
    </xf>
    <xf numFmtId="0" fontId="5" fillId="0" borderId="0" xfId="4" applyFont="1" applyAlignment="1">
      <alignment horizontal="left" vertical="top" wrapText="1"/>
    </xf>
    <xf numFmtId="0" fontId="16" fillId="2" borderId="0" xfId="0" applyFont="1" applyFill="1" applyAlignment="1">
      <alignment horizontal="center"/>
    </xf>
    <xf numFmtId="0" fontId="10" fillId="0" borderId="0" xfId="0" applyFont="1" applyAlignment="1">
      <alignment horizontal="left" wrapText="1"/>
    </xf>
    <xf numFmtId="0" fontId="20" fillId="2" borderId="9" xfId="0" applyFont="1" applyFill="1" applyBorder="1" applyAlignment="1">
      <alignment horizontal="left"/>
    </xf>
    <xf numFmtId="0" fontId="20" fillId="2" borderId="10" xfId="0" applyFont="1" applyFill="1" applyBorder="1" applyAlignment="1">
      <alignment horizontal="left"/>
    </xf>
    <xf numFmtId="0" fontId="20" fillId="2" borderId="11" xfId="0" applyFont="1" applyFill="1" applyBorder="1" applyAlignment="1">
      <alignment horizontal="left"/>
    </xf>
    <xf numFmtId="0" fontId="17" fillId="2" borderId="0" xfId="0" applyFont="1" applyFill="1" applyAlignment="1">
      <alignment horizontal="center" vertical="center" wrapText="1"/>
    </xf>
    <xf numFmtId="0" fontId="17" fillId="2" borderId="5"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0" xfId="0" applyFont="1" applyAlignment="1">
      <alignment horizontal="center" vertical="center" wrapText="1"/>
    </xf>
    <xf numFmtId="0" fontId="17" fillId="0" borderId="5" xfId="0" applyFont="1" applyBorder="1" applyAlignment="1">
      <alignment horizontal="center" vertical="center" wrapText="1"/>
    </xf>
    <xf numFmtId="0" fontId="10" fillId="0" borderId="0" xfId="0" applyFont="1" applyAlignment="1">
      <alignment horizontal="left" vertical="top" wrapText="1"/>
    </xf>
    <xf numFmtId="0" fontId="16" fillId="0" borderId="0" xfId="0" applyFont="1" applyAlignment="1">
      <alignment horizontal="center"/>
    </xf>
    <xf numFmtId="0" fontId="0" fillId="2" borderId="0" xfId="0" applyFill="1" applyAlignment="1">
      <alignment horizontal="left" vertical="top" wrapText="1"/>
    </xf>
    <xf numFmtId="0" fontId="0" fillId="0" borderId="0" xfId="0" applyAlignment="1">
      <alignment horizontal="left" wrapText="1"/>
    </xf>
    <xf numFmtId="0" fontId="0" fillId="0" borderId="0" xfId="0" quotePrefix="1" applyAlignment="1">
      <alignment horizontal="left" wrapText="1"/>
    </xf>
    <xf numFmtId="0" fontId="0" fillId="0" borderId="0" xfId="0" applyAlignment="1">
      <alignment horizontal="left" vertical="top" wrapText="1"/>
    </xf>
    <xf numFmtId="0" fontId="0" fillId="2" borderId="21" xfId="0" applyFill="1" applyBorder="1" applyAlignment="1">
      <alignment horizontal="center"/>
    </xf>
    <xf numFmtId="0" fontId="0" fillId="2" borderId="20" xfId="0" applyFill="1" applyBorder="1" applyAlignment="1">
      <alignment horizontal="center"/>
    </xf>
    <xf numFmtId="0" fontId="0" fillId="2" borderId="19" xfId="0" applyFill="1" applyBorder="1" applyAlignment="1">
      <alignment horizontal="center"/>
    </xf>
    <xf numFmtId="0" fontId="0" fillId="2" borderId="23" xfId="0" applyFill="1" applyBorder="1" applyAlignment="1">
      <alignment horizontal="center"/>
    </xf>
    <xf numFmtId="0" fontId="0" fillId="2" borderId="22" xfId="0" applyFill="1" applyBorder="1" applyAlignment="1">
      <alignment horizontal="center"/>
    </xf>
    <xf numFmtId="0" fontId="0" fillId="0" borderId="14" xfId="0" applyBorder="1" applyAlignment="1">
      <alignment horizontal="left" wrapText="1"/>
    </xf>
    <xf numFmtId="0" fontId="0" fillId="0" borderId="8" xfId="0" applyBorder="1" applyAlignment="1">
      <alignment horizontal="left" wrapText="1"/>
    </xf>
    <xf numFmtId="0" fontId="0" fillId="0" borderId="12"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0" fillId="2" borderId="0" xfId="0" quotePrefix="1" applyFill="1" applyAlignment="1">
      <alignment horizontal="left" vertical="top" wrapText="1"/>
    </xf>
    <xf numFmtId="3" fontId="0" fillId="0" borderId="14" xfId="0" applyNumberFormat="1" applyBorder="1" applyAlignment="1">
      <alignment horizontal="left" wrapText="1"/>
    </xf>
    <xf numFmtId="3" fontId="0" fillId="0" borderId="8" xfId="0" applyNumberFormat="1" applyBorder="1" applyAlignment="1">
      <alignment horizontal="left" wrapText="1"/>
    </xf>
    <xf numFmtId="3" fontId="0" fillId="0" borderId="12" xfId="0" applyNumberFormat="1" applyBorder="1" applyAlignment="1">
      <alignment horizontal="left" wrapText="1"/>
    </xf>
    <xf numFmtId="3" fontId="0" fillId="0" borderId="15" xfId="0" applyNumberFormat="1" applyBorder="1" applyAlignment="1">
      <alignment horizontal="left" wrapText="1"/>
    </xf>
    <xf numFmtId="3" fontId="0" fillId="0" borderId="16" xfId="0" applyNumberFormat="1" applyBorder="1" applyAlignment="1">
      <alignment horizontal="left" wrapText="1"/>
    </xf>
    <xf numFmtId="3" fontId="0" fillId="0" borderId="17" xfId="0" applyNumberFormat="1" applyBorder="1" applyAlignment="1">
      <alignment horizontal="left" wrapText="1"/>
    </xf>
    <xf numFmtId="0" fontId="3" fillId="2" borderId="20" xfId="0" applyFont="1" applyFill="1" applyBorder="1" applyAlignment="1">
      <alignment horizontal="center"/>
    </xf>
    <xf numFmtId="0" fontId="3" fillId="2" borderId="19" xfId="0" applyFont="1" applyFill="1" applyBorder="1" applyAlignment="1">
      <alignment horizontal="center"/>
    </xf>
    <xf numFmtId="0" fontId="3" fillId="0" borderId="0" xfId="0" applyFont="1" applyAlignment="1">
      <alignment horizontal="left" vertical="top" wrapText="1"/>
    </xf>
    <xf numFmtId="0" fontId="0" fillId="2" borderId="0" xfId="0" applyFill="1" applyAlignment="1">
      <alignment horizontal="left" wrapText="1"/>
    </xf>
    <xf numFmtId="0" fontId="4" fillId="0" borderId="0" xfId="0" applyFont="1" applyAlignment="1">
      <alignment horizontal="left" vertical="top" wrapText="1"/>
    </xf>
    <xf numFmtId="0" fontId="0" fillId="2" borderId="6" xfId="0" applyFill="1" applyBorder="1" applyAlignment="1">
      <alignment horizontal="center"/>
    </xf>
    <xf numFmtId="0" fontId="0" fillId="2" borderId="25" xfId="0" applyFill="1" applyBorder="1" applyAlignment="1">
      <alignment horizontal="center"/>
    </xf>
    <xf numFmtId="0" fontId="0" fillId="2" borderId="18" xfId="0" applyFill="1" applyBorder="1" applyAlignment="1">
      <alignment horizontal="center"/>
    </xf>
    <xf numFmtId="0" fontId="0" fillId="2" borderId="3" xfId="0" applyFill="1" applyBorder="1" applyAlignment="1">
      <alignment horizontal="center"/>
    </xf>
    <xf numFmtId="0" fontId="0" fillId="2" borderId="7" xfId="0" applyFill="1" applyBorder="1" applyAlignment="1">
      <alignment horizontal="center"/>
    </xf>
    <xf numFmtId="0" fontId="0" fillId="2" borderId="4" xfId="0" applyFill="1" applyBorder="1" applyAlignment="1">
      <alignment horizontal="center"/>
    </xf>
    <xf numFmtId="3" fontId="0" fillId="0" borderId="0" xfId="0" applyNumberFormat="1" applyAlignment="1">
      <alignment horizontal="left" wrapText="1"/>
    </xf>
    <xf numFmtId="0" fontId="0" fillId="2" borderId="27" xfId="0" applyFill="1" applyBorder="1" applyAlignment="1">
      <alignment horizontal="center"/>
    </xf>
    <xf numFmtId="0" fontId="0" fillId="0" borderId="0" xfId="0" applyAlignment="1">
      <alignment horizontal="left" vertical="center" wrapText="1"/>
    </xf>
    <xf numFmtId="0" fontId="0" fillId="0" borderId="0" xfId="0" applyAlignment="1">
      <alignment horizontal="center" vertical="top" wrapText="1"/>
    </xf>
    <xf numFmtId="0" fontId="0" fillId="2" borderId="6" xfId="0" applyFill="1" applyBorder="1" applyAlignment="1">
      <alignment horizontal="center" wrapText="1"/>
    </xf>
    <xf numFmtId="0" fontId="0" fillId="2" borderId="26" xfId="0" applyFill="1" applyBorder="1" applyAlignment="1">
      <alignment horizontal="center" wrapText="1"/>
    </xf>
    <xf numFmtId="0" fontId="0" fillId="2" borderId="5" xfId="0" applyFill="1" applyBorder="1" applyAlignment="1">
      <alignment horizontal="center"/>
    </xf>
    <xf numFmtId="0" fontId="0" fillId="2" borderId="25" xfId="0" applyFill="1" applyBorder="1" applyAlignment="1">
      <alignment horizontal="center" wrapText="1"/>
    </xf>
    <xf numFmtId="0" fontId="6" fillId="0" borderId="0" xfId="0" quotePrefix="1" applyFont="1" applyAlignment="1">
      <alignment horizontal="left" wrapText="1"/>
    </xf>
    <xf numFmtId="0" fontId="0" fillId="2" borderId="23" xfId="0" applyFill="1" applyBorder="1" applyAlignment="1">
      <alignment horizontal="center" wrapText="1"/>
    </xf>
    <xf numFmtId="0" fontId="27" fillId="0" borderId="0" xfId="0" applyFont="1" applyAlignment="1">
      <alignment horizontal="left" wrapText="1"/>
    </xf>
    <xf numFmtId="0" fontId="0" fillId="2" borderId="5" xfId="0" applyFill="1" applyBorder="1" applyAlignment="1">
      <alignment horizontal="center" wrapText="1"/>
    </xf>
    <xf numFmtId="0" fontId="0" fillId="2" borderId="4" xfId="0" applyFill="1" applyBorder="1" applyAlignment="1">
      <alignment horizontal="center" wrapText="1"/>
    </xf>
    <xf numFmtId="0" fontId="0" fillId="2" borderId="24" xfId="0" applyFill="1" applyBorder="1" applyAlignment="1">
      <alignment horizontal="center" wrapText="1"/>
    </xf>
    <xf numFmtId="0" fontId="0" fillId="2" borderId="22" xfId="0" applyFill="1" applyBorder="1" applyAlignment="1">
      <alignment horizontal="center" wrapText="1"/>
    </xf>
    <xf numFmtId="3" fontId="0" fillId="0" borderId="0" xfId="0" applyNumberFormat="1" applyAlignment="1">
      <alignment horizontal="left" vertical="top" wrapText="1"/>
    </xf>
  </cellXfs>
  <cellStyles count="8">
    <cellStyle name="Comma" xfId="1" builtinId="3"/>
    <cellStyle name="Comma 2" xfId="6" xr:uid="{891B79DA-6DCC-9445-AA38-97DE1063C6D3}"/>
    <cellStyle name="Hyperlink 2" xfId="5" xr:uid="{7FF9E549-3D06-D644-8631-1E0A7066CBF9}"/>
    <cellStyle name="Normal" xfId="0" builtinId="0"/>
    <cellStyle name="Normal 2 2" xfId="3" xr:uid="{186799B0-EB0F-8E4B-B5BB-7356B616053A}"/>
    <cellStyle name="Normal 4" xfId="4" xr:uid="{5A293AE7-1B66-334E-9675-C3BC157E8D0B}"/>
    <cellStyle name="Percent" xfId="2" builtinId="5"/>
    <cellStyle name="Percent 2" xfId="7" xr:uid="{4184491A-0C19-CE47-9C24-2292569B42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6138637692123"/>
          <c:y val="7.2997426484483569E-2"/>
          <c:w val="0.69286387236529934"/>
          <c:h val="0.68669080656617043"/>
        </c:manualLayout>
      </c:layout>
      <c:scatterChart>
        <c:scatterStyle val="lineMarker"/>
        <c:varyColors val="0"/>
        <c:ser>
          <c:idx val="0"/>
          <c:order val="0"/>
          <c:tx>
            <c:strRef>
              <c:f>'2011 #4'!$W$21</c:f>
              <c:strCache>
                <c:ptCount val="1"/>
                <c:pt idx="0">
                  <c:v>IncLoss1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6350" cap="rnd">
                <a:solidFill>
                  <a:schemeClr val="tx1"/>
                </a:solidFill>
                <a:prstDash val="solid"/>
              </a:ln>
              <a:effectLst/>
            </c:spPr>
            <c:trendlineType val="linear"/>
            <c:intercept val="0"/>
            <c:dispRSqr val="0"/>
            <c:dispEq val="0"/>
          </c:trendline>
          <c:xVal>
            <c:numRef>
              <c:f>'2011 #4'!$V$22:$V$30</c:f>
            </c:numRef>
          </c:xVal>
          <c:yVal>
            <c:numRef>
              <c:f>'2011 #4'!$W$22:$W$30</c:f>
            </c:numRef>
          </c:yVal>
          <c:smooth val="0"/>
          <c:extLst>
            <c:ext xmlns:c16="http://schemas.microsoft.com/office/drawing/2014/chart" uri="{C3380CC4-5D6E-409C-BE32-E72D297353CC}">
              <c16:uniqueId val="{00000001-AB10-654D-8AA8-E036170082C7}"/>
            </c:ext>
          </c:extLst>
        </c:ser>
        <c:dLbls>
          <c:showLegendKey val="0"/>
          <c:showVal val="0"/>
          <c:showCatName val="0"/>
          <c:showSerName val="0"/>
          <c:showPercent val="0"/>
          <c:showBubbleSize val="0"/>
        </c:dLbls>
        <c:axId val="692392256"/>
        <c:axId val="692396576"/>
      </c:scatterChart>
      <c:valAx>
        <c:axId val="69239225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a:solidFill>
                      <a:schemeClr val="tx1"/>
                    </a:solidFill>
                  </a:rPr>
                  <a:t>Loss</a:t>
                </a:r>
                <a:r>
                  <a:rPr lang="en-IN" sz="1200" b="1" baseline="0">
                    <a:solidFill>
                      <a:schemeClr val="tx1"/>
                    </a:solidFill>
                  </a:rPr>
                  <a:t> at Age 0</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92396576"/>
        <c:crosses val="autoZero"/>
        <c:crossBetween val="midCat"/>
        <c:majorUnit val="2000"/>
      </c:valAx>
      <c:valAx>
        <c:axId val="69239657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a:solidFill>
                      <a:schemeClr val="tx1"/>
                    </a:solidFill>
                  </a:rPr>
                  <a:t>Inc</a:t>
                </a:r>
                <a:r>
                  <a:rPr lang="en-IN" sz="1200" b="1" baseline="0">
                    <a:solidFill>
                      <a:schemeClr val="tx1"/>
                    </a:solidFill>
                  </a:rPr>
                  <a:t> Loss at Age 1</a:t>
                </a:r>
                <a:endParaRPr lang="en-IN" sz="1200" b="1">
                  <a:solidFill>
                    <a:schemeClr val="tx1"/>
                  </a:solidFill>
                </a:endParaRPr>
              </a:p>
            </c:rich>
          </c:tx>
          <c:layout>
            <c:manualLayout>
              <c:xMode val="edge"/>
              <c:yMode val="edge"/>
              <c:x val="1.0480349344978166E-2"/>
              <c:y val="0.1372567787321497"/>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I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92392256"/>
        <c:crosses val="autoZero"/>
        <c:crossBetween val="midCat"/>
        <c:majorUnit val="2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0D467AB5-7EC4-1045-854E-D6DCBA8DA406}"/>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393700</xdr:colOff>
      <xdr:row>1</xdr:row>
      <xdr:rowOff>101600</xdr:rowOff>
    </xdr:from>
    <xdr:ext cx="5435600" cy="2947369"/>
    <xdr:pic>
      <xdr:nvPicPr>
        <xdr:cNvPr id="2" name="Picture 1">
          <a:extLst>
            <a:ext uri="{FF2B5EF4-FFF2-40B4-BE49-F238E27FC236}">
              <a16:creationId xmlns:a16="http://schemas.microsoft.com/office/drawing/2014/main" id="{453609F9-61F0-1442-AA43-D72BB8077BB5}"/>
            </a:ext>
          </a:extLst>
        </xdr:cNvPr>
        <xdr:cNvPicPr>
          <a:picLocks noChangeAspect="1"/>
        </xdr:cNvPicPr>
      </xdr:nvPicPr>
      <xdr:blipFill rotWithShape="1">
        <a:blip xmlns:r="http://schemas.openxmlformats.org/officeDocument/2006/relationships" r:embed="rId1"/>
        <a:srcRect l="2865" t="4091" r="2344" b="5454"/>
        <a:stretch/>
      </xdr:blipFill>
      <xdr:spPr>
        <a:xfrm>
          <a:off x="1231900" y="304800"/>
          <a:ext cx="5435600" cy="2947369"/>
        </a:xfrm>
        <a:prstGeom prst="rect">
          <a:avLst/>
        </a:prstGeom>
        <a:ln>
          <a:solidFill>
            <a:schemeClr val="tx1"/>
          </a:solidFill>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14</xdr:col>
      <xdr:colOff>381000</xdr:colOff>
      <xdr:row>30</xdr:row>
      <xdr:rowOff>76200</xdr:rowOff>
    </xdr:from>
    <xdr:to>
      <xdr:col>16</xdr:col>
      <xdr:colOff>269011</xdr:colOff>
      <xdr:row>31</xdr:row>
      <xdr:rowOff>45227</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A685B81-8F37-4A42-A5A7-167405A139FD}"/>
                </a:ext>
              </a:extLst>
            </xdr:cNvPr>
            <xdr:cNvSpPr txBox="1"/>
          </xdr:nvSpPr>
          <xdr:spPr>
            <a:xfrm>
              <a:off x="12115800" y="6172200"/>
              <a:ext cx="1564411" cy="17222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𝑉𝑎𝑟𝑖𝑎𝑛𝑐𝑒</m:t>
                    </m:r>
                    <m:r>
                      <a:rPr lang="en-US" sz="1100" b="0" i="1">
                        <a:latin typeface="Cambria Math" panose="02040503050406030204" pitchFamily="18" charset="0"/>
                      </a:rPr>
                      <m:t>=</m:t>
                    </m:r>
                    <m:r>
                      <a:rPr lang="en-US" sz="1100" b="0" i="1">
                        <a:latin typeface="Cambria Math" panose="02040503050406030204" pitchFamily="18" charset="0"/>
                      </a:rPr>
                      <m:t>𝑚</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𝑝</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𝑝</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CA685B81-8F37-4A42-A5A7-167405A139FD}"/>
                </a:ext>
              </a:extLst>
            </xdr:cNvPr>
            <xdr:cNvSpPr txBox="1"/>
          </xdr:nvSpPr>
          <xdr:spPr>
            <a:xfrm>
              <a:off x="12115800" y="6172200"/>
              <a:ext cx="1564411" cy="17222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latin typeface="Cambria Math" panose="02040503050406030204" pitchFamily="18" charset="0"/>
                </a:rPr>
                <a:t>𝑉𝑎𝑟𝑖𝑎𝑛𝑐𝑒=𝑚</a:t>
              </a:r>
              <a:r>
                <a:rPr lang="en-US" sz="1100" b="0" i="0">
                  <a:latin typeface="Cambria Math" panose="02040503050406030204" pitchFamily="18" charset="0"/>
                  <a:ea typeface="Cambria Math" panose="02040503050406030204" pitchFamily="18" charset="0"/>
                </a:rPr>
                <a:t>∙𝑝(1−𝑝)</a:t>
              </a:r>
              <a:endParaRPr lang="en-US"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342900</xdr:colOff>
      <xdr:row>4</xdr:row>
      <xdr:rowOff>38100</xdr:rowOff>
    </xdr:from>
    <xdr:to>
      <xdr:col>13</xdr:col>
      <xdr:colOff>986366</xdr:colOff>
      <xdr:row>6</xdr:row>
      <xdr:rowOff>86784</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FECE526-0969-0D41-9EC9-891E2D3037DA}"/>
                </a:ext>
              </a:extLst>
            </xdr:cNvPr>
            <xdr:cNvSpPr txBox="1"/>
          </xdr:nvSpPr>
          <xdr:spPr>
            <a:xfrm>
              <a:off x="9461500" y="889000"/>
              <a:ext cx="0" cy="45508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𝐴𝑑𝑗𝑢𝑠𝑡𝑒𝑑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𝑆𝑆𝐸</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𝑆𝑆𝐸</m:t>
                        </m:r>
                      </m:num>
                      <m:den>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𝑝</m:t>
                                </m:r>
                              </m:e>
                            </m:d>
                          </m:e>
                          <m:sup>
                            <m:r>
                              <a:rPr lang="en-US" sz="1100" i="1">
                                <a:solidFill>
                                  <a:schemeClr val="tx1"/>
                                </a:solidFill>
                                <a:effectLst/>
                                <a:latin typeface="Cambria Math" panose="02040503050406030204" pitchFamily="18" charset="0"/>
                                <a:ea typeface="+mn-ea"/>
                                <a:cs typeface="+mn-cs"/>
                              </a:rPr>
                              <m:t>2</m:t>
                            </m:r>
                          </m:sup>
                        </m:sSup>
                      </m:den>
                    </m:f>
                  </m:oMath>
                </m:oMathPara>
              </a14:m>
              <a:endParaRPr lang="en-US" sz="1100">
                <a:solidFill>
                  <a:schemeClr val="tx1"/>
                </a:solidFill>
                <a:effectLst/>
                <a:latin typeface="+mn-lt"/>
                <a:ea typeface="+mn-ea"/>
                <a:cs typeface="+mn-cs"/>
              </a:endParaRPr>
            </a:p>
          </xdr:txBody>
        </xdr:sp>
      </mc:Choice>
      <mc:Fallback xmlns="">
        <xdr:sp macro="" textlink="">
          <xdr:nvSpPr>
            <xdr:cNvPr id="2" name="TextBox 1">
              <a:extLst>
                <a:ext uri="{FF2B5EF4-FFF2-40B4-BE49-F238E27FC236}">
                  <a16:creationId xmlns:a16="http://schemas.microsoft.com/office/drawing/2014/main" id="{0FECE526-0969-0D41-9EC9-891E2D3037DA}"/>
                </a:ext>
              </a:extLst>
            </xdr:cNvPr>
            <xdr:cNvSpPr txBox="1"/>
          </xdr:nvSpPr>
          <xdr:spPr>
            <a:xfrm>
              <a:off x="9461500" y="889000"/>
              <a:ext cx="0" cy="45508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𝐴𝑑𝑗𝑢𝑠𝑡𝑒𝑑 𝑆𝑆𝐸=𝑆𝑆𝐸/(𝑛−𝑝)^2 </a:t>
              </a:r>
              <a:endParaRPr lang="en-US" sz="1100">
                <a:solidFill>
                  <a:schemeClr val="tx1"/>
                </a:solidFill>
                <a:effectLst/>
                <a:latin typeface="+mn-lt"/>
                <a:ea typeface="+mn-ea"/>
                <a:cs typeface="+mn-cs"/>
              </a:endParaRPr>
            </a:p>
          </xdr:txBody>
        </xdr:sp>
      </mc:Fallback>
    </mc:AlternateContent>
    <xdr:clientData/>
  </xdr:twoCellAnchor>
  <xdr:twoCellAnchor>
    <xdr:from>
      <xdr:col>14</xdr:col>
      <xdr:colOff>342900</xdr:colOff>
      <xdr:row>4</xdr:row>
      <xdr:rowOff>88900</xdr:rowOff>
    </xdr:from>
    <xdr:to>
      <xdr:col>15</xdr:col>
      <xdr:colOff>723899</xdr:colOff>
      <xdr:row>6</xdr:row>
      <xdr:rowOff>8680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FC19E47-1DDB-8B45-9D89-607BD0FBDD8A}"/>
                </a:ext>
              </a:extLst>
            </xdr:cNvPr>
            <xdr:cNvSpPr txBox="1"/>
          </xdr:nvSpPr>
          <xdr:spPr>
            <a:xfrm>
              <a:off x="9461500" y="939800"/>
              <a:ext cx="0" cy="32618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𝐴𝐼𝐶</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𝑆𝑆𝐸</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𝑒</m:t>
                        </m:r>
                      </m:e>
                      <m:sup>
                        <m:f>
                          <m:fPr>
                            <m:type m:val="skw"/>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2</m:t>
                            </m:r>
                            <m:r>
                              <a:rPr lang="en-US" sz="1100" i="1">
                                <a:solidFill>
                                  <a:schemeClr val="tx1"/>
                                </a:solidFill>
                                <a:effectLst/>
                                <a:latin typeface="Cambria Math" panose="02040503050406030204" pitchFamily="18" charset="0"/>
                                <a:ea typeface="+mn-ea"/>
                                <a:cs typeface="+mn-cs"/>
                              </a:rPr>
                              <m:t>𝑝</m:t>
                            </m:r>
                          </m:num>
                          <m:den>
                            <m:r>
                              <a:rPr lang="en-US" sz="1100" i="1">
                                <a:solidFill>
                                  <a:schemeClr val="tx1"/>
                                </a:solidFill>
                                <a:effectLst/>
                                <a:latin typeface="Cambria Math" panose="02040503050406030204" pitchFamily="18" charset="0"/>
                                <a:ea typeface="+mn-ea"/>
                                <a:cs typeface="+mn-cs"/>
                              </a:rPr>
                              <m:t>𝑛</m:t>
                            </m:r>
                          </m:den>
                        </m:f>
                      </m:sup>
                    </m:sSup>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2FC19E47-1DDB-8B45-9D89-607BD0FBDD8A}"/>
                </a:ext>
              </a:extLst>
            </xdr:cNvPr>
            <xdr:cNvSpPr txBox="1"/>
          </xdr:nvSpPr>
          <xdr:spPr>
            <a:xfrm>
              <a:off x="9461500" y="939800"/>
              <a:ext cx="0" cy="32618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𝐴𝐼𝐶=𝑆𝑆𝐸×𝑒^(2𝑝⁄𝑛)</a:t>
              </a:r>
              <a:endParaRPr lang="en-US" sz="1100">
                <a:solidFill>
                  <a:schemeClr val="tx1"/>
                </a:solidFill>
                <a:effectLst/>
                <a:latin typeface="+mn-lt"/>
                <a:ea typeface="+mn-ea"/>
                <a:cs typeface="+mn-cs"/>
              </a:endParaRPr>
            </a:p>
          </xdr:txBody>
        </xdr:sp>
      </mc:Fallback>
    </mc:AlternateContent>
    <xdr:clientData/>
  </xdr:twoCellAnchor>
  <xdr:twoCellAnchor>
    <xdr:from>
      <xdr:col>16</xdr:col>
      <xdr:colOff>279400</xdr:colOff>
      <xdr:row>4</xdr:row>
      <xdr:rowOff>63500</xdr:rowOff>
    </xdr:from>
    <xdr:to>
      <xdr:col>17</xdr:col>
      <xdr:colOff>586317</xdr:colOff>
      <xdr:row>5</xdr:row>
      <xdr:rowOff>165962</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EBB33F18-2602-7D49-B1B1-ABB7DF2C70D3}"/>
                </a:ext>
              </a:extLst>
            </xdr:cNvPr>
            <xdr:cNvSpPr txBox="1"/>
          </xdr:nvSpPr>
          <xdr:spPr>
            <a:xfrm>
              <a:off x="9461500" y="914400"/>
              <a:ext cx="0" cy="30566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𝐵𝐼𝐶</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𝑆𝑆𝐸</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𝑛</m:t>
                        </m:r>
                      </m:e>
                      <m:sup>
                        <m:f>
                          <m:fPr>
                            <m:type m:val="skw"/>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𝑝</m:t>
                            </m:r>
                          </m:num>
                          <m:den>
                            <m:r>
                              <a:rPr lang="en-US" sz="1100" i="1">
                                <a:solidFill>
                                  <a:schemeClr val="tx1"/>
                                </a:solidFill>
                                <a:effectLst/>
                                <a:latin typeface="Cambria Math" panose="02040503050406030204" pitchFamily="18" charset="0"/>
                                <a:ea typeface="+mn-ea"/>
                                <a:cs typeface="+mn-cs"/>
                              </a:rPr>
                              <m:t>𝑛</m:t>
                            </m:r>
                          </m:den>
                        </m:f>
                      </m:sup>
                    </m:sSup>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EBB33F18-2602-7D49-B1B1-ABB7DF2C70D3}"/>
                </a:ext>
              </a:extLst>
            </xdr:cNvPr>
            <xdr:cNvSpPr txBox="1"/>
          </xdr:nvSpPr>
          <xdr:spPr>
            <a:xfrm>
              <a:off x="9461500" y="914400"/>
              <a:ext cx="0" cy="30566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𝐵𝐼𝐶=𝑆𝑆𝐸×𝑛^(𝑝⁄𝑛)</a:t>
              </a:r>
              <a:endParaRPr lang="en-US" sz="1100">
                <a:solidFill>
                  <a:schemeClr val="tx1"/>
                </a:solidFill>
                <a:effectLst/>
                <a:latin typeface="+mn-lt"/>
                <a:ea typeface="+mn-ea"/>
                <a:cs typeface="+mn-cs"/>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15</xdr:col>
      <xdr:colOff>278340</xdr:colOff>
      <xdr:row>19</xdr:row>
      <xdr:rowOff>114301</xdr:rowOff>
    </xdr:from>
    <xdr:to>
      <xdr:col>20</xdr:col>
      <xdr:colOff>165100</xdr:colOff>
      <xdr:row>31</xdr:row>
      <xdr:rowOff>139701</xdr:rowOff>
    </xdr:to>
    <xdr:graphicFrame macro="">
      <xdr:nvGraphicFramePr>
        <xdr:cNvPr id="2" name="Chart 1">
          <a:extLst>
            <a:ext uri="{FF2B5EF4-FFF2-40B4-BE49-F238E27FC236}">
              <a16:creationId xmlns:a16="http://schemas.microsoft.com/office/drawing/2014/main" id="{7979EEFD-DF0E-DD47-8535-70ED7584B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2</xdr:col>
      <xdr:colOff>736600</xdr:colOff>
      <xdr:row>18</xdr:row>
      <xdr:rowOff>50800</xdr:rowOff>
    </xdr:from>
    <xdr:ext cx="954236" cy="41575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E5AC67-1617-EC42-BB57-C396E640DB32}"/>
                </a:ext>
              </a:extLst>
            </xdr:cNvPr>
            <xdr:cNvSpPr txBox="1"/>
          </xdr:nvSpPr>
          <xdr:spPr>
            <a:xfrm>
              <a:off x="2413000" y="3708400"/>
              <a:ext cx="954236" cy="415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𝑇</m:t>
                    </m:r>
                    <m:r>
                      <a:rPr lang="en-US" sz="1100" b="0" i="1">
                        <a:latin typeface="Cambria Math" panose="02040503050406030204" pitchFamily="18" charset="0"/>
                      </a:rPr>
                      <m:t>=</m:t>
                    </m:r>
                    <m:r>
                      <a:rPr lang="en-US" sz="1100" b="0" i="1">
                        <a:latin typeface="Cambria Math" panose="02040503050406030204" pitchFamily="18" charset="0"/>
                      </a:rPr>
                      <m:t>𝑟</m:t>
                    </m:r>
                    <m:sSup>
                      <m:sSupPr>
                        <m:ctrlPr>
                          <a:rPr lang="en-US" sz="1100" b="0" i="1">
                            <a:latin typeface="Cambria Math" panose="02040503050406030204" pitchFamily="18" charset="0"/>
                          </a:rPr>
                        </m:ctrlPr>
                      </m:sSupPr>
                      <m:e>
                        <m:d>
                          <m:dPr>
                            <m:begChr m:val="["/>
                            <m:endChr m:val="]"/>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𝑛</m:t>
                                </m:r>
                                <m:r>
                                  <a:rPr lang="en-US" sz="1100" b="0" i="1">
                                    <a:latin typeface="Cambria Math" panose="02040503050406030204" pitchFamily="18" charset="0"/>
                                  </a:rPr>
                                  <m:t>−2</m:t>
                                </m:r>
                              </m:num>
                              <m:den>
                                <m:r>
                                  <a:rPr lang="en-US" sz="1100" b="0" i="1">
                                    <a:latin typeface="Cambria Math" panose="02040503050406030204" pitchFamily="18" charset="0"/>
                                  </a:rPr>
                                  <m:t>1−</m:t>
                                </m:r>
                                <m:sSup>
                                  <m:sSupPr>
                                    <m:ctrlPr>
                                      <a:rPr lang="en-US" sz="1100" b="0" i="1">
                                        <a:latin typeface="Cambria Math" panose="02040503050406030204" pitchFamily="18" charset="0"/>
                                      </a:rPr>
                                    </m:ctrlPr>
                                  </m:sSupPr>
                                  <m:e>
                                    <m:r>
                                      <a:rPr lang="en-US" sz="1100" b="0" i="1">
                                        <a:latin typeface="Cambria Math" panose="02040503050406030204" pitchFamily="18" charset="0"/>
                                      </a:rPr>
                                      <m:t>𝑟</m:t>
                                    </m:r>
                                  </m:e>
                                  <m:sup>
                                    <m:r>
                                      <a:rPr lang="en-US" sz="1100" b="0" i="1">
                                        <a:latin typeface="Cambria Math" panose="02040503050406030204" pitchFamily="18" charset="0"/>
                                      </a:rPr>
                                      <m:t>2</m:t>
                                    </m:r>
                                  </m:sup>
                                </m:sSup>
                              </m:den>
                            </m:f>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sup>
                    </m:sSup>
                  </m:oMath>
                </m:oMathPara>
              </a14:m>
              <a:endParaRPr lang="en-US" sz="1100"/>
            </a:p>
          </xdr:txBody>
        </xdr:sp>
      </mc:Choice>
      <mc:Fallback xmlns="">
        <xdr:sp macro="" textlink="">
          <xdr:nvSpPr>
            <xdr:cNvPr id="2" name="TextBox 1">
              <a:extLst>
                <a:ext uri="{FF2B5EF4-FFF2-40B4-BE49-F238E27FC236}">
                  <a16:creationId xmlns:a16="http://schemas.microsoft.com/office/drawing/2014/main" id="{11E5AC67-1617-EC42-BB57-C396E640DB32}"/>
                </a:ext>
              </a:extLst>
            </xdr:cNvPr>
            <xdr:cNvSpPr txBox="1"/>
          </xdr:nvSpPr>
          <xdr:spPr>
            <a:xfrm>
              <a:off x="2413000" y="3708400"/>
              <a:ext cx="954236" cy="415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𝑇=𝑟[(𝑛−2)/(1−𝑟^2 )]^(1/2)</a:t>
              </a:r>
              <a:endParaRPr 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781050</xdr:colOff>
      <xdr:row>22</xdr:row>
      <xdr:rowOff>180975</xdr:rowOff>
    </xdr:from>
    <xdr:ext cx="1930400" cy="23987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E7C3B92-91A4-2743-909F-4F1EB04BEB34}"/>
                </a:ext>
              </a:extLst>
            </xdr:cNvPr>
            <xdr:cNvSpPr txBox="1"/>
          </xdr:nvSpPr>
          <xdr:spPr>
            <a:xfrm>
              <a:off x="2457450" y="4651375"/>
              <a:ext cx="1930400" cy="239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𝑇</m:t>
                    </m:r>
                    <m:r>
                      <a:rPr lang="en-US" sz="1200" b="0" i="1">
                        <a:latin typeface="Cambria Math" panose="02040503050406030204" pitchFamily="18" charset="0"/>
                      </a:rPr>
                      <m:t>=</m:t>
                    </m:r>
                    <m:r>
                      <a:rPr lang="en-US" sz="1200" b="0" i="1">
                        <a:latin typeface="Cambria Math" panose="02040503050406030204" pitchFamily="18" charset="0"/>
                      </a:rPr>
                      <m:t>𝑟</m:t>
                    </m:r>
                    <m:r>
                      <a:rPr lang="en-US" sz="1200" b="0" i="1">
                        <a:latin typeface="Cambria Math" panose="02040503050406030204" pitchFamily="18" charset="0"/>
                      </a:rPr>
                      <m:t>[</m:t>
                    </m:r>
                    <m:sSup>
                      <m:sSupPr>
                        <m:ctrlPr>
                          <a:rPr lang="en-US" sz="1200" b="0" i="1">
                            <a:latin typeface="Cambria Math" panose="02040503050406030204" pitchFamily="18" charset="0"/>
                          </a:rPr>
                        </m:ctrlPr>
                      </m:sSupPr>
                      <m:e>
                        <m:f>
                          <m:fPr>
                            <m:type m:val="lin"/>
                            <m:ctrlPr>
                              <a:rPr lang="en-US" sz="1200" b="0" i="1">
                                <a:latin typeface="Cambria Math" panose="02040503050406030204" pitchFamily="18" charset="0"/>
                              </a:rPr>
                            </m:ctrlPr>
                          </m:fPr>
                          <m:num>
                            <m:d>
                              <m:dPr>
                                <m:ctrlPr>
                                  <a:rPr lang="en-US" sz="1200" b="0" i="1">
                                    <a:latin typeface="Cambria Math" panose="02040503050406030204" pitchFamily="18" charset="0"/>
                                  </a:rPr>
                                </m:ctrlPr>
                              </m:dPr>
                              <m:e>
                                <m:r>
                                  <a:rPr lang="en-US" sz="1200" b="0" i="1">
                                    <a:latin typeface="Cambria Math" panose="02040503050406030204" pitchFamily="18" charset="0"/>
                                  </a:rPr>
                                  <m:t>𝑛</m:t>
                                </m:r>
                                <m:r>
                                  <a:rPr lang="en-US" sz="1200" b="0" i="1">
                                    <a:latin typeface="Cambria Math" panose="02040503050406030204" pitchFamily="18" charset="0"/>
                                  </a:rPr>
                                  <m:t>−2</m:t>
                                </m:r>
                              </m:e>
                            </m:d>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𝑟</m:t>
                                </m:r>
                              </m:e>
                              <m:sup>
                                <m:r>
                                  <a:rPr lang="en-US" sz="1200" b="0" i="1">
                                    <a:latin typeface="Cambria Math" panose="02040503050406030204" pitchFamily="18" charset="0"/>
                                  </a:rPr>
                                  <m:t>2</m:t>
                                </m:r>
                              </m:sup>
                            </m:sSup>
                            <m:r>
                              <a:rPr lang="en-US" sz="1200" b="0" i="1">
                                <a:latin typeface="Cambria Math" panose="02040503050406030204" pitchFamily="18" charset="0"/>
                              </a:rPr>
                              <m:t>)]</m:t>
                            </m:r>
                          </m:den>
                        </m:f>
                      </m:e>
                      <m:sup>
                        <m:f>
                          <m:fPr>
                            <m:type m:val="lin"/>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2</m:t>
                            </m:r>
                          </m:den>
                        </m:f>
                      </m:sup>
                    </m:sSup>
                  </m:oMath>
                </m:oMathPara>
              </a14:m>
              <a:endParaRPr lang="en-US" sz="1200"/>
            </a:p>
          </xdr:txBody>
        </xdr:sp>
      </mc:Choice>
      <mc:Fallback xmlns="">
        <xdr:sp macro="" textlink="">
          <xdr:nvSpPr>
            <xdr:cNvPr id="2" name="TextBox 1">
              <a:extLst>
                <a:ext uri="{FF2B5EF4-FFF2-40B4-BE49-F238E27FC236}">
                  <a16:creationId xmlns:a16="http://schemas.microsoft.com/office/drawing/2014/main" id="{4E7C3B92-91A4-2743-909F-4F1EB04BEB34}"/>
                </a:ext>
              </a:extLst>
            </xdr:cNvPr>
            <xdr:cNvSpPr txBox="1"/>
          </xdr:nvSpPr>
          <xdr:spPr>
            <a:xfrm>
              <a:off x="2457450" y="4651375"/>
              <a:ext cx="1930400" cy="239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panose="02040503050406030204" pitchFamily="18" charset="0"/>
                </a:rPr>
                <a:t>𝑇=𝑟[〖(𝑛−2)∕〖(1−𝑟^2)]〗〗^(1∕2)</a:t>
              </a:r>
              <a:endParaRPr lang="en-US" sz="12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123825</xdr:colOff>
      <xdr:row>12</xdr:row>
      <xdr:rowOff>180975</xdr:rowOff>
    </xdr:from>
    <xdr:ext cx="1930400" cy="23987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1193D6-1677-D240-B8DF-2BFF9ACD94DB}"/>
                </a:ext>
              </a:extLst>
            </xdr:cNvPr>
            <xdr:cNvSpPr txBox="1"/>
          </xdr:nvSpPr>
          <xdr:spPr>
            <a:xfrm>
              <a:off x="2638425" y="2619375"/>
              <a:ext cx="1930400" cy="239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𝑇</m:t>
                    </m:r>
                    <m:r>
                      <a:rPr lang="en-US" sz="1200" b="0" i="1">
                        <a:latin typeface="Cambria Math" panose="02040503050406030204" pitchFamily="18" charset="0"/>
                      </a:rPr>
                      <m:t>=</m:t>
                    </m:r>
                    <m:r>
                      <a:rPr lang="en-US" sz="1200" b="0" i="1">
                        <a:latin typeface="Cambria Math" panose="02040503050406030204" pitchFamily="18" charset="0"/>
                      </a:rPr>
                      <m:t>𝑟</m:t>
                    </m:r>
                    <m:r>
                      <a:rPr lang="en-US" sz="1200" b="0" i="1">
                        <a:latin typeface="Cambria Math" panose="02040503050406030204" pitchFamily="18" charset="0"/>
                      </a:rPr>
                      <m:t>[</m:t>
                    </m:r>
                    <m:sSup>
                      <m:sSupPr>
                        <m:ctrlPr>
                          <a:rPr lang="en-US" sz="1200" b="0" i="1">
                            <a:latin typeface="Cambria Math" panose="02040503050406030204" pitchFamily="18" charset="0"/>
                          </a:rPr>
                        </m:ctrlPr>
                      </m:sSupPr>
                      <m:e>
                        <m:f>
                          <m:fPr>
                            <m:type m:val="lin"/>
                            <m:ctrlPr>
                              <a:rPr lang="en-US" sz="1200" b="0" i="1">
                                <a:latin typeface="Cambria Math" panose="02040503050406030204" pitchFamily="18" charset="0"/>
                              </a:rPr>
                            </m:ctrlPr>
                          </m:fPr>
                          <m:num>
                            <m:d>
                              <m:dPr>
                                <m:ctrlPr>
                                  <a:rPr lang="en-US" sz="1200" b="0" i="1">
                                    <a:latin typeface="Cambria Math" panose="02040503050406030204" pitchFamily="18" charset="0"/>
                                  </a:rPr>
                                </m:ctrlPr>
                              </m:dPr>
                              <m:e>
                                <m:r>
                                  <a:rPr lang="en-US" sz="1200" b="0" i="1">
                                    <a:latin typeface="Cambria Math" panose="02040503050406030204" pitchFamily="18" charset="0"/>
                                  </a:rPr>
                                  <m:t>𝑛</m:t>
                                </m:r>
                                <m:r>
                                  <a:rPr lang="en-US" sz="1200" b="0" i="1">
                                    <a:latin typeface="Cambria Math" panose="02040503050406030204" pitchFamily="18" charset="0"/>
                                  </a:rPr>
                                  <m:t>−2</m:t>
                                </m:r>
                              </m:e>
                            </m:d>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𝑟</m:t>
                                </m:r>
                              </m:e>
                              <m:sup>
                                <m:r>
                                  <a:rPr lang="en-US" sz="1200" b="0" i="1">
                                    <a:latin typeface="Cambria Math" panose="02040503050406030204" pitchFamily="18" charset="0"/>
                                  </a:rPr>
                                  <m:t>2</m:t>
                                </m:r>
                              </m:sup>
                            </m:sSup>
                            <m:r>
                              <a:rPr lang="en-US" sz="1200" b="0" i="1">
                                <a:latin typeface="Cambria Math" panose="02040503050406030204" pitchFamily="18" charset="0"/>
                              </a:rPr>
                              <m:t>)]</m:t>
                            </m:r>
                          </m:den>
                        </m:f>
                      </m:e>
                      <m:sup>
                        <m:f>
                          <m:fPr>
                            <m:type m:val="lin"/>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2</m:t>
                            </m:r>
                          </m:den>
                        </m:f>
                      </m:sup>
                    </m:sSup>
                  </m:oMath>
                </m:oMathPara>
              </a14:m>
              <a:endParaRPr lang="en-US" sz="1200"/>
            </a:p>
          </xdr:txBody>
        </xdr:sp>
      </mc:Choice>
      <mc:Fallback xmlns="">
        <xdr:sp macro="" textlink="">
          <xdr:nvSpPr>
            <xdr:cNvPr id="2" name="TextBox 1">
              <a:extLst>
                <a:ext uri="{FF2B5EF4-FFF2-40B4-BE49-F238E27FC236}">
                  <a16:creationId xmlns:a16="http://schemas.microsoft.com/office/drawing/2014/main" id="{E01193D6-1677-D240-B8DF-2BFF9ACD94DB}"/>
                </a:ext>
              </a:extLst>
            </xdr:cNvPr>
            <xdr:cNvSpPr txBox="1"/>
          </xdr:nvSpPr>
          <xdr:spPr>
            <a:xfrm>
              <a:off x="2638425" y="2619375"/>
              <a:ext cx="1930400" cy="239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panose="02040503050406030204" pitchFamily="18" charset="0"/>
                </a:rPr>
                <a:t>𝑇=𝑟[〖(𝑛−2)∕〖(1−𝑟^2)]〗〗^(1∕2)</a:t>
              </a:r>
              <a:endParaRPr lang="en-US" sz="12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25400</xdr:colOff>
      <xdr:row>4</xdr:row>
      <xdr:rowOff>63500</xdr:rowOff>
    </xdr:from>
    <xdr:ext cx="5830347" cy="3086100"/>
    <xdr:pic>
      <xdr:nvPicPr>
        <xdr:cNvPr id="2" name="Picture 1">
          <a:extLst>
            <a:ext uri="{FF2B5EF4-FFF2-40B4-BE49-F238E27FC236}">
              <a16:creationId xmlns:a16="http://schemas.microsoft.com/office/drawing/2014/main" id="{0EC6A046-B590-D546-BA2A-99E65AD7CE69}"/>
            </a:ext>
          </a:extLst>
        </xdr:cNvPr>
        <xdr:cNvPicPr>
          <a:picLocks noChangeAspect="1"/>
        </xdr:cNvPicPr>
      </xdr:nvPicPr>
      <xdr:blipFill>
        <a:blip xmlns:r="http://schemas.openxmlformats.org/officeDocument/2006/relationships" r:embed="rId1"/>
        <a:stretch>
          <a:fillRect/>
        </a:stretch>
      </xdr:blipFill>
      <xdr:spPr>
        <a:xfrm>
          <a:off x="1701800" y="876300"/>
          <a:ext cx="5830347" cy="30861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368300</xdr:colOff>
      <xdr:row>23</xdr:row>
      <xdr:rowOff>127000</xdr:rowOff>
    </xdr:from>
    <xdr:ext cx="2024721" cy="54566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7DCAB04-F0CE-304A-B37D-956237BFBC24}"/>
                </a:ext>
              </a:extLst>
            </xdr:cNvPr>
            <xdr:cNvSpPr txBox="1"/>
          </xdr:nvSpPr>
          <xdr:spPr>
            <a:xfrm>
              <a:off x="2044700" y="4800600"/>
              <a:ext cx="2024721"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0" i="1">
                            <a:latin typeface="Cambria Math" panose="02040503050406030204" pitchFamily="18" charset="0"/>
                          </a:rPr>
                        </m:ctrlPr>
                      </m:sSubPr>
                      <m:e>
                        <m:r>
                          <a:rPr lang="en-US" sz="1200" b="0" i="1">
                            <a:latin typeface="Cambria Math" panose="02040503050406030204" pitchFamily="18" charset="0"/>
                          </a:rPr>
                          <m:t>𝑠</m:t>
                        </m:r>
                      </m:e>
                      <m:sub>
                        <m:r>
                          <a:rPr lang="en-US" sz="1200" b="0" i="1">
                            <a:latin typeface="Cambria Math" panose="02040503050406030204" pitchFamily="18" charset="0"/>
                          </a:rPr>
                          <m:t>𝑏</m:t>
                        </m:r>
                      </m:sub>
                    </m:sSub>
                    <m:r>
                      <a:rPr lang="en-US" sz="1200" b="0" i="1">
                        <a:latin typeface="Cambria Math" panose="02040503050406030204" pitchFamily="18" charset="0"/>
                      </a:rPr>
                      <m:t>= </m:t>
                    </m:r>
                    <m:rad>
                      <m:radPr>
                        <m:degHide m:val="on"/>
                        <m:ctrlPr>
                          <a:rPr lang="en-US" sz="1200" b="0" i="1">
                            <a:latin typeface="Cambria Math" panose="02040503050406030204" pitchFamily="18" charset="0"/>
                          </a:rPr>
                        </m:ctrlPr>
                      </m:radPr>
                      <m:deg/>
                      <m:e>
                        <m:nary>
                          <m:naryPr>
                            <m:chr m:val="∑"/>
                            <m:supHide m:val="on"/>
                            <m:ctrlPr>
                              <a:rPr lang="en-US" sz="1200" b="0" i="1">
                                <a:latin typeface="Cambria Math" panose="02040503050406030204" pitchFamily="18" charset="0"/>
                              </a:rPr>
                            </m:ctrlPr>
                          </m:naryPr>
                          <m:sub>
                            <m:r>
                              <m:rPr>
                                <m:brk m:alnAt="7"/>
                              </m:rPr>
                              <a:rPr lang="en-US" sz="1200" b="0" i="1">
                                <a:latin typeface="Cambria Math" panose="02040503050406030204" pitchFamily="18" charset="0"/>
                              </a:rPr>
                              <m:t>𝑖</m:t>
                            </m:r>
                          </m:sub>
                          <m:sup/>
                          <m:e>
                            <m:f>
                              <m:fPr>
                                <m:ctrlPr>
                                  <a:rPr lang="en-US" sz="1200" b="0" i="1">
                                    <a:latin typeface="Cambria Math" panose="02040503050406030204" pitchFamily="18" charset="0"/>
                                  </a:rPr>
                                </m:ctrlPr>
                              </m:fPr>
                              <m:num>
                                <m:sSubSup>
                                  <m:sSubSupPr>
                                    <m:ctrlPr>
                                      <a:rPr lang="en-US" sz="1200" b="0" i="1">
                                        <a:latin typeface="Cambria Math" panose="02040503050406030204" pitchFamily="18" charset="0"/>
                                      </a:rPr>
                                    </m:ctrlPr>
                                  </m:sSubSupPr>
                                  <m:e>
                                    <m:r>
                                      <a:rPr lang="en-US" sz="1200" b="0" i="1">
                                        <a:latin typeface="Cambria Math" panose="02040503050406030204" pitchFamily="18" charset="0"/>
                                      </a:rPr>
                                      <m:t>𝜺</m:t>
                                    </m:r>
                                  </m:e>
                                  <m:sub>
                                    <m:r>
                                      <a:rPr lang="en-US" sz="1200" b="0" i="1">
                                        <a:latin typeface="Cambria Math" panose="02040503050406030204" pitchFamily="18" charset="0"/>
                                      </a:rPr>
                                      <m:t>𝑖</m:t>
                                    </m:r>
                                  </m:sub>
                                  <m:sup>
                                    <m:r>
                                      <a:rPr lang="en-US" sz="1200" b="0" i="1">
                                        <a:latin typeface="Cambria Math" panose="02040503050406030204" pitchFamily="18" charset="0"/>
                                      </a:rPr>
                                      <m:t>2</m:t>
                                    </m:r>
                                  </m:sup>
                                </m:sSubSup>
                              </m:num>
                              <m:den>
                                <m:r>
                                  <a:rPr lang="en-US" sz="1200" b="0" i="1">
                                    <a:latin typeface="Cambria Math" panose="02040503050406030204" pitchFamily="18" charset="0"/>
                                  </a:rPr>
                                  <m:t>(</m:t>
                                </m:r>
                                <m:r>
                                  <a:rPr lang="en-US" sz="1200" b="0" i="1">
                                    <a:latin typeface="Cambria Math" panose="02040503050406030204" pitchFamily="18" charset="0"/>
                                  </a:rPr>
                                  <m:t>𝑛</m:t>
                                </m:r>
                                <m:r>
                                  <a:rPr lang="en-US" sz="1200" b="0" i="1">
                                    <a:latin typeface="Cambria Math" panose="02040503050406030204" pitchFamily="18" charset="0"/>
                                  </a:rPr>
                                  <m:t>−2)</m:t>
                                </m:r>
                                <m:nary>
                                  <m:naryPr>
                                    <m:chr m:val="∑"/>
                                    <m:supHide m:val="on"/>
                                    <m:ctrlPr>
                                      <a:rPr lang="en-US" sz="1200" b="0" i="1">
                                        <a:latin typeface="Cambria Math" panose="02040503050406030204" pitchFamily="18" charset="0"/>
                                      </a:rPr>
                                    </m:ctrlPr>
                                  </m:naryPr>
                                  <m:sub>
                                    <m:r>
                                      <m:rPr>
                                        <m:brk m:alnAt="7"/>
                                      </m:rPr>
                                      <a:rPr lang="en-US" sz="1200" b="0" i="1">
                                        <a:latin typeface="Cambria Math" panose="02040503050406030204" pitchFamily="18" charset="0"/>
                                      </a:rPr>
                                      <m:t>𝑖</m:t>
                                    </m:r>
                                  </m:sub>
                                  <m:sup/>
                                  <m:e>
                                    <m:sSup>
                                      <m:sSupPr>
                                        <m:ctrlPr>
                                          <a:rPr lang="en-US" sz="1200" b="0" i="1">
                                            <a:latin typeface="Cambria Math" panose="02040503050406030204" pitchFamily="18" charset="0"/>
                                          </a:rPr>
                                        </m:ctrlPr>
                                      </m:sSupPr>
                                      <m:e>
                                        <m:d>
                                          <m:dPr>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𝑥</m:t>
                                                </m:r>
                                              </m:e>
                                              <m:sub>
                                                <m:r>
                                                  <a:rPr lang="en-US" sz="1200" b="0" i="1">
                                                    <a:latin typeface="Cambria Math" panose="02040503050406030204" pitchFamily="18" charset="0"/>
                                                  </a:rPr>
                                                  <m:t>𝑖</m:t>
                                                </m:r>
                                              </m:sub>
                                            </m:sSub>
                                            <m:r>
                                              <a:rPr lang="en-US" sz="1200" b="0" i="1">
                                                <a:latin typeface="Cambria Math" panose="02040503050406030204" pitchFamily="18" charset="0"/>
                                              </a:rPr>
                                              <m:t>−</m:t>
                                            </m:r>
                                            <m:acc>
                                              <m:accPr>
                                                <m:chr m:val="̅"/>
                                                <m:ctrlPr>
                                                  <a:rPr lang="en-US" sz="1200" b="0" i="1">
                                                    <a:latin typeface="Cambria Math" panose="02040503050406030204" pitchFamily="18" charset="0"/>
                                                  </a:rPr>
                                                </m:ctrlPr>
                                              </m:accPr>
                                              <m:e>
                                                <m:r>
                                                  <a:rPr lang="en-US" sz="1200" b="0" i="1">
                                                    <a:latin typeface="Cambria Math" panose="02040503050406030204" pitchFamily="18" charset="0"/>
                                                  </a:rPr>
                                                  <m:t>𝑥</m:t>
                                                </m:r>
                                              </m:e>
                                            </m:acc>
                                          </m:e>
                                        </m:d>
                                      </m:e>
                                      <m:sup>
                                        <m:r>
                                          <a:rPr lang="en-US" sz="1200" b="0" i="1">
                                            <a:latin typeface="Cambria Math" panose="02040503050406030204" pitchFamily="18" charset="0"/>
                                          </a:rPr>
                                          <m:t>2</m:t>
                                        </m:r>
                                      </m:sup>
                                    </m:sSup>
                                  </m:e>
                                </m:nary>
                              </m:den>
                            </m:f>
                          </m:e>
                        </m:nary>
                      </m:e>
                    </m:rad>
                  </m:oMath>
                </m:oMathPara>
              </a14:m>
              <a:endParaRPr lang="en-US" sz="1200"/>
            </a:p>
          </xdr:txBody>
        </xdr:sp>
      </mc:Choice>
      <mc:Fallback xmlns="">
        <xdr:sp macro="" textlink="">
          <xdr:nvSpPr>
            <xdr:cNvPr id="2" name="TextBox 1">
              <a:extLst>
                <a:ext uri="{FF2B5EF4-FFF2-40B4-BE49-F238E27FC236}">
                  <a16:creationId xmlns:a16="http://schemas.microsoft.com/office/drawing/2014/main" id="{D7DCAB04-F0CE-304A-B37D-956237BFBC24}"/>
                </a:ext>
              </a:extLst>
            </xdr:cNvPr>
            <xdr:cNvSpPr txBox="1"/>
          </xdr:nvSpPr>
          <xdr:spPr>
            <a:xfrm>
              <a:off x="2044700" y="4800600"/>
              <a:ext cx="2024721"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𝑠_𝑏= √(∑_𝑖▒(𝜺_𝑖^2)/((𝑛−2)∑_𝑖▒(𝑥_𝑖−𝑥 ̅ )^2 ))</a:t>
              </a:r>
              <a:endParaRPr lang="en-US" sz="1200"/>
            </a:p>
          </xdr:txBody>
        </xdr:sp>
      </mc:Fallback>
    </mc:AlternateContent>
    <xdr:clientData/>
  </xdr:oneCellAnchor>
  <xdr:oneCellAnchor>
    <xdr:from>
      <xdr:col>2</xdr:col>
      <xdr:colOff>393700</xdr:colOff>
      <xdr:row>26</xdr:row>
      <xdr:rowOff>177800</xdr:rowOff>
    </xdr:from>
    <xdr:ext cx="1148712" cy="54566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3194BF9-D0B7-6F4C-BE43-9A1262CB4572}"/>
                </a:ext>
              </a:extLst>
            </xdr:cNvPr>
            <xdr:cNvSpPr txBox="1"/>
          </xdr:nvSpPr>
          <xdr:spPr>
            <a:xfrm>
              <a:off x="2070100" y="5461000"/>
              <a:ext cx="1148712"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0" i="1">
                            <a:latin typeface="Cambria Math" panose="02040503050406030204" pitchFamily="18" charset="0"/>
                          </a:rPr>
                        </m:ctrlPr>
                      </m:sSubPr>
                      <m:e>
                        <m:r>
                          <a:rPr lang="en-US" sz="1200" b="0" i="1">
                            <a:latin typeface="Cambria Math" panose="02040503050406030204" pitchFamily="18" charset="0"/>
                          </a:rPr>
                          <m:t>𝑠</m:t>
                        </m:r>
                      </m:e>
                      <m:sub>
                        <m:r>
                          <a:rPr lang="en-US" sz="1200" b="0" i="1">
                            <a:latin typeface="Cambria Math" panose="02040503050406030204" pitchFamily="18" charset="0"/>
                          </a:rPr>
                          <m:t>𝑎</m:t>
                        </m:r>
                      </m:sub>
                    </m:sSub>
                    <m:r>
                      <a:rPr lang="en-US" sz="1200" b="0" i="1">
                        <a:latin typeface="Cambria Math" panose="02040503050406030204" pitchFamily="18" charset="0"/>
                      </a:rPr>
                      <m:t>=</m:t>
                    </m:r>
                    <m:sSub>
                      <m:sSubPr>
                        <m:ctrlPr>
                          <a:rPr lang="en-US" sz="1200" b="0" i="1">
                            <a:latin typeface="Cambria Math" panose="02040503050406030204" pitchFamily="18" charset="0"/>
                          </a:rPr>
                        </m:ctrlPr>
                      </m:sSubPr>
                      <m:e>
                        <m:r>
                          <a:rPr lang="en-US" sz="1200" b="0" i="1">
                            <a:latin typeface="Cambria Math" panose="02040503050406030204" pitchFamily="18" charset="0"/>
                          </a:rPr>
                          <m:t>𝑠</m:t>
                        </m:r>
                      </m:e>
                      <m:sub>
                        <m:r>
                          <a:rPr lang="en-US" sz="1200" b="0" i="1">
                            <a:latin typeface="Cambria Math" panose="02040503050406030204" pitchFamily="18" charset="0"/>
                          </a:rPr>
                          <m:t>𝑏</m:t>
                        </m:r>
                      </m:sub>
                    </m:sSub>
                    <m:rad>
                      <m:radPr>
                        <m:degHide m:val="on"/>
                        <m:ctrlPr>
                          <a:rPr lang="en-US" sz="1200" b="0" i="1">
                            <a:latin typeface="Cambria Math" panose="02040503050406030204" pitchFamily="18" charset="0"/>
                          </a:rPr>
                        </m:ctrlPr>
                      </m:radPr>
                      <m:deg/>
                      <m:e>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𝑛</m:t>
                            </m:r>
                          </m:den>
                        </m:f>
                        <m:nary>
                          <m:naryPr>
                            <m:chr m:val="∑"/>
                            <m:supHide m:val="on"/>
                            <m:ctrlPr>
                              <a:rPr lang="en-US" sz="1200" b="0" i="1">
                                <a:latin typeface="Cambria Math" panose="02040503050406030204" pitchFamily="18" charset="0"/>
                              </a:rPr>
                            </m:ctrlPr>
                          </m:naryPr>
                          <m:sub>
                            <m:r>
                              <m:rPr>
                                <m:brk m:alnAt="7"/>
                              </m:rPr>
                              <a:rPr lang="en-US" sz="1200" b="0" i="1">
                                <a:latin typeface="Cambria Math" panose="02040503050406030204" pitchFamily="18" charset="0"/>
                              </a:rPr>
                              <m:t>𝑖</m:t>
                            </m:r>
                          </m:sub>
                          <m:sup/>
                          <m:e>
                            <m:sSubSup>
                              <m:sSubSupPr>
                                <m:ctrlPr>
                                  <a:rPr lang="en-US" sz="1200" b="0" i="1">
                                    <a:latin typeface="Cambria Math" panose="02040503050406030204" pitchFamily="18" charset="0"/>
                                  </a:rPr>
                                </m:ctrlPr>
                              </m:sSubSupPr>
                              <m:e>
                                <m:r>
                                  <a:rPr lang="en-US" sz="1200" b="0" i="1">
                                    <a:latin typeface="Cambria Math" panose="02040503050406030204" pitchFamily="18" charset="0"/>
                                  </a:rPr>
                                  <m:t>𝑥</m:t>
                                </m:r>
                              </m:e>
                              <m:sub>
                                <m:r>
                                  <a:rPr lang="en-US" sz="1200" b="0" i="1">
                                    <a:latin typeface="Cambria Math" panose="02040503050406030204" pitchFamily="18" charset="0"/>
                                  </a:rPr>
                                  <m:t>𝑖</m:t>
                                </m:r>
                              </m:sub>
                              <m:sup>
                                <m:r>
                                  <a:rPr lang="en-US" sz="1200" b="0" i="1">
                                    <a:latin typeface="Cambria Math" panose="02040503050406030204" pitchFamily="18" charset="0"/>
                                  </a:rPr>
                                  <m:t>2</m:t>
                                </m:r>
                              </m:sup>
                            </m:sSubSup>
                          </m:e>
                        </m:nary>
                      </m:e>
                    </m:rad>
                  </m:oMath>
                </m:oMathPara>
              </a14:m>
              <a:endParaRPr lang="en-US" sz="1200"/>
            </a:p>
          </xdr:txBody>
        </xdr:sp>
      </mc:Choice>
      <mc:Fallback xmlns="">
        <xdr:sp macro="" textlink="">
          <xdr:nvSpPr>
            <xdr:cNvPr id="3" name="TextBox 2">
              <a:extLst>
                <a:ext uri="{FF2B5EF4-FFF2-40B4-BE49-F238E27FC236}">
                  <a16:creationId xmlns:a16="http://schemas.microsoft.com/office/drawing/2014/main" id="{23194BF9-D0B7-6F4C-BE43-9A1262CB4572}"/>
                </a:ext>
              </a:extLst>
            </xdr:cNvPr>
            <xdr:cNvSpPr txBox="1"/>
          </xdr:nvSpPr>
          <xdr:spPr>
            <a:xfrm>
              <a:off x="2070100" y="5461000"/>
              <a:ext cx="1148712"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𝑠_𝑎=𝑠_𝑏 √(1/𝑛 ∑_𝑖▒𝑥_𝑖^2 )</a:t>
              </a:r>
              <a:endParaRPr lang="en-US" sz="120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C230-5140-7744-B073-A5FCE052E368}">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84" customWidth="1"/>
    <col min="6" max="12" width="10.83203125" style="84" customWidth="1"/>
    <col min="13" max="13" width="10.6640625" style="84" customWidth="1"/>
    <col min="14" max="16" width="10" style="84" customWidth="1"/>
    <col min="17" max="16384" width="8.5" style="84"/>
  </cols>
  <sheetData>
    <row r="1" spans="1:13" ht="14.5" customHeight="1" x14ac:dyDescent="0.2">
      <c r="A1" s="80"/>
      <c r="B1" s="81"/>
      <c r="C1" s="81"/>
      <c r="D1" s="81"/>
      <c r="E1" s="81"/>
      <c r="F1" s="81"/>
      <c r="G1" s="81"/>
      <c r="H1" s="81"/>
      <c r="I1" s="81"/>
      <c r="J1" s="81"/>
      <c r="K1" s="81"/>
      <c r="L1" s="82" t="s">
        <v>187</v>
      </c>
      <c r="M1" s="83"/>
    </row>
    <row r="2" spans="1:13" s="86" customFormat="1" x14ac:dyDescent="0.2">
      <c r="A2" s="85"/>
      <c r="M2" s="87"/>
    </row>
    <row r="3" spans="1:13" s="86" customFormat="1" ht="16" customHeight="1" x14ac:dyDescent="0.2">
      <c r="A3" s="85"/>
      <c r="M3" s="87"/>
    </row>
    <row r="4" spans="1:13" s="86" customFormat="1" ht="16" customHeight="1" x14ac:dyDescent="0.2">
      <c r="A4" s="85"/>
      <c r="M4" s="87"/>
    </row>
    <row r="5" spans="1:13" s="86" customFormat="1" ht="16" customHeight="1" x14ac:dyDescent="0.2">
      <c r="A5" s="85"/>
      <c r="M5" s="87"/>
    </row>
    <row r="6" spans="1:13" s="86" customFormat="1" ht="16" customHeight="1" x14ac:dyDescent="0.2">
      <c r="A6" s="85"/>
      <c r="B6" s="88" t="s">
        <v>188</v>
      </c>
      <c r="M6" s="87"/>
    </row>
    <row r="7" spans="1:13" s="86" customFormat="1" ht="16" customHeight="1" x14ac:dyDescent="0.2">
      <c r="A7" s="85"/>
      <c r="M7" s="87"/>
    </row>
    <row r="8" spans="1:13" s="86" customFormat="1" ht="16" customHeight="1" x14ac:dyDescent="0.25">
      <c r="A8" s="85"/>
      <c r="B8" s="89" t="s">
        <v>189</v>
      </c>
      <c r="M8" s="87"/>
    </row>
    <row r="9" spans="1:13" s="86" customFormat="1" ht="17" customHeight="1" x14ac:dyDescent="0.2">
      <c r="A9" s="85"/>
      <c r="C9" s="394" t="s">
        <v>190</v>
      </c>
      <c r="D9" s="395"/>
      <c r="E9" s="395"/>
      <c r="F9" s="395"/>
      <c r="G9" s="395"/>
      <c r="H9" s="395"/>
      <c r="I9" s="395"/>
      <c r="J9" s="395"/>
      <c r="K9" s="395"/>
      <c r="M9" s="87"/>
    </row>
    <row r="10" spans="1:13" s="86" customFormat="1" x14ac:dyDescent="0.2">
      <c r="A10" s="85"/>
      <c r="C10" s="395"/>
      <c r="D10" s="395"/>
      <c r="E10" s="395"/>
      <c r="F10" s="395"/>
      <c r="G10" s="395"/>
      <c r="H10" s="395"/>
      <c r="I10" s="395"/>
      <c r="J10" s="395"/>
      <c r="K10" s="395"/>
      <c r="M10" s="87"/>
    </row>
    <row r="11" spans="1:13" s="86" customFormat="1" ht="16" customHeight="1" x14ac:dyDescent="0.2">
      <c r="A11" s="85"/>
      <c r="C11" s="395"/>
      <c r="D11" s="395"/>
      <c r="E11" s="395"/>
      <c r="F11" s="395"/>
      <c r="G11" s="395"/>
      <c r="H11" s="395"/>
      <c r="I11" s="395"/>
      <c r="J11" s="395"/>
      <c r="K11" s="395"/>
      <c r="M11" s="87"/>
    </row>
    <row r="12" spans="1:13" s="86" customFormat="1" ht="16" customHeight="1" x14ac:dyDescent="0.2">
      <c r="A12" s="85"/>
      <c r="C12" s="395"/>
      <c r="D12" s="395"/>
      <c r="E12" s="395"/>
      <c r="F12" s="395"/>
      <c r="G12" s="395"/>
      <c r="H12" s="395"/>
      <c r="I12" s="395"/>
      <c r="J12" s="395"/>
      <c r="K12" s="395"/>
      <c r="M12" s="87"/>
    </row>
    <row r="13" spans="1:13" s="86" customFormat="1" ht="16" customHeight="1" x14ac:dyDescent="0.2">
      <c r="A13" s="85"/>
      <c r="C13" s="395"/>
      <c r="D13" s="395"/>
      <c r="E13" s="395"/>
      <c r="F13" s="395"/>
      <c r="G13" s="395"/>
      <c r="H13" s="395"/>
      <c r="I13" s="395"/>
      <c r="J13" s="395"/>
      <c r="K13" s="395"/>
      <c r="M13" s="87"/>
    </row>
    <row r="14" spans="1:13" s="86" customFormat="1" ht="16" customHeight="1" x14ac:dyDescent="0.2">
      <c r="A14" s="85"/>
      <c r="C14" s="395"/>
      <c r="D14" s="395"/>
      <c r="E14" s="395"/>
      <c r="F14" s="395"/>
      <c r="G14" s="395"/>
      <c r="H14" s="395"/>
      <c r="I14" s="395"/>
      <c r="J14" s="395"/>
      <c r="K14" s="395"/>
      <c r="M14" s="87"/>
    </row>
    <row r="15" spans="1:13" s="86" customFormat="1" ht="16" customHeight="1" x14ac:dyDescent="0.2">
      <c r="A15" s="85"/>
      <c r="C15" s="395"/>
      <c r="D15" s="395"/>
      <c r="E15" s="395"/>
      <c r="F15" s="395"/>
      <c r="G15" s="395"/>
      <c r="H15" s="395"/>
      <c r="I15" s="395"/>
      <c r="J15" s="395"/>
      <c r="K15" s="395"/>
      <c r="M15" s="87"/>
    </row>
    <row r="16" spans="1:13" s="86" customFormat="1" ht="16" customHeight="1" x14ac:dyDescent="0.2">
      <c r="A16" s="85"/>
      <c r="C16" s="395"/>
      <c r="D16" s="395"/>
      <c r="E16" s="395"/>
      <c r="F16" s="395"/>
      <c r="G16" s="395"/>
      <c r="H16" s="395"/>
      <c r="I16" s="395"/>
      <c r="J16" s="395"/>
      <c r="K16" s="395"/>
      <c r="M16" s="87"/>
    </row>
    <row r="17" spans="1:13" s="86" customFormat="1" ht="16" customHeight="1" x14ac:dyDescent="0.2">
      <c r="A17" s="85"/>
      <c r="M17" s="87"/>
    </row>
    <row r="18" spans="1:13" s="86" customFormat="1" ht="16" customHeight="1" x14ac:dyDescent="0.25">
      <c r="A18" s="85"/>
      <c r="B18" s="89" t="s">
        <v>191</v>
      </c>
      <c r="M18" s="87"/>
    </row>
    <row r="19" spans="1:13" s="86" customFormat="1" ht="17" customHeight="1" x14ac:dyDescent="0.2">
      <c r="A19" s="85"/>
      <c r="C19" s="394" t="s">
        <v>192</v>
      </c>
      <c r="D19" s="395"/>
      <c r="E19" s="395"/>
      <c r="F19" s="395"/>
      <c r="G19" s="395"/>
      <c r="H19" s="395"/>
      <c r="I19" s="395"/>
      <c r="J19" s="395"/>
      <c r="K19" s="395"/>
      <c r="M19" s="87"/>
    </row>
    <row r="20" spans="1:13" s="86" customFormat="1" x14ac:dyDescent="0.2">
      <c r="A20" s="85"/>
      <c r="C20" s="395"/>
      <c r="D20" s="395"/>
      <c r="E20" s="395"/>
      <c r="F20" s="395"/>
      <c r="G20" s="395"/>
      <c r="H20" s="395"/>
      <c r="I20" s="395"/>
      <c r="J20" s="395"/>
      <c r="K20" s="395"/>
      <c r="M20" s="87"/>
    </row>
    <row r="21" spans="1:13" s="86" customFormat="1" x14ac:dyDescent="0.2">
      <c r="A21" s="85"/>
      <c r="C21" s="395"/>
      <c r="D21" s="395"/>
      <c r="E21" s="395"/>
      <c r="F21" s="395"/>
      <c r="G21" s="395"/>
      <c r="H21" s="395"/>
      <c r="I21" s="395"/>
      <c r="J21" s="395"/>
      <c r="K21" s="395"/>
      <c r="M21" s="87"/>
    </row>
    <row r="22" spans="1:13" s="86" customFormat="1" x14ac:dyDescent="0.2">
      <c r="A22" s="85"/>
      <c r="C22" s="395"/>
      <c r="D22" s="395"/>
      <c r="E22" s="395"/>
      <c r="F22" s="395"/>
      <c r="G22" s="395"/>
      <c r="H22" s="395"/>
      <c r="I22" s="395"/>
      <c r="J22" s="395"/>
      <c r="K22" s="395"/>
      <c r="M22" s="87"/>
    </row>
    <row r="23" spans="1:13" s="86" customFormat="1" x14ac:dyDescent="0.2">
      <c r="A23" s="85"/>
      <c r="C23" s="395"/>
      <c r="D23" s="395"/>
      <c r="E23" s="395"/>
      <c r="F23" s="395"/>
      <c r="G23" s="395"/>
      <c r="H23" s="395"/>
      <c r="I23" s="395"/>
      <c r="J23" s="395"/>
      <c r="K23" s="395"/>
      <c r="M23" s="87"/>
    </row>
    <row r="24" spans="1:13" s="86" customFormat="1" x14ac:dyDescent="0.2">
      <c r="A24" s="85"/>
      <c r="C24" s="395"/>
      <c r="D24" s="395"/>
      <c r="E24" s="395"/>
      <c r="F24" s="395"/>
      <c r="G24" s="395"/>
      <c r="H24" s="395"/>
      <c r="I24" s="395"/>
      <c r="J24" s="395"/>
      <c r="K24" s="395"/>
      <c r="M24" s="87"/>
    </row>
    <row r="25" spans="1:13" s="86" customFormat="1" x14ac:dyDescent="0.2">
      <c r="A25" s="85"/>
      <c r="C25" s="395"/>
      <c r="D25" s="395"/>
      <c r="E25" s="395"/>
      <c r="F25" s="395"/>
      <c r="G25" s="395"/>
      <c r="H25" s="395"/>
      <c r="I25" s="395"/>
      <c r="J25" s="395"/>
      <c r="K25" s="395"/>
      <c r="M25" s="87"/>
    </row>
    <row r="26" spans="1:13" s="86" customFormat="1" x14ac:dyDescent="0.2">
      <c r="A26" s="85"/>
      <c r="C26" s="395"/>
      <c r="D26" s="395"/>
      <c r="E26" s="395"/>
      <c r="F26" s="395"/>
      <c r="G26" s="395"/>
      <c r="H26" s="395"/>
      <c r="I26" s="395"/>
      <c r="J26" s="395"/>
      <c r="K26" s="395"/>
      <c r="M26" s="87"/>
    </row>
    <row r="27" spans="1:13" s="86" customFormat="1" x14ac:dyDescent="0.2">
      <c r="A27" s="85"/>
      <c r="C27" s="395"/>
      <c r="D27" s="395"/>
      <c r="E27" s="395"/>
      <c r="F27" s="395"/>
      <c r="G27" s="395"/>
      <c r="H27" s="395"/>
      <c r="I27" s="395"/>
      <c r="J27" s="395"/>
      <c r="K27" s="395"/>
      <c r="M27" s="87"/>
    </row>
    <row r="28" spans="1:13" s="86" customFormat="1" x14ac:dyDescent="0.2">
      <c r="A28" s="85"/>
      <c r="C28" s="395"/>
      <c r="D28" s="395"/>
      <c r="E28" s="395"/>
      <c r="F28" s="395"/>
      <c r="G28" s="395"/>
      <c r="H28" s="395"/>
      <c r="I28" s="395"/>
      <c r="J28" s="395"/>
      <c r="K28" s="395"/>
      <c r="M28" s="87"/>
    </row>
    <row r="29" spans="1:13" s="86" customFormat="1" x14ac:dyDescent="0.2">
      <c r="A29" s="85"/>
      <c r="C29" s="90"/>
      <c r="D29" s="90"/>
      <c r="E29" s="90"/>
      <c r="F29" s="90"/>
      <c r="G29" s="90"/>
      <c r="H29" s="90"/>
      <c r="I29" s="90"/>
      <c r="J29" s="90"/>
      <c r="K29" s="90"/>
      <c r="M29" s="87"/>
    </row>
    <row r="30" spans="1:13" s="86" customFormat="1" ht="19" x14ac:dyDescent="0.25">
      <c r="A30" s="85"/>
      <c r="C30" s="91" t="s">
        <v>193</v>
      </c>
      <c r="D30" s="90"/>
      <c r="E30" s="90"/>
      <c r="F30" s="90"/>
      <c r="G30" s="90"/>
      <c r="H30" s="90"/>
      <c r="I30" s="90"/>
      <c r="J30" s="90"/>
      <c r="K30" s="90"/>
      <c r="M30" s="87"/>
    </row>
    <row r="31" spans="1:13" s="86" customFormat="1" x14ac:dyDescent="0.2">
      <c r="A31" s="85"/>
      <c r="C31" s="394" t="s">
        <v>194</v>
      </c>
      <c r="D31" s="394"/>
      <c r="E31" s="394"/>
      <c r="F31" s="394"/>
      <c r="G31" s="394"/>
      <c r="H31" s="394"/>
      <c r="I31" s="394"/>
      <c r="J31" s="394"/>
      <c r="K31" s="394"/>
      <c r="M31" s="87"/>
    </row>
    <row r="32" spans="1:13" s="86" customFormat="1" x14ac:dyDescent="0.2">
      <c r="A32" s="85"/>
      <c r="C32" s="394"/>
      <c r="D32" s="394"/>
      <c r="E32" s="394"/>
      <c r="F32" s="394"/>
      <c r="G32" s="394"/>
      <c r="H32" s="394"/>
      <c r="I32" s="394"/>
      <c r="J32" s="394"/>
      <c r="K32" s="394"/>
      <c r="M32" s="87"/>
    </row>
    <row r="33" spans="1:13" s="86" customFormat="1" x14ac:dyDescent="0.2">
      <c r="A33" s="85"/>
      <c r="C33" s="394"/>
      <c r="D33" s="394"/>
      <c r="E33" s="394"/>
      <c r="F33" s="394"/>
      <c r="G33" s="394"/>
      <c r="H33" s="394"/>
      <c r="I33" s="394"/>
      <c r="J33" s="394"/>
      <c r="K33" s="394"/>
      <c r="M33" s="87"/>
    </row>
    <row r="34" spans="1:13" s="86" customFormat="1" x14ac:dyDescent="0.2">
      <c r="A34" s="85"/>
      <c r="C34" s="394"/>
      <c r="D34" s="394"/>
      <c r="E34" s="394"/>
      <c r="F34" s="394"/>
      <c r="G34" s="394"/>
      <c r="H34" s="394"/>
      <c r="I34" s="394"/>
      <c r="J34" s="394"/>
      <c r="K34" s="394"/>
      <c r="M34" s="87"/>
    </row>
    <row r="35" spans="1:13" s="86" customFormat="1" x14ac:dyDescent="0.2">
      <c r="A35" s="85"/>
      <c r="C35" s="394"/>
      <c r="D35" s="394"/>
      <c r="E35" s="394"/>
      <c r="F35" s="394"/>
      <c r="G35" s="394"/>
      <c r="H35" s="394"/>
      <c r="I35" s="394"/>
      <c r="J35" s="394"/>
      <c r="K35" s="394"/>
      <c r="M35" s="87"/>
    </row>
    <row r="36" spans="1:13" s="86" customFormat="1" x14ac:dyDescent="0.2">
      <c r="A36" s="85"/>
      <c r="C36" s="394"/>
      <c r="D36" s="394"/>
      <c r="E36" s="394"/>
      <c r="F36" s="394"/>
      <c r="G36" s="394"/>
      <c r="H36" s="394"/>
      <c r="I36" s="394"/>
      <c r="J36" s="394"/>
      <c r="K36" s="394"/>
      <c r="M36" s="87"/>
    </row>
    <row r="37" spans="1:13" s="86" customFormat="1" x14ac:dyDescent="0.2">
      <c r="A37" s="85"/>
      <c r="C37" s="394"/>
      <c r="D37" s="394"/>
      <c r="E37" s="394"/>
      <c r="F37" s="394"/>
      <c r="G37" s="394"/>
      <c r="H37" s="394"/>
      <c r="I37" s="394"/>
      <c r="J37" s="394"/>
      <c r="K37" s="394"/>
      <c r="M37" s="87"/>
    </row>
    <row r="38" spans="1:13" s="86" customFormat="1" x14ac:dyDescent="0.2">
      <c r="A38" s="85"/>
      <c r="C38" s="394"/>
      <c r="D38" s="394"/>
      <c r="E38" s="394"/>
      <c r="F38" s="394"/>
      <c r="G38" s="394"/>
      <c r="H38" s="394"/>
      <c r="I38" s="394"/>
      <c r="J38" s="394"/>
      <c r="K38" s="394"/>
      <c r="M38" s="87"/>
    </row>
    <row r="39" spans="1:13" s="86" customFormat="1" x14ac:dyDescent="0.2">
      <c r="A39" s="85"/>
      <c r="C39" s="394"/>
      <c r="D39" s="394"/>
      <c r="E39" s="394"/>
      <c r="F39" s="394"/>
      <c r="G39" s="394"/>
      <c r="H39" s="394"/>
      <c r="I39" s="394"/>
      <c r="J39" s="394"/>
      <c r="K39" s="394"/>
      <c r="M39" s="87"/>
    </row>
    <row r="40" spans="1:13" s="86" customFormat="1" x14ac:dyDescent="0.2">
      <c r="A40" s="85"/>
      <c r="C40" s="92"/>
      <c r="D40" s="92"/>
      <c r="E40" s="92"/>
      <c r="F40" s="92"/>
      <c r="G40" s="92"/>
      <c r="H40" s="92"/>
      <c r="I40" s="92"/>
      <c r="J40" s="92"/>
      <c r="K40" s="92"/>
      <c r="M40" s="87"/>
    </row>
    <row r="41" spans="1:13" s="86" customFormat="1" ht="21" x14ac:dyDescent="0.25">
      <c r="A41" s="85"/>
      <c r="B41" s="89" t="s">
        <v>195</v>
      </c>
      <c r="M41" s="87"/>
    </row>
    <row r="42" spans="1:13" s="86" customFormat="1" x14ac:dyDescent="0.2">
      <c r="A42" s="85"/>
      <c r="C42" s="396" t="s">
        <v>526</v>
      </c>
      <c r="D42" s="395"/>
      <c r="E42" s="395"/>
      <c r="F42" s="395"/>
      <c r="G42" s="395"/>
      <c r="H42" s="395"/>
      <c r="I42" s="395"/>
      <c r="J42" s="395"/>
      <c r="K42" s="395"/>
      <c r="M42" s="87"/>
    </row>
    <row r="43" spans="1:13" s="86" customFormat="1" x14ac:dyDescent="0.2">
      <c r="A43" s="85"/>
      <c r="C43" s="395"/>
      <c r="D43" s="395"/>
      <c r="E43" s="395"/>
      <c r="F43" s="395"/>
      <c r="G43" s="395"/>
      <c r="H43" s="395"/>
      <c r="I43" s="395"/>
      <c r="J43" s="395"/>
      <c r="K43" s="395"/>
      <c r="M43" s="87"/>
    </row>
    <row r="44" spans="1:13" s="86" customFormat="1" x14ac:dyDescent="0.2">
      <c r="A44" s="85"/>
      <c r="C44" s="395"/>
      <c r="D44" s="395"/>
      <c r="E44" s="395"/>
      <c r="F44" s="395"/>
      <c r="G44" s="395"/>
      <c r="H44" s="395"/>
      <c r="I44" s="395"/>
      <c r="J44" s="395"/>
      <c r="K44" s="395"/>
      <c r="M44" s="87"/>
    </row>
    <row r="45" spans="1:13" s="86" customFormat="1" x14ac:dyDescent="0.2">
      <c r="A45" s="85"/>
      <c r="C45" s="395"/>
      <c r="D45" s="395"/>
      <c r="E45" s="395"/>
      <c r="F45" s="395"/>
      <c r="G45" s="395"/>
      <c r="H45" s="395"/>
      <c r="I45" s="395"/>
      <c r="J45" s="395"/>
      <c r="K45" s="395"/>
      <c r="M45" s="87"/>
    </row>
    <row r="46" spans="1:13" s="86" customFormat="1" x14ac:dyDescent="0.2">
      <c r="A46" s="85"/>
      <c r="C46" s="395"/>
      <c r="D46" s="395"/>
      <c r="E46" s="395"/>
      <c r="F46" s="395"/>
      <c r="G46" s="395"/>
      <c r="H46" s="395"/>
      <c r="I46" s="395"/>
      <c r="J46" s="395"/>
      <c r="K46" s="395"/>
      <c r="M46" s="87"/>
    </row>
    <row r="47" spans="1:13" s="86" customFormat="1" x14ac:dyDescent="0.2">
      <c r="A47" s="85"/>
      <c r="C47" s="395"/>
      <c r="D47" s="395"/>
      <c r="E47" s="395"/>
      <c r="F47" s="395"/>
      <c r="G47" s="395"/>
      <c r="H47" s="395"/>
      <c r="I47" s="395"/>
      <c r="J47" s="395"/>
      <c r="K47" s="395"/>
      <c r="M47" s="87"/>
    </row>
    <row r="48" spans="1:13" s="86" customFormat="1" x14ac:dyDescent="0.2">
      <c r="A48" s="85"/>
      <c r="C48" s="395"/>
      <c r="D48" s="395"/>
      <c r="E48" s="395"/>
      <c r="F48" s="395"/>
      <c r="G48" s="395"/>
      <c r="H48" s="395"/>
      <c r="I48" s="395"/>
      <c r="J48" s="395"/>
      <c r="K48" s="395"/>
      <c r="M48" s="87"/>
    </row>
    <row r="49" spans="1:13" s="86" customFormat="1" x14ac:dyDescent="0.2">
      <c r="A49" s="85"/>
      <c r="C49" s="395"/>
      <c r="D49" s="395"/>
      <c r="E49" s="395"/>
      <c r="F49" s="395"/>
      <c r="G49" s="395"/>
      <c r="H49" s="395"/>
      <c r="I49" s="395"/>
      <c r="J49" s="395"/>
      <c r="K49" s="395"/>
      <c r="M49" s="87"/>
    </row>
    <row r="50" spans="1:13" s="86" customFormat="1" x14ac:dyDescent="0.2">
      <c r="A50" s="85"/>
      <c r="C50" s="395"/>
      <c r="D50" s="395"/>
      <c r="E50" s="395"/>
      <c r="F50" s="395"/>
      <c r="G50" s="395"/>
      <c r="H50" s="395"/>
      <c r="I50" s="395"/>
      <c r="J50" s="395"/>
      <c r="K50" s="395"/>
      <c r="M50" s="87"/>
    </row>
    <row r="51" spans="1:13" s="86" customFormat="1" x14ac:dyDescent="0.2">
      <c r="A51" s="85"/>
      <c r="C51" s="92"/>
      <c r="D51" s="92"/>
      <c r="E51" s="92"/>
      <c r="F51" s="92"/>
      <c r="G51" s="92"/>
      <c r="H51" s="92"/>
      <c r="I51" s="92"/>
      <c r="J51" s="92"/>
      <c r="K51" s="92"/>
      <c r="M51" s="87"/>
    </row>
    <row r="52" spans="1:13" ht="17" thickBot="1" x14ac:dyDescent="0.25">
      <c r="A52" s="93"/>
      <c r="B52" s="94"/>
      <c r="C52" s="94"/>
      <c r="D52" s="94"/>
      <c r="E52" s="94"/>
      <c r="F52" s="94"/>
      <c r="G52" s="94"/>
      <c r="H52" s="94"/>
      <c r="I52" s="94"/>
      <c r="J52" s="94"/>
      <c r="K52" s="94"/>
      <c r="L52" s="94"/>
      <c r="M52" s="95"/>
    </row>
  </sheetData>
  <mergeCells count="4">
    <mergeCell ref="C9:K16"/>
    <mergeCell ref="C19:K28"/>
    <mergeCell ref="C31:K39"/>
    <mergeCell ref="C42:K50"/>
  </mergeCells>
  <hyperlinks>
    <hyperlink ref="B6" r:id="rId1" xr:uid="{4AB9ADC3-8ED5-9C44-A393-A3B8572B7729}"/>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193"/>
  <sheetViews>
    <sheetView zoomScaleNormal="100" workbookViewId="0"/>
  </sheetViews>
  <sheetFormatPr baseColWidth="10" defaultColWidth="10.83203125" defaultRowHeight="16" outlineLevelCol="1" x14ac:dyDescent="0.2"/>
  <cols>
    <col min="1" max="1" width="4.6640625" style="36" customWidth="1"/>
    <col min="2" max="3" width="10.83203125" style="36" customWidth="1"/>
    <col min="4" max="10" width="10.83203125" style="36"/>
    <col min="11" max="11" width="11.5" style="36" bestFit="1" customWidth="1"/>
    <col min="12" max="18" width="10.83203125" style="36" hidden="1" customWidth="1" outlineLevel="1"/>
    <col min="19" max="19" width="10.83203125" style="36" collapsed="1"/>
    <col min="20" max="16384" width="10.83203125" style="36"/>
  </cols>
  <sheetData>
    <row r="1" spans="1:13" ht="19" x14ac:dyDescent="0.25">
      <c r="A1" s="1" t="s">
        <v>169</v>
      </c>
      <c r="B1" s="28"/>
      <c r="C1" s="33"/>
      <c r="D1" s="33"/>
      <c r="E1" s="33"/>
      <c r="F1" s="34"/>
      <c r="G1" s="34"/>
      <c r="H1" s="34"/>
      <c r="I1" s="34"/>
      <c r="J1" s="35"/>
      <c r="K1" s="3" t="s">
        <v>154</v>
      </c>
    </row>
    <row r="2" spans="1:13" ht="17" x14ac:dyDescent="0.2">
      <c r="A2" s="2"/>
      <c r="B2" s="34"/>
      <c r="C2" s="34"/>
      <c r="D2" s="34"/>
      <c r="E2" s="34"/>
      <c r="F2" s="34"/>
      <c r="G2" s="34"/>
      <c r="H2" s="34"/>
      <c r="I2" s="34"/>
      <c r="J2" s="35"/>
      <c r="L2" s="18" t="s">
        <v>19</v>
      </c>
      <c r="M2" s="6" t="s">
        <v>21</v>
      </c>
    </row>
    <row r="3" spans="1:13" ht="17" x14ac:dyDescent="0.2">
      <c r="A3" s="2"/>
      <c r="B3" s="34" t="s">
        <v>6</v>
      </c>
      <c r="C3" s="34"/>
      <c r="D3" s="34"/>
      <c r="E3" s="34"/>
      <c r="F3" s="34"/>
      <c r="G3" s="34"/>
      <c r="H3" s="34"/>
      <c r="I3" s="34"/>
      <c r="J3" s="35"/>
      <c r="L3" s="17" t="s">
        <v>20</v>
      </c>
      <c r="M3" s="16" t="s">
        <v>22</v>
      </c>
    </row>
    <row r="4" spans="1:13" x14ac:dyDescent="0.2">
      <c r="A4" s="2"/>
      <c r="B4" s="34"/>
      <c r="C4" s="34"/>
      <c r="D4" s="34"/>
      <c r="E4" s="34"/>
      <c r="F4" s="34"/>
      <c r="G4" s="34"/>
      <c r="H4" s="34"/>
      <c r="I4" s="34"/>
      <c r="J4" s="35"/>
      <c r="L4" s="18">
        <f t="shared" ref="L4:M8" si="0">C7-1</f>
        <v>1.5</v>
      </c>
      <c r="M4" s="6">
        <f t="shared" si="0"/>
        <v>0.43999999999999995</v>
      </c>
    </row>
    <row r="5" spans="1:13" x14ac:dyDescent="0.2">
      <c r="A5" s="2"/>
      <c r="B5" s="397" t="s">
        <v>14</v>
      </c>
      <c r="C5" s="397"/>
      <c r="D5" s="397"/>
      <c r="E5" s="397"/>
      <c r="F5" s="397"/>
      <c r="G5" s="397"/>
      <c r="H5" s="397"/>
      <c r="I5" s="34"/>
      <c r="J5" s="35"/>
      <c r="L5" s="18">
        <f t="shared" si="0"/>
        <v>1.6</v>
      </c>
      <c r="M5" s="6">
        <f t="shared" si="0"/>
        <v>0.40999999999999992</v>
      </c>
    </row>
    <row r="6" spans="1:13" ht="34" x14ac:dyDescent="0.2">
      <c r="A6" s="2"/>
      <c r="B6" s="25" t="s">
        <v>7</v>
      </c>
      <c r="C6" s="26" t="s">
        <v>8</v>
      </c>
      <c r="D6" s="26" t="s">
        <v>9</v>
      </c>
      <c r="E6" s="26" t="s">
        <v>10</v>
      </c>
      <c r="F6" s="26" t="s">
        <v>11</v>
      </c>
      <c r="G6" s="26" t="s">
        <v>12</v>
      </c>
      <c r="H6" s="26" t="s">
        <v>13</v>
      </c>
      <c r="I6" s="34"/>
      <c r="J6" s="35"/>
      <c r="L6" s="18">
        <f t="shared" si="0"/>
        <v>1.4900000000000002</v>
      </c>
      <c r="M6" s="6">
        <f t="shared" si="0"/>
        <v>0.39999999999999991</v>
      </c>
    </row>
    <row r="7" spans="1:13" x14ac:dyDescent="0.2">
      <c r="A7" s="2"/>
      <c r="B7" s="24">
        <v>2010</v>
      </c>
      <c r="C7" s="8">
        <v>2.5</v>
      </c>
      <c r="D7" s="8">
        <v>1.44</v>
      </c>
      <c r="E7" s="8">
        <v>1.18</v>
      </c>
      <c r="F7" s="8">
        <v>1.1000000000000001</v>
      </c>
      <c r="G7" s="8">
        <v>1.06</v>
      </c>
      <c r="H7" s="8">
        <v>1.03</v>
      </c>
      <c r="I7" s="34"/>
      <c r="J7" s="35"/>
      <c r="L7" s="18">
        <f t="shared" si="0"/>
        <v>1.5099999999999998</v>
      </c>
      <c r="M7" s="6">
        <f t="shared" si="0"/>
        <v>0.37000000000000011</v>
      </c>
    </row>
    <row r="8" spans="1:13" x14ac:dyDescent="0.2">
      <c r="A8" s="2"/>
      <c r="B8" s="24">
        <v>2011</v>
      </c>
      <c r="C8" s="8">
        <v>2.6</v>
      </c>
      <c r="D8" s="8">
        <v>1.41</v>
      </c>
      <c r="E8" s="8">
        <v>1.23</v>
      </c>
      <c r="F8" s="8">
        <v>1.1000000000000001</v>
      </c>
      <c r="G8" s="8">
        <v>1.06</v>
      </c>
      <c r="H8" s="8"/>
      <c r="I8" s="34"/>
      <c r="J8" s="35"/>
      <c r="L8" s="18">
        <f t="shared" si="0"/>
        <v>1.17</v>
      </c>
      <c r="M8" s="6">
        <f t="shared" si="0"/>
        <v>0.26</v>
      </c>
    </row>
    <row r="9" spans="1:13" x14ac:dyDescent="0.2">
      <c r="A9" s="2"/>
      <c r="B9" s="24">
        <v>2012</v>
      </c>
      <c r="C9" s="8">
        <v>2.4900000000000002</v>
      </c>
      <c r="D9" s="8">
        <v>1.4</v>
      </c>
      <c r="E9" s="8">
        <v>1.21</v>
      </c>
      <c r="F9" s="8">
        <v>1.08</v>
      </c>
      <c r="G9" s="8"/>
      <c r="H9" s="8"/>
      <c r="I9" s="34"/>
      <c r="J9" s="35"/>
    </row>
    <row r="10" spans="1:13" x14ac:dyDescent="0.2">
      <c r="A10" s="2"/>
      <c r="B10" s="24">
        <v>2013</v>
      </c>
      <c r="C10" s="8">
        <v>2.5099999999999998</v>
      </c>
      <c r="D10" s="8">
        <v>1.37</v>
      </c>
      <c r="E10" s="8">
        <v>1.1100000000000001</v>
      </c>
      <c r="F10" s="8"/>
      <c r="G10" s="8"/>
      <c r="H10" s="8"/>
      <c r="I10" s="34"/>
      <c r="J10" s="35"/>
      <c r="L10" s="36" t="s">
        <v>29</v>
      </c>
      <c r="M10" s="9">
        <f>CORREL(L4:L8,M4:M8)</f>
        <v>0.90371612766815823</v>
      </c>
    </row>
    <row r="11" spans="1:13" x14ac:dyDescent="0.2">
      <c r="A11" s="2"/>
      <c r="B11" s="24">
        <v>2014</v>
      </c>
      <c r="C11" s="8">
        <v>2.17</v>
      </c>
      <c r="D11" s="8">
        <v>1.26</v>
      </c>
      <c r="E11" s="8"/>
      <c r="F11" s="8"/>
      <c r="G11" s="8"/>
      <c r="H11" s="8"/>
      <c r="I11" s="34"/>
      <c r="J11" s="35"/>
    </row>
    <row r="12" spans="1:13" x14ac:dyDescent="0.2">
      <c r="A12" s="2"/>
      <c r="B12" s="24">
        <v>2015</v>
      </c>
      <c r="C12" s="8">
        <v>2.1800000000000002</v>
      </c>
      <c r="D12" s="8"/>
      <c r="E12" s="8"/>
      <c r="F12" s="8"/>
      <c r="G12" s="8"/>
      <c r="H12" s="8"/>
      <c r="I12" s="34"/>
      <c r="J12" s="35"/>
      <c r="L12" s="36" t="s">
        <v>23</v>
      </c>
      <c r="M12" s="37"/>
    </row>
    <row r="13" spans="1:13" ht="17" thickBot="1" x14ac:dyDescent="0.25">
      <c r="A13" s="2"/>
      <c r="B13" s="34"/>
      <c r="C13" s="34"/>
      <c r="D13" s="34"/>
      <c r="E13" s="34"/>
      <c r="F13" s="34"/>
      <c r="G13" s="34"/>
      <c r="H13" s="34"/>
      <c r="I13" s="34"/>
      <c r="J13" s="35"/>
    </row>
    <row r="14" spans="1:13" ht="17" thickBot="1" x14ac:dyDescent="0.25">
      <c r="A14" s="2"/>
      <c r="B14" s="34"/>
      <c r="C14" s="34"/>
      <c r="D14" s="404" t="s">
        <v>15</v>
      </c>
      <c r="E14" s="402" t="s">
        <v>16</v>
      </c>
      <c r="F14" s="34"/>
      <c r="G14" s="34"/>
      <c r="H14" s="34"/>
      <c r="I14" s="34"/>
      <c r="J14" s="35"/>
      <c r="L14" s="73" t="s">
        <v>24</v>
      </c>
      <c r="M14" s="74">
        <f>M10*SQRT((5-2)/(1-M10^2))</f>
        <v>3.6560724339275974</v>
      </c>
    </row>
    <row r="15" spans="1:13" x14ac:dyDescent="0.2">
      <c r="A15" s="2"/>
      <c r="B15" s="34"/>
      <c r="C15" s="34"/>
      <c r="D15" s="405"/>
      <c r="E15" s="403"/>
      <c r="F15" s="34"/>
      <c r="G15" s="34"/>
      <c r="H15" s="34"/>
      <c r="I15" s="34"/>
      <c r="J15" s="35"/>
    </row>
    <row r="16" spans="1:13" x14ac:dyDescent="0.2">
      <c r="A16" s="2"/>
      <c r="B16" s="34"/>
      <c r="C16" s="34"/>
      <c r="D16" s="24">
        <v>1</v>
      </c>
      <c r="E16" s="8">
        <v>6.3140000000000001</v>
      </c>
      <c r="F16" s="34"/>
      <c r="G16" s="34"/>
      <c r="H16" s="34"/>
      <c r="I16" s="34"/>
      <c r="J16" s="35"/>
      <c r="L16" s="36" t="s">
        <v>25</v>
      </c>
      <c r="M16" s="36">
        <f>5-2</f>
        <v>3</v>
      </c>
    </row>
    <row r="17" spans="1:13" x14ac:dyDescent="0.2">
      <c r="A17" s="2"/>
      <c r="B17" s="34"/>
      <c r="C17" s="34"/>
      <c r="D17" s="24">
        <v>2</v>
      </c>
      <c r="E17" s="8">
        <v>2.92</v>
      </c>
      <c r="F17" s="34"/>
      <c r="G17" s="34"/>
      <c r="H17" s="34"/>
      <c r="I17" s="34"/>
      <c r="J17" s="35"/>
      <c r="L17" s="36" t="s">
        <v>26</v>
      </c>
      <c r="M17" s="36">
        <f>E18</f>
        <v>2.3530000000000002</v>
      </c>
    </row>
    <row r="18" spans="1:13" x14ac:dyDescent="0.2">
      <c r="A18" s="2"/>
      <c r="B18" s="34"/>
      <c r="C18" s="34"/>
      <c r="D18" s="24">
        <v>3</v>
      </c>
      <c r="E18" s="8">
        <v>2.3530000000000002</v>
      </c>
      <c r="F18" s="34"/>
      <c r="G18" s="34"/>
      <c r="H18" s="34"/>
      <c r="I18" s="34"/>
      <c r="J18" s="35"/>
    </row>
    <row r="19" spans="1:13" x14ac:dyDescent="0.2">
      <c r="A19" s="2"/>
      <c r="B19" s="34"/>
      <c r="C19" s="34"/>
      <c r="D19" s="24">
        <v>4</v>
      </c>
      <c r="E19" s="8">
        <v>2.1320000000000001</v>
      </c>
      <c r="F19" s="34"/>
      <c r="G19" s="34"/>
      <c r="H19" s="34"/>
      <c r="I19" s="34"/>
      <c r="J19" s="35"/>
      <c r="L19" s="13" t="s">
        <v>28</v>
      </c>
    </row>
    <row r="20" spans="1:13" x14ac:dyDescent="0.2">
      <c r="A20" s="2"/>
      <c r="B20" s="34"/>
      <c r="C20" s="34"/>
      <c r="D20" s="24">
        <v>5</v>
      </c>
      <c r="E20" s="8">
        <v>2.0150000000000001</v>
      </c>
      <c r="F20" s="34"/>
      <c r="G20" s="34"/>
      <c r="H20" s="34"/>
      <c r="I20" s="34"/>
      <c r="J20" s="35"/>
    </row>
    <row r="21" spans="1:13" x14ac:dyDescent="0.2">
      <c r="A21" s="2"/>
      <c r="B21" s="34"/>
      <c r="C21" s="34"/>
      <c r="D21" s="34"/>
      <c r="E21" s="34"/>
      <c r="F21" s="34"/>
      <c r="G21" s="34"/>
      <c r="H21" s="34"/>
      <c r="I21" s="34"/>
      <c r="J21" s="35"/>
      <c r="L21" s="36" t="s">
        <v>27</v>
      </c>
    </row>
    <row r="22" spans="1:13" x14ac:dyDescent="0.2">
      <c r="A22" s="2"/>
      <c r="B22" s="34"/>
      <c r="C22" s="34"/>
      <c r="D22" s="34"/>
      <c r="E22" s="34"/>
      <c r="F22" s="34"/>
      <c r="G22" s="34"/>
      <c r="H22" s="34"/>
      <c r="I22" s="34"/>
      <c r="J22" s="35"/>
    </row>
    <row r="23" spans="1:13" x14ac:dyDescent="0.2">
      <c r="A23" s="2"/>
      <c r="B23" s="34" t="s">
        <v>17</v>
      </c>
      <c r="C23" s="34"/>
      <c r="D23" s="34"/>
      <c r="E23" s="34"/>
      <c r="F23" s="34"/>
      <c r="G23" s="34"/>
      <c r="H23" s="34"/>
      <c r="I23" s="34"/>
      <c r="J23" s="35"/>
    </row>
    <row r="24" spans="1:13" ht="19" x14ac:dyDescent="0.25">
      <c r="A24" s="2"/>
      <c r="B24" s="34" t="s">
        <v>18</v>
      </c>
      <c r="C24" s="34"/>
      <c r="D24" s="34"/>
      <c r="E24" s="34"/>
      <c r="F24" s="34"/>
      <c r="G24" s="34"/>
      <c r="H24" s="34"/>
      <c r="I24" s="34"/>
      <c r="J24" s="35"/>
      <c r="L24" s="3" t="s">
        <v>177</v>
      </c>
    </row>
    <row r="25" spans="1:13" x14ac:dyDescent="0.2">
      <c r="A25" s="2"/>
      <c r="B25" s="34"/>
      <c r="C25" s="34"/>
      <c r="D25" s="34"/>
      <c r="E25" s="34"/>
      <c r="F25" s="34"/>
      <c r="G25" s="34"/>
      <c r="H25" s="34"/>
      <c r="I25" s="34"/>
      <c r="J25" s="35"/>
      <c r="L25" s="71" t="s">
        <v>178</v>
      </c>
    </row>
    <row r="26" spans="1:13" ht="17" thickBot="1" x14ac:dyDescent="0.25">
      <c r="A26" s="2"/>
      <c r="B26" s="34"/>
      <c r="C26" s="34"/>
      <c r="D26" s="34"/>
      <c r="E26" s="34"/>
      <c r="F26" s="34"/>
      <c r="G26" s="34"/>
      <c r="H26" s="34"/>
      <c r="I26" s="34"/>
      <c r="J26" s="35"/>
    </row>
    <row r="27" spans="1:13" ht="17" thickBot="1" x14ac:dyDescent="0.25">
      <c r="A27" s="399" t="s">
        <v>153</v>
      </c>
      <c r="B27" s="400"/>
      <c r="C27" s="400"/>
      <c r="D27" s="400"/>
      <c r="E27" s="400"/>
      <c r="F27" s="400"/>
      <c r="G27" s="400"/>
      <c r="H27" s="400"/>
      <c r="I27" s="400"/>
      <c r="J27" s="401"/>
    </row>
    <row r="29" spans="1:13" ht="19" x14ac:dyDescent="0.25">
      <c r="A29" s="3"/>
    </row>
    <row r="30" spans="1:13" x14ac:dyDescent="0.2">
      <c r="A30" s="4"/>
      <c r="C30" s="37"/>
    </row>
    <row r="32" spans="1:13" x14ac:dyDescent="0.2">
      <c r="L32" s="5"/>
    </row>
    <row r="33" spans="1:12" x14ac:dyDescent="0.2">
      <c r="L33" s="5"/>
    </row>
    <row r="34" spans="1:12" x14ac:dyDescent="0.2">
      <c r="L34" s="5"/>
    </row>
    <row r="35" spans="1:12" x14ac:dyDescent="0.2">
      <c r="L35" s="5"/>
    </row>
    <row r="36" spans="1:12" x14ac:dyDescent="0.2">
      <c r="L36" s="5"/>
    </row>
    <row r="37" spans="1:12" x14ac:dyDescent="0.2">
      <c r="L37" s="5"/>
    </row>
    <row r="38" spans="1:12" x14ac:dyDescent="0.2">
      <c r="L38" s="5"/>
    </row>
    <row r="39" spans="1:12" x14ac:dyDescent="0.2">
      <c r="L39" s="5"/>
    </row>
    <row r="40" spans="1:12" x14ac:dyDescent="0.2">
      <c r="L40" s="5"/>
    </row>
    <row r="41" spans="1:12" x14ac:dyDescent="0.2">
      <c r="A41" s="4"/>
    </row>
    <row r="52" spans="2:14" x14ac:dyDescent="0.2">
      <c r="B52" s="398"/>
      <c r="C52" s="398"/>
      <c r="D52" s="398"/>
      <c r="E52" s="398"/>
      <c r="F52" s="398"/>
      <c r="G52" s="398"/>
      <c r="H52" s="398"/>
      <c r="I52" s="398"/>
      <c r="J52" s="398"/>
      <c r="L52" s="5"/>
      <c r="M52" s="5"/>
      <c r="N52" s="5"/>
    </row>
    <row r="53" spans="2:14" x14ac:dyDescent="0.2">
      <c r="L53" s="5"/>
      <c r="M53" s="5"/>
      <c r="N53" s="5"/>
    </row>
    <row r="54" spans="2:14" x14ac:dyDescent="0.2">
      <c r="L54" s="5"/>
      <c r="M54" s="5"/>
      <c r="N54" s="5"/>
    </row>
    <row r="55" spans="2:14" x14ac:dyDescent="0.2">
      <c r="L55" s="5"/>
      <c r="M55" s="5"/>
      <c r="N55" s="5"/>
    </row>
    <row r="56" spans="2:14" x14ac:dyDescent="0.2">
      <c r="L56" s="5"/>
      <c r="M56" s="5"/>
      <c r="N56" s="5"/>
    </row>
    <row r="57" spans="2:14" x14ac:dyDescent="0.2">
      <c r="L57" s="5"/>
      <c r="M57" s="5"/>
      <c r="N57" s="5"/>
    </row>
    <row r="58" spans="2:14" x14ac:dyDescent="0.2">
      <c r="L58" s="5"/>
      <c r="M58" s="5"/>
      <c r="N58" s="5"/>
    </row>
    <row r="59" spans="2:14" x14ac:dyDescent="0.2">
      <c r="L59" s="5"/>
      <c r="M59" s="5"/>
      <c r="N59" s="5"/>
    </row>
    <row r="60" spans="2:14" x14ac:dyDescent="0.2">
      <c r="L60" s="5"/>
      <c r="M60" s="5"/>
      <c r="N60" s="5"/>
    </row>
    <row r="61" spans="2:14" x14ac:dyDescent="0.2">
      <c r="M61" s="37"/>
    </row>
    <row r="62" spans="2:14" x14ac:dyDescent="0.2">
      <c r="L62" s="5"/>
      <c r="M62" s="5"/>
      <c r="N62" s="5"/>
    </row>
    <row r="63" spans="2:14" x14ac:dyDescent="0.2">
      <c r="L63" s="5"/>
      <c r="M63" s="5"/>
      <c r="N63" s="5"/>
    </row>
    <row r="64" spans="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M71" s="37"/>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M81" s="37"/>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L90" s="5"/>
      <c r="M90" s="5"/>
      <c r="N90" s="5"/>
    </row>
    <row r="91" spans="1:65" x14ac:dyDescent="0.2">
      <c r="K91" s="5"/>
      <c r="M91" s="37"/>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sheetData>
  <mergeCells count="5">
    <mergeCell ref="B5:H5"/>
    <mergeCell ref="B52:J52"/>
    <mergeCell ref="A27:J27"/>
    <mergeCell ref="E14:E15"/>
    <mergeCell ref="D14: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191"/>
  <sheetViews>
    <sheetView zoomScaleNormal="100" workbookViewId="0"/>
  </sheetViews>
  <sheetFormatPr baseColWidth="10" defaultColWidth="10.83203125" defaultRowHeight="16" outlineLevelCol="1" x14ac:dyDescent="0.2"/>
  <cols>
    <col min="1" max="1" width="4.6640625" style="36" customWidth="1"/>
    <col min="2" max="2" width="10.83203125" style="36" customWidth="1"/>
    <col min="3" max="10" width="10.83203125" style="36"/>
    <col min="11" max="11" width="11.5" style="36" bestFit="1" customWidth="1"/>
    <col min="12" max="12" width="11.83203125" style="36" hidden="1" customWidth="1" outlineLevel="1"/>
    <col min="13" max="19" width="10.83203125" style="36" hidden="1" customWidth="1" outlineLevel="1"/>
    <col min="20" max="20" width="10.83203125" style="36" collapsed="1"/>
    <col min="21" max="16384" width="10.83203125" style="36"/>
  </cols>
  <sheetData>
    <row r="1" spans="1:15" ht="19" x14ac:dyDescent="0.25">
      <c r="A1" s="1" t="s">
        <v>170</v>
      </c>
      <c r="B1" s="28"/>
      <c r="C1" s="33"/>
      <c r="D1" s="33"/>
      <c r="E1" s="33"/>
      <c r="F1" s="34"/>
      <c r="G1" s="34"/>
      <c r="H1" s="34"/>
      <c r="I1" s="34"/>
      <c r="J1" s="35"/>
      <c r="K1" s="3" t="s">
        <v>154</v>
      </c>
    </row>
    <row r="2" spans="1:15" x14ac:dyDescent="0.2">
      <c r="A2" s="2"/>
      <c r="B2" s="29"/>
      <c r="C2" s="66"/>
      <c r="D2" s="66"/>
      <c r="E2" s="66"/>
      <c r="F2" s="34"/>
      <c r="G2" s="34"/>
      <c r="H2" s="34"/>
      <c r="I2" s="34"/>
      <c r="J2" s="35"/>
      <c r="L2" s="56" t="s">
        <v>36</v>
      </c>
      <c r="M2" s="37">
        <f>SUM(D7:E8)/SUM(D7:D8)</f>
        <v>1.5107361963190185</v>
      </c>
      <c r="N2" s="37">
        <f>SUM(D7:F7)/SUM(D7:E7)</f>
        <v>1.0655737704918034</v>
      </c>
      <c r="O2" s="67">
        <v>1</v>
      </c>
    </row>
    <row r="3" spans="1:15" x14ac:dyDescent="0.2">
      <c r="A3" s="2"/>
      <c r="B3" s="34" t="s">
        <v>6</v>
      </c>
      <c r="C3" s="34"/>
      <c r="D3" s="34"/>
      <c r="E3" s="34"/>
      <c r="F3" s="34"/>
      <c r="G3" s="34"/>
      <c r="H3" s="34"/>
      <c r="I3" s="34"/>
      <c r="J3" s="35"/>
      <c r="L3" s="56" t="s">
        <v>37</v>
      </c>
      <c r="M3" s="37">
        <f>M2*N3</f>
        <v>1.6098008649301017</v>
      </c>
      <c r="N3" s="37">
        <f>N2*O3</f>
        <v>1.0655737704918034</v>
      </c>
      <c r="O3" s="67">
        <f>O2</f>
        <v>1</v>
      </c>
    </row>
    <row r="4" spans="1:15" x14ac:dyDescent="0.2">
      <c r="A4" s="2"/>
      <c r="B4" s="34"/>
      <c r="C4" s="34"/>
      <c r="D4" s="34"/>
      <c r="E4" s="34"/>
      <c r="F4" s="34"/>
      <c r="G4" s="34"/>
      <c r="H4" s="34"/>
      <c r="I4" s="34"/>
      <c r="J4" s="35"/>
      <c r="L4" s="55" t="s">
        <v>38</v>
      </c>
      <c r="M4" s="68">
        <f>1/M3</f>
        <v>0.62119484576337369</v>
      </c>
      <c r="N4" s="68">
        <f t="shared" ref="N4:O4" si="0">1/N3</f>
        <v>0.93846153846153835</v>
      </c>
      <c r="O4" s="68">
        <f t="shared" si="0"/>
        <v>1</v>
      </c>
    </row>
    <row r="5" spans="1:15" x14ac:dyDescent="0.2">
      <c r="A5" s="2"/>
      <c r="B5" s="34"/>
      <c r="C5" s="397" t="s">
        <v>33</v>
      </c>
      <c r="D5" s="397"/>
      <c r="E5" s="397"/>
      <c r="F5" s="397"/>
      <c r="G5" s="34"/>
      <c r="H5" s="34"/>
      <c r="I5" s="34"/>
      <c r="J5" s="35"/>
      <c r="L5" s="56" t="s">
        <v>39</v>
      </c>
      <c r="M5" s="65">
        <f>M4</f>
        <v>0.62119484576337369</v>
      </c>
      <c r="N5" s="65">
        <f>N4-M4</f>
        <v>0.31726669269816465</v>
      </c>
      <c r="O5" s="65">
        <f>O4-N4</f>
        <v>6.1538461538461653E-2</v>
      </c>
    </row>
    <row r="6" spans="1:15" ht="34" x14ac:dyDescent="0.2">
      <c r="A6" s="2"/>
      <c r="B6" s="34"/>
      <c r="C6" s="25" t="s">
        <v>7</v>
      </c>
      <c r="D6" s="32" t="s">
        <v>30</v>
      </c>
      <c r="E6" s="32" t="s">
        <v>31</v>
      </c>
      <c r="F6" s="32" t="s">
        <v>32</v>
      </c>
      <c r="G6" s="34"/>
      <c r="H6" s="34"/>
      <c r="I6" s="34"/>
      <c r="J6" s="35"/>
    </row>
    <row r="7" spans="1:15" x14ac:dyDescent="0.2">
      <c r="A7" s="2"/>
      <c r="B7" s="34"/>
      <c r="C7" s="24">
        <v>2014</v>
      </c>
      <c r="D7" s="11">
        <v>9180</v>
      </c>
      <c r="E7" s="11">
        <v>4850</v>
      </c>
      <c r="F7" s="8">
        <v>920</v>
      </c>
      <c r="G7" s="34"/>
      <c r="H7" s="34"/>
      <c r="I7" s="34"/>
      <c r="J7" s="35"/>
      <c r="L7" s="36" t="s">
        <v>47</v>
      </c>
    </row>
    <row r="8" spans="1:15" x14ac:dyDescent="0.2">
      <c r="A8" s="2"/>
      <c r="B8" s="34"/>
      <c r="C8" s="24">
        <v>2015</v>
      </c>
      <c r="D8" s="11">
        <v>10380</v>
      </c>
      <c r="E8" s="11">
        <v>5140</v>
      </c>
      <c r="F8" s="8"/>
      <c r="G8" s="34"/>
      <c r="H8" s="34"/>
      <c r="I8" s="34"/>
      <c r="J8" s="35"/>
    </row>
    <row r="9" spans="1:15" x14ac:dyDescent="0.2">
      <c r="A9" s="2"/>
      <c r="B9" s="34"/>
      <c r="C9" s="24">
        <v>2016</v>
      </c>
      <c r="D9" s="11">
        <v>10360</v>
      </c>
      <c r="E9" s="8"/>
      <c r="F9" s="8"/>
      <c r="G9" s="34"/>
      <c r="H9" s="34"/>
      <c r="I9" s="34"/>
      <c r="J9" s="35"/>
      <c r="L9" s="48" t="s">
        <v>40</v>
      </c>
      <c r="M9" s="49">
        <v>12</v>
      </c>
      <c r="N9" s="49">
        <v>24</v>
      </c>
      <c r="O9" s="49">
        <v>36</v>
      </c>
    </row>
    <row r="10" spans="1:15" x14ac:dyDescent="0.2">
      <c r="A10" s="2"/>
      <c r="B10" s="34"/>
      <c r="C10" s="34"/>
      <c r="D10" s="34"/>
      <c r="E10" s="34"/>
      <c r="F10" s="34"/>
      <c r="G10" s="34"/>
      <c r="H10" s="34"/>
      <c r="I10" s="34"/>
      <c r="J10" s="35"/>
      <c r="L10" s="50" t="s">
        <v>41</v>
      </c>
      <c r="M10" s="69">
        <f>M5</f>
        <v>0.62119484576337369</v>
      </c>
      <c r="N10" s="69">
        <f>N5</f>
        <v>0.31726669269816465</v>
      </c>
      <c r="O10" s="69">
        <f>O5</f>
        <v>6.1538461538461653E-2</v>
      </c>
    </row>
    <row r="11" spans="1:15" x14ac:dyDescent="0.2">
      <c r="A11" s="2"/>
      <c r="B11" s="34"/>
      <c r="C11" s="34"/>
      <c r="D11" s="34"/>
      <c r="E11" s="34"/>
      <c r="F11" s="34"/>
      <c r="G11" s="34"/>
      <c r="H11" s="34"/>
      <c r="I11" s="34"/>
      <c r="J11" s="35"/>
    </row>
    <row r="12" spans="1:15" x14ac:dyDescent="0.2">
      <c r="A12" s="2"/>
      <c r="B12" s="34" t="s">
        <v>34</v>
      </c>
      <c r="C12" s="34"/>
      <c r="D12" s="34"/>
      <c r="E12" s="34"/>
      <c r="F12" s="34"/>
      <c r="G12" s="34"/>
      <c r="H12" s="34"/>
      <c r="I12" s="34"/>
      <c r="J12" s="35"/>
    </row>
    <row r="13" spans="1:15" x14ac:dyDescent="0.2">
      <c r="A13" s="2"/>
      <c r="B13" s="52" t="s">
        <v>157</v>
      </c>
      <c r="C13" s="34"/>
      <c r="D13" s="34"/>
      <c r="E13" s="34"/>
      <c r="F13" s="34"/>
      <c r="G13" s="34"/>
      <c r="H13" s="34"/>
      <c r="I13" s="34"/>
      <c r="J13" s="35"/>
      <c r="L13" s="13" t="s">
        <v>49</v>
      </c>
    </row>
    <row r="14" spans="1:15" x14ac:dyDescent="0.2">
      <c r="A14" s="2"/>
      <c r="B14" s="52" t="s">
        <v>158</v>
      </c>
      <c r="C14" s="34"/>
      <c r="D14" s="34"/>
      <c r="E14" s="34"/>
      <c r="F14" s="34"/>
      <c r="G14" s="34"/>
      <c r="H14" s="34"/>
      <c r="I14" s="34"/>
      <c r="J14" s="35"/>
      <c r="L14" s="36" t="s">
        <v>48</v>
      </c>
    </row>
    <row r="15" spans="1:15" ht="19" x14ac:dyDescent="0.25">
      <c r="A15" s="2"/>
      <c r="B15" s="34"/>
      <c r="C15" s="34"/>
      <c r="D15" s="34"/>
      <c r="E15" s="34"/>
      <c r="F15" s="34"/>
      <c r="G15" s="34"/>
      <c r="H15" s="34"/>
      <c r="I15" s="34"/>
      <c r="J15" s="35"/>
      <c r="L15" s="12"/>
    </row>
    <row r="16" spans="1:15" x14ac:dyDescent="0.2">
      <c r="A16" s="2"/>
      <c r="B16" s="34" t="s">
        <v>35</v>
      </c>
      <c r="C16" s="34"/>
      <c r="D16" s="34"/>
      <c r="E16" s="34"/>
      <c r="F16" s="34"/>
      <c r="G16" s="34"/>
      <c r="H16" s="34"/>
      <c r="I16" s="34"/>
      <c r="J16" s="35"/>
      <c r="L16" s="48"/>
      <c r="M16" s="49" t="s">
        <v>42</v>
      </c>
    </row>
    <row r="17" spans="1:17" x14ac:dyDescent="0.2">
      <c r="A17" s="2"/>
      <c r="B17" s="34"/>
      <c r="C17" s="34"/>
      <c r="D17" s="34"/>
      <c r="E17" s="34"/>
      <c r="F17" s="34"/>
      <c r="G17" s="34"/>
      <c r="H17" s="34"/>
      <c r="I17" s="34"/>
      <c r="J17" s="35"/>
      <c r="L17" s="50">
        <v>2014</v>
      </c>
      <c r="M17" s="51">
        <f>SUMPRODUCT($M$10:$O$10,$D7:$F7)/SUMSQ($M$10:$O$10)</f>
        <v>14883.761388714043</v>
      </c>
    </row>
    <row r="18" spans="1:17" ht="17" thickBot="1" x14ac:dyDescent="0.25">
      <c r="A18" s="2"/>
      <c r="B18" s="34"/>
      <c r="C18" s="34"/>
      <c r="D18" s="34"/>
      <c r="E18" s="34"/>
      <c r="F18" s="34"/>
      <c r="G18" s="34"/>
      <c r="H18" s="34"/>
      <c r="I18" s="34"/>
      <c r="J18" s="35"/>
      <c r="L18" s="50">
        <v>2015</v>
      </c>
      <c r="M18" s="51">
        <f>SUMPRODUCT($M$10:$N$10,$D8:$E8)/SUMSQ($M$10:$N$10)</f>
        <v>16604.459096037255</v>
      </c>
    </row>
    <row r="19" spans="1:17" ht="17" thickBot="1" x14ac:dyDescent="0.25">
      <c r="A19" s="399" t="s">
        <v>153</v>
      </c>
      <c r="B19" s="400"/>
      <c r="C19" s="400"/>
      <c r="D19" s="400"/>
      <c r="E19" s="400"/>
      <c r="F19" s="400"/>
      <c r="G19" s="400"/>
      <c r="H19" s="400"/>
      <c r="I19" s="400"/>
      <c r="J19" s="401"/>
      <c r="L19" s="50">
        <v>2016</v>
      </c>
      <c r="M19" s="51">
        <f>SUMPRODUCT($M$10,$D9)/SUMSQ($M$10)</f>
        <v>16677.536960675854</v>
      </c>
    </row>
    <row r="21" spans="1:17" ht="19" x14ac:dyDescent="0.25">
      <c r="A21" s="3"/>
      <c r="L21" s="13" t="s">
        <v>43</v>
      </c>
    </row>
    <row r="22" spans="1:17" x14ac:dyDescent="0.2">
      <c r="A22" s="4"/>
      <c r="L22" s="36" t="s">
        <v>50</v>
      </c>
    </row>
    <row r="24" spans="1:17" x14ac:dyDescent="0.2">
      <c r="L24" s="48" t="s">
        <v>40</v>
      </c>
      <c r="M24" s="49">
        <v>12</v>
      </c>
      <c r="N24" s="49">
        <v>24</v>
      </c>
      <c r="O24" s="49">
        <v>36</v>
      </c>
    </row>
    <row r="25" spans="1:17" x14ac:dyDescent="0.2">
      <c r="L25" s="50" t="s">
        <v>41</v>
      </c>
      <c r="M25" s="69">
        <f>SUMPRODUCT($M$17:$M$19,D$7:D$9)/SUMSQ($M$17:$M$19)</f>
        <v>0.62133382278918392</v>
      </c>
      <c r="N25" s="69">
        <f>SUMPRODUCT($M$17:$M$18,E$7:E$8)/SUMSQ($M$17:$M$18)</f>
        <v>0.31681870311676202</v>
      </c>
      <c r="O25" s="69">
        <f>SUMPRODUCT($M$17,F$7)/SUMSQ($M$17)</f>
        <v>6.181233197527685E-2</v>
      </c>
    </row>
    <row r="28" spans="1:17" x14ac:dyDescent="0.2">
      <c r="L28" s="36" t="s">
        <v>44</v>
      </c>
    </row>
    <row r="29" spans="1:17" x14ac:dyDescent="0.2">
      <c r="L29" s="36" t="s">
        <v>51</v>
      </c>
    </row>
    <row r="31" spans="1:17" x14ac:dyDescent="0.2">
      <c r="L31" s="48" t="s">
        <v>45</v>
      </c>
      <c r="M31" s="49">
        <v>12</v>
      </c>
      <c r="N31" s="49">
        <v>24</v>
      </c>
      <c r="O31" s="49">
        <v>36</v>
      </c>
      <c r="Q31" s="49" t="s">
        <v>46</v>
      </c>
    </row>
    <row r="32" spans="1:17" x14ac:dyDescent="0.2">
      <c r="L32" s="50">
        <v>2014</v>
      </c>
      <c r="M32" s="51">
        <f t="shared" ref="M32:O34" si="1">$Q32*M$36</f>
        <v>9247.7843611317494</v>
      </c>
      <c r="N32" s="51">
        <f t="shared" si="1"/>
        <v>4715.4539806717203</v>
      </c>
      <c r="O32" s="51">
        <f t="shared" si="1"/>
        <v>920</v>
      </c>
      <c r="Q32" s="70">
        <f>M17</f>
        <v>14883.761388714043</v>
      </c>
    </row>
    <row r="33" spans="1:17" x14ac:dyDescent="0.2">
      <c r="A33" s="4"/>
      <c r="L33" s="50">
        <v>2015</v>
      </c>
      <c r="M33" s="51">
        <f t="shared" si="1"/>
        <v>10316.912045487465</v>
      </c>
      <c r="N33" s="51">
        <f t="shared" si="1"/>
        <v>5260.6031967618455</v>
      </c>
      <c r="O33" s="63">
        <f t="shared" si="1"/>
        <v>1026.3603379141603</v>
      </c>
      <c r="Q33" s="70">
        <f>M18</f>
        <v>16604.459096037255</v>
      </c>
    </row>
    <row r="34" spans="1:17" x14ac:dyDescent="0.2">
      <c r="L34" s="50">
        <v>2016</v>
      </c>
      <c r="M34" s="51">
        <f t="shared" si="1"/>
        <v>10362.317794484636</v>
      </c>
      <c r="N34" s="63">
        <f t="shared" si="1"/>
        <v>5283.755631063189</v>
      </c>
      <c r="O34" s="64">
        <f t="shared" si="1"/>
        <v>1030.8774511432457</v>
      </c>
      <c r="Q34" s="70">
        <f>M19</f>
        <v>16677.536960675854</v>
      </c>
    </row>
    <row r="36" spans="1:17" x14ac:dyDescent="0.2">
      <c r="L36" s="50" t="s">
        <v>41</v>
      </c>
      <c r="M36" s="60">
        <f>M25</f>
        <v>0.62133382278918392</v>
      </c>
      <c r="N36" s="60">
        <f t="shared" ref="N36:O36" si="2">N25</f>
        <v>0.31681870311676202</v>
      </c>
      <c r="O36" s="60">
        <f t="shared" si="2"/>
        <v>6.181233197527685E-2</v>
      </c>
    </row>
    <row r="37" spans="1:17" ht="17" thickBot="1" x14ac:dyDescent="0.25"/>
    <row r="38" spans="1:17" ht="17" thickBot="1" x14ac:dyDescent="0.25">
      <c r="L38" s="76" t="s">
        <v>52</v>
      </c>
      <c r="M38" s="77">
        <f>SUM(N34:O34)</f>
        <v>6314.6330822064347</v>
      </c>
    </row>
    <row r="41" spans="1:17" ht="19" x14ac:dyDescent="0.25">
      <c r="L41" s="3" t="s">
        <v>177</v>
      </c>
    </row>
    <row r="42" spans="1:17" x14ac:dyDescent="0.2">
      <c r="L42" s="71" t="s">
        <v>179</v>
      </c>
    </row>
    <row r="46" spans="1:17" x14ac:dyDescent="0.2">
      <c r="A46" s="4"/>
    </row>
    <row r="48" spans="1:17" x14ac:dyDescent="0.2">
      <c r="M48" s="37"/>
    </row>
    <row r="49" spans="12:14" x14ac:dyDescent="0.2">
      <c r="L49" s="5"/>
      <c r="M49" s="5"/>
      <c r="N49" s="5"/>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M59" s="37"/>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M69" s="37"/>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37"/>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A89" s="5"/>
      <c r="B89" s="5"/>
      <c r="C89" s="5"/>
      <c r="D89" s="5"/>
      <c r="E89" s="5"/>
      <c r="F89" s="5"/>
      <c r="G89" s="5"/>
      <c r="H89" s="5"/>
      <c r="I89" s="5"/>
      <c r="J89" s="5"/>
      <c r="K89" s="5"/>
      <c r="M89" s="37"/>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sheetData>
  <mergeCells count="2">
    <mergeCell ref="C5:F5"/>
    <mergeCell ref="A19:J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181"/>
  <sheetViews>
    <sheetView zoomScaleNormal="100" workbookViewId="0"/>
  </sheetViews>
  <sheetFormatPr baseColWidth="10" defaultColWidth="10.83203125" defaultRowHeight="16" outlineLevelCol="1" x14ac:dyDescent="0.2"/>
  <cols>
    <col min="1" max="1" width="4.6640625" style="36" customWidth="1"/>
    <col min="2" max="2" width="10.83203125" style="36"/>
    <col min="3" max="3" width="12.1640625" style="36" customWidth="1"/>
    <col min="4" max="5" width="10.83203125" style="36" customWidth="1"/>
    <col min="6" max="10" width="10.83203125" style="36"/>
    <col min="11" max="11" width="11.5" style="36" bestFit="1" customWidth="1"/>
    <col min="12" max="12" width="10.83203125" style="36" hidden="1" customWidth="1" outlineLevel="1"/>
    <col min="13" max="13" width="12.6640625" style="36" hidden="1" customWidth="1" outlineLevel="1"/>
    <col min="14" max="14" width="12.5" style="36" hidden="1" customWidth="1" outlineLevel="1"/>
    <col min="15" max="15" width="12.83203125" style="36" hidden="1" customWidth="1" outlineLevel="1"/>
    <col min="16" max="18" width="10.83203125" style="36" hidden="1" customWidth="1" outlineLevel="1"/>
    <col min="19" max="19" width="10.83203125" style="36" collapsed="1"/>
    <col min="20" max="16384" width="10.83203125" style="36"/>
  </cols>
  <sheetData>
    <row r="1" spans="1:15" ht="19" x14ac:dyDescent="0.25">
      <c r="A1" s="1" t="s">
        <v>171</v>
      </c>
      <c r="B1" s="28"/>
      <c r="C1" s="33"/>
      <c r="D1" s="33"/>
      <c r="E1" s="33"/>
      <c r="F1" s="34"/>
      <c r="G1" s="34"/>
      <c r="H1" s="34"/>
      <c r="I1" s="34"/>
      <c r="J1" s="35"/>
      <c r="K1" s="3" t="s">
        <v>154</v>
      </c>
    </row>
    <row r="2" spans="1:15" x14ac:dyDescent="0.2">
      <c r="A2" s="2"/>
      <c r="B2" s="34"/>
      <c r="C2" s="34"/>
      <c r="D2" s="34"/>
      <c r="E2" s="34"/>
      <c r="F2" s="34"/>
      <c r="G2" s="34"/>
      <c r="H2" s="34"/>
      <c r="I2" s="34"/>
      <c r="J2" s="35"/>
      <c r="L2" s="13" t="s">
        <v>49</v>
      </c>
    </row>
    <row r="3" spans="1:15" x14ac:dyDescent="0.2">
      <c r="A3" s="2"/>
      <c r="B3" s="34" t="s">
        <v>53</v>
      </c>
      <c r="C3" s="34"/>
      <c r="D3" s="34"/>
      <c r="E3" s="34"/>
      <c r="F3" s="34"/>
      <c r="G3" s="34"/>
      <c r="H3" s="34"/>
      <c r="I3" s="34"/>
      <c r="J3" s="35"/>
      <c r="L3" s="36" t="s">
        <v>60</v>
      </c>
    </row>
    <row r="4" spans="1:15" x14ac:dyDescent="0.2">
      <c r="A4" s="2"/>
      <c r="B4" s="34"/>
      <c r="C4" s="34"/>
      <c r="D4" s="34"/>
      <c r="E4" s="34"/>
      <c r="F4" s="34"/>
      <c r="G4" s="34"/>
      <c r="H4" s="34"/>
      <c r="I4" s="34"/>
      <c r="J4" s="35"/>
    </row>
    <row r="5" spans="1:15" x14ac:dyDescent="0.2">
      <c r="A5" s="2"/>
      <c r="B5" s="34"/>
      <c r="C5" s="397" t="s">
        <v>33</v>
      </c>
      <c r="D5" s="397"/>
      <c r="E5" s="397"/>
      <c r="F5" s="397"/>
      <c r="G5" s="34"/>
      <c r="H5" s="34"/>
      <c r="I5" s="34"/>
      <c r="J5" s="35"/>
      <c r="L5" s="15" t="s">
        <v>62</v>
      </c>
    </row>
    <row r="6" spans="1:15" x14ac:dyDescent="0.2">
      <c r="A6" s="2"/>
      <c r="B6" s="34"/>
      <c r="C6" s="404" t="s">
        <v>7</v>
      </c>
      <c r="D6" s="31"/>
      <c r="E6" s="31"/>
      <c r="F6" s="31"/>
      <c r="G6" s="34"/>
      <c r="H6" s="34"/>
      <c r="I6" s="34"/>
      <c r="J6" s="35"/>
      <c r="L6" s="48" t="s">
        <v>45</v>
      </c>
      <c r="M6" s="49">
        <v>12</v>
      </c>
      <c r="N6" s="49">
        <v>24</v>
      </c>
      <c r="O6" s="49">
        <v>36</v>
      </c>
    </row>
    <row r="7" spans="1:15" ht="17" x14ac:dyDescent="0.2">
      <c r="A7" s="2"/>
      <c r="B7" s="34"/>
      <c r="C7" s="405"/>
      <c r="D7" s="32" t="s">
        <v>30</v>
      </c>
      <c r="E7" s="32" t="s">
        <v>31</v>
      </c>
      <c r="F7" s="32" t="s">
        <v>32</v>
      </c>
      <c r="G7" s="34"/>
      <c r="H7" s="34"/>
      <c r="I7" s="34"/>
      <c r="J7" s="35"/>
      <c r="L7" s="50">
        <v>2014</v>
      </c>
      <c r="M7" s="51">
        <f>D8^2/D$17</f>
        <v>126282461.53846154</v>
      </c>
      <c r="N7" s="51">
        <f>E8^2/E$17</f>
        <v>53875600</v>
      </c>
      <c r="O7" s="51">
        <f>F8^2/F$17</f>
        <v>10404000</v>
      </c>
    </row>
    <row r="8" spans="1:15" x14ac:dyDescent="0.2">
      <c r="A8" s="2"/>
      <c r="B8" s="34"/>
      <c r="C8" s="24">
        <v>2014</v>
      </c>
      <c r="D8" s="11">
        <v>9060</v>
      </c>
      <c r="E8" s="11">
        <v>3670</v>
      </c>
      <c r="F8" s="11">
        <v>1020</v>
      </c>
      <c r="G8" s="34"/>
      <c r="H8" s="34"/>
      <c r="I8" s="34"/>
      <c r="J8" s="35"/>
      <c r="L8" s="50">
        <v>2015</v>
      </c>
      <c r="M8" s="51">
        <f>D9^2/D$17</f>
        <v>143265384.61538461</v>
      </c>
      <c r="N8" s="51">
        <f>E9^2/E$17</f>
        <v>77088400</v>
      </c>
      <c r="O8" s="51"/>
    </row>
    <row r="9" spans="1:15" x14ac:dyDescent="0.2">
      <c r="A9" s="2"/>
      <c r="B9" s="34"/>
      <c r="C9" s="24">
        <v>2015</v>
      </c>
      <c r="D9" s="11">
        <v>9650</v>
      </c>
      <c r="E9" s="11">
        <v>4390</v>
      </c>
      <c r="F9" s="8"/>
      <c r="G9" s="34"/>
      <c r="H9" s="34"/>
      <c r="I9" s="34"/>
      <c r="J9" s="35"/>
      <c r="L9" s="50">
        <v>2016</v>
      </c>
      <c r="M9" s="51">
        <f>D10^2/D$17</f>
        <v>169292461.53846154</v>
      </c>
      <c r="N9" s="51"/>
      <c r="O9" s="51"/>
    </row>
    <row r="10" spans="1:15" x14ac:dyDescent="0.2">
      <c r="A10" s="2"/>
      <c r="B10" s="34"/>
      <c r="C10" s="24">
        <v>2016</v>
      </c>
      <c r="D10" s="11">
        <v>10490</v>
      </c>
      <c r="E10" s="8"/>
      <c r="F10" s="8"/>
      <c r="G10" s="34"/>
      <c r="H10" s="34"/>
      <c r="I10" s="34"/>
      <c r="J10" s="35"/>
    </row>
    <row r="11" spans="1:15" x14ac:dyDescent="0.2">
      <c r="A11" s="2"/>
      <c r="B11" s="34"/>
      <c r="C11" s="34"/>
      <c r="D11" s="34"/>
      <c r="E11" s="34"/>
      <c r="F11" s="34"/>
      <c r="G11" s="34"/>
      <c r="H11" s="34"/>
      <c r="I11" s="34"/>
      <c r="J11" s="35"/>
      <c r="L11" s="48" t="s">
        <v>45</v>
      </c>
      <c r="M11" s="49" t="s">
        <v>46</v>
      </c>
    </row>
    <row r="12" spans="1:15" x14ac:dyDescent="0.2">
      <c r="A12" s="2"/>
      <c r="B12" s="52" t="s">
        <v>159</v>
      </c>
      <c r="C12" s="34"/>
      <c r="D12" s="34"/>
      <c r="E12" s="34"/>
      <c r="F12" s="34"/>
      <c r="G12" s="34"/>
      <c r="H12" s="34"/>
      <c r="I12" s="34"/>
      <c r="J12" s="35"/>
      <c r="L12" s="50">
        <v>2014</v>
      </c>
      <c r="M12" s="51">
        <f>SQRT(SUM(M7:O7)/SUM($D$17:$F$17))</f>
        <v>13804.421811088703</v>
      </c>
    </row>
    <row r="13" spans="1:15" x14ac:dyDescent="0.2">
      <c r="A13" s="2"/>
      <c r="B13" s="52" t="s">
        <v>160</v>
      </c>
      <c r="C13" s="34"/>
      <c r="D13" s="34"/>
      <c r="E13" s="34"/>
      <c r="F13" s="34"/>
      <c r="G13" s="34"/>
      <c r="H13" s="34"/>
      <c r="I13" s="34"/>
      <c r="J13" s="35"/>
      <c r="L13" s="50">
        <v>2015</v>
      </c>
      <c r="M13" s="51">
        <f>SQRT(SUM(M8:N8)/SUM($D$17:$E$17))</f>
        <v>15647.285338407377</v>
      </c>
      <c r="N13" s="53"/>
    </row>
    <row r="14" spans="1:15" x14ac:dyDescent="0.2">
      <c r="A14" s="2"/>
      <c r="B14" s="34"/>
      <c r="C14" s="34"/>
      <c r="D14" s="34"/>
      <c r="E14" s="34"/>
      <c r="F14" s="34"/>
      <c r="G14" s="34"/>
      <c r="H14" s="34"/>
      <c r="I14" s="34"/>
      <c r="J14" s="35"/>
      <c r="L14" s="50">
        <v>2016</v>
      </c>
      <c r="M14" s="51">
        <f>SQRT(SUM(M9)/SUM($D$17))</f>
        <v>16138.461538461537</v>
      </c>
    </row>
    <row r="15" spans="1:15" ht="17" x14ac:dyDescent="0.2">
      <c r="A15" s="2"/>
      <c r="B15" s="34"/>
      <c r="C15" s="24" t="s">
        <v>54</v>
      </c>
      <c r="D15" s="8">
        <v>0</v>
      </c>
      <c r="E15" s="8">
        <v>1</v>
      </c>
      <c r="F15" s="8">
        <v>2</v>
      </c>
      <c r="G15" s="34"/>
      <c r="H15" s="34"/>
      <c r="I15" s="34"/>
      <c r="J15" s="35"/>
    </row>
    <row r="16" spans="1:15" ht="17" customHeight="1" x14ac:dyDescent="0.2">
      <c r="A16" s="2"/>
      <c r="B16" s="34"/>
      <c r="C16" s="25" t="s">
        <v>55</v>
      </c>
      <c r="D16" s="26" t="s">
        <v>56</v>
      </c>
      <c r="E16" s="26" t="s">
        <v>57</v>
      </c>
      <c r="F16" s="26" t="s">
        <v>58</v>
      </c>
      <c r="G16" s="34"/>
      <c r="H16" s="34"/>
      <c r="I16" s="34"/>
      <c r="J16" s="35"/>
      <c r="L16" s="14" t="s">
        <v>43</v>
      </c>
    </row>
    <row r="17" spans="1:17" ht="17" x14ac:dyDescent="0.2">
      <c r="A17" s="2"/>
      <c r="B17" s="34"/>
      <c r="C17" s="24" t="s">
        <v>41</v>
      </c>
      <c r="D17" s="54">
        <v>0.65</v>
      </c>
      <c r="E17" s="54">
        <v>0.25</v>
      </c>
      <c r="F17" s="54">
        <v>0.1</v>
      </c>
      <c r="G17" s="34"/>
      <c r="H17" s="34"/>
      <c r="I17" s="34"/>
      <c r="J17" s="35"/>
      <c r="L17" s="36" t="s">
        <v>61</v>
      </c>
    </row>
    <row r="18" spans="1:17" x14ac:dyDescent="0.2">
      <c r="A18" s="2"/>
      <c r="B18" s="34"/>
      <c r="C18" s="34"/>
      <c r="D18" s="34"/>
      <c r="E18" s="34"/>
      <c r="F18" s="34"/>
      <c r="G18" s="34"/>
      <c r="H18" s="34"/>
      <c r="I18" s="34"/>
      <c r="J18" s="35"/>
    </row>
    <row r="19" spans="1:17" x14ac:dyDescent="0.2">
      <c r="A19" s="2"/>
      <c r="B19" s="52" t="s">
        <v>161</v>
      </c>
      <c r="C19" s="34"/>
      <c r="D19" s="34"/>
      <c r="E19" s="34"/>
      <c r="F19" s="34"/>
      <c r="G19" s="34"/>
      <c r="H19" s="34"/>
      <c r="I19" s="34"/>
      <c r="J19" s="35"/>
      <c r="L19" s="15" t="s">
        <v>63</v>
      </c>
    </row>
    <row r="20" spans="1:17" x14ac:dyDescent="0.2">
      <c r="A20" s="2"/>
      <c r="B20" s="34"/>
      <c r="C20" s="34"/>
      <c r="D20" s="34"/>
      <c r="E20" s="34"/>
      <c r="F20" s="34"/>
      <c r="G20" s="34"/>
      <c r="H20" s="34"/>
      <c r="I20" s="34"/>
      <c r="J20" s="35"/>
      <c r="L20" s="48" t="s">
        <v>45</v>
      </c>
      <c r="M20" s="49">
        <v>12</v>
      </c>
      <c r="N20" s="49">
        <v>24</v>
      </c>
      <c r="O20" s="49">
        <v>36</v>
      </c>
    </row>
    <row r="21" spans="1:17" x14ac:dyDescent="0.2">
      <c r="A21" s="2"/>
      <c r="B21" s="34"/>
      <c r="C21" s="34"/>
      <c r="D21" s="34"/>
      <c r="E21" s="34"/>
      <c r="F21" s="34"/>
      <c r="G21" s="34"/>
      <c r="H21" s="34"/>
      <c r="I21" s="34"/>
      <c r="J21" s="35"/>
      <c r="L21" s="50">
        <v>2014</v>
      </c>
      <c r="M21" s="51">
        <f>D8^2/$M12</f>
        <v>5946.181674488138</v>
      </c>
      <c r="N21" s="51">
        <f>E8^2/$M12</f>
        <v>975.69461324202746</v>
      </c>
      <c r="O21" s="51">
        <f>F8^2/$M12</f>
        <v>75.367155121576772</v>
      </c>
    </row>
    <row r="22" spans="1:17" x14ac:dyDescent="0.2">
      <c r="A22" s="2"/>
      <c r="B22" s="34" t="s">
        <v>59</v>
      </c>
      <c r="C22" s="34"/>
      <c r="D22" s="34"/>
      <c r="E22" s="34"/>
      <c r="F22" s="34"/>
      <c r="G22" s="34"/>
      <c r="H22" s="34"/>
      <c r="I22" s="34"/>
      <c r="J22" s="35"/>
      <c r="L22" s="50">
        <v>2015</v>
      </c>
      <c r="M22" s="51">
        <f>D9^2/$M13</f>
        <v>5951.3518150924356</v>
      </c>
      <c r="N22" s="51">
        <f>E9^2/$M13</f>
        <v>1231.6577337984154</v>
      </c>
      <c r="O22" s="51"/>
    </row>
    <row r="23" spans="1:17" x14ac:dyDescent="0.2">
      <c r="A23" s="2"/>
      <c r="B23" s="34"/>
      <c r="C23" s="34"/>
      <c r="D23" s="34"/>
      <c r="E23" s="34"/>
      <c r="F23" s="34"/>
      <c r="G23" s="34"/>
      <c r="H23" s="34"/>
      <c r="I23" s="34"/>
      <c r="J23" s="35"/>
      <c r="L23" s="50">
        <v>2016</v>
      </c>
      <c r="M23" s="51">
        <f>D10^2/$M14</f>
        <v>6818.5000000000009</v>
      </c>
      <c r="N23" s="51"/>
      <c r="O23" s="51"/>
    </row>
    <row r="24" spans="1:17" ht="17" thickBot="1" x14ac:dyDescent="0.25">
      <c r="A24" s="2"/>
      <c r="B24" s="34"/>
      <c r="C24" s="34"/>
      <c r="D24" s="34"/>
      <c r="E24" s="34"/>
      <c r="F24" s="34"/>
      <c r="G24" s="34"/>
      <c r="H24" s="34"/>
      <c r="I24" s="34"/>
      <c r="J24" s="35"/>
    </row>
    <row r="25" spans="1:17" ht="17" thickBot="1" x14ac:dyDescent="0.25">
      <c r="A25" s="399" t="s">
        <v>153</v>
      </c>
      <c r="B25" s="400"/>
      <c r="C25" s="400"/>
      <c r="D25" s="400"/>
      <c r="E25" s="400"/>
      <c r="F25" s="400"/>
      <c r="G25" s="400"/>
      <c r="H25" s="400"/>
      <c r="I25" s="400"/>
      <c r="J25" s="401"/>
      <c r="L25" s="55" t="s">
        <v>40</v>
      </c>
      <c r="M25" s="49">
        <v>12</v>
      </c>
      <c r="N25" s="49">
        <v>24</v>
      </c>
      <c r="O25" s="49">
        <v>36</v>
      </c>
    </row>
    <row r="26" spans="1:17" x14ac:dyDescent="0.2">
      <c r="L26" s="56" t="s">
        <v>41</v>
      </c>
      <c r="M26" s="57">
        <f>SQRT(SUM(M21:M23)/SUM($M12:$M14))</f>
        <v>0.64072446518177117</v>
      </c>
      <c r="N26" s="57">
        <f>SQRT(SUM(N21:N22)/SUM($M12:$M13))</f>
        <v>0.27376668336190202</v>
      </c>
      <c r="O26" s="57">
        <f>SQRT(SUM(O21)/SUM($M12))</f>
        <v>7.388936776625174E-2</v>
      </c>
    </row>
    <row r="27" spans="1:17" ht="19" x14ac:dyDescent="0.25">
      <c r="A27" s="3"/>
    </row>
    <row r="28" spans="1:17" ht="19" x14ac:dyDescent="0.25">
      <c r="A28" s="3"/>
    </row>
    <row r="29" spans="1:17" ht="19" x14ac:dyDescent="0.25">
      <c r="A29" s="3"/>
      <c r="L29" s="14" t="s">
        <v>44</v>
      </c>
    </row>
    <row r="31" spans="1:17" x14ac:dyDescent="0.2">
      <c r="L31" s="48" t="s">
        <v>45</v>
      </c>
      <c r="M31" s="49">
        <v>12</v>
      </c>
      <c r="N31" s="49">
        <v>24</v>
      </c>
      <c r="O31" s="49">
        <v>36</v>
      </c>
      <c r="Q31" s="49" t="s">
        <v>46</v>
      </c>
    </row>
    <row r="32" spans="1:17" x14ac:dyDescent="0.2">
      <c r="L32" s="50">
        <v>2014</v>
      </c>
      <c r="M32" s="51"/>
      <c r="N32" s="51"/>
      <c r="O32" s="51"/>
      <c r="Q32" s="53">
        <f>M12</f>
        <v>13804.421811088703</v>
      </c>
    </row>
    <row r="33" spans="1:17" x14ac:dyDescent="0.2">
      <c r="L33" s="50">
        <v>2015</v>
      </c>
      <c r="M33" s="51"/>
      <c r="N33" s="51"/>
      <c r="O33" s="63">
        <f>$Q33*O$36</f>
        <v>1156.1680209130616</v>
      </c>
      <c r="Q33" s="53">
        <f>M13</f>
        <v>15647.285338407377</v>
      </c>
    </row>
    <row r="34" spans="1:17" x14ac:dyDescent="0.2">
      <c r="L34" s="50">
        <v>2016</v>
      </c>
      <c r="M34" s="51"/>
      <c r="N34" s="63">
        <f>$Q34*N$36</f>
        <v>4418.1730899482336</v>
      </c>
      <c r="O34" s="64">
        <f>$Q34*O$36</f>
        <v>1192.4607197968933</v>
      </c>
      <c r="Q34" s="53">
        <f>M14</f>
        <v>16138.461538461537</v>
      </c>
    </row>
    <row r="36" spans="1:17" x14ac:dyDescent="0.2">
      <c r="L36" s="50" t="s">
        <v>41</v>
      </c>
      <c r="M36" s="65">
        <f>M26</f>
        <v>0.64072446518177117</v>
      </c>
      <c r="N36" s="65">
        <f t="shared" ref="N36:O36" si="0">N26</f>
        <v>0.27376668336190202</v>
      </c>
      <c r="O36" s="65">
        <f t="shared" si="0"/>
        <v>7.388936776625174E-2</v>
      </c>
    </row>
    <row r="37" spans="1:17" ht="17" thickBot="1" x14ac:dyDescent="0.25"/>
    <row r="38" spans="1:17" ht="17" thickBot="1" x14ac:dyDescent="0.25">
      <c r="A38" s="4"/>
      <c r="L38" s="76" t="s">
        <v>183</v>
      </c>
      <c r="M38" s="77">
        <f>SUM(N34:O34)+D10</f>
        <v>16100.633809745126</v>
      </c>
    </row>
    <row r="39" spans="1:17" x14ac:dyDescent="0.2">
      <c r="I39" s="37"/>
    </row>
    <row r="40" spans="1:17" x14ac:dyDescent="0.2">
      <c r="I40" s="5"/>
      <c r="J40" s="5"/>
    </row>
    <row r="41" spans="1:17" x14ac:dyDescent="0.2">
      <c r="I41" s="5"/>
      <c r="J41" s="5"/>
    </row>
    <row r="42" spans="1:17" ht="19" x14ac:dyDescent="0.25">
      <c r="I42" s="5"/>
      <c r="J42" s="5"/>
      <c r="L42" s="3" t="s">
        <v>177</v>
      </c>
    </row>
    <row r="43" spans="1:17" x14ac:dyDescent="0.2">
      <c r="I43" s="5"/>
      <c r="J43" s="5"/>
      <c r="L43" s="71" t="s">
        <v>180</v>
      </c>
    </row>
    <row r="44" spans="1:17" x14ac:dyDescent="0.2">
      <c r="I44" s="5"/>
      <c r="J44" s="5"/>
    </row>
    <row r="45" spans="1:17" x14ac:dyDescent="0.2">
      <c r="I45" s="5"/>
      <c r="J45" s="5"/>
    </row>
    <row r="46" spans="1:17" x14ac:dyDescent="0.2">
      <c r="I46" s="5"/>
      <c r="J46" s="5"/>
    </row>
    <row r="47" spans="1:17" x14ac:dyDescent="0.2">
      <c r="I47" s="5"/>
      <c r="J47" s="5"/>
    </row>
    <row r="48" spans="1:17" x14ac:dyDescent="0.2">
      <c r="I48" s="5"/>
      <c r="J48" s="5"/>
    </row>
    <row r="49" spans="9:14" x14ac:dyDescent="0.2">
      <c r="I49" s="5"/>
      <c r="J49" s="5"/>
    </row>
    <row r="50" spans="9:14" x14ac:dyDescent="0.2">
      <c r="I50" s="5"/>
      <c r="J50" s="5"/>
    </row>
    <row r="51" spans="9:14" x14ac:dyDescent="0.2">
      <c r="I51" s="5"/>
      <c r="J51" s="5"/>
    </row>
    <row r="52" spans="9:14" x14ac:dyDescent="0.2">
      <c r="I52" s="5"/>
      <c r="J52" s="5"/>
    </row>
    <row r="53" spans="9:14" x14ac:dyDescent="0.2">
      <c r="I53" s="5"/>
      <c r="J53" s="5"/>
    </row>
    <row r="54" spans="9:14" x14ac:dyDescent="0.2">
      <c r="I54" s="5"/>
      <c r="J54" s="5"/>
    </row>
    <row r="57" spans="9:14" x14ac:dyDescent="0.2">
      <c r="L57" s="5"/>
      <c r="M57" s="5"/>
      <c r="N57" s="5"/>
    </row>
    <row r="58" spans="9:14" x14ac:dyDescent="0.2">
      <c r="L58" s="5"/>
      <c r="M58" s="5"/>
      <c r="N58" s="5"/>
    </row>
    <row r="59" spans="9:14" x14ac:dyDescent="0.2">
      <c r="M59" s="37"/>
    </row>
    <row r="60" spans="9:14" x14ac:dyDescent="0.2">
      <c r="L60" s="5"/>
      <c r="M60" s="5"/>
      <c r="N60" s="5"/>
    </row>
    <row r="61" spans="9:14" x14ac:dyDescent="0.2">
      <c r="L61" s="5"/>
      <c r="M61" s="5"/>
      <c r="N61" s="5"/>
    </row>
    <row r="62" spans="9:14" x14ac:dyDescent="0.2">
      <c r="L62" s="5"/>
      <c r="M62" s="5"/>
      <c r="N62" s="5"/>
    </row>
    <row r="63" spans="9:14" x14ac:dyDescent="0.2">
      <c r="L63" s="5"/>
      <c r="M63" s="5"/>
      <c r="N63" s="5"/>
    </row>
    <row r="64" spans="9:14" x14ac:dyDescent="0.2">
      <c r="L64" s="5"/>
      <c r="M64" s="5"/>
      <c r="N64" s="5"/>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M69" s="37"/>
    </row>
    <row r="70" spans="1:65" x14ac:dyDescent="0.2">
      <c r="L70" s="5"/>
      <c r="M70" s="5"/>
      <c r="N70" s="5"/>
    </row>
    <row r="71" spans="1:65" x14ac:dyDescent="0.2">
      <c r="L71" s="5"/>
      <c r="M71" s="5"/>
      <c r="N71" s="5"/>
    </row>
    <row r="72" spans="1:65" x14ac:dyDescent="0.2">
      <c r="L72" s="5"/>
      <c r="M72" s="5"/>
      <c r="N72" s="5"/>
    </row>
    <row r="73" spans="1:65" x14ac:dyDescent="0.2">
      <c r="L73" s="5"/>
      <c r="M73" s="5"/>
      <c r="N73" s="5"/>
    </row>
    <row r="74" spans="1:65" x14ac:dyDescent="0.2">
      <c r="L74" s="5"/>
      <c r="M74" s="5"/>
      <c r="N74" s="5"/>
    </row>
    <row r="75" spans="1:65" x14ac:dyDescent="0.2">
      <c r="L75" s="5"/>
      <c r="M75" s="5"/>
      <c r="N75" s="5"/>
    </row>
    <row r="76" spans="1:65" x14ac:dyDescent="0.2">
      <c r="L76" s="5"/>
      <c r="M76" s="5"/>
      <c r="N76" s="5"/>
    </row>
    <row r="77" spans="1:65" x14ac:dyDescent="0.2">
      <c r="L77" s="5"/>
      <c r="M77" s="5"/>
      <c r="N77" s="5"/>
    </row>
    <row r="78" spans="1:65" x14ac:dyDescent="0.2">
      <c r="L78" s="5"/>
      <c r="M78" s="5"/>
      <c r="N78" s="5"/>
    </row>
    <row r="79" spans="1:65" x14ac:dyDescent="0.2">
      <c r="K79" s="5"/>
      <c r="M79" s="37"/>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sheetData>
  <mergeCells count="3">
    <mergeCell ref="C5:F5"/>
    <mergeCell ref="A25:J25"/>
    <mergeCell ref="C6: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188"/>
  <sheetViews>
    <sheetView zoomScaleNormal="100" workbookViewId="0">
      <selection activeCell="M17" sqref="M17"/>
    </sheetView>
  </sheetViews>
  <sheetFormatPr baseColWidth="10" defaultColWidth="10.83203125" defaultRowHeight="16" outlineLevelCol="1" x14ac:dyDescent="0.2"/>
  <cols>
    <col min="1" max="1" width="4.6640625" style="36" customWidth="1"/>
    <col min="2" max="10" width="10.83203125" style="36"/>
    <col min="11" max="11" width="11.5" style="36" bestFit="1" customWidth="1"/>
    <col min="12" max="19" width="10.83203125" style="36" hidden="1" customWidth="1" outlineLevel="1"/>
    <col min="20" max="20" width="10.83203125" style="36" collapsed="1"/>
    <col min="21" max="16384" width="10.83203125" style="36"/>
  </cols>
  <sheetData>
    <row r="1" spans="1:18" ht="19" x14ac:dyDescent="0.25">
      <c r="A1" s="1" t="s">
        <v>172</v>
      </c>
      <c r="B1" s="28"/>
      <c r="C1" s="33"/>
      <c r="D1" s="33"/>
      <c r="E1" s="33"/>
      <c r="F1" s="34"/>
      <c r="G1" s="34"/>
      <c r="H1" s="34"/>
      <c r="I1" s="34"/>
      <c r="J1" s="35"/>
      <c r="K1" s="3" t="s">
        <v>154</v>
      </c>
    </row>
    <row r="2" spans="1:18" x14ac:dyDescent="0.2">
      <c r="A2" s="2"/>
      <c r="B2" s="34"/>
      <c r="C2" s="34"/>
      <c r="D2" s="34"/>
      <c r="E2" s="34"/>
      <c r="F2" s="34"/>
      <c r="G2" s="34"/>
      <c r="H2" s="34"/>
      <c r="I2" s="34"/>
      <c r="J2" s="35"/>
      <c r="L2" s="13" t="s">
        <v>3</v>
      </c>
      <c r="N2" s="37"/>
    </row>
    <row r="3" spans="1:18" x14ac:dyDescent="0.2">
      <c r="A3" s="2"/>
      <c r="B3" s="34" t="s">
        <v>6</v>
      </c>
      <c r="C3" s="34"/>
      <c r="D3" s="34"/>
      <c r="E3" s="34"/>
      <c r="F3" s="34"/>
      <c r="G3" s="34"/>
      <c r="H3" s="34"/>
      <c r="I3" s="34"/>
      <c r="J3" s="35"/>
    </row>
    <row r="4" spans="1:18" x14ac:dyDescent="0.2">
      <c r="A4" s="2"/>
      <c r="B4" s="34"/>
      <c r="C4" s="34"/>
      <c r="D4" s="34"/>
      <c r="E4" s="34"/>
      <c r="F4" s="34"/>
      <c r="G4" s="34"/>
      <c r="H4" s="34"/>
      <c r="I4" s="34"/>
      <c r="J4" s="35"/>
      <c r="M4" s="13" t="s">
        <v>68</v>
      </c>
    </row>
    <row r="5" spans="1:18" x14ac:dyDescent="0.2">
      <c r="A5" s="2"/>
      <c r="B5" s="34"/>
      <c r="C5" s="397" t="s">
        <v>33</v>
      </c>
      <c r="D5" s="397"/>
      <c r="E5" s="397"/>
      <c r="F5" s="397"/>
      <c r="G5" s="397"/>
      <c r="H5" s="34"/>
      <c r="I5" s="34"/>
      <c r="J5" s="35"/>
    </row>
    <row r="6" spans="1:18" ht="34" x14ac:dyDescent="0.2">
      <c r="A6" s="2"/>
      <c r="B6" s="34"/>
      <c r="C6" s="25" t="s">
        <v>7</v>
      </c>
      <c r="D6" s="32" t="s">
        <v>30</v>
      </c>
      <c r="E6" s="32" t="s">
        <v>31</v>
      </c>
      <c r="F6" s="32" t="s">
        <v>32</v>
      </c>
      <c r="G6" s="32" t="s">
        <v>64</v>
      </c>
      <c r="H6" s="34"/>
      <c r="I6" s="34"/>
      <c r="J6" s="35"/>
      <c r="M6" s="17" t="s">
        <v>45</v>
      </c>
      <c r="N6" s="16">
        <v>0</v>
      </c>
      <c r="O6" s="16">
        <v>1</v>
      </c>
      <c r="P6" s="16">
        <v>2</v>
      </c>
      <c r="Q6" s="16">
        <v>3</v>
      </c>
    </row>
    <row r="7" spans="1:18" x14ac:dyDescent="0.2">
      <c r="A7" s="2"/>
      <c r="B7" s="34"/>
      <c r="C7" s="24">
        <v>2013</v>
      </c>
      <c r="D7" s="11">
        <v>11410</v>
      </c>
      <c r="E7" s="11">
        <v>14020</v>
      </c>
      <c r="F7" s="11">
        <v>5930</v>
      </c>
      <c r="G7" s="11">
        <v>3960</v>
      </c>
      <c r="H7" s="34"/>
      <c r="I7" s="34"/>
      <c r="J7" s="35"/>
      <c r="M7" s="18">
        <v>2013</v>
      </c>
      <c r="N7" s="10">
        <v>11410</v>
      </c>
      <c r="O7" s="10">
        <v>25430</v>
      </c>
      <c r="P7" s="10">
        <v>31360</v>
      </c>
      <c r="Q7" s="10">
        <v>35320</v>
      </c>
    </row>
    <row r="8" spans="1:18" x14ac:dyDescent="0.2">
      <c r="A8" s="2"/>
      <c r="B8" s="34"/>
      <c r="C8" s="24">
        <v>2014</v>
      </c>
      <c r="D8" s="11">
        <v>9730</v>
      </c>
      <c r="E8" s="11">
        <v>14550</v>
      </c>
      <c r="F8" s="11">
        <v>7460</v>
      </c>
      <c r="G8" s="8"/>
      <c r="H8" s="34"/>
      <c r="I8" s="34"/>
      <c r="J8" s="35"/>
      <c r="M8" s="18">
        <v>2014</v>
      </c>
      <c r="N8" s="10">
        <v>9730</v>
      </c>
      <c r="O8" s="10">
        <v>24280</v>
      </c>
      <c r="P8" s="10">
        <v>31740</v>
      </c>
      <c r="Q8" s="6"/>
    </row>
    <row r="9" spans="1:18" x14ac:dyDescent="0.2">
      <c r="A9" s="2"/>
      <c r="B9" s="34"/>
      <c r="C9" s="24">
        <v>2015</v>
      </c>
      <c r="D9" s="11">
        <v>12120</v>
      </c>
      <c r="E9" s="11">
        <v>11950</v>
      </c>
      <c r="F9" s="8"/>
      <c r="G9" s="8"/>
      <c r="H9" s="34"/>
      <c r="I9" s="34"/>
      <c r="J9" s="35"/>
      <c r="M9" s="18">
        <v>2015</v>
      </c>
      <c r="N9" s="10">
        <v>12120</v>
      </c>
      <c r="O9" s="10">
        <v>24070</v>
      </c>
      <c r="P9" s="6"/>
      <c r="Q9" s="6"/>
    </row>
    <row r="10" spans="1:18" x14ac:dyDescent="0.2">
      <c r="A10" s="2"/>
      <c r="B10" s="34"/>
      <c r="C10" s="24">
        <v>2016</v>
      </c>
      <c r="D10" s="11">
        <v>11800</v>
      </c>
      <c r="E10" s="8"/>
      <c r="F10" s="8"/>
      <c r="G10" s="8"/>
      <c r="H10" s="34"/>
      <c r="I10" s="34"/>
      <c r="J10" s="35"/>
      <c r="M10" s="18">
        <v>2016</v>
      </c>
      <c r="N10" s="10">
        <v>11800</v>
      </c>
      <c r="O10" s="6"/>
      <c r="P10" s="6"/>
      <c r="Q10" s="6"/>
    </row>
    <row r="11" spans="1:18" x14ac:dyDescent="0.2">
      <c r="A11" s="2"/>
      <c r="B11" s="34"/>
      <c r="C11" s="34"/>
      <c r="D11" s="34"/>
      <c r="E11" s="34"/>
      <c r="F11" s="34"/>
      <c r="G11" s="34"/>
      <c r="H11" s="34"/>
      <c r="I11" s="34"/>
      <c r="J11" s="35"/>
    </row>
    <row r="12" spans="1:18" x14ac:dyDescent="0.2">
      <c r="A12" s="34" t="s">
        <v>0</v>
      </c>
      <c r="B12" s="34" t="s">
        <v>65</v>
      </c>
      <c r="C12" s="34"/>
      <c r="D12" s="34"/>
      <c r="E12" s="34"/>
      <c r="F12" s="34"/>
      <c r="G12" s="34"/>
      <c r="H12" s="34"/>
      <c r="I12" s="34"/>
      <c r="J12" s="35"/>
    </row>
    <row r="13" spans="1:18" ht="17" x14ac:dyDescent="0.2">
      <c r="A13" s="2"/>
      <c r="B13" s="34"/>
      <c r="C13" s="34"/>
      <c r="D13" s="34"/>
      <c r="E13" s="34"/>
      <c r="F13" s="34"/>
      <c r="G13" s="34"/>
      <c r="H13" s="34"/>
      <c r="I13" s="34"/>
      <c r="J13" s="35"/>
      <c r="M13" s="406" t="s">
        <v>69</v>
      </c>
      <c r="N13" s="6" t="s">
        <v>70</v>
      </c>
      <c r="O13" s="6" t="s">
        <v>70</v>
      </c>
      <c r="P13" s="18" t="s">
        <v>70</v>
      </c>
      <c r="Q13" s="408" t="s">
        <v>74</v>
      </c>
      <c r="R13" s="408" t="s">
        <v>75</v>
      </c>
    </row>
    <row r="14" spans="1:18" ht="17" x14ac:dyDescent="0.2">
      <c r="A14" s="34" t="s">
        <v>1</v>
      </c>
      <c r="B14" s="34" t="s">
        <v>66</v>
      </c>
      <c r="C14" s="34"/>
      <c r="D14" s="34"/>
      <c r="E14" s="34"/>
      <c r="F14" s="34"/>
      <c r="G14" s="34"/>
      <c r="H14" s="34"/>
      <c r="I14" s="34"/>
      <c r="J14" s="35"/>
      <c r="M14" s="407"/>
      <c r="N14" s="16" t="s">
        <v>71</v>
      </c>
      <c r="O14" s="16" t="s">
        <v>72</v>
      </c>
      <c r="P14" s="17" t="s">
        <v>73</v>
      </c>
      <c r="Q14" s="409"/>
      <c r="R14" s="409"/>
    </row>
    <row r="15" spans="1:18" ht="17" x14ac:dyDescent="0.2">
      <c r="A15" s="2"/>
      <c r="B15" s="34" t="s">
        <v>67</v>
      </c>
      <c r="C15" s="34"/>
      <c r="D15" s="34"/>
      <c r="E15" s="34"/>
      <c r="F15" s="34"/>
      <c r="G15" s="34"/>
      <c r="H15" s="34"/>
      <c r="I15" s="34"/>
      <c r="J15" s="35"/>
      <c r="L15" s="13"/>
      <c r="M15" s="19">
        <f>E7</f>
        <v>14020</v>
      </c>
      <c r="N15" s="10">
        <f>N7</f>
        <v>11410</v>
      </c>
      <c r="O15" s="6">
        <v>0</v>
      </c>
      <c r="P15" s="18">
        <v>0</v>
      </c>
      <c r="Q15" s="6" t="s">
        <v>76</v>
      </c>
      <c r="R15" s="6" t="s">
        <v>76</v>
      </c>
    </row>
    <row r="16" spans="1:18" ht="17" x14ac:dyDescent="0.2">
      <c r="A16" s="2"/>
      <c r="B16" s="34"/>
      <c r="C16" s="34"/>
      <c r="D16" s="34"/>
      <c r="E16" s="34"/>
      <c r="F16" s="34"/>
      <c r="G16" s="34"/>
      <c r="H16" s="34"/>
      <c r="I16" s="34"/>
      <c r="J16" s="35"/>
      <c r="M16" s="19">
        <f>E8</f>
        <v>14550</v>
      </c>
      <c r="N16" s="10">
        <f t="shared" ref="N16:N17" si="0">N8</f>
        <v>9730</v>
      </c>
      <c r="O16" s="6">
        <v>0</v>
      </c>
      <c r="P16" s="18">
        <v>0</v>
      </c>
      <c r="Q16" s="6">
        <v>1</v>
      </c>
      <c r="R16" s="6" t="s">
        <v>76</v>
      </c>
    </row>
    <row r="17" spans="1:19" ht="18" thickBot="1" x14ac:dyDescent="0.25">
      <c r="A17" s="2"/>
      <c r="B17" s="34"/>
      <c r="C17" s="34"/>
      <c r="D17" s="34"/>
      <c r="E17" s="34"/>
      <c r="F17" s="34"/>
      <c r="G17" s="34"/>
      <c r="H17" s="34"/>
      <c r="I17" s="34"/>
      <c r="J17" s="35"/>
      <c r="M17" s="19">
        <f>E9</f>
        <v>11950</v>
      </c>
      <c r="N17" s="10">
        <f t="shared" si="0"/>
        <v>12120</v>
      </c>
      <c r="O17" s="6">
        <v>0</v>
      </c>
      <c r="P17" s="18">
        <v>0</v>
      </c>
      <c r="Q17" s="6" t="s">
        <v>76</v>
      </c>
      <c r="R17" s="6">
        <v>1</v>
      </c>
    </row>
    <row r="18" spans="1:19" ht="18" thickBot="1" x14ac:dyDescent="0.25">
      <c r="A18" s="399" t="s">
        <v>153</v>
      </c>
      <c r="B18" s="400"/>
      <c r="C18" s="400"/>
      <c r="D18" s="400"/>
      <c r="E18" s="400"/>
      <c r="F18" s="400"/>
      <c r="G18" s="400"/>
      <c r="H18" s="400"/>
      <c r="I18" s="400"/>
      <c r="J18" s="401"/>
      <c r="M18" s="19">
        <f>F7</f>
        <v>5930</v>
      </c>
      <c r="N18" s="6">
        <v>0</v>
      </c>
      <c r="O18" s="10">
        <f>O7</f>
        <v>25430</v>
      </c>
      <c r="P18" s="18">
        <v>0</v>
      </c>
      <c r="Q18" s="6">
        <v>1</v>
      </c>
      <c r="R18" s="6" t="s">
        <v>76</v>
      </c>
    </row>
    <row r="19" spans="1:19" ht="17" x14ac:dyDescent="0.2">
      <c r="M19" s="19">
        <f>F8</f>
        <v>7460</v>
      </c>
      <c r="N19" s="6">
        <v>0</v>
      </c>
      <c r="O19" s="10">
        <f>O8</f>
        <v>24280</v>
      </c>
      <c r="P19" s="18">
        <v>0</v>
      </c>
      <c r="Q19" s="6" t="s">
        <v>76</v>
      </c>
      <c r="R19" s="6">
        <v>1</v>
      </c>
    </row>
    <row r="20" spans="1:19" ht="19" x14ac:dyDescent="0.25">
      <c r="A20" s="3"/>
      <c r="M20" s="19">
        <f>G7</f>
        <v>3960</v>
      </c>
      <c r="N20" s="6">
        <v>0</v>
      </c>
      <c r="O20" s="6">
        <v>0</v>
      </c>
      <c r="P20" s="19">
        <f>P7</f>
        <v>31360</v>
      </c>
      <c r="Q20" s="6" t="s">
        <v>76</v>
      </c>
      <c r="R20" s="6">
        <v>1</v>
      </c>
    </row>
    <row r="23" spans="1:19" x14ac:dyDescent="0.2">
      <c r="L23" s="13" t="s">
        <v>4</v>
      </c>
      <c r="N23" s="37"/>
    </row>
    <row r="24" spans="1:19" x14ac:dyDescent="0.2">
      <c r="M24" s="13" t="s">
        <v>77</v>
      </c>
    </row>
    <row r="25" spans="1:19" x14ac:dyDescent="0.2">
      <c r="M25" s="75" t="s">
        <v>185</v>
      </c>
    </row>
    <row r="26" spans="1:19" x14ac:dyDescent="0.2">
      <c r="M26" s="75" t="s">
        <v>186</v>
      </c>
    </row>
    <row r="28" spans="1:19" x14ac:dyDescent="0.2">
      <c r="M28" s="398" t="s">
        <v>78</v>
      </c>
      <c r="N28" s="398"/>
      <c r="O28" s="398"/>
      <c r="P28" s="398"/>
      <c r="Q28" s="398"/>
      <c r="R28" s="398"/>
      <c r="S28" s="398"/>
    </row>
    <row r="29" spans="1:19" x14ac:dyDescent="0.2">
      <c r="M29" s="398"/>
      <c r="N29" s="398"/>
      <c r="O29" s="398"/>
      <c r="P29" s="398"/>
      <c r="Q29" s="398"/>
      <c r="R29" s="398"/>
      <c r="S29" s="398"/>
    </row>
    <row r="31" spans="1:19" ht="16" customHeight="1" x14ac:dyDescent="0.2">
      <c r="M31" s="398" t="s">
        <v>155</v>
      </c>
      <c r="N31" s="398"/>
      <c r="O31" s="398"/>
      <c r="P31" s="398"/>
      <c r="Q31" s="398"/>
      <c r="R31" s="398"/>
      <c r="S31" s="398"/>
    </row>
    <row r="32" spans="1:19" x14ac:dyDescent="0.2">
      <c r="L32" s="5"/>
      <c r="M32" s="398"/>
      <c r="N32" s="398"/>
      <c r="O32" s="398"/>
      <c r="P32" s="398"/>
      <c r="Q32" s="398"/>
      <c r="R32" s="398"/>
      <c r="S32" s="398"/>
    </row>
    <row r="33" spans="12:19" x14ac:dyDescent="0.2">
      <c r="L33" s="5"/>
      <c r="M33" s="398"/>
      <c r="N33" s="398"/>
      <c r="O33" s="398"/>
      <c r="P33" s="398"/>
      <c r="Q33" s="398"/>
      <c r="R33" s="398"/>
      <c r="S33" s="398"/>
    </row>
    <row r="34" spans="12:19" x14ac:dyDescent="0.2">
      <c r="L34" s="5"/>
    </row>
    <row r="35" spans="12:19" x14ac:dyDescent="0.2">
      <c r="L35" s="5"/>
    </row>
    <row r="36" spans="12:19" x14ac:dyDescent="0.2">
      <c r="L36" s="72"/>
    </row>
    <row r="37" spans="12:19" ht="19" x14ac:dyDescent="0.25">
      <c r="L37" s="3" t="s">
        <v>177</v>
      </c>
    </row>
    <row r="38" spans="12:19" x14ac:dyDescent="0.2">
      <c r="L38" s="71" t="s">
        <v>181</v>
      </c>
    </row>
    <row r="46" spans="12:19" x14ac:dyDescent="0.2">
      <c r="M46" s="37"/>
    </row>
    <row r="47" spans="12:19" x14ac:dyDescent="0.2">
      <c r="L47" s="5"/>
      <c r="M47" s="5"/>
      <c r="N47" s="5"/>
    </row>
    <row r="48" spans="12:19"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M56" s="37"/>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M66" s="37"/>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M76" s="37"/>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A83" s="5"/>
      <c r="B83" s="5"/>
      <c r="C83" s="5"/>
      <c r="D83" s="5"/>
      <c r="E83" s="5"/>
      <c r="F83" s="5"/>
      <c r="G83" s="5"/>
      <c r="H83" s="5"/>
      <c r="I83" s="5"/>
      <c r="J83" s="5"/>
      <c r="L83" s="5"/>
      <c r="M83" s="5"/>
      <c r="N83" s="5"/>
    </row>
    <row r="84" spans="1:65" x14ac:dyDescent="0.2">
      <c r="A84" s="5"/>
      <c r="B84" s="5"/>
      <c r="C84" s="5"/>
      <c r="D84" s="5"/>
      <c r="E84" s="5"/>
      <c r="F84" s="5"/>
      <c r="G84" s="5"/>
      <c r="H84" s="5"/>
      <c r="I84" s="5"/>
      <c r="J84" s="5"/>
      <c r="L84" s="5"/>
      <c r="M84" s="5"/>
      <c r="N84" s="5"/>
    </row>
    <row r="85" spans="1:65" x14ac:dyDescent="0.2">
      <c r="A85" s="5"/>
      <c r="B85" s="5"/>
      <c r="C85" s="5"/>
      <c r="D85" s="5"/>
      <c r="E85" s="5"/>
      <c r="F85" s="5"/>
      <c r="G85" s="5"/>
      <c r="H85" s="5"/>
      <c r="I85" s="5"/>
      <c r="J85" s="5"/>
      <c r="K85" s="5"/>
      <c r="L85" s="5"/>
      <c r="M85" s="5"/>
      <c r="N85" s="5"/>
    </row>
    <row r="86" spans="1:65" x14ac:dyDescent="0.2">
      <c r="A86" s="5"/>
      <c r="B86" s="5"/>
      <c r="C86" s="5"/>
      <c r="D86" s="5"/>
      <c r="E86" s="5"/>
      <c r="F86" s="5"/>
      <c r="G86" s="5"/>
      <c r="H86" s="5"/>
      <c r="I86" s="5"/>
      <c r="J86" s="5"/>
      <c r="K86" s="5"/>
      <c r="M86" s="37"/>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L188" s="5"/>
      <c r="M188" s="5"/>
      <c r="N188" s="5"/>
      <c r="O188" s="5"/>
      <c r="P188" s="5"/>
      <c r="Q188" s="5"/>
      <c r="R188" s="5"/>
      <c r="S188" s="5"/>
    </row>
  </sheetData>
  <mergeCells count="7">
    <mergeCell ref="M28:S29"/>
    <mergeCell ref="M31:S33"/>
    <mergeCell ref="C5:G5"/>
    <mergeCell ref="M13:M14"/>
    <mergeCell ref="Q13:Q14"/>
    <mergeCell ref="R13:R14"/>
    <mergeCell ref="A18:J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M172"/>
  <sheetViews>
    <sheetView zoomScaleNormal="100" workbookViewId="0"/>
  </sheetViews>
  <sheetFormatPr baseColWidth="10" defaultColWidth="10.83203125" defaultRowHeight="16" outlineLevelCol="1" x14ac:dyDescent="0.2"/>
  <cols>
    <col min="1" max="1" width="4.6640625" style="36" customWidth="1"/>
    <col min="2" max="10" width="10.83203125" style="36"/>
    <col min="11" max="11" width="11.5" style="36" bestFit="1" customWidth="1"/>
    <col min="12" max="19" width="10.83203125" style="36" hidden="1" customWidth="1" outlineLevel="1"/>
    <col min="20" max="20" width="10.83203125" style="36" collapsed="1"/>
    <col min="21" max="16384" width="10.83203125" style="36"/>
  </cols>
  <sheetData>
    <row r="1" spans="1:14" ht="19" x14ac:dyDescent="0.25">
      <c r="A1" s="1" t="s">
        <v>173</v>
      </c>
      <c r="B1" s="28"/>
      <c r="C1" s="33"/>
      <c r="D1" s="33"/>
      <c r="E1" s="33"/>
      <c r="F1" s="34"/>
      <c r="G1" s="34"/>
      <c r="H1" s="34"/>
      <c r="I1" s="34"/>
      <c r="J1" s="35"/>
      <c r="K1" s="3" t="s">
        <v>154</v>
      </c>
    </row>
    <row r="2" spans="1:14" x14ac:dyDescent="0.2">
      <c r="A2" s="2"/>
      <c r="B2" s="34"/>
      <c r="C2" s="34"/>
      <c r="D2" s="34"/>
      <c r="E2" s="34"/>
      <c r="F2" s="34"/>
      <c r="G2" s="34"/>
      <c r="H2" s="34"/>
      <c r="I2" s="34"/>
      <c r="J2" s="35"/>
      <c r="L2" s="13" t="s">
        <v>3</v>
      </c>
      <c r="N2" s="37"/>
    </row>
    <row r="3" spans="1:14" x14ac:dyDescent="0.2">
      <c r="A3" s="34" t="s">
        <v>0</v>
      </c>
      <c r="B3" s="34" t="s">
        <v>79</v>
      </c>
      <c r="C3" s="34"/>
      <c r="D3" s="34"/>
      <c r="E3" s="34"/>
      <c r="F3" s="34"/>
      <c r="G3" s="34"/>
      <c r="H3" s="34"/>
      <c r="I3" s="34"/>
      <c r="J3" s="35"/>
      <c r="M3" s="58" t="s">
        <v>162</v>
      </c>
    </row>
    <row r="4" spans="1:14" x14ac:dyDescent="0.2">
      <c r="A4" s="2"/>
      <c r="B4" s="34"/>
      <c r="C4" s="34"/>
      <c r="D4" s="34"/>
      <c r="E4" s="34"/>
      <c r="F4" s="34"/>
      <c r="G4" s="34"/>
      <c r="H4" s="34"/>
      <c r="I4" s="34"/>
      <c r="J4" s="35"/>
      <c r="M4" s="36" t="s">
        <v>82</v>
      </c>
    </row>
    <row r="5" spans="1:14" x14ac:dyDescent="0.2">
      <c r="A5" s="34" t="s">
        <v>1</v>
      </c>
      <c r="B5" s="34" t="s">
        <v>80</v>
      </c>
      <c r="C5" s="34"/>
      <c r="D5" s="34"/>
      <c r="E5" s="34"/>
      <c r="F5" s="34"/>
      <c r="G5" s="34"/>
      <c r="H5" s="34"/>
      <c r="I5" s="34"/>
      <c r="J5" s="35"/>
    </row>
    <row r="6" spans="1:14" x14ac:dyDescent="0.2">
      <c r="A6" s="2"/>
      <c r="B6" s="34"/>
      <c r="C6" s="34"/>
      <c r="D6" s="34"/>
      <c r="E6" s="34"/>
      <c r="F6" s="34"/>
      <c r="G6" s="34"/>
      <c r="H6" s="34"/>
      <c r="I6" s="34"/>
      <c r="J6" s="35"/>
      <c r="M6" s="58" t="s">
        <v>163</v>
      </c>
    </row>
    <row r="7" spans="1:14" x14ac:dyDescent="0.2">
      <c r="A7" s="34" t="s">
        <v>2</v>
      </c>
      <c r="B7" s="34" t="s">
        <v>81</v>
      </c>
      <c r="C7" s="34"/>
      <c r="D7" s="34"/>
      <c r="E7" s="34"/>
      <c r="F7" s="34"/>
      <c r="G7" s="34"/>
      <c r="H7" s="34"/>
      <c r="I7" s="34"/>
      <c r="J7" s="35"/>
    </row>
    <row r="8" spans="1:14" x14ac:dyDescent="0.2">
      <c r="A8" s="2"/>
      <c r="B8" s="34"/>
      <c r="C8" s="34"/>
      <c r="D8" s="34"/>
      <c r="E8" s="34"/>
      <c r="F8" s="34"/>
      <c r="G8" s="34"/>
      <c r="H8" s="34"/>
      <c r="I8" s="34"/>
      <c r="J8" s="35"/>
      <c r="M8" s="58" t="s">
        <v>164</v>
      </c>
    </row>
    <row r="9" spans="1:14" ht="17" thickBot="1" x14ac:dyDescent="0.25">
      <c r="A9" s="2"/>
      <c r="B9" s="34"/>
      <c r="C9" s="34"/>
      <c r="D9" s="34"/>
      <c r="E9" s="34"/>
      <c r="F9" s="34"/>
      <c r="G9" s="34"/>
      <c r="H9" s="34"/>
      <c r="I9" s="34"/>
      <c r="J9" s="35"/>
    </row>
    <row r="10" spans="1:14" ht="17" thickBot="1" x14ac:dyDescent="0.25">
      <c r="A10" s="399" t="s">
        <v>153</v>
      </c>
      <c r="B10" s="400"/>
      <c r="C10" s="400"/>
      <c r="D10" s="400"/>
      <c r="E10" s="400"/>
      <c r="F10" s="400"/>
      <c r="G10" s="400"/>
      <c r="H10" s="400"/>
      <c r="I10" s="400"/>
      <c r="J10" s="401"/>
      <c r="L10" s="13" t="s">
        <v>4</v>
      </c>
      <c r="N10" s="37"/>
    </row>
    <row r="11" spans="1:14" x14ac:dyDescent="0.2">
      <c r="M11" s="20" t="s">
        <v>83</v>
      </c>
    </row>
    <row r="12" spans="1:14" ht="19" x14ac:dyDescent="0.25">
      <c r="A12" s="3"/>
      <c r="M12" s="20"/>
    </row>
    <row r="13" spans="1:14" x14ac:dyDescent="0.2">
      <c r="M13" s="20" t="s">
        <v>84</v>
      </c>
    </row>
    <row r="14" spans="1:14" x14ac:dyDescent="0.2">
      <c r="M14" s="20"/>
    </row>
    <row r="15" spans="1:14" x14ac:dyDescent="0.2">
      <c r="M15" s="20" t="s">
        <v>85</v>
      </c>
    </row>
    <row r="17" spans="3:21" x14ac:dyDescent="0.2">
      <c r="L17" s="13" t="s">
        <v>5</v>
      </c>
    </row>
    <row r="18" spans="3:21" x14ac:dyDescent="0.2">
      <c r="M18" s="36" t="s">
        <v>87</v>
      </c>
    </row>
    <row r="19" spans="3:21" x14ac:dyDescent="0.2">
      <c r="M19" s="398" t="s">
        <v>86</v>
      </c>
      <c r="N19" s="398"/>
      <c r="O19" s="398"/>
      <c r="P19" s="398"/>
      <c r="Q19" s="398"/>
      <c r="R19" s="398"/>
      <c r="S19" s="398"/>
    </row>
    <row r="20" spans="3:21" x14ac:dyDescent="0.2">
      <c r="L20" s="5"/>
      <c r="M20" s="398"/>
      <c r="N20" s="398"/>
      <c r="O20" s="398"/>
      <c r="P20" s="398"/>
      <c r="Q20" s="398"/>
      <c r="R20" s="398"/>
      <c r="S20" s="398"/>
    </row>
    <row r="21" spans="3:21" x14ac:dyDescent="0.2">
      <c r="L21" s="5"/>
    </row>
    <row r="22" spans="3:21" x14ac:dyDescent="0.2">
      <c r="L22" s="5"/>
      <c r="M22" s="36" t="s">
        <v>88</v>
      </c>
    </row>
    <row r="23" spans="3:21" x14ac:dyDescent="0.2">
      <c r="L23" s="5"/>
      <c r="M23" s="398" t="s">
        <v>89</v>
      </c>
      <c r="N23" s="398"/>
      <c r="O23" s="398"/>
      <c r="P23" s="398"/>
      <c r="Q23" s="398"/>
      <c r="R23" s="398"/>
      <c r="S23" s="398"/>
    </row>
    <row r="24" spans="3:21" x14ac:dyDescent="0.2">
      <c r="M24" s="398"/>
      <c r="N24" s="398"/>
      <c r="O24" s="398"/>
      <c r="P24" s="398"/>
      <c r="Q24" s="398"/>
      <c r="R24" s="398"/>
      <c r="S24" s="398"/>
    </row>
    <row r="26" spans="3:21" x14ac:dyDescent="0.2">
      <c r="M26" s="36" t="s">
        <v>90</v>
      </c>
    </row>
    <row r="28" spans="3:21" ht="19" x14ac:dyDescent="0.25">
      <c r="L28" s="3" t="s">
        <v>146</v>
      </c>
    </row>
    <row r="29" spans="3:21" ht="16" customHeight="1" x14ac:dyDescent="0.2">
      <c r="C29" s="37"/>
      <c r="L29" s="410" t="s">
        <v>152</v>
      </c>
      <c r="M29" s="410"/>
      <c r="N29" s="410"/>
      <c r="O29" s="410"/>
      <c r="P29" s="410"/>
      <c r="Q29" s="410"/>
      <c r="R29" s="410"/>
      <c r="S29" s="410"/>
      <c r="T29" s="41"/>
      <c r="U29" s="41"/>
    </row>
    <row r="30" spans="3:21" x14ac:dyDescent="0.2">
      <c r="L30" s="410"/>
      <c r="M30" s="410"/>
      <c r="N30" s="410"/>
      <c r="O30" s="410"/>
      <c r="P30" s="410"/>
      <c r="Q30" s="410"/>
      <c r="R30" s="410"/>
      <c r="S30" s="410"/>
    </row>
    <row r="31" spans="3:21" x14ac:dyDescent="0.2">
      <c r="L31" s="410"/>
      <c r="M31" s="410"/>
      <c r="N31" s="410"/>
      <c r="O31" s="410"/>
      <c r="P31" s="410"/>
      <c r="Q31" s="410"/>
      <c r="R31" s="410"/>
      <c r="S31" s="410"/>
    </row>
    <row r="32" spans="3:21" x14ac:dyDescent="0.2">
      <c r="L32" s="410"/>
      <c r="M32" s="410"/>
      <c r="N32" s="410"/>
      <c r="O32" s="410"/>
      <c r="P32" s="410"/>
      <c r="Q32" s="410"/>
      <c r="R32" s="410"/>
      <c r="S32" s="410"/>
    </row>
    <row r="33" spans="12:19" x14ac:dyDescent="0.2">
      <c r="L33" s="410"/>
      <c r="M33" s="410"/>
      <c r="N33" s="410"/>
      <c r="O33" s="410"/>
      <c r="P33" s="410"/>
      <c r="Q33" s="410"/>
      <c r="R33" s="410"/>
      <c r="S33" s="410"/>
    </row>
    <row r="34" spans="12:19" x14ac:dyDescent="0.2">
      <c r="L34" s="410"/>
      <c r="M34" s="410"/>
      <c r="N34" s="410"/>
      <c r="O34" s="410"/>
      <c r="P34" s="410"/>
      <c r="Q34" s="410"/>
      <c r="R34" s="410"/>
      <c r="S34" s="410"/>
    </row>
    <row r="35" spans="12:19" x14ac:dyDescent="0.2">
      <c r="L35" s="410"/>
      <c r="M35" s="410"/>
      <c r="N35" s="410"/>
      <c r="O35" s="410"/>
      <c r="P35" s="410"/>
      <c r="Q35" s="410"/>
      <c r="R35" s="410"/>
      <c r="S35" s="410"/>
    </row>
    <row r="36" spans="12:19" x14ac:dyDescent="0.2">
      <c r="L36" s="410"/>
      <c r="M36" s="410"/>
      <c r="N36" s="410"/>
      <c r="O36" s="410"/>
      <c r="P36" s="410"/>
      <c r="Q36" s="410"/>
      <c r="R36" s="410"/>
      <c r="S36" s="410"/>
    </row>
    <row r="37" spans="12:19" x14ac:dyDescent="0.2">
      <c r="L37" s="410"/>
      <c r="M37" s="410"/>
      <c r="N37" s="410"/>
      <c r="O37" s="410"/>
      <c r="P37" s="410"/>
      <c r="Q37" s="410"/>
      <c r="R37" s="410"/>
      <c r="S37" s="410"/>
    </row>
    <row r="38" spans="12:19" x14ac:dyDescent="0.2">
      <c r="L38" s="410"/>
      <c r="M38" s="410"/>
      <c r="N38" s="410"/>
      <c r="O38" s="410"/>
      <c r="P38" s="410"/>
      <c r="Q38" s="410"/>
      <c r="R38" s="410"/>
      <c r="S38" s="410"/>
    </row>
    <row r="39" spans="12:19" x14ac:dyDescent="0.2">
      <c r="L39" s="410"/>
      <c r="M39" s="410"/>
      <c r="N39" s="410"/>
      <c r="O39" s="410"/>
      <c r="P39" s="410"/>
      <c r="Q39" s="410"/>
      <c r="R39" s="410"/>
      <c r="S39" s="410"/>
    </row>
    <row r="40" spans="12:19" x14ac:dyDescent="0.2">
      <c r="L40" s="410"/>
      <c r="M40" s="410"/>
      <c r="N40" s="410"/>
      <c r="O40" s="410"/>
      <c r="P40" s="410"/>
      <c r="Q40" s="410"/>
      <c r="R40" s="410"/>
      <c r="S40" s="410"/>
    </row>
    <row r="41" spans="12:19" x14ac:dyDescent="0.2">
      <c r="L41" s="410"/>
      <c r="M41" s="410"/>
      <c r="N41" s="410"/>
      <c r="O41" s="410"/>
      <c r="P41" s="410"/>
      <c r="Q41" s="410"/>
      <c r="R41" s="410"/>
      <c r="S41" s="410"/>
    </row>
    <row r="42" spans="12:19" x14ac:dyDescent="0.2">
      <c r="L42" s="410"/>
      <c r="M42" s="410"/>
      <c r="N42" s="410"/>
      <c r="O42" s="410"/>
      <c r="P42" s="410"/>
      <c r="Q42" s="410"/>
      <c r="R42" s="410"/>
      <c r="S42" s="410"/>
    </row>
    <row r="43" spans="12:19" x14ac:dyDescent="0.2">
      <c r="L43" s="410"/>
      <c r="M43" s="410"/>
      <c r="N43" s="410"/>
      <c r="O43" s="410"/>
      <c r="P43" s="410"/>
      <c r="Q43" s="410"/>
      <c r="R43" s="410"/>
      <c r="S43" s="410"/>
    </row>
    <row r="44" spans="12:19" x14ac:dyDescent="0.2">
      <c r="L44" s="410"/>
      <c r="M44" s="410"/>
      <c r="N44" s="410"/>
      <c r="O44" s="410"/>
      <c r="P44" s="410"/>
      <c r="Q44" s="410"/>
      <c r="R44" s="410"/>
      <c r="S44" s="410"/>
    </row>
    <row r="45" spans="12:19" x14ac:dyDescent="0.2">
      <c r="L45" s="410"/>
      <c r="M45" s="410"/>
      <c r="N45" s="410"/>
      <c r="O45" s="410"/>
      <c r="P45" s="410"/>
      <c r="Q45" s="410"/>
      <c r="R45" s="410"/>
      <c r="S45" s="410"/>
    </row>
    <row r="46" spans="12:19" x14ac:dyDescent="0.2">
      <c r="L46" s="410"/>
      <c r="M46" s="410"/>
      <c r="N46" s="410"/>
      <c r="O46" s="410"/>
      <c r="P46" s="410"/>
      <c r="Q46" s="410"/>
      <c r="R46" s="410"/>
      <c r="S46" s="410"/>
    </row>
    <row r="47" spans="12:19" x14ac:dyDescent="0.2">
      <c r="L47" s="410"/>
      <c r="M47" s="410"/>
      <c r="N47" s="410"/>
      <c r="O47" s="410"/>
      <c r="P47" s="410"/>
      <c r="Q47" s="410"/>
      <c r="R47" s="410"/>
      <c r="S47" s="410"/>
    </row>
    <row r="48" spans="12:19" x14ac:dyDescent="0.2">
      <c r="L48" s="5"/>
      <c r="M48" s="5"/>
      <c r="N48" s="5"/>
    </row>
    <row r="49" spans="12:14" x14ac:dyDescent="0.2">
      <c r="L49" s="5"/>
      <c r="M49" s="5"/>
      <c r="N49" s="5"/>
    </row>
    <row r="50" spans="12:14" x14ac:dyDescent="0.2">
      <c r="M50" s="37"/>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M60" s="37"/>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65" x14ac:dyDescent="0.2">
      <c r="L65" s="5"/>
      <c r="M65" s="5"/>
      <c r="N65" s="5"/>
    </row>
    <row r="66" spans="1:65" x14ac:dyDescent="0.2">
      <c r="L66" s="5"/>
      <c r="M66" s="5"/>
      <c r="N66" s="5"/>
    </row>
    <row r="67" spans="1:65" x14ac:dyDescent="0.2">
      <c r="L67" s="5"/>
      <c r="M67" s="5"/>
      <c r="N67" s="5"/>
    </row>
    <row r="68" spans="1:65" x14ac:dyDescent="0.2">
      <c r="A68" s="5"/>
      <c r="B68" s="5"/>
      <c r="C68" s="5"/>
      <c r="D68" s="5"/>
      <c r="E68" s="5"/>
      <c r="F68" s="5"/>
      <c r="G68" s="5"/>
      <c r="H68" s="5"/>
      <c r="I68" s="5"/>
      <c r="J68" s="5"/>
      <c r="L68" s="5"/>
      <c r="M68" s="5"/>
      <c r="N68" s="5"/>
    </row>
    <row r="69" spans="1:65" x14ac:dyDescent="0.2">
      <c r="A69" s="5"/>
      <c r="B69" s="5"/>
      <c r="C69" s="5"/>
      <c r="D69" s="5"/>
      <c r="E69" s="5"/>
      <c r="F69" s="5"/>
      <c r="G69" s="5"/>
      <c r="H69" s="5"/>
      <c r="I69" s="5"/>
      <c r="J69" s="5"/>
      <c r="L69" s="5"/>
      <c r="M69" s="5"/>
      <c r="N69" s="5"/>
    </row>
    <row r="70" spans="1:65" x14ac:dyDescent="0.2">
      <c r="A70" s="5"/>
      <c r="B70" s="5"/>
      <c r="C70" s="5"/>
      <c r="D70" s="5"/>
      <c r="E70" s="5"/>
      <c r="F70" s="5"/>
      <c r="G70" s="5"/>
      <c r="H70" s="5"/>
      <c r="I70" s="5"/>
      <c r="J70" s="5"/>
      <c r="K70" s="5"/>
      <c r="M70" s="37"/>
    </row>
    <row r="71" spans="1:65"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row>
    <row r="72" spans="1:65"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row>
    <row r="73" spans="1:65"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row>
    <row r="74" spans="1:65"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sheetData>
  <mergeCells count="4">
    <mergeCell ref="A10:J10"/>
    <mergeCell ref="M19:S20"/>
    <mergeCell ref="M23:S24"/>
    <mergeCell ref="L29:S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M202"/>
  <sheetViews>
    <sheetView zoomScaleNormal="100" workbookViewId="0"/>
  </sheetViews>
  <sheetFormatPr baseColWidth="10" defaultColWidth="10.83203125" defaultRowHeight="16" outlineLevelCol="1" x14ac:dyDescent="0.2"/>
  <cols>
    <col min="1" max="1" width="4.6640625" style="36" customWidth="1"/>
    <col min="2" max="2" width="12.5" style="36" customWidth="1"/>
    <col min="3" max="3" width="10.83203125" style="36" customWidth="1"/>
    <col min="4" max="10" width="10.83203125" style="36"/>
    <col min="11" max="11" width="11.5" style="36" bestFit="1" customWidth="1"/>
    <col min="12" max="12" width="10.83203125" style="36" hidden="1" customWidth="1" outlineLevel="1"/>
    <col min="13" max="13" width="13.1640625" style="36" hidden="1" customWidth="1" outlineLevel="1"/>
    <col min="14" max="19" width="10.83203125" style="36" hidden="1" customWidth="1" outlineLevel="1"/>
    <col min="20" max="20" width="10.83203125" style="36" collapsed="1"/>
    <col min="21" max="16384" width="10.83203125" style="36"/>
  </cols>
  <sheetData>
    <row r="1" spans="1:19" ht="19" x14ac:dyDescent="0.25">
      <c r="A1" s="1" t="s">
        <v>174</v>
      </c>
      <c r="B1" s="28"/>
      <c r="C1" s="33"/>
      <c r="D1" s="33"/>
      <c r="E1" s="33"/>
      <c r="F1" s="34"/>
      <c r="G1" s="34"/>
      <c r="H1" s="34"/>
      <c r="I1" s="34"/>
      <c r="J1" s="35"/>
      <c r="K1" s="3" t="s">
        <v>154</v>
      </c>
    </row>
    <row r="2" spans="1:19" x14ac:dyDescent="0.2">
      <c r="A2" s="2"/>
      <c r="B2" s="34"/>
      <c r="C2" s="34"/>
      <c r="D2" s="34"/>
      <c r="E2" s="34"/>
      <c r="F2" s="34"/>
      <c r="G2" s="34"/>
      <c r="H2" s="34"/>
      <c r="I2" s="34"/>
      <c r="J2" s="35"/>
      <c r="L2" s="13" t="s">
        <v>3</v>
      </c>
      <c r="N2" s="37"/>
    </row>
    <row r="3" spans="1:19" x14ac:dyDescent="0.2">
      <c r="A3" s="2"/>
      <c r="B3" s="34" t="s">
        <v>91</v>
      </c>
      <c r="C3" s="34"/>
      <c r="D3" s="34"/>
      <c r="E3" s="34"/>
      <c r="F3" s="34"/>
      <c r="G3" s="34"/>
      <c r="H3" s="34"/>
      <c r="I3" s="34"/>
      <c r="J3" s="35"/>
      <c r="M3" s="36" t="s">
        <v>51</v>
      </c>
    </row>
    <row r="4" spans="1:19" x14ac:dyDescent="0.2">
      <c r="A4" s="2"/>
      <c r="B4" s="34" t="s">
        <v>92</v>
      </c>
      <c r="C4" s="34"/>
      <c r="D4" s="34"/>
      <c r="E4" s="34"/>
      <c r="F4" s="34"/>
      <c r="G4" s="34"/>
      <c r="H4" s="34"/>
      <c r="I4" s="34"/>
      <c r="J4" s="35"/>
    </row>
    <row r="5" spans="1:19" x14ac:dyDescent="0.2">
      <c r="A5" s="2"/>
      <c r="B5" s="34"/>
      <c r="C5" s="34"/>
      <c r="D5" s="34"/>
      <c r="E5" s="34"/>
      <c r="F5" s="34"/>
      <c r="G5" s="34"/>
      <c r="H5" s="34"/>
      <c r="I5" s="34"/>
      <c r="J5" s="35"/>
      <c r="M5" s="411" t="s">
        <v>101</v>
      </c>
      <c r="N5" s="411"/>
      <c r="O5" s="411"/>
      <c r="P5" s="411"/>
      <c r="Q5" s="411"/>
      <c r="R5" s="411"/>
    </row>
    <row r="6" spans="1:19" ht="17" x14ac:dyDescent="0.2">
      <c r="A6" s="2"/>
      <c r="B6" s="397" t="s">
        <v>94</v>
      </c>
      <c r="C6" s="397"/>
      <c r="D6" s="397"/>
      <c r="E6" s="397"/>
      <c r="F6" s="397"/>
      <c r="G6" s="397"/>
      <c r="H6" s="34"/>
      <c r="I6" s="34"/>
      <c r="J6" s="35"/>
      <c r="M6" s="17" t="s">
        <v>45</v>
      </c>
      <c r="N6" s="16">
        <v>12</v>
      </c>
      <c r="O6" s="16">
        <v>24</v>
      </c>
      <c r="P6" s="16">
        <v>36</v>
      </c>
      <c r="Q6" s="16">
        <v>48</v>
      </c>
      <c r="R6" s="16">
        <v>60</v>
      </c>
      <c r="S6" s="36" t="s">
        <v>46</v>
      </c>
    </row>
    <row r="7" spans="1:19" ht="17" x14ac:dyDescent="0.2">
      <c r="A7" s="2"/>
      <c r="B7" s="25" t="s">
        <v>7</v>
      </c>
      <c r="C7" s="26" t="s">
        <v>30</v>
      </c>
      <c r="D7" s="26" t="s">
        <v>31</v>
      </c>
      <c r="E7" s="26" t="s">
        <v>32</v>
      </c>
      <c r="F7" s="26" t="s">
        <v>64</v>
      </c>
      <c r="G7" s="26" t="s">
        <v>93</v>
      </c>
      <c r="H7" s="34"/>
      <c r="I7" s="34"/>
      <c r="J7" s="35"/>
      <c r="M7" s="18">
        <v>2011</v>
      </c>
      <c r="N7" s="6"/>
      <c r="O7" s="10">
        <f>O$13*$S7</f>
        <v>4699.4839999999995</v>
      </c>
      <c r="P7" s="10">
        <f>P$13*$S7</f>
        <v>1609.768</v>
      </c>
      <c r="Q7" s="10">
        <f>Q$13*$S7</f>
        <v>519.28</v>
      </c>
      <c r="R7" s="10">
        <f>R$13*$S7</f>
        <v>51.928000000000004</v>
      </c>
      <c r="S7" s="59">
        <f>C20</f>
        <v>25964</v>
      </c>
    </row>
    <row r="8" spans="1:19" x14ac:dyDescent="0.2">
      <c r="A8" s="2"/>
      <c r="B8" s="24">
        <v>2011</v>
      </c>
      <c r="C8" s="11">
        <v>19120</v>
      </c>
      <c r="D8" s="11">
        <v>4750</v>
      </c>
      <c r="E8" s="11">
        <v>1370</v>
      </c>
      <c r="F8" s="8">
        <v>420</v>
      </c>
      <c r="G8" s="8">
        <v>50</v>
      </c>
      <c r="H8" s="34"/>
      <c r="I8" s="34"/>
      <c r="J8" s="35"/>
      <c r="M8" s="18">
        <v>2012</v>
      </c>
      <c r="N8" s="6"/>
      <c r="O8" s="10">
        <f>O$13*$S8</f>
        <v>4812.9709999999995</v>
      </c>
      <c r="P8" s="10">
        <f>P$13*$S8</f>
        <v>1648.6420000000001</v>
      </c>
      <c r="Q8" s="10">
        <f>Q$13*$S8</f>
        <v>531.82000000000005</v>
      </c>
      <c r="R8" s="6"/>
      <c r="S8" s="59">
        <f>D20</f>
        <v>26591</v>
      </c>
    </row>
    <row r="9" spans="1:19" x14ac:dyDescent="0.2">
      <c r="A9" s="2"/>
      <c r="B9" s="24">
        <v>2012</v>
      </c>
      <c r="C9" s="11">
        <v>19360</v>
      </c>
      <c r="D9" s="11">
        <v>5650</v>
      </c>
      <c r="E9" s="11">
        <v>1680</v>
      </c>
      <c r="F9" s="8">
        <v>630</v>
      </c>
      <c r="G9" s="8"/>
      <c r="H9" s="34"/>
      <c r="I9" s="34"/>
      <c r="J9" s="35"/>
      <c r="M9" s="18">
        <v>2013</v>
      </c>
      <c r="N9" s="6"/>
      <c r="O9" s="10">
        <f>O$13*$S9</f>
        <v>4521.38</v>
      </c>
      <c r="P9" s="10">
        <f>P$13*$S9</f>
        <v>1548.76</v>
      </c>
      <c r="Q9" s="6"/>
      <c r="R9" s="6"/>
      <c r="S9" s="59">
        <f>E20</f>
        <v>24980</v>
      </c>
    </row>
    <row r="10" spans="1:19" x14ac:dyDescent="0.2">
      <c r="A10" s="2"/>
      <c r="B10" s="24">
        <v>2013</v>
      </c>
      <c r="C10" s="11">
        <v>18640</v>
      </c>
      <c r="D10" s="11">
        <v>3420</v>
      </c>
      <c r="E10" s="11">
        <v>1740</v>
      </c>
      <c r="F10" s="8"/>
      <c r="G10" s="8"/>
      <c r="H10" s="34"/>
      <c r="I10" s="34"/>
      <c r="J10" s="35"/>
      <c r="M10" s="18">
        <v>2014</v>
      </c>
      <c r="N10" s="6"/>
      <c r="O10" s="10">
        <f>O$13*$S10</f>
        <v>5187.2789999999995</v>
      </c>
      <c r="P10" s="6"/>
      <c r="Q10" s="6"/>
      <c r="R10" s="6"/>
      <c r="S10" s="59">
        <f>F20</f>
        <v>28659</v>
      </c>
    </row>
    <row r="11" spans="1:19" x14ac:dyDescent="0.2">
      <c r="A11" s="2"/>
      <c r="B11" s="24">
        <v>2014</v>
      </c>
      <c r="C11" s="11">
        <v>21060</v>
      </c>
      <c r="D11" s="11">
        <v>5320</v>
      </c>
      <c r="E11" s="8"/>
      <c r="F11" s="8"/>
      <c r="G11" s="8"/>
      <c r="H11" s="34"/>
      <c r="I11" s="34"/>
      <c r="J11" s="35"/>
      <c r="M11" s="18">
        <v>2015</v>
      </c>
      <c r="N11" s="6"/>
      <c r="O11" s="6"/>
      <c r="P11" s="6"/>
      <c r="Q11" s="6"/>
      <c r="R11" s="6"/>
      <c r="S11" s="59">
        <f>G20</f>
        <v>28274</v>
      </c>
    </row>
    <row r="12" spans="1:19" x14ac:dyDescent="0.2">
      <c r="A12" s="2"/>
      <c r="B12" s="24">
        <v>2015</v>
      </c>
      <c r="C12" s="11">
        <v>20810</v>
      </c>
      <c r="D12" s="8"/>
      <c r="E12" s="8"/>
      <c r="F12" s="8"/>
      <c r="G12" s="8"/>
      <c r="H12" s="34"/>
      <c r="I12" s="34"/>
      <c r="J12" s="35"/>
    </row>
    <row r="13" spans="1:19" x14ac:dyDescent="0.2">
      <c r="A13" s="2"/>
      <c r="B13" s="34"/>
      <c r="C13" s="34"/>
      <c r="D13" s="34"/>
      <c r="E13" s="34"/>
      <c r="F13" s="34"/>
      <c r="G13" s="34"/>
      <c r="H13" s="34"/>
      <c r="I13" s="34"/>
      <c r="J13" s="35"/>
      <c r="M13" s="36" t="s">
        <v>41</v>
      </c>
      <c r="N13" s="60">
        <f>C18</f>
        <v>0.73599999999999999</v>
      </c>
      <c r="O13" s="60">
        <f>D18</f>
        <v>0.18099999999999999</v>
      </c>
      <c r="P13" s="60">
        <f>E18</f>
        <v>6.2E-2</v>
      </c>
      <c r="Q13" s="60">
        <f>F18</f>
        <v>0.02</v>
      </c>
      <c r="R13" s="60">
        <f>G18</f>
        <v>2E-3</v>
      </c>
    </row>
    <row r="14" spans="1:19" x14ac:dyDescent="0.2">
      <c r="A14" s="2"/>
      <c r="B14" s="52" t="s">
        <v>165</v>
      </c>
      <c r="C14" s="34"/>
      <c r="D14" s="34"/>
      <c r="E14" s="34"/>
      <c r="F14" s="34"/>
      <c r="G14" s="34"/>
      <c r="H14" s="34"/>
      <c r="I14" s="34"/>
      <c r="J14" s="35"/>
      <c r="N14" s="37"/>
    </row>
    <row r="15" spans="1:19" x14ac:dyDescent="0.2">
      <c r="A15" s="2"/>
      <c r="B15" s="34"/>
      <c r="C15" s="34"/>
      <c r="D15" s="34"/>
      <c r="E15" s="34"/>
      <c r="F15" s="34"/>
      <c r="G15" s="34"/>
      <c r="H15" s="34"/>
      <c r="I15" s="34"/>
      <c r="J15" s="35"/>
    </row>
    <row r="16" spans="1:19" x14ac:dyDescent="0.2">
      <c r="A16" s="2"/>
      <c r="B16" s="25"/>
      <c r="C16" s="403" t="s">
        <v>95</v>
      </c>
      <c r="D16" s="403"/>
      <c r="E16" s="403"/>
      <c r="F16" s="403"/>
      <c r="G16" s="403"/>
      <c r="H16" s="34"/>
      <c r="I16" s="34"/>
      <c r="J16" s="35"/>
      <c r="M16" s="411" t="s">
        <v>102</v>
      </c>
      <c r="N16" s="411"/>
      <c r="O16" s="411"/>
      <c r="P16" s="411"/>
      <c r="Q16" s="411"/>
      <c r="R16" s="411"/>
    </row>
    <row r="17" spans="1:18" ht="17" customHeight="1" x14ac:dyDescent="0.2">
      <c r="A17" s="2"/>
      <c r="B17" s="24" t="s">
        <v>96</v>
      </c>
      <c r="C17" s="8">
        <v>12</v>
      </c>
      <c r="D17" s="8">
        <v>24</v>
      </c>
      <c r="E17" s="8">
        <v>36</v>
      </c>
      <c r="F17" s="8">
        <v>48</v>
      </c>
      <c r="G17" s="8">
        <v>60</v>
      </c>
      <c r="H17" s="34"/>
      <c r="I17" s="34"/>
      <c r="J17" s="35"/>
      <c r="M17" s="17" t="s">
        <v>45</v>
      </c>
      <c r="N17" s="16">
        <v>12</v>
      </c>
      <c r="O17" s="16">
        <v>24</v>
      </c>
      <c r="P17" s="16">
        <v>36</v>
      </c>
      <c r="Q17" s="16">
        <v>48</v>
      </c>
      <c r="R17" s="16">
        <v>60</v>
      </c>
    </row>
    <row r="18" spans="1:18" ht="17" x14ac:dyDescent="0.2">
      <c r="A18" s="2"/>
      <c r="B18" s="24" t="s">
        <v>41</v>
      </c>
      <c r="C18" s="21">
        <v>0.73599999999999999</v>
      </c>
      <c r="D18" s="21">
        <v>0.18099999999999999</v>
      </c>
      <c r="E18" s="21">
        <v>6.2E-2</v>
      </c>
      <c r="F18" s="21">
        <v>0.02</v>
      </c>
      <c r="G18" s="21">
        <v>2E-3</v>
      </c>
      <c r="H18" s="34"/>
      <c r="I18" s="34"/>
      <c r="J18" s="35"/>
      <c r="M18" s="18">
        <v>2011</v>
      </c>
      <c r="N18" s="6"/>
      <c r="O18" s="10">
        <f>(D8-O7)^2</f>
        <v>2551.8662560000535</v>
      </c>
      <c r="P18" s="10">
        <f>(E8-P7)^2</f>
        <v>57488.693824000016</v>
      </c>
      <c r="Q18" s="10">
        <f>(F8-Q7)^2</f>
        <v>9856.5183999999954</v>
      </c>
      <c r="R18" s="10">
        <f>(G8-R7)^2</f>
        <v>3.7171840000000169</v>
      </c>
    </row>
    <row r="19" spans="1:18" ht="17" x14ac:dyDescent="0.2">
      <c r="A19" s="2"/>
      <c r="B19" s="24" t="s">
        <v>97</v>
      </c>
      <c r="C19" s="8">
        <v>2011</v>
      </c>
      <c r="D19" s="8">
        <v>2012</v>
      </c>
      <c r="E19" s="8">
        <v>2013</v>
      </c>
      <c r="F19" s="8">
        <v>2014</v>
      </c>
      <c r="G19" s="8">
        <v>2015</v>
      </c>
      <c r="H19" s="34"/>
      <c r="I19" s="34"/>
      <c r="J19" s="35"/>
      <c r="M19" s="18">
        <v>2012</v>
      </c>
      <c r="N19" s="6"/>
      <c r="O19" s="10">
        <f>(D9-O8)^2</f>
        <v>700617.54684100079</v>
      </c>
      <c r="P19" s="10">
        <f>(E9-P8)^2</f>
        <v>983.3241639999967</v>
      </c>
      <c r="Q19" s="10">
        <f>(F9-Q8)^2</f>
        <v>9639.3123999999898</v>
      </c>
      <c r="R19" s="6"/>
    </row>
    <row r="20" spans="1:18" ht="17" x14ac:dyDescent="0.2">
      <c r="A20" s="2"/>
      <c r="B20" s="24" t="s">
        <v>46</v>
      </c>
      <c r="C20" s="11">
        <v>25964</v>
      </c>
      <c r="D20" s="11">
        <v>26591</v>
      </c>
      <c r="E20" s="11">
        <v>24980</v>
      </c>
      <c r="F20" s="11">
        <v>28659</v>
      </c>
      <c r="G20" s="11">
        <v>28274</v>
      </c>
      <c r="H20" s="34"/>
      <c r="I20" s="34"/>
      <c r="J20" s="35"/>
      <c r="M20" s="18">
        <v>2013</v>
      </c>
      <c r="N20" s="6"/>
      <c r="O20" s="10">
        <f>(D10-O9)^2</f>
        <v>1213037.9044000003</v>
      </c>
      <c r="P20" s="10">
        <f>(E10-P9)^2</f>
        <v>36572.7376</v>
      </c>
      <c r="Q20" s="6"/>
      <c r="R20" s="6"/>
    </row>
    <row r="21" spans="1:18" x14ac:dyDescent="0.2">
      <c r="A21" s="2"/>
      <c r="B21" s="34"/>
      <c r="C21" s="34"/>
      <c r="D21" s="34"/>
      <c r="E21" s="34"/>
      <c r="F21" s="34"/>
      <c r="G21" s="34"/>
      <c r="H21" s="34"/>
      <c r="I21" s="34"/>
      <c r="J21" s="35"/>
      <c r="M21" s="18">
        <v>2014</v>
      </c>
      <c r="N21" s="6"/>
      <c r="O21" s="10">
        <f>(D11-O10)^2</f>
        <v>17614.863841000122</v>
      </c>
      <c r="P21" s="6"/>
      <c r="Q21" s="6"/>
      <c r="R21" s="6"/>
    </row>
    <row r="22" spans="1:18" x14ac:dyDescent="0.2">
      <c r="A22" s="2"/>
      <c r="B22" s="52" t="s">
        <v>166</v>
      </c>
      <c r="C22" s="34"/>
      <c r="D22" s="34"/>
      <c r="E22" s="34"/>
      <c r="F22" s="34"/>
      <c r="G22" s="34"/>
      <c r="H22" s="34"/>
      <c r="I22" s="34"/>
      <c r="J22" s="35"/>
      <c r="M22" s="18">
        <v>2015</v>
      </c>
      <c r="N22" s="6"/>
      <c r="O22" s="6"/>
      <c r="P22" s="6"/>
      <c r="Q22" s="6"/>
      <c r="R22" s="6"/>
    </row>
    <row r="23" spans="1:18" x14ac:dyDescent="0.2">
      <c r="A23" s="2"/>
      <c r="B23" s="34"/>
      <c r="C23" s="34"/>
      <c r="D23" s="34"/>
      <c r="E23" s="34"/>
      <c r="F23" s="34"/>
      <c r="G23" s="34"/>
      <c r="H23" s="34"/>
      <c r="I23" s="34"/>
      <c r="J23" s="35"/>
    </row>
    <row r="24" spans="1:18" x14ac:dyDescent="0.2">
      <c r="A24" s="2"/>
      <c r="B24" s="34"/>
      <c r="C24" s="34"/>
      <c r="D24" s="34"/>
      <c r="E24" s="34"/>
      <c r="F24" s="34"/>
      <c r="G24" s="34"/>
      <c r="H24" s="34"/>
      <c r="I24" s="34"/>
      <c r="J24" s="35"/>
      <c r="M24" s="36" t="s">
        <v>103</v>
      </c>
      <c r="N24" s="59">
        <f>SUM(O18:R21)</f>
        <v>2048366.4849100013</v>
      </c>
    </row>
    <row r="25" spans="1:18" x14ac:dyDescent="0.2">
      <c r="A25" s="34" t="s">
        <v>0</v>
      </c>
      <c r="B25" s="34" t="s">
        <v>98</v>
      </c>
      <c r="C25" s="34"/>
      <c r="D25" s="34"/>
      <c r="E25" s="34"/>
      <c r="F25" s="34"/>
      <c r="G25" s="34"/>
      <c r="H25" s="34"/>
      <c r="I25" s="34"/>
      <c r="J25" s="35"/>
      <c r="N25" s="59"/>
    </row>
    <row r="26" spans="1:18" x14ac:dyDescent="0.2">
      <c r="A26" s="2"/>
      <c r="B26" s="34"/>
      <c r="C26" s="34"/>
      <c r="D26" s="34"/>
      <c r="E26" s="34"/>
      <c r="F26" s="34"/>
      <c r="G26" s="34"/>
      <c r="H26" s="34"/>
      <c r="I26" s="34"/>
      <c r="J26" s="35"/>
      <c r="M26" s="36" t="s">
        <v>104</v>
      </c>
      <c r="P26" s="36" t="s">
        <v>106</v>
      </c>
      <c r="Q26" s="36">
        <f>COUNT(O7:R10)</f>
        <v>10</v>
      </c>
    </row>
    <row r="27" spans="1:18" ht="17" thickBot="1" x14ac:dyDescent="0.25">
      <c r="A27" s="34" t="s">
        <v>1</v>
      </c>
      <c r="B27" s="34" t="s">
        <v>99</v>
      </c>
      <c r="C27" s="61"/>
      <c r="D27" s="61"/>
      <c r="E27" s="61"/>
      <c r="F27" s="61"/>
      <c r="G27" s="61"/>
      <c r="H27" s="61"/>
      <c r="I27" s="61"/>
      <c r="J27" s="62"/>
      <c r="P27" s="36" t="s">
        <v>107</v>
      </c>
      <c r="Q27" s="36">
        <f>2*5-2</f>
        <v>8</v>
      </c>
    </row>
    <row r="28" spans="1:18" ht="16" customHeight="1" thickBot="1" x14ac:dyDescent="0.25">
      <c r="A28" s="2"/>
      <c r="B28" s="34"/>
      <c r="C28" s="34"/>
      <c r="D28" s="34"/>
      <c r="E28" s="34"/>
      <c r="F28" s="34"/>
      <c r="G28" s="34"/>
      <c r="H28" s="34"/>
      <c r="I28" s="34"/>
      <c r="J28" s="35"/>
      <c r="M28" s="76" t="s">
        <v>105</v>
      </c>
      <c r="N28" s="78">
        <f>N24/(Q26-Q27)^2</f>
        <v>512091.62122750032</v>
      </c>
    </row>
    <row r="29" spans="1:18" x14ac:dyDescent="0.2">
      <c r="A29" s="34" t="s">
        <v>2</v>
      </c>
      <c r="B29" s="34" t="s">
        <v>100</v>
      </c>
      <c r="C29" s="34"/>
      <c r="D29" s="34"/>
      <c r="E29" s="34"/>
      <c r="F29" s="34"/>
      <c r="G29" s="34"/>
      <c r="H29" s="34"/>
      <c r="I29" s="34"/>
      <c r="J29" s="35"/>
      <c r="M29" s="13"/>
      <c r="N29" s="22"/>
    </row>
    <row r="30" spans="1:18" x14ac:dyDescent="0.2">
      <c r="A30" s="2"/>
      <c r="B30" s="34"/>
      <c r="C30" s="34"/>
      <c r="D30" s="34"/>
      <c r="E30" s="34"/>
      <c r="F30" s="34"/>
      <c r="G30" s="34"/>
      <c r="H30" s="34"/>
      <c r="I30" s="34"/>
      <c r="J30" s="35"/>
      <c r="L30" s="13" t="s">
        <v>4</v>
      </c>
      <c r="N30" s="37"/>
    </row>
    <row r="31" spans="1:18" ht="17" thickBot="1" x14ac:dyDescent="0.25">
      <c r="A31" s="2"/>
      <c r="B31" s="34"/>
      <c r="C31" s="34"/>
      <c r="D31" s="34"/>
      <c r="E31" s="34"/>
      <c r="F31" s="34"/>
      <c r="G31" s="34"/>
      <c r="H31" s="34"/>
      <c r="I31" s="34"/>
      <c r="J31" s="35"/>
      <c r="M31" s="36" t="s">
        <v>108</v>
      </c>
    </row>
    <row r="32" spans="1:18" ht="17" thickBot="1" x14ac:dyDescent="0.25">
      <c r="A32" s="399" t="s">
        <v>153</v>
      </c>
      <c r="B32" s="400"/>
      <c r="C32" s="400"/>
      <c r="D32" s="400"/>
      <c r="E32" s="400"/>
      <c r="F32" s="400"/>
      <c r="G32" s="400"/>
      <c r="H32" s="400"/>
      <c r="I32" s="400"/>
      <c r="J32" s="401"/>
    </row>
    <row r="34" spans="1:20" ht="19" x14ac:dyDescent="0.25">
      <c r="A34" s="3"/>
      <c r="L34" s="13" t="s">
        <v>5</v>
      </c>
    </row>
    <row r="35" spans="1:20" x14ac:dyDescent="0.2">
      <c r="M35" s="36" t="s">
        <v>109</v>
      </c>
    </row>
    <row r="36" spans="1:20" x14ac:dyDescent="0.2">
      <c r="M36" s="398" t="s">
        <v>110</v>
      </c>
      <c r="N36" s="398"/>
      <c r="O36" s="398"/>
      <c r="P36" s="398"/>
      <c r="Q36" s="398"/>
      <c r="R36" s="398"/>
      <c r="S36" s="398"/>
    </row>
    <row r="37" spans="1:20" x14ac:dyDescent="0.2">
      <c r="M37" s="398"/>
      <c r="N37" s="398"/>
      <c r="O37" s="398"/>
      <c r="P37" s="398"/>
      <c r="Q37" s="398"/>
      <c r="R37" s="398"/>
      <c r="S37" s="398"/>
    </row>
    <row r="39" spans="1:20" ht="16" customHeight="1" x14ac:dyDescent="0.25">
      <c r="L39" s="3" t="s">
        <v>146</v>
      </c>
    </row>
    <row r="40" spans="1:20" x14ac:dyDescent="0.2">
      <c r="L40" s="410" t="s">
        <v>149</v>
      </c>
      <c r="M40" s="410"/>
      <c r="N40" s="410"/>
      <c r="O40" s="410"/>
      <c r="P40" s="410"/>
      <c r="Q40" s="410"/>
      <c r="R40" s="410"/>
      <c r="S40" s="410"/>
      <c r="T40" s="41"/>
    </row>
    <row r="41" spans="1:20" x14ac:dyDescent="0.2">
      <c r="L41" s="410"/>
      <c r="M41" s="410"/>
      <c r="N41" s="410"/>
      <c r="O41" s="410"/>
      <c r="P41" s="410"/>
      <c r="Q41" s="410"/>
      <c r="R41" s="410"/>
      <c r="S41" s="410"/>
    </row>
    <row r="42" spans="1:20" x14ac:dyDescent="0.2">
      <c r="L42" s="410"/>
      <c r="M42" s="410"/>
      <c r="N42" s="410"/>
      <c r="O42" s="410"/>
      <c r="P42" s="410"/>
      <c r="Q42" s="410"/>
      <c r="R42" s="410"/>
      <c r="S42" s="410"/>
    </row>
    <row r="43" spans="1:20" x14ac:dyDescent="0.2">
      <c r="L43" s="410"/>
      <c r="M43" s="410"/>
      <c r="N43" s="410"/>
      <c r="O43" s="410"/>
      <c r="P43" s="410"/>
      <c r="Q43" s="410"/>
      <c r="R43" s="410"/>
      <c r="S43" s="410"/>
    </row>
    <row r="44" spans="1:20" x14ac:dyDescent="0.2">
      <c r="L44" s="410"/>
      <c r="M44" s="410"/>
      <c r="N44" s="410"/>
      <c r="O44" s="410"/>
      <c r="P44" s="410"/>
      <c r="Q44" s="410"/>
      <c r="R44" s="410"/>
      <c r="S44" s="410"/>
    </row>
    <row r="45" spans="1:20" x14ac:dyDescent="0.2">
      <c r="L45" s="410"/>
      <c r="M45" s="410"/>
      <c r="N45" s="410"/>
      <c r="O45" s="410"/>
      <c r="P45" s="410"/>
      <c r="Q45" s="410"/>
      <c r="R45" s="410"/>
      <c r="S45" s="410"/>
    </row>
    <row r="46" spans="1:20" x14ac:dyDescent="0.2">
      <c r="L46" s="410"/>
      <c r="M46" s="410"/>
      <c r="N46" s="410"/>
      <c r="O46" s="410"/>
      <c r="P46" s="410"/>
      <c r="Q46" s="410"/>
      <c r="R46" s="410"/>
      <c r="S46" s="410"/>
    </row>
    <row r="47" spans="1:20" x14ac:dyDescent="0.2">
      <c r="L47" s="410"/>
      <c r="M47" s="410"/>
      <c r="N47" s="410"/>
      <c r="O47" s="410"/>
      <c r="P47" s="410"/>
      <c r="Q47" s="410"/>
      <c r="R47" s="410"/>
      <c r="S47" s="410"/>
    </row>
    <row r="48" spans="1:20" x14ac:dyDescent="0.2">
      <c r="L48" s="5"/>
    </row>
    <row r="49" spans="12:13" x14ac:dyDescent="0.2">
      <c r="L49" s="5"/>
      <c r="M49" s="36" t="s">
        <v>150</v>
      </c>
    </row>
    <row r="51" spans="12:13" x14ac:dyDescent="0.2">
      <c r="M51" s="36" t="s">
        <v>151</v>
      </c>
    </row>
    <row r="54" spans="12:13" ht="19" x14ac:dyDescent="0.25">
      <c r="L54" s="3" t="s">
        <v>177</v>
      </c>
    </row>
    <row r="55" spans="12:13" x14ac:dyDescent="0.2">
      <c r="L55" s="71" t="s">
        <v>182</v>
      </c>
    </row>
    <row r="66" spans="12:14" x14ac:dyDescent="0.2">
      <c r="M66" s="37"/>
    </row>
    <row r="67" spans="12:14" x14ac:dyDescent="0.2">
      <c r="L67" s="5"/>
      <c r="M67" s="5"/>
      <c r="N67" s="5"/>
    </row>
    <row r="68" spans="12:14" x14ac:dyDescent="0.2">
      <c r="L68" s="5"/>
      <c r="M68" s="5"/>
      <c r="N68" s="5"/>
    </row>
    <row r="69" spans="12:14" x14ac:dyDescent="0.2">
      <c r="L69" s="5"/>
      <c r="M69" s="5"/>
      <c r="N69" s="5"/>
    </row>
    <row r="70" spans="12:14" x14ac:dyDescent="0.2">
      <c r="M70" s="37"/>
    </row>
    <row r="71" spans="12:14" x14ac:dyDescent="0.2">
      <c r="L71" s="5"/>
      <c r="M71" s="5"/>
      <c r="N71" s="5"/>
    </row>
    <row r="72" spans="12:14" x14ac:dyDescent="0.2">
      <c r="L72" s="5"/>
      <c r="M72" s="5"/>
      <c r="N72" s="5"/>
    </row>
    <row r="73" spans="12:14" x14ac:dyDescent="0.2">
      <c r="L73" s="5"/>
      <c r="M73" s="5"/>
      <c r="N73" s="5"/>
    </row>
    <row r="74" spans="12:14" ht="130" customHeight="1"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M80" s="37"/>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L89" s="5"/>
      <c r="M89" s="5"/>
      <c r="N89" s="5"/>
    </row>
    <row r="90" spans="12:14" x14ac:dyDescent="0.2">
      <c r="M90" s="37"/>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A97" s="5"/>
      <c r="B97" s="5"/>
      <c r="C97" s="5"/>
      <c r="D97" s="5"/>
      <c r="E97" s="5"/>
      <c r="F97" s="5"/>
      <c r="G97" s="5"/>
      <c r="H97" s="5"/>
      <c r="I97" s="5"/>
      <c r="J97" s="5"/>
      <c r="L97" s="5"/>
      <c r="M97" s="5"/>
      <c r="N97" s="5"/>
    </row>
    <row r="98" spans="1:65" x14ac:dyDescent="0.2">
      <c r="A98" s="5"/>
      <c r="B98" s="5"/>
      <c r="C98" s="5"/>
      <c r="D98" s="5"/>
      <c r="E98" s="5"/>
      <c r="F98" s="5"/>
      <c r="G98" s="5"/>
      <c r="H98" s="5"/>
      <c r="I98" s="5"/>
      <c r="J98" s="5"/>
      <c r="L98" s="5"/>
      <c r="M98" s="5"/>
      <c r="N98" s="5"/>
    </row>
    <row r="99" spans="1:65" x14ac:dyDescent="0.2">
      <c r="A99" s="5"/>
      <c r="B99" s="5"/>
      <c r="C99" s="5"/>
      <c r="D99" s="5"/>
      <c r="E99" s="5"/>
      <c r="F99" s="5"/>
      <c r="G99" s="5"/>
      <c r="H99" s="5"/>
      <c r="I99" s="5"/>
      <c r="J99" s="5"/>
      <c r="K99" s="5"/>
      <c r="L99" s="5"/>
      <c r="M99" s="5"/>
      <c r="N99" s="5"/>
    </row>
    <row r="100" spans="1:65" x14ac:dyDescent="0.2">
      <c r="A100" s="5"/>
      <c r="B100" s="5"/>
      <c r="C100" s="5"/>
      <c r="D100" s="5"/>
      <c r="E100" s="5"/>
      <c r="F100" s="5"/>
      <c r="G100" s="5"/>
      <c r="H100" s="5"/>
      <c r="I100" s="5"/>
      <c r="J100" s="5"/>
      <c r="K100" s="5"/>
      <c r="M100" s="37"/>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L202" s="5"/>
      <c r="M202" s="5"/>
      <c r="N202" s="5"/>
      <c r="O202" s="5"/>
      <c r="P202" s="5"/>
      <c r="Q202" s="5"/>
      <c r="R202" s="5"/>
      <c r="S202" s="5"/>
      <c r="T202" s="5"/>
    </row>
  </sheetData>
  <mergeCells count="7">
    <mergeCell ref="L40:S47"/>
    <mergeCell ref="M5:R5"/>
    <mergeCell ref="M16:R16"/>
    <mergeCell ref="A32:J32"/>
    <mergeCell ref="M36:S37"/>
    <mergeCell ref="C16:G16"/>
    <mergeCell ref="B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M171"/>
  <sheetViews>
    <sheetView zoomScaleNormal="100" workbookViewId="0"/>
  </sheetViews>
  <sheetFormatPr baseColWidth="10" defaultColWidth="10.83203125" defaultRowHeight="16" outlineLevelCol="1" x14ac:dyDescent="0.2"/>
  <cols>
    <col min="1" max="1" width="4.6640625" style="36" customWidth="1"/>
    <col min="2" max="2" width="10.83203125" style="36"/>
    <col min="3" max="3" width="11.5" style="36" customWidth="1"/>
    <col min="4" max="5" width="10.83203125" style="36" customWidth="1"/>
    <col min="6" max="10" width="10.83203125" style="36"/>
    <col min="11" max="11" width="11.5" style="36" bestFit="1" customWidth="1"/>
    <col min="12" max="12" width="10.83203125" style="36" hidden="1" customWidth="1" outlineLevel="1"/>
    <col min="13" max="13" width="13.5" style="36" hidden="1" customWidth="1" outlineLevel="1"/>
    <col min="14" max="15" width="12.5" style="36" hidden="1" customWidth="1" outlineLevel="1"/>
    <col min="16" max="16" width="11.5" style="36" hidden="1" customWidth="1" outlineLevel="1"/>
    <col min="17" max="18" width="10.83203125" style="36" hidden="1" customWidth="1" outlineLevel="1"/>
    <col min="19" max="19" width="10.83203125" style="36" collapsed="1"/>
    <col min="20" max="16384" width="10.83203125" style="36"/>
  </cols>
  <sheetData>
    <row r="1" spans="1:16" ht="19" x14ac:dyDescent="0.25">
      <c r="A1" s="1" t="s">
        <v>175</v>
      </c>
      <c r="B1" s="28"/>
      <c r="C1" s="33"/>
      <c r="D1" s="33"/>
      <c r="E1" s="33"/>
      <c r="F1" s="34"/>
      <c r="G1" s="34"/>
      <c r="H1" s="34"/>
      <c r="I1" s="34"/>
      <c r="J1" s="35"/>
      <c r="K1" s="3" t="s">
        <v>154</v>
      </c>
    </row>
    <row r="2" spans="1:16" x14ac:dyDescent="0.2">
      <c r="A2" s="2"/>
      <c r="B2" s="34"/>
      <c r="C2" s="34"/>
      <c r="D2" s="34"/>
      <c r="E2" s="34"/>
      <c r="F2" s="34"/>
      <c r="G2" s="34"/>
      <c r="H2" s="34"/>
      <c r="I2" s="34"/>
      <c r="J2" s="35"/>
      <c r="M2" s="13" t="s">
        <v>49</v>
      </c>
    </row>
    <row r="3" spans="1:16" x14ac:dyDescent="0.2">
      <c r="A3" s="2"/>
      <c r="B3" s="34" t="s">
        <v>6</v>
      </c>
      <c r="C3" s="34"/>
      <c r="D3" s="34"/>
      <c r="E3" s="34"/>
      <c r="F3" s="34"/>
      <c r="G3" s="34"/>
      <c r="H3" s="34"/>
      <c r="I3" s="34"/>
      <c r="J3" s="35"/>
      <c r="M3" s="36" t="s">
        <v>60</v>
      </c>
    </row>
    <row r="4" spans="1:16" x14ac:dyDescent="0.2">
      <c r="A4" s="2"/>
      <c r="B4" s="34"/>
      <c r="C4" s="34"/>
      <c r="D4" s="34"/>
      <c r="E4" s="34"/>
      <c r="F4" s="34"/>
      <c r="G4" s="34"/>
      <c r="H4" s="34"/>
      <c r="I4" s="34"/>
      <c r="J4" s="35"/>
    </row>
    <row r="5" spans="1:16" x14ac:dyDescent="0.2">
      <c r="A5" s="2"/>
      <c r="B5" s="34"/>
      <c r="C5" s="397" t="s">
        <v>33</v>
      </c>
      <c r="D5" s="397"/>
      <c r="E5" s="397"/>
      <c r="F5" s="397"/>
      <c r="G5" s="34"/>
      <c r="H5" s="34"/>
      <c r="I5" s="34"/>
      <c r="J5" s="35"/>
      <c r="M5" s="15" t="s">
        <v>62</v>
      </c>
    </row>
    <row r="6" spans="1:16" ht="34" x14ac:dyDescent="0.2">
      <c r="A6" s="2"/>
      <c r="B6" s="34"/>
      <c r="C6" s="25" t="s">
        <v>7</v>
      </c>
      <c r="D6" s="32" t="s">
        <v>30</v>
      </c>
      <c r="E6" s="32" t="s">
        <v>31</v>
      </c>
      <c r="F6" s="32" t="s">
        <v>32</v>
      </c>
      <c r="G6" s="34"/>
      <c r="H6" s="34"/>
      <c r="I6" s="34"/>
      <c r="J6" s="35"/>
      <c r="M6" s="48" t="s">
        <v>45</v>
      </c>
      <c r="N6" s="49">
        <v>12</v>
      </c>
      <c r="O6" s="49">
        <v>24</v>
      </c>
      <c r="P6" s="49">
        <v>36</v>
      </c>
    </row>
    <row r="7" spans="1:16" x14ac:dyDescent="0.2">
      <c r="A7" s="2"/>
      <c r="B7" s="34"/>
      <c r="C7" s="24">
        <v>2013</v>
      </c>
      <c r="D7" s="11">
        <v>14220</v>
      </c>
      <c r="E7" s="11">
        <v>5250</v>
      </c>
      <c r="F7" s="11">
        <v>1920</v>
      </c>
      <c r="G7" s="34"/>
      <c r="H7" s="34"/>
      <c r="I7" s="34"/>
      <c r="J7" s="35"/>
      <c r="M7" s="50">
        <v>2013</v>
      </c>
      <c r="N7" s="51">
        <f>D7^2/D$14</f>
        <v>337014000</v>
      </c>
      <c r="O7" s="51">
        <f>E7^2/E$14</f>
        <v>91875000</v>
      </c>
      <c r="P7" s="51">
        <f>F7^2/F$14</f>
        <v>36864000</v>
      </c>
    </row>
    <row r="8" spans="1:16" x14ac:dyDescent="0.2">
      <c r="A8" s="2"/>
      <c r="B8" s="34"/>
      <c r="C8" s="24">
        <v>2014</v>
      </c>
      <c r="D8" s="11">
        <v>15360</v>
      </c>
      <c r="E8" s="11">
        <v>5930</v>
      </c>
      <c r="F8" s="8"/>
      <c r="G8" s="34"/>
      <c r="H8" s="34"/>
      <c r="I8" s="34"/>
      <c r="J8" s="35"/>
      <c r="M8" s="50">
        <v>2014</v>
      </c>
      <c r="N8" s="51">
        <f>D8^2/D$14</f>
        <v>393216000</v>
      </c>
      <c r="O8" s="51">
        <f>E8^2/E$14</f>
        <v>117216333.33333334</v>
      </c>
      <c r="P8" s="51"/>
    </row>
    <row r="9" spans="1:16" x14ac:dyDescent="0.2">
      <c r="A9" s="2"/>
      <c r="B9" s="34"/>
      <c r="C9" s="24">
        <v>2015</v>
      </c>
      <c r="D9" s="11">
        <v>14840</v>
      </c>
      <c r="E9" s="8"/>
      <c r="F9" s="8"/>
      <c r="G9" s="34"/>
      <c r="H9" s="34"/>
      <c r="I9" s="34"/>
      <c r="J9" s="35"/>
      <c r="M9" s="50">
        <v>2015</v>
      </c>
      <c r="N9" s="51">
        <f>D9^2/D$14</f>
        <v>367042666.66666669</v>
      </c>
      <c r="O9" s="51"/>
      <c r="P9" s="51"/>
    </row>
    <row r="10" spans="1:16" x14ac:dyDescent="0.2">
      <c r="A10" s="2"/>
      <c r="B10" s="34"/>
      <c r="C10" s="34"/>
      <c r="D10" s="34"/>
      <c r="E10" s="34"/>
      <c r="F10" s="34"/>
      <c r="G10" s="34"/>
      <c r="H10" s="34"/>
      <c r="I10" s="34"/>
      <c r="J10" s="35"/>
    </row>
    <row r="11" spans="1:16" x14ac:dyDescent="0.2">
      <c r="A11" s="2"/>
      <c r="B11" s="52" t="s">
        <v>167</v>
      </c>
      <c r="C11" s="34"/>
      <c r="D11" s="34"/>
      <c r="E11" s="34"/>
      <c r="F11" s="34"/>
      <c r="G11" s="34"/>
      <c r="H11" s="34"/>
      <c r="I11" s="34"/>
      <c r="J11" s="35"/>
      <c r="M11" s="48" t="s">
        <v>45</v>
      </c>
      <c r="N11" s="49" t="s">
        <v>46</v>
      </c>
    </row>
    <row r="12" spans="1:16" x14ac:dyDescent="0.2">
      <c r="A12" s="2"/>
      <c r="B12" s="52"/>
      <c r="C12" s="34"/>
      <c r="D12" s="34"/>
      <c r="E12" s="34"/>
      <c r="F12" s="34"/>
      <c r="G12" s="34"/>
      <c r="H12" s="34"/>
      <c r="I12" s="34"/>
      <c r="J12" s="35"/>
      <c r="M12" s="50">
        <v>2013</v>
      </c>
      <c r="N12" s="51">
        <f>SQRT(SUM(N7:P7)/SUM($D$14:$F$14))</f>
        <v>21581.3113596</v>
      </c>
    </row>
    <row r="13" spans="1:16" ht="17" x14ac:dyDescent="0.2">
      <c r="A13" s="2"/>
      <c r="B13" s="34"/>
      <c r="C13" s="25" t="s">
        <v>55</v>
      </c>
      <c r="D13" s="26" t="s">
        <v>30</v>
      </c>
      <c r="E13" s="26" t="s">
        <v>31</v>
      </c>
      <c r="F13" s="26" t="s">
        <v>32</v>
      </c>
      <c r="G13" s="34"/>
      <c r="H13" s="34"/>
      <c r="I13" s="34"/>
      <c r="J13" s="35"/>
      <c r="M13" s="50">
        <v>2014</v>
      </c>
      <c r="N13" s="51">
        <f>SQRT(SUM(N8:O8)/SUM($D$14:$E$14))</f>
        <v>23814.849087009497</v>
      </c>
      <c r="O13" s="53"/>
    </row>
    <row r="14" spans="1:16" ht="17" customHeight="1" x14ac:dyDescent="0.2">
      <c r="A14" s="2"/>
      <c r="B14" s="34"/>
      <c r="C14" s="24" t="s">
        <v>41</v>
      </c>
      <c r="D14" s="54">
        <v>0.6</v>
      </c>
      <c r="E14" s="54">
        <v>0.3</v>
      </c>
      <c r="F14" s="54">
        <v>0.1</v>
      </c>
      <c r="G14" s="34"/>
      <c r="H14" s="34"/>
      <c r="I14" s="34"/>
      <c r="J14" s="35"/>
      <c r="M14" s="50">
        <v>2015</v>
      </c>
      <c r="N14" s="51">
        <f>SQRT(SUM(N9)/SUM($D$14))</f>
        <v>24733.333333333332</v>
      </c>
    </row>
    <row r="15" spans="1:16" x14ac:dyDescent="0.2">
      <c r="A15" s="2"/>
      <c r="B15" s="34"/>
      <c r="C15" s="34"/>
      <c r="D15" s="34"/>
      <c r="E15" s="34"/>
      <c r="F15" s="34"/>
      <c r="G15" s="34"/>
      <c r="H15" s="34"/>
      <c r="I15" s="34"/>
      <c r="J15" s="35"/>
    </row>
    <row r="16" spans="1:16" x14ac:dyDescent="0.2">
      <c r="A16" s="2"/>
      <c r="B16" s="52" t="s">
        <v>168</v>
      </c>
      <c r="C16" s="34"/>
      <c r="D16" s="34"/>
      <c r="E16" s="34"/>
      <c r="F16" s="34"/>
      <c r="G16" s="34"/>
      <c r="H16" s="34"/>
      <c r="I16" s="34"/>
      <c r="J16" s="35"/>
      <c r="M16" s="14" t="s">
        <v>43</v>
      </c>
    </row>
    <row r="17" spans="1:16" x14ac:dyDescent="0.2">
      <c r="A17" s="2"/>
      <c r="B17" s="34"/>
      <c r="C17" s="34"/>
      <c r="D17" s="34"/>
      <c r="E17" s="34"/>
      <c r="F17" s="34"/>
      <c r="G17" s="34"/>
      <c r="H17" s="34"/>
      <c r="I17" s="34"/>
      <c r="J17" s="35"/>
      <c r="M17" s="36" t="s">
        <v>61</v>
      </c>
    </row>
    <row r="18" spans="1:16" x14ac:dyDescent="0.2">
      <c r="A18" s="2"/>
      <c r="B18" s="34" t="s">
        <v>111</v>
      </c>
      <c r="C18" s="34"/>
      <c r="D18" s="34"/>
      <c r="E18" s="34"/>
      <c r="F18" s="34"/>
      <c r="G18" s="34"/>
      <c r="H18" s="34"/>
      <c r="I18" s="34"/>
      <c r="J18" s="35"/>
    </row>
    <row r="19" spans="1:16" x14ac:dyDescent="0.2">
      <c r="A19" s="2"/>
      <c r="B19" s="34" t="s">
        <v>112</v>
      </c>
      <c r="C19" s="34"/>
      <c r="D19" s="34"/>
      <c r="E19" s="34"/>
      <c r="F19" s="34"/>
      <c r="G19" s="34"/>
      <c r="H19" s="34"/>
      <c r="I19" s="34"/>
      <c r="J19" s="35"/>
      <c r="M19" s="15" t="s">
        <v>63</v>
      </c>
    </row>
    <row r="20" spans="1:16" x14ac:dyDescent="0.2">
      <c r="A20" s="2"/>
      <c r="B20" s="34"/>
      <c r="C20" s="34"/>
      <c r="D20" s="34"/>
      <c r="E20" s="34"/>
      <c r="F20" s="34"/>
      <c r="G20" s="34"/>
      <c r="H20" s="34"/>
      <c r="I20" s="34"/>
      <c r="J20" s="35"/>
      <c r="M20" s="48" t="s">
        <v>45</v>
      </c>
      <c r="N20" s="49">
        <v>12</v>
      </c>
      <c r="O20" s="49">
        <v>24</v>
      </c>
      <c r="P20" s="49">
        <v>36</v>
      </c>
    </row>
    <row r="21" spans="1:16" ht="17" thickBot="1" x14ac:dyDescent="0.25">
      <c r="A21" s="2"/>
      <c r="B21" s="34"/>
      <c r="C21" s="34"/>
      <c r="D21" s="34"/>
      <c r="E21" s="34"/>
      <c r="F21" s="34"/>
      <c r="G21" s="34"/>
      <c r="H21" s="34"/>
      <c r="I21" s="34"/>
      <c r="J21" s="35"/>
      <c r="M21" s="50">
        <v>2013</v>
      </c>
      <c r="N21" s="51">
        <f>D7^2/$N12</f>
        <v>9369.606722718996</v>
      </c>
      <c r="O21" s="51">
        <f>E7^2/$N12</f>
        <v>1277.1466729124129</v>
      </c>
      <c r="P21" s="51">
        <f>F7^2/$N12</f>
        <v>170.81445786936303</v>
      </c>
    </row>
    <row r="22" spans="1:16" ht="17" thickBot="1" x14ac:dyDescent="0.25">
      <c r="A22" s="399" t="s">
        <v>153</v>
      </c>
      <c r="B22" s="400"/>
      <c r="C22" s="400"/>
      <c r="D22" s="400"/>
      <c r="E22" s="400"/>
      <c r="F22" s="400"/>
      <c r="G22" s="400"/>
      <c r="H22" s="400"/>
      <c r="I22" s="400"/>
      <c r="J22" s="401"/>
      <c r="M22" s="50">
        <v>2014</v>
      </c>
      <c r="N22" s="51">
        <f>D8^2/$N13</f>
        <v>9906.8274225888199</v>
      </c>
      <c r="O22" s="51">
        <f>E8^2/$N13</f>
        <v>1476.5955421981539</v>
      </c>
      <c r="P22" s="51"/>
    </row>
    <row r="23" spans="1:16" x14ac:dyDescent="0.2">
      <c r="M23" s="50">
        <v>2015</v>
      </c>
      <c r="N23" s="51">
        <f>D9^2/$N14</f>
        <v>8904</v>
      </c>
      <c r="O23" s="51"/>
      <c r="P23" s="51"/>
    </row>
    <row r="24" spans="1:16" ht="19" x14ac:dyDescent="0.25">
      <c r="A24" s="3"/>
    </row>
    <row r="25" spans="1:16" ht="19" x14ac:dyDescent="0.25">
      <c r="A25" s="3"/>
      <c r="M25" s="55" t="s">
        <v>40</v>
      </c>
      <c r="N25" s="49">
        <v>12</v>
      </c>
      <c r="O25" s="49">
        <v>24</v>
      </c>
      <c r="P25" s="49">
        <v>36</v>
      </c>
    </row>
    <row r="26" spans="1:16" ht="19" x14ac:dyDescent="0.25">
      <c r="A26" s="3"/>
      <c r="M26" s="56" t="s">
        <v>41</v>
      </c>
      <c r="N26" s="57">
        <f>SQRT(SUM(N21:N23)/SUM($N12:$N14))</f>
        <v>0.63390399347888116</v>
      </c>
      <c r="O26" s="57">
        <f>SQRT(SUM(O21:O22)/SUM($N12:$N13))</f>
        <v>0.24629300641294816</v>
      </c>
      <c r="P26" s="57">
        <f>SQRT(SUM(P21)/SUM($N12))</f>
        <v>8.8965863473626575E-2</v>
      </c>
    </row>
    <row r="29" spans="1:16" ht="17" thickBot="1" x14ac:dyDescent="0.25"/>
    <row r="30" spans="1:16" ht="17" thickBot="1" x14ac:dyDescent="0.25">
      <c r="M30" s="76" t="s">
        <v>184</v>
      </c>
      <c r="N30" s="79">
        <f>N14*SUM(O26:P26)</f>
        <v>8292.0693818612817</v>
      </c>
      <c r="O30" s="58" t="s">
        <v>113</v>
      </c>
    </row>
    <row r="32" spans="1:16" ht="19" x14ac:dyDescent="0.25">
      <c r="L32" s="3" t="s">
        <v>146</v>
      </c>
    </row>
    <row r="33" spans="1:12" x14ac:dyDescent="0.2">
      <c r="L33" s="36" t="s">
        <v>148</v>
      </c>
    </row>
    <row r="35" spans="1:12" x14ac:dyDescent="0.2">
      <c r="A35" s="4"/>
    </row>
    <row r="36" spans="1:12" x14ac:dyDescent="0.2">
      <c r="I36" s="37"/>
    </row>
    <row r="37" spans="1:12" ht="19" x14ac:dyDescent="0.25">
      <c r="I37" s="5"/>
      <c r="J37" s="5"/>
      <c r="L37" s="3" t="s">
        <v>177</v>
      </c>
    </row>
    <row r="38" spans="1:12" x14ac:dyDescent="0.2">
      <c r="I38" s="5"/>
      <c r="J38" s="5"/>
      <c r="L38" s="71" t="s">
        <v>180</v>
      </c>
    </row>
    <row r="39" spans="1:12" x14ac:dyDescent="0.2">
      <c r="I39" s="5"/>
      <c r="J39" s="5"/>
    </row>
    <row r="40" spans="1:12" x14ac:dyDescent="0.2">
      <c r="I40" s="5"/>
      <c r="J40" s="5"/>
    </row>
    <row r="41" spans="1:12" x14ac:dyDescent="0.2">
      <c r="I41" s="5"/>
      <c r="J41" s="5"/>
    </row>
    <row r="42" spans="1:12" x14ac:dyDescent="0.2">
      <c r="I42" s="5"/>
      <c r="J42" s="5"/>
    </row>
    <row r="43" spans="1:12" x14ac:dyDescent="0.2">
      <c r="I43" s="5"/>
      <c r="J43" s="5"/>
    </row>
    <row r="44" spans="1:12" x14ac:dyDescent="0.2">
      <c r="I44" s="5"/>
      <c r="J44" s="5"/>
    </row>
    <row r="45" spans="1:12" x14ac:dyDescent="0.2">
      <c r="I45" s="5"/>
      <c r="J45" s="5"/>
    </row>
    <row r="46" spans="1:12" x14ac:dyDescent="0.2">
      <c r="I46" s="5"/>
      <c r="J46" s="5"/>
    </row>
    <row r="47" spans="1:12" x14ac:dyDescent="0.2">
      <c r="I47" s="5"/>
      <c r="J47" s="5"/>
    </row>
    <row r="48" spans="1:12" x14ac:dyDescent="0.2">
      <c r="I48" s="5"/>
      <c r="J48" s="5"/>
    </row>
    <row r="49" spans="3:14" x14ac:dyDescent="0.2">
      <c r="I49" s="5"/>
      <c r="J49" s="5"/>
    </row>
    <row r="50" spans="3:14" x14ac:dyDescent="0.2">
      <c r="I50" s="5"/>
      <c r="J50" s="5"/>
    </row>
    <row r="51" spans="3:14" x14ac:dyDescent="0.2">
      <c r="I51" s="5"/>
      <c r="J51" s="5"/>
    </row>
    <row r="53" spans="3:14" x14ac:dyDescent="0.2">
      <c r="L53" s="5"/>
      <c r="M53" s="5"/>
      <c r="N53" s="5"/>
    </row>
    <row r="54" spans="3:14" x14ac:dyDescent="0.2">
      <c r="L54" s="5"/>
      <c r="M54" s="5"/>
      <c r="N54" s="5"/>
    </row>
    <row r="55" spans="3:14" x14ac:dyDescent="0.2">
      <c r="L55" s="5"/>
      <c r="M55" s="5"/>
      <c r="N55" s="5"/>
    </row>
    <row r="56" spans="3:14" x14ac:dyDescent="0.2">
      <c r="L56" s="5"/>
      <c r="M56" s="5"/>
      <c r="N56" s="5"/>
    </row>
    <row r="57" spans="3:14" x14ac:dyDescent="0.2">
      <c r="C57" s="41"/>
      <c r="D57" s="41"/>
      <c r="E57" s="41"/>
      <c r="F57" s="41"/>
      <c r="G57" s="41"/>
      <c r="H57" s="41"/>
      <c r="I57" s="41"/>
      <c r="J57" s="41"/>
      <c r="L57" s="5"/>
      <c r="M57" s="5"/>
      <c r="N57" s="5"/>
    </row>
    <row r="58" spans="3:14" ht="16" customHeight="1" x14ac:dyDescent="0.2">
      <c r="L58" s="5"/>
      <c r="M58" s="5"/>
      <c r="N58" s="5"/>
    </row>
    <row r="59" spans="3:14" x14ac:dyDescent="0.2">
      <c r="M59" s="37"/>
    </row>
    <row r="60" spans="3:14" x14ac:dyDescent="0.2">
      <c r="L60" s="5"/>
      <c r="M60" s="5"/>
      <c r="N60" s="5"/>
    </row>
    <row r="61" spans="3:14" x14ac:dyDescent="0.2">
      <c r="L61" s="5"/>
      <c r="M61" s="5"/>
      <c r="N61" s="5"/>
    </row>
    <row r="62" spans="3:14" x14ac:dyDescent="0.2">
      <c r="L62" s="5"/>
      <c r="M62" s="5"/>
      <c r="N62" s="5"/>
    </row>
    <row r="63" spans="3:14" x14ac:dyDescent="0.2">
      <c r="L63" s="5"/>
      <c r="M63" s="5"/>
      <c r="N63" s="5"/>
    </row>
    <row r="64" spans="3:14" x14ac:dyDescent="0.2">
      <c r="L64" s="5"/>
      <c r="M64" s="5"/>
      <c r="N64" s="5"/>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A69" s="5"/>
      <c r="B69" s="5"/>
      <c r="C69" s="5"/>
      <c r="D69" s="5"/>
      <c r="E69" s="5"/>
      <c r="F69" s="5"/>
      <c r="G69" s="5"/>
      <c r="H69" s="5"/>
      <c r="I69" s="5"/>
      <c r="J69" s="5"/>
      <c r="K69" s="5"/>
      <c r="M69" s="37"/>
    </row>
    <row r="70" spans="1:65"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row>
    <row r="71" spans="1:65"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row>
    <row r="72" spans="1:65"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row>
    <row r="73" spans="1:65"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row>
    <row r="74" spans="1:65"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sheetData>
  <mergeCells count="2">
    <mergeCell ref="C5:F5"/>
    <mergeCell ref="A22:J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dimension ref="A1:BM196"/>
  <sheetViews>
    <sheetView zoomScaleNormal="100" workbookViewId="0"/>
  </sheetViews>
  <sheetFormatPr baseColWidth="10" defaultColWidth="10.83203125" defaultRowHeight="16" outlineLevelCol="1" x14ac:dyDescent="0.2"/>
  <cols>
    <col min="1" max="1" width="4.6640625" style="36" customWidth="1"/>
    <col min="2" max="2" width="10.83203125" style="36"/>
    <col min="3" max="3" width="10" style="36" customWidth="1"/>
    <col min="4" max="4" width="11.33203125" style="36" customWidth="1"/>
    <col min="5" max="5" width="11.83203125" style="36" customWidth="1"/>
    <col min="6" max="6" width="11.1640625" style="36" customWidth="1"/>
    <col min="7" max="11" width="10" style="36" customWidth="1"/>
    <col min="12" max="12" width="11.5" style="36" bestFit="1" customWidth="1"/>
    <col min="13" max="16" width="10.83203125" style="36" hidden="1" customWidth="1" outlineLevel="1"/>
    <col min="17" max="17" width="11.5" style="36" hidden="1" customWidth="1" outlineLevel="1"/>
    <col min="18" max="18" width="11.33203125" style="36" hidden="1" customWidth="1" outlineLevel="1"/>
    <col min="19" max="20" width="10.83203125" style="36" hidden="1" customWidth="1" outlineLevel="1"/>
    <col min="21" max="21" width="10.83203125" style="36" collapsed="1"/>
    <col min="22" max="16384" width="10.83203125" style="36"/>
  </cols>
  <sheetData>
    <row r="1" spans="1:22" ht="19" x14ac:dyDescent="0.25">
      <c r="A1" s="1" t="s">
        <v>176</v>
      </c>
      <c r="B1" s="28"/>
      <c r="C1" s="33"/>
      <c r="D1" s="33"/>
      <c r="E1" s="33"/>
      <c r="F1" s="39"/>
      <c r="G1" s="39"/>
      <c r="H1" s="39"/>
      <c r="I1" s="39"/>
      <c r="J1" s="39"/>
      <c r="K1" s="40"/>
      <c r="L1" s="3" t="s">
        <v>154</v>
      </c>
    </row>
    <row r="2" spans="1:22" x14ac:dyDescent="0.2">
      <c r="A2" s="2"/>
      <c r="B2" s="34"/>
      <c r="C2" s="34"/>
      <c r="D2" s="34"/>
      <c r="E2" s="34"/>
      <c r="F2" s="34"/>
      <c r="G2" s="34"/>
      <c r="H2" s="34"/>
      <c r="I2" s="34"/>
      <c r="J2" s="34"/>
      <c r="K2" s="35"/>
      <c r="M2" s="13" t="s">
        <v>3</v>
      </c>
      <c r="O2" s="37"/>
    </row>
    <row r="3" spans="1:22" ht="16" customHeight="1" x14ac:dyDescent="0.2">
      <c r="A3" s="2"/>
      <c r="B3" s="34" t="s">
        <v>114</v>
      </c>
      <c r="C3" s="34"/>
      <c r="D3" s="34"/>
      <c r="E3" s="34"/>
      <c r="F3" s="34"/>
      <c r="G3" s="34"/>
      <c r="H3" s="34"/>
      <c r="I3" s="34"/>
      <c r="J3" s="34"/>
      <c r="K3" s="35"/>
      <c r="N3" s="398" t="s">
        <v>140</v>
      </c>
      <c r="O3" s="398"/>
      <c r="P3" s="398"/>
      <c r="Q3" s="398"/>
      <c r="R3" s="398"/>
      <c r="S3" s="398"/>
      <c r="T3" s="398"/>
      <c r="U3" s="41"/>
      <c r="V3" s="41"/>
    </row>
    <row r="4" spans="1:22" x14ac:dyDescent="0.2">
      <c r="A4" s="2"/>
      <c r="B4" s="34" t="s">
        <v>115</v>
      </c>
      <c r="C4" s="34"/>
      <c r="D4" s="34"/>
      <c r="E4" s="34"/>
      <c r="F4" s="34"/>
      <c r="G4" s="34"/>
      <c r="H4" s="34"/>
      <c r="I4" s="34"/>
      <c r="J4" s="34"/>
      <c r="K4" s="35"/>
      <c r="N4" s="398"/>
      <c r="O4" s="398"/>
      <c r="P4" s="398"/>
      <c r="Q4" s="398"/>
      <c r="R4" s="398"/>
      <c r="S4" s="398"/>
      <c r="T4" s="398"/>
    </row>
    <row r="5" spans="1:22" x14ac:dyDescent="0.2">
      <c r="A5" s="2"/>
      <c r="B5" s="34" t="s">
        <v>116</v>
      </c>
      <c r="C5" s="34"/>
      <c r="D5" s="34"/>
      <c r="E5" s="34"/>
      <c r="F5" s="34"/>
      <c r="G5" s="34"/>
      <c r="H5" s="34"/>
      <c r="I5" s="34"/>
      <c r="J5" s="34"/>
      <c r="K5" s="35"/>
      <c r="N5" s="398"/>
      <c r="O5" s="398"/>
      <c r="P5" s="398"/>
      <c r="Q5" s="398"/>
      <c r="R5" s="398"/>
      <c r="S5" s="398"/>
      <c r="T5" s="398"/>
    </row>
    <row r="6" spans="1:22" x14ac:dyDescent="0.2">
      <c r="A6" s="2"/>
      <c r="B6" s="34"/>
      <c r="C6" s="34"/>
      <c r="D6" s="34"/>
      <c r="E6" s="34"/>
      <c r="F6" s="34"/>
      <c r="G6" s="34"/>
      <c r="H6" s="34"/>
      <c r="I6" s="34"/>
      <c r="J6" s="34"/>
      <c r="K6" s="35"/>
      <c r="N6" s="398"/>
      <c r="O6" s="398"/>
      <c r="P6" s="398"/>
      <c r="Q6" s="398"/>
      <c r="R6" s="398"/>
      <c r="S6" s="398"/>
      <c r="T6" s="398"/>
    </row>
    <row r="7" spans="1:22" ht="17" x14ac:dyDescent="0.2">
      <c r="A7" s="2"/>
      <c r="B7" s="25"/>
      <c r="C7" s="26" t="s">
        <v>117</v>
      </c>
      <c r="D7" s="26" t="s">
        <v>118</v>
      </c>
      <c r="E7" s="26" t="s">
        <v>119</v>
      </c>
      <c r="F7" s="26" t="s">
        <v>120</v>
      </c>
      <c r="G7" s="26" t="s">
        <v>121</v>
      </c>
      <c r="H7" s="26" t="s">
        <v>122</v>
      </c>
      <c r="I7" s="26" t="s">
        <v>123</v>
      </c>
      <c r="J7" s="26" t="s">
        <v>124</v>
      </c>
      <c r="K7" s="30" t="s">
        <v>125</v>
      </c>
    </row>
    <row r="8" spans="1:22" ht="17" x14ac:dyDescent="0.2">
      <c r="A8" s="2"/>
      <c r="B8" s="24" t="s">
        <v>126</v>
      </c>
      <c r="C8" s="8">
        <v>1.26</v>
      </c>
      <c r="D8" s="8">
        <v>0.33</v>
      </c>
      <c r="E8" s="8">
        <v>0.18</v>
      </c>
      <c r="F8" s="8">
        <v>0.09</v>
      </c>
      <c r="G8" s="8">
        <v>0.05</v>
      </c>
      <c r="H8" s="8">
        <v>0.03</v>
      </c>
      <c r="I8" s="8">
        <v>0.02</v>
      </c>
      <c r="J8" s="8">
        <v>0.01</v>
      </c>
      <c r="K8" s="7">
        <v>-5.0000000000000001E-3</v>
      </c>
      <c r="M8" s="13" t="s">
        <v>4</v>
      </c>
      <c r="O8" s="37"/>
    </row>
    <row r="9" spans="1:22" ht="34" x14ac:dyDescent="0.2">
      <c r="A9" s="2"/>
      <c r="B9" s="24" t="s">
        <v>127</v>
      </c>
      <c r="C9" s="8">
        <v>7.2999999999999995E-2</v>
      </c>
      <c r="D9" s="8">
        <v>2.7E-2</v>
      </c>
      <c r="E9" s="8">
        <v>1.7999999999999999E-2</v>
      </c>
      <c r="F9" s="8">
        <v>8.9999999999999993E-3</v>
      </c>
      <c r="G9" s="8">
        <v>8.9999999999999993E-3</v>
      </c>
      <c r="H9" s="8">
        <v>3.0000000000000001E-3</v>
      </c>
      <c r="I9" s="8">
        <v>3.0000000000000001E-3</v>
      </c>
      <c r="J9" s="8">
        <v>1.0999999999999999E-2</v>
      </c>
      <c r="K9" s="7">
        <v>0</v>
      </c>
      <c r="N9" s="36" t="s">
        <v>141</v>
      </c>
    </row>
    <row r="10" spans="1:22" ht="18" customHeight="1" x14ac:dyDescent="0.2">
      <c r="A10" s="2"/>
      <c r="B10" s="34"/>
      <c r="C10" s="34"/>
      <c r="D10" s="34"/>
      <c r="E10" s="34"/>
      <c r="F10" s="34"/>
      <c r="G10" s="34"/>
      <c r="H10" s="34"/>
      <c r="I10" s="34"/>
      <c r="J10" s="34"/>
      <c r="K10" s="35"/>
    </row>
    <row r="11" spans="1:22" x14ac:dyDescent="0.2">
      <c r="A11" s="2"/>
      <c r="B11" s="34" t="s">
        <v>128</v>
      </c>
      <c r="C11" s="34"/>
      <c r="D11" s="34"/>
      <c r="E11" s="34"/>
      <c r="F11" s="34"/>
      <c r="G11" s="34"/>
      <c r="H11" s="34"/>
      <c r="I11" s="34"/>
      <c r="J11" s="34"/>
      <c r="K11" s="35"/>
      <c r="N11" s="36" t="s">
        <v>104</v>
      </c>
    </row>
    <row r="12" spans="1:22" x14ac:dyDescent="0.2">
      <c r="A12" s="2"/>
      <c r="B12" s="34"/>
      <c r="C12" s="34"/>
      <c r="D12" s="34"/>
      <c r="E12" s="34"/>
      <c r="F12" s="34"/>
      <c r="G12" s="34"/>
      <c r="H12" s="34"/>
      <c r="I12" s="34"/>
      <c r="J12" s="34"/>
      <c r="K12" s="35"/>
    </row>
    <row r="13" spans="1:22" x14ac:dyDescent="0.2">
      <c r="A13" s="2"/>
      <c r="B13" s="34" t="s">
        <v>129</v>
      </c>
      <c r="C13" s="34"/>
      <c r="D13" s="34"/>
      <c r="E13" s="34"/>
      <c r="F13" s="34"/>
      <c r="G13" s="34"/>
      <c r="H13" s="34"/>
      <c r="I13" s="34"/>
      <c r="J13" s="34"/>
      <c r="K13" s="35"/>
      <c r="N13" s="398" t="s">
        <v>142</v>
      </c>
      <c r="O13" s="398"/>
      <c r="P13" s="398"/>
      <c r="Q13" s="398"/>
      <c r="R13" s="398"/>
      <c r="S13" s="398"/>
      <c r="T13" s="398"/>
    </row>
    <row r="14" spans="1:22" x14ac:dyDescent="0.2">
      <c r="A14" s="2"/>
      <c r="B14" s="34" t="s">
        <v>130</v>
      </c>
      <c r="C14" s="34"/>
      <c r="D14" s="34"/>
      <c r="E14" s="34"/>
      <c r="F14" s="34"/>
      <c r="G14" s="34"/>
      <c r="H14" s="34"/>
      <c r="I14" s="34"/>
      <c r="J14" s="34"/>
      <c r="K14" s="35"/>
      <c r="N14" s="398"/>
      <c r="O14" s="398"/>
      <c r="P14" s="398"/>
      <c r="Q14" s="398"/>
      <c r="R14" s="398"/>
      <c r="S14" s="398"/>
      <c r="T14" s="398"/>
    </row>
    <row r="15" spans="1:22" x14ac:dyDescent="0.2">
      <c r="A15" s="2"/>
      <c r="B15" s="34"/>
      <c r="C15" s="34"/>
      <c r="D15" s="34"/>
      <c r="E15" s="34"/>
      <c r="F15" s="34"/>
      <c r="G15" s="34"/>
      <c r="H15" s="34"/>
      <c r="I15" s="34"/>
      <c r="J15" s="34"/>
      <c r="K15" s="35"/>
      <c r="N15" s="38"/>
      <c r="O15" s="38"/>
      <c r="P15" s="38"/>
      <c r="Q15" s="38"/>
      <c r="R15" s="38"/>
      <c r="S15" s="38"/>
      <c r="T15" s="38"/>
    </row>
    <row r="16" spans="1:22" x14ac:dyDescent="0.2">
      <c r="A16" s="2"/>
      <c r="B16" s="34"/>
      <c r="C16" s="403" t="s">
        <v>131</v>
      </c>
      <c r="D16" s="405"/>
      <c r="E16" s="44" t="s">
        <v>135</v>
      </c>
      <c r="F16" s="34"/>
      <c r="G16" s="34"/>
      <c r="H16" s="34"/>
      <c r="I16" s="34"/>
      <c r="J16" s="34"/>
      <c r="K16" s="35"/>
      <c r="O16" s="409" t="s">
        <v>131</v>
      </c>
      <c r="P16" s="407"/>
      <c r="Q16" s="42" t="s">
        <v>143</v>
      </c>
      <c r="R16" s="43" t="s">
        <v>144</v>
      </c>
    </row>
    <row r="17" spans="1:22" x14ac:dyDescent="0.2">
      <c r="A17" s="2"/>
      <c r="B17" s="34"/>
      <c r="C17" s="34" t="s">
        <v>132</v>
      </c>
      <c r="D17" s="23"/>
      <c r="E17" s="46">
        <v>5161771</v>
      </c>
      <c r="F17" s="34"/>
      <c r="G17" s="34"/>
      <c r="H17" s="34"/>
      <c r="I17" s="34"/>
      <c r="J17" s="34"/>
      <c r="K17" s="35"/>
      <c r="O17" s="36" t="s">
        <v>132</v>
      </c>
      <c r="P17" s="27"/>
      <c r="Q17" s="45">
        <v>9</v>
      </c>
      <c r="R17" s="45">
        <f>E17/(45-Q17)^2</f>
        <v>3982.8479938271603</v>
      </c>
    </row>
    <row r="18" spans="1:22" x14ac:dyDescent="0.2">
      <c r="A18" s="2"/>
      <c r="B18" s="34"/>
      <c r="C18" s="34" t="s">
        <v>133</v>
      </c>
      <c r="D18" s="23"/>
      <c r="E18" s="46">
        <v>2623149</v>
      </c>
      <c r="F18" s="34"/>
      <c r="G18" s="34"/>
      <c r="H18" s="34"/>
      <c r="I18" s="34"/>
      <c r="J18" s="34"/>
      <c r="K18" s="35"/>
      <c r="O18" s="36" t="s">
        <v>133</v>
      </c>
      <c r="P18" s="27"/>
      <c r="Q18" s="45">
        <v>18</v>
      </c>
      <c r="R18" s="45">
        <f>E18/(45-Q18)^2</f>
        <v>3598.2839506172841</v>
      </c>
    </row>
    <row r="19" spans="1:22" x14ac:dyDescent="0.2">
      <c r="A19" s="2"/>
      <c r="B19" s="34"/>
      <c r="C19" s="34" t="s">
        <v>134</v>
      </c>
      <c r="D19" s="23"/>
      <c r="E19" s="46">
        <v>5947013</v>
      </c>
      <c r="F19" s="34"/>
      <c r="G19" s="34"/>
      <c r="H19" s="34"/>
      <c r="I19" s="34"/>
      <c r="J19" s="34"/>
      <c r="K19" s="35"/>
      <c r="O19" s="36" t="s">
        <v>134</v>
      </c>
      <c r="P19" s="27"/>
      <c r="Q19" s="45">
        <v>9</v>
      </c>
      <c r="R19" s="45">
        <f>E19/(45-Q19)^2</f>
        <v>4588.7445987654319</v>
      </c>
    </row>
    <row r="20" spans="1:22" x14ac:dyDescent="0.2">
      <c r="A20" s="2"/>
      <c r="B20" s="34"/>
      <c r="C20" s="34"/>
      <c r="D20" s="34"/>
      <c r="E20" s="34"/>
      <c r="F20" s="34"/>
      <c r="G20" s="34"/>
      <c r="H20" s="34"/>
      <c r="I20" s="34"/>
      <c r="J20" s="34"/>
      <c r="K20" s="35"/>
      <c r="O20" s="37"/>
    </row>
    <row r="21" spans="1:22" x14ac:dyDescent="0.2">
      <c r="A21" s="47" t="s">
        <v>0</v>
      </c>
      <c r="B21" s="34" t="s">
        <v>136</v>
      </c>
      <c r="C21" s="34"/>
      <c r="D21" s="34"/>
      <c r="E21" s="34"/>
      <c r="F21" s="34"/>
      <c r="G21" s="34"/>
      <c r="H21" s="34"/>
      <c r="I21" s="34"/>
      <c r="J21" s="34"/>
      <c r="K21" s="35"/>
      <c r="N21" s="398" t="s">
        <v>156</v>
      </c>
      <c r="O21" s="398"/>
      <c r="P21" s="398"/>
      <c r="Q21" s="398"/>
      <c r="R21" s="398"/>
      <c r="S21" s="398"/>
      <c r="T21" s="398"/>
    </row>
    <row r="22" spans="1:22" x14ac:dyDescent="0.2">
      <c r="A22" s="2"/>
      <c r="B22" s="34"/>
      <c r="C22" s="34"/>
      <c r="D22" s="34"/>
      <c r="E22" s="34"/>
      <c r="F22" s="34"/>
      <c r="G22" s="34"/>
      <c r="H22" s="34"/>
      <c r="I22" s="34"/>
      <c r="J22" s="34"/>
      <c r="K22" s="35"/>
      <c r="N22" s="398"/>
      <c r="O22" s="398"/>
      <c r="P22" s="398"/>
      <c r="Q22" s="398"/>
      <c r="R22" s="398"/>
      <c r="S22" s="398"/>
      <c r="T22" s="398"/>
    </row>
    <row r="23" spans="1:22" x14ac:dyDescent="0.2">
      <c r="A23" s="2"/>
      <c r="B23" s="34"/>
      <c r="C23" s="34"/>
      <c r="D23" s="34"/>
      <c r="E23" s="34"/>
      <c r="F23" s="34"/>
      <c r="G23" s="34"/>
      <c r="H23" s="34"/>
      <c r="I23" s="34"/>
      <c r="J23" s="34"/>
      <c r="K23" s="35"/>
      <c r="N23" s="398"/>
      <c r="O23" s="398"/>
      <c r="P23" s="398"/>
      <c r="Q23" s="398"/>
      <c r="R23" s="398"/>
      <c r="S23" s="398"/>
      <c r="T23" s="398"/>
    </row>
    <row r="24" spans="1:22" x14ac:dyDescent="0.2">
      <c r="A24" s="47" t="s">
        <v>1</v>
      </c>
      <c r="B24" s="34" t="s">
        <v>137</v>
      </c>
      <c r="C24" s="34"/>
      <c r="D24" s="34"/>
      <c r="E24" s="34"/>
      <c r="F24" s="34"/>
      <c r="G24" s="34"/>
      <c r="H24" s="34"/>
      <c r="I24" s="34"/>
      <c r="J24" s="34"/>
      <c r="K24" s="35"/>
    </row>
    <row r="25" spans="1:22" ht="16" customHeight="1" x14ac:dyDescent="0.2">
      <c r="A25" s="2"/>
      <c r="B25" s="34" t="s">
        <v>138</v>
      </c>
      <c r="C25" s="34"/>
      <c r="D25" s="34"/>
      <c r="E25" s="34"/>
      <c r="F25" s="34"/>
      <c r="G25" s="34"/>
      <c r="H25" s="34"/>
      <c r="I25" s="34"/>
      <c r="J25" s="34"/>
      <c r="K25" s="35"/>
      <c r="M25" s="13" t="s">
        <v>5</v>
      </c>
      <c r="U25" s="41"/>
      <c r="V25" s="41"/>
    </row>
    <row r="26" spans="1:22" ht="16" customHeight="1" x14ac:dyDescent="0.2">
      <c r="A26" s="2"/>
      <c r="B26" s="34"/>
      <c r="C26" s="34"/>
      <c r="D26" s="34"/>
      <c r="E26" s="34"/>
      <c r="F26" s="34"/>
      <c r="G26" s="34"/>
      <c r="H26" s="34"/>
      <c r="I26" s="34"/>
      <c r="J26" s="34"/>
      <c r="K26" s="35"/>
      <c r="N26" s="398" t="s">
        <v>145</v>
      </c>
      <c r="O26" s="398"/>
      <c r="P26" s="398"/>
      <c r="Q26" s="398"/>
      <c r="R26" s="398"/>
      <c r="S26" s="398"/>
      <c r="T26" s="398"/>
    </row>
    <row r="27" spans="1:22" x14ac:dyDescent="0.2">
      <c r="A27" s="2"/>
      <c r="B27" s="34"/>
      <c r="C27" s="34"/>
      <c r="D27" s="34"/>
      <c r="E27" s="34"/>
      <c r="F27" s="34"/>
      <c r="G27" s="34"/>
      <c r="H27" s="34"/>
      <c r="I27" s="34"/>
      <c r="J27" s="34"/>
      <c r="K27" s="35"/>
      <c r="N27" s="398"/>
      <c r="O27" s="398"/>
      <c r="P27" s="398"/>
      <c r="Q27" s="398"/>
      <c r="R27" s="398"/>
      <c r="S27" s="398"/>
      <c r="T27" s="398"/>
    </row>
    <row r="28" spans="1:22" x14ac:dyDescent="0.2">
      <c r="A28" s="47" t="s">
        <v>2</v>
      </c>
      <c r="B28" s="34" t="s">
        <v>139</v>
      </c>
      <c r="C28" s="34"/>
      <c r="D28" s="34"/>
      <c r="E28" s="34"/>
      <c r="F28" s="34"/>
      <c r="G28" s="34"/>
      <c r="H28" s="34"/>
      <c r="I28" s="34"/>
      <c r="J28" s="34"/>
      <c r="K28" s="35"/>
      <c r="N28" s="398"/>
      <c r="O28" s="398"/>
      <c r="P28" s="398"/>
      <c r="Q28" s="398"/>
      <c r="R28" s="398"/>
      <c r="S28" s="398"/>
      <c r="T28" s="398"/>
    </row>
    <row r="29" spans="1:22" x14ac:dyDescent="0.2">
      <c r="A29" s="2"/>
      <c r="B29" s="34"/>
      <c r="C29" s="34"/>
      <c r="D29" s="34"/>
      <c r="E29" s="34"/>
      <c r="F29" s="34"/>
      <c r="G29" s="34"/>
      <c r="H29" s="34"/>
      <c r="I29" s="34"/>
      <c r="J29" s="34"/>
      <c r="K29" s="35"/>
      <c r="N29" s="398"/>
      <c r="O29" s="398"/>
      <c r="P29" s="398"/>
      <c r="Q29" s="398"/>
      <c r="R29" s="398"/>
      <c r="S29" s="398"/>
      <c r="T29" s="398"/>
    </row>
    <row r="30" spans="1:22" ht="17" thickBot="1" x14ac:dyDescent="0.25">
      <c r="A30" s="2"/>
      <c r="B30" s="34"/>
      <c r="C30" s="34"/>
      <c r="D30" s="34"/>
      <c r="E30" s="34"/>
      <c r="F30" s="34"/>
      <c r="G30" s="34"/>
      <c r="H30" s="34"/>
      <c r="I30" s="34"/>
      <c r="J30" s="34"/>
      <c r="K30" s="35"/>
      <c r="N30" s="398"/>
      <c r="O30" s="398"/>
      <c r="P30" s="398"/>
      <c r="Q30" s="398"/>
      <c r="R30" s="398"/>
      <c r="S30" s="398"/>
      <c r="T30" s="398"/>
    </row>
    <row r="31" spans="1:22" ht="17" thickBot="1" x14ac:dyDescent="0.25">
      <c r="A31" s="399" t="s">
        <v>153</v>
      </c>
      <c r="B31" s="400"/>
      <c r="C31" s="400"/>
      <c r="D31" s="400"/>
      <c r="E31" s="400"/>
      <c r="F31" s="400"/>
      <c r="G31" s="400"/>
      <c r="H31" s="400"/>
      <c r="I31" s="400"/>
      <c r="J31" s="400"/>
      <c r="K31" s="401"/>
      <c r="N31" s="398"/>
      <c r="O31" s="398"/>
      <c r="P31" s="398"/>
      <c r="Q31" s="398"/>
      <c r="R31" s="398"/>
      <c r="S31" s="398"/>
      <c r="T31" s="398"/>
    </row>
    <row r="32" spans="1:22" x14ac:dyDescent="0.2">
      <c r="N32" s="398"/>
      <c r="O32" s="398"/>
      <c r="P32" s="398"/>
      <c r="Q32" s="398"/>
      <c r="R32" s="398"/>
      <c r="S32" s="398"/>
      <c r="T32" s="398"/>
    </row>
    <row r="33" spans="1:22" ht="19" x14ac:dyDescent="0.25">
      <c r="A33" s="3"/>
      <c r="N33" s="398"/>
      <c r="O33" s="398"/>
      <c r="P33" s="398"/>
      <c r="Q33" s="398"/>
      <c r="R33" s="398"/>
      <c r="S33" s="398"/>
      <c r="T33" s="398"/>
    </row>
    <row r="35" spans="1:22" ht="16" customHeight="1" x14ac:dyDescent="0.25">
      <c r="M35" s="3" t="s">
        <v>146</v>
      </c>
      <c r="U35" s="41"/>
      <c r="V35" s="41"/>
    </row>
    <row r="36" spans="1:22" x14ac:dyDescent="0.2">
      <c r="M36" s="410" t="s">
        <v>147</v>
      </c>
      <c r="N36" s="410"/>
      <c r="O36" s="410"/>
      <c r="P36" s="410"/>
      <c r="Q36" s="410"/>
      <c r="R36" s="410"/>
      <c r="S36" s="410"/>
      <c r="T36" s="410"/>
    </row>
    <row r="37" spans="1:22" x14ac:dyDescent="0.2">
      <c r="L37" s="5"/>
      <c r="M37" s="410"/>
      <c r="N37" s="410"/>
      <c r="O37" s="410"/>
      <c r="P37" s="410"/>
      <c r="Q37" s="410"/>
      <c r="R37" s="410"/>
      <c r="S37" s="410"/>
      <c r="T37" s="410"/>
    </row>
    <row r="38" spans="1:22" x14ac:dyDescent="0.2">
      <c r="M38" s="410"/>
      <c r="N38" s="410"/>
      <c r="O38" s="410"/>
      <c r="P38" s="410"/>
      <c r="Q38" s="410"/>
      <c r="R38" s="410"/>
      <c r="S38" s="410"/>
      <c r="T38" s="410"/>
    </row>
    <row r="39" spans="1:22" x14ac:dyDescent="0.2">
      <c r="M39" s="410"/>
      <c r="N39" s="410"/>
      <c r="O39" s="410"/>
      <c r="P39" s="410"/>
      <c r="Q39" s="410"/>
      <c r="R39" s="410"/>
      <c r="S39" s="410"/>
      <c r="T39" s="410"/>
    </row>
    <row r="40" spans="1:22" x14ac:dyDescent="0.2">
      <c r="M40" s="410"/>
      <c r="N40" s="410"/>
      <c r="O40" s="410"/>
      <c r="P40" s="410"/>
      <c r="Q40" s="410"/>
      <c r="R40" s="410"/>
      <c r="S40" s="410"/>
      <c r="T40" s="410"/>
    </row>
    <row r="43" spans="1:22" ht="19" x14ac:dyDescent="0.25">
      <c r="M43" s="3" t="s">
        <v>177</v>
      </c>
    </row>
    <row r="44" spans="1:22" x14ac:dyDescent="0.2">
      <c r="M44" s="71" t="s">
        <v>182</v>
      </c>
    </row>
    <row r="51" spans="3:14" x14ac:dyDescent="0.2">
      <c r="C51" s="37"/>
    </row>
    <row r="54" spans="3:14" x14ac:dyDescent="0.2">
      <c r="L54" s="5"/>
      <c r="M54" s="37"/>
    </row>
    <row r="55" spans="3:14" x14ac:dyDescent="0.2">
      <c r="L55" s="5"/>
      <c r="M55" s="5"/>
      <c r="N55" s="5"/>
    </row>
    <row r="56" spans="3:14" x14ac:dyDescent="0.2">
      <c r="L56" s="5"/>
      <c r="M56" s="5"/>
      <c r="N56" s="5"/>
    </row>
    <row r="57" spans="3:14" x14ac:dyDescent="0.2">
      <c r="L57" s="5"/>
      <c r="M57" s="5"/>
      <c r="N57" s="5"/>
    </row>
    <row r="58" spans="3:14" ht="87" customHeight="1" x14ac:dyDescent="0.2">
      <c r="L58" s="5"/>
      <c r="M58" s="5"/>
      <c r="N58" s="5"/>
    </row>
    <row r="59" spans="3:14" x14ac:dyDescent="0.2">
      <c r="L59" s="5"/>
      <c r="M59" s="5"/>
      <c r="N59" s="5"/>
    </row>
    <row r="60" spans="3:14" x14ac:dyDescent="0.2">
      <c r="L60" s="5"/>
      <c r="M60" s="5"/>
      <c r="N60" s="5"/>
    </row>
    <row r="61" spans="3:14" x14ac:dyDescent="0.2">
      <c r="L61" s="5"/>
      <c r="M61" s="5"/>
      <c r="N61" s="5"/>
    </row>
    <row r="62" spans="3:14" x14ac:dyDescent="0.2">
      <c r="L62" s="5"/>
      <c r="M62" s="5"/>
      <c r="N62" s="5"/>
    </row>
    <row r="63" spans="3:14" x14ac:dyDescent="0.2">
      <c r="M63" s="5"/>
      <c r="N63" s="5"/>
    </row>
    <row r="64" spans="3:14" x14ac:dyDescent="0.2">
      <c r="L64" s="5"/>
      <c r="M64" s="37"/>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M73" s="5"/>
      <c r="N73" s="5"/>
    </row>
    <row r="74" spans="12:14" x14ac:dyDescent="0.2">
      <c r="L74" s="5"/>
      <c r="M74" s="37"/>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M83" s="5"/>
      <c r="N83" s="5"/>
    </row>
    <row r="84" spans="1:65" x14ac:dyDescent="0.2">
      <c r="L84" s="5"/>
      <c r="M84" s="37"/>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L90" s="5"/>
      <c r="M90" s="5"/>
      <c r="N90" s="5"/>
    </row>
    <row r="91" spans="1:65" x14ac:dyDescent="0.2">
      <c r="L91" s="5"/>
      <c r="M91" s="5"/>
      <c r="N91" s="5"/>
    </row>
    <row r="92" spans="1:65" x14ac:dyDescent="0.2">
      <c r="L92" s="5"/>
      <c r="M92" s="5"/>
      <c r="N92" s="5"/>
    </row>
    <row r="93" spans="1:65" x14ac:dyDescent="0.2">
      <c r="A93" s="5"/>
      <c r="B93" s="5"/>
      <c r="C93" s="5"/>
      <c r="D93" s="5"/>
      <c r="E93" s="5"/>
      <c r="F93" s="5"/>
      <c r="G93" s="5"/>
      <c r="H93" s="5"/>
      <c r="I93" s="5"/>
      <c r="J93" s="5"/>
      <c r="K93" s="5"/>
      <c r="M93" s="5"/>
      <c r="N93" s="5"/>
    </row>
    <row r="94" spans="1:65" x14ac:dyDescent="0.2">
      <c r="A94" s="5"/>
      <c r="B94" s="5"/>
      <c r="C94" s="5"/>
      <c r="D94" s="5"/>
      <c r="E94" s="5"/>
      <c r="F94" s="5"/>
      <c r="G94" s="5"/>
      <c r="H94" s="5"/>
      <c r="I94" s="5"/>
      <c r="J94" s="5"/>
      <c r="K94" s="5"/>
      <c r="L94" s="5"/>
      <c r="M94" s="37"/>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M196" s="5"/>
      <c r="N196" s="5"/>
      <c r="O196" s="5"/>
      <c r="P196" s="5"/>
      <c r="Q196" s="5"/>
      <c r="R196" s="5"/>
      <c r="S196" s="5"/>
      <c r="T196" s="5"/>
    </row>
  </sheetData>
  <mergeCells count="8">
    <mergeCell ref="M36:T40"/>
    <mergeCell ref="C16:D16"/>
    <mergeCell ref="O16:P16"/>
    <mergeCell ref="A31:K31"/>
    <mergeCell ref="N3:T6"/>
    <mergeCell ref="N13:T14"/>
    <mergeCell ref="N21:T23"/>
    <mergeCell ref="N26:T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38577-AC7E-A84A-9AB9-2967947B5AFA}">
  <dimension ref="A1:T69"/>
  <sheetViews>
    <sheetView workbookViewId="0"/>
  </sheetViews>
  <sheetFormatPr baseColWidth="10" defaultColWidth="11" defaultRowHeight="16" outlineLevelCol="1" x14ac:dyDescent="0.2"/>
  <cols>
    <col min="1" max="1" width="4.5" customWidth="1"/>
    <col min="2" max="10" width="10.83203125" customWidth="1"/>
    <col min="11" max="11" width="10.5" customWidth="1"/>
    <col min="12" max="12" width="11.1640625" bestFit="1" customWidth="1"/>
    <col min="13" max="13" width="15.83203125" hidden="1" customWidth="1" outlineLevel="1"/>
    <col min="14" max="17" width="10.83203125" hidden="1" customWidth="1" outlineLevel="1"/>
    <col min="18" max="18" width="12" hidden="1" customWidth="1" outlineLevel="1"/>
    <col min="19" max="19" width="11" collapsed="1"/>
  </cols>
  <sheetData>
    <row r="1" spans="1:20" ht="19" x14ac:dyDescent="0.25">
      <c r="A1" s="1" t="s">
        <v>207</v>
      </c>
      <c r="B1" s="121"/>
      <c r="C1" s="120"/>
      <c r="D1" s="120"/>
      <c r="E1" s="120"/>
      <c r="F1" s="119"/>
      <c r="G1" s="119"/>
      <c r="H1" s="119"/>
      <c r="I1" s="119"/>
      <c r="J1" s="118"/>
      <c r="L1" s="117" t="s">
        <v>154</v>
      </c>
    </row>
    <row r="2" spans="1:20" x14ac:dyDescent="0.2">
      <c r="A2" s="109"/>
      <c r="B2" s="107"/>
      <c r="C2" s="107"/>
      <c r="D2" s="107"/>
      <c r="E2" s="107"/>
      <c r="F2" s="107"/>
      <c r="G2" s="107"/>
      <c r="H2" s="107"/>
      <c r="I2" s="107"/>
      <c r="J2" s="106"/>
    </row>
    <row r="3" spans="1:20" x14ac:dyDescent="0.2">
      <c r="A3" s="109"/>
      <c r="B3" s="115"/>
      <c r="C3" s="107"/>
      <c r="D3" s="107"/>
      <c r="E3" s="107"/>
      <c r="F3" s="110"/>
      <c r="G3" s="111"/>
      <c r="H3" s="107"/>
      <c r="I3" s="107"/>
      <c r="J3" s="106"/>
      <c r="M3" s="96" t="s">
        <v>206</v>
      </c>
      <c r="T3" s="96"/>
    </row>
    <row r="4" spans="1:20" x14ac:dyDescent="0.2">
      <c r="A4" s="109"/>
      <c r="B4" s="115"/>
      <c r="C4" s="107"/>
      <c r="D4" s="107"/>
      <c r="E4" s="107"/>
      <c r="F4" s="110"/>
      <c r="G4" s="111"/>
      <c r="H4" s="107"/>
      <c r="I4" s="107"/>
      <c r="J4" s="106"/>
      <c r="N4" s="116"/>
      <c r="T4" s="96"/>
    </row>
    <row r="5" spans="1:20" x14ac:dyDescent="0.2">
      <c r="A5" s="109"/>
      <c r="B5" s="115"/>
      <c r="C5" s="107"/>
      <c r="D5" s="107"/>
      <c r="E5" s="107"/>
      <c r="F5" s="110"/>
      <c r="G5" s="111"/>
      <c r="H5" s="107"/>
      <c r="I5" s="107"/>
      <c r="J5" s="106"/>
      <c r="M5" s="413" t="s">
        <v>205</v>
      </c>
      <c r="N5" s="413"/>
      <c r="O5" s="413"/>
      <c r="P5" s="413"/>
      <c r="Q5" s="413"/>
      <c r="R5" s="413"/>
      <c r="S5" s="96"/>
      <c r="T5" s="96"/>
    </row>
    <row r="6" spans="1:20" x14ac:dyDescent="0.2">
      <c r="A6" s="109"/>
      <c r="B6" s="115"/>
      <c r="C6" s="107"/>
      <c r="D6" s="107"/>
      <c r="E6" s="107"/>
      <c r="F6" s="110"/>
      <c r="G6" s="111"/>
      <c r="H6" s="107"/>
      <c r="I6" s="107"/>
      <c r="J6" s="106"/>
      <c r="M6" s="413"/>
      <c r="N6" s="413"/>
      <c r="O6" s="413"/>
      <c r="P6" s="413"/>
      <c r="Q6" s="413"/>
      <c r="R6" s="413"/>
      <c r="S6" s="96"/>
      <c r="T6" s="96"/>
    </row>
    <row r="7" spans="1:20" x14ac:dyDescent="0.2">
      <c r="A7" s="109"/>
      <c r="B7" s="115"/>
      <c r="C7" s="107"/>
      <c r="D7" s="107"/>
      <c r="E7" s="107"/>
      <c r="F7" s="110"/>
      <c r="G7" s="111"/>
      <c r="H7" s="107"/>
      <c r="I7" s="107"/>
      <c r="J7" s="106"/>
      <c r="N7" s="114"/>
      <c r="O7" s="114"/>
      <c r="P7" s="114"/>
      <c r="Q7" s="114"/>
      <c r="T7" s="96"/>
    </row>
    <row r="8" spans="1:20" x14ac:dyDescent="0.2">
      <c r="A8" s="109"/>
      <c r="B8" s="115"/>
      <c r="C8" s="107"/>
      <c r="D8" s="107"/>
      <c r="E8" s="107"/>
      <c r="F8" s="110"/>
      <c r="G8" s="111"/>
      <c r="H8" s="107"/>
      <c r="I8" s="107"/>
      <c r="J8" s="106"/>
      <c r="M8" s="96" t="s">
        <v>204</v>
      </c>
      <c r="N8" s="114"/>
      <c r="O8" s="114"/>
      <c r="P8" s="114"/>
      <c r="Q8" s="114"/>
      <c r="T8" s="96"/>
    </row>
    <row r="9" spans="1:20" x14ac:dyDescent="0.2">
      <c r="A9" s="109"/>
      <c r="B9" s="115"/>
      <c r="C9" s="107"/>
      <c r="D9" s="107"/>
      <c r="E9" s="107"/>
      <c r="F9" s="110"/>
      <c r="G9" s="111"/>
      <c r="H9" s="107"/>
      <c r="I9" s="107"/>
      <c r="J9" s="106"/>
      <c r="N9" s="114"/>
      <c r="O9" s="114"/>
      <c r="P9" s="114"/>
      <c r="Q9" s="114"/>
      <c r="T9" s="96"/>
    </row>
    <row r="10" spans="1:20" x14ac:dyDescent="0.2">
      <c r="A10" s="109"/>
      <c r="B10" s="115"/>
      <c r="C10" s="107"/>
      <c r="D10" s="107"/>
      <c r="E10" s="107"/>
      <c r="F10" s="110"/>
      <c r="G10" s="111"/>
      <c r="H10" s="107"/>
      <c r="I10" s="107"/>
      <c r="J10" s="106"/>
      <c r="M10" s="414" t="s">
        <v>203</v>
      </c>
      <c r="N10" s="414"/>
      <c r="O10" s="414"/>
      <c r="P10" s="414"/>
      <c r="Q10" s="414"/>
      <c r="R10" s="414"/>
      <c r="T10" s="96"/>
    </row>
    <row r="11" spans="1:20" x14ac:dyDescent="0.2">
      <c r="A11" s="109"/>
      <c r="B11" s="115"/>
      <c r="C11" s="107"/>
      <c r="D11" s="107"/>
      <c r="E11" s="107"/>
      <c r="F11" s="110"/>
      <c r="G11" s="111"/>
      <c r="H11" s="107"/>
      <c r="I11" s="107"/>
      <c r="J11" s="106"/>
      <c r="M11" s="414"/>
      <c r="N11" s="414"/>
      <c r="O11" s="414"/>
      <c r="P11" s="414"/>
      <c r="Q11" s="414"/>
      <c r="R11" s="414"/>
      <c r="T11" s="96"/>
    </row>
    <row r="12" spans="1:20" x14ac:dyDescent="0.2">
      <c r="A12" s="109"/>
      <c r="B12" s="115"/>
      <c r="C12" s="107"/>
      <c r="D12" s="107"/>
      <c r="E12" s="107"/>
      <c r="F12" s="110"/>
      <c r="G12" s="111"/>
      <c r="H12" s="107"/>
      <c r="I12" s="107"/>
      <c r="J12" s="106"/>
      <c r="N12" s="114"/>
      <c r="O12" s="114"/>
      <c r="P12" s="114"/>
      <c r="Q12" s="114"/>
      <c r="T12" s="96"/>
    </row>
    <row r="13" spans="1:20" x14ac:dyDescent="0.2">
      <c r="A13" s="109"/>
      <c r="B13" s="115"/>
      <c r="C13" s="107"/>
      <c r="D13" s="107"/>
      <c r="E13" s="107"/>
      <c r="F13" s="110"/>
      <c r="G13" s="111"/>
      <c r="H13" s="107"/>
      <c r="I13" s="107"/>
      <c r="J13" s="106"/>
      <c r="M13" s="414" t="s">
        <v>202</v>
      </c>
      <c r="N13" s="414"/>
      <c r="O13" s="414"/>
      <c r="P13" s="414"/>
      <c r="Q13" s="414"/>
      <c r="R13" s="414"/>
      <c r="T13" s="96"/>
    </row>
    <row r="14" spans="1:20" x14ac:dyDescent="0.2">
      <c r="A14" s="109"/>
      <c r="B14" s="115"/>
      <c r="C14" s="107"/>
      <c r="D14" s="107"/>
      <c r="E14" s="107"/>
      <c r="F14" s="110"/>
      <c r="G14" s="111"/>
      <c r="H14" s="107"/>
      <c r="I14" s="107"/>
      <c r="J14" s="106"/>
      <c r="M14" s="414"/>
      <c r="N14" s="414"/>
      <c r="O14" s="414"/>
      <c r="P14" s="414"/>
      <c r="Q14" s="414"/>
      <c r="R14" s="414"/>
      <c r="T14" s="96"/>
    </row>
    <row r="15" spans="1:20" x14ac:dyDescent="0.2">
      <c r="A15" s="109"/>
      <c r="B15" s="115"/>
      <c r="C15" s="107"/>
      <c r="D15" s="107"/>
      <c r="E15" s="107"/>
      <c r="F15" s="110"/>
      <c r="G15" s="111"/>
      <c r="H15" s="107"/>
      <c r="I15" s="107"/>
      <c r="J15" s="106"/>
      <c r="M15" s="414"/>
      <c r="N15" s="414"/>
      <c r="O15" s="414"/>
      <c r="P15" s="414"/>
      <c r="Q15" s="414"/>
      <c r="R15" s="414"/>
      <c r="T15" s="96"/>
    </row>
    <row r="16" spans="1:20" x14ac:dyDescent="0.2">
      <c r="A16" s="109"/>
      <c r="B16" s="115"/>
      <c r="C16" s="107"/>
      <c r="D16" s="107"/>
      <c r="E16" s="107"/>
      <c r="F16" s="110"/>
      <c r="G16" s="111"/>
      <c r="H16" s="107"/>
      <c r="I16" s="107"/>
      <c r="J16" s="106"/>
      <c r="M16" s="414"/>
      <c r="N16" s="414"/>
      <c r="O16" s="414"/>
      <c r="P16" s="414"/>
      <c r="Q16" s="414"/>
      <c r="R16" s="414"/>
      <c r="T16" s="96"/>
    </row>
    <row r="17" spans="1:20" x14ac:dyDescent="0.2">
      <c r="A17" s="109"/>
      <c r="B17" s="112" t="s">
        <v>0</v>
      </c>
      <c r="C17" s="107"/>
      <c r="D17" s="107"/>
      <c r="E17" s="107"/>
      <c r="F17" s="110"/>
      <c r="G17" s="111"/>
      <c r="H17" s="107"/>
      <c r="I17" s="107"/>
      <c r="J17" s="106"/>
      <c r="N17" s="114"/>
      <c r="O17" s="114"/>
      <c r="P17" s="114"/>
      <c r="Q17" s="114"/>
      <c r="T17" s="96"/>
    </row>
    <row r="18" spans="1:20" ht="16" customHeight="1" x14ac:dyDescent="0.2">
      <c r="A18" s="109"/>
      <c r="B18" s="412" t="s">
        <v>201</v>
      </c>
      <c r="C18" s="412"/>
      <c r="D18" s="412"/>
      <c r="E18" s="412"/>
      <c r="F18" s="412"/>
      <c r="G18" s="412"/>
      <c r="H18" s="412"/>
      <c r="I18" s="412"/>
      <c r="J18" s="106"/>
      <c r="M18" s="96" t="s">
        <v>200</v>
      </c>
      <c r="N18" s="114"/>
      <c r="O18" s="114"/>
      <c r="P18" s="114"/>
      <c r="Q18" s="114"/>
      <c r="T18" s="96"/>
    </row>
    <row r="19" spans="1:20" x14ac:dyDescent="0.2">
      <c r="A19" s="109"/>
      <c r="B19" s="412"/>
      <c r="C19" s="412"/>
      <c r="D19" s="412"/>
      <c r="E19" s="412"/>
      <c r="F19" s="412"/>
      <c r="G19" s="412"/>
      <c r="H19" s="412"/>
      <c r="I19" s="412"/>
      <c r="J19" s="106"/>
      <c r="T19" s="96"/>
    </row>
    <row r="20" spans="1:20" x14ac:dyDescent="0.2">
      <c r="A20" s="109"/>
      <c r="B20" s="113"/>
      <c r="C20" s="107"/>
      <c r="D20" s="107"/>
      <c r="E20" s="107"/>
      <c r="F20" s="110"/>
      <c r="G20" s="111"/>
      <c r="H20" s="107"/>
      <c r="I20" s="107"/>
      <c r="J20" s="106"/>
      <c r="M20" s="413" t="s">
        <v>199</v>
      </c>
      <c r="N20" s="413"/>
      <c r="O20" s="413"/>
      <c r="P20" s="413"/>
      <c r="Q20" s="413"/>
      <c r="R20" s="413"/>
      <c r="T20" s="96"/>
    </row>
    <row r="21" spans="1:20" x14ac:dyDescent="0.2">
      <c r="A21" s="109"/>
      <c r="B21" s="112" t="s">
        <v>1</v>
      </c>
      <c r="C21" s="107"/>
      <c r="D21" s="107"/>
      <c r="E21" s="107"/>
      <c r="F21" s="110"/>
      <c r="G21" s="111"/>
      <c r="H21" s="107"/>
      <c r="I21" s="107"/>
      <c r="J21" s="106"/>
      <c r="M21" s="413"/>
      <c r="N21" s="413"/>
      <c r="O21" s="413"/>
      <c r="P21" s="413"/>
      <c r="Q21" s="413"/>
      <c r="R21" s="413"/>
      <c r="T21" s="96"/>
    </row>
    <row r="22" spans="1:20" x14ac:dyDescent="0.2">
      <c r="A22" s="109"/>
      <c r="B22" s="107" t="s">
        <v>198</v>
      </c>
      <c r="C22" s="107"/>
      <c r="D22" s="107"/>
      <c r="E22" s="107"/>
      <c r="F22" s="110"/>
      <c r="G22" s="111"/>
      <c r="H22" s="107"/>
      <c r="I22" s="107"/>
      <c r="J22" s="106"/>
      <c r="T22" s="96"/>
    </row>
    <row r="23" spans="1:20" ht="15.75" customHeight="1" x14ac:dyDescent="0.2">
      <c r="A23" s="109"/>
      <c r="B23" s="113"/>
      <c r="C23" s="107"/>
      <c r="D23" s="107"/>
      <c r="E23" s="107"/>
      <c r="F23" s="110"/>
      <c r="G23" s="111"/>
      <c r="H23" s="107"/>
      <c r="I23" s="107"/>
      <c r="J23" s="106"/>
      <c r="M23" s="413" t="s">
        <v>197</v>
      </c>
      <c r="N23" s="413"/>
      <c r="O23" s="413"/>
      <c r="P23" s="413"/>
      <c r="Q23" s="413"/>
      <c r="R23" s="413"/>
      <c r="T23" s="96"/>
    </row>
    <row r="24" spans="1:20" x14ac:dyDescent="0.2">
      <c r="A24" s="109"/>
      <c r="B24" s="112" t="s">
        <v>2</v>
      </c>
      <c r="C24" s="107"/>
      <c r="D24" s="107"/>
      <c r="E24" s="107"/>
      <c r="F24" s="110"/>
      <c r="G24" s="111"/>
      <c r="H24" s="107"/>
      <c r="I24" s="107"/>
      <c r="J24" s="106"/>
      <c r="M24" s="413"/>
      <c r="N24" s="413"/>
      <c r="O24" s="413"/>
      <c r="P24" s="413"/>
      <c r="Q24" s="413"/>
      <c r="R24" s="413"/>
      <c r="T24" s="96"/>
    </row>
    <row r="25" spans="1:20" x14ac:dyDescent="0.2">
      <c r="A25" s="109"/>
      <c r="B25" s="107" t="s">
        <v>196</v>
      </c>
      <c r="C25" s="107"/>
      <c r="D25" s="107"/>
      <c r="E25" s="107"/>
      <c r="F25" s="110"/>
      <c r="G25" s="107"/>
      <c r="H25" s="107"/>
      <c r="I25" s="107"/>
      <c r="J25" s="106"/>
      <c r="M25" s="413"/>
      <c r="N25" s="413"/>
      <c r="O25" s="413"/>
      <c r="P25" s="413"/>
      <c r="Q25" s="413"/>
      <c r="R25" s="413"/>
      <c r="T25" s="96"/>
    </row>
    <row r="26" spans="1:20" ht="17" thickBot="1" x14ac:dyDescent="0.25">
      <c r="A26" s="109"/>
      <c r="B26" s="108"/>
      <c r="C26" s="107"/>
      <c r="D26" s="107"/>
      <c r="E26" s="107"/>
      <c r="F26" s="107"/>
      <c r="G26" s="107"/>
      <c r="H26" s="107"/>
      <c r="I26" s="107"/>
      <c r="J26" s="106"/>
      <c r="N26" s="101"/>
      <c r="O26" s="99"/>
      <c r="P26" s="99"/>
      <c r="Q26" s="99"/>
      <c r="R26" s="99"/>
      <c r="T26" s="96"/>
    </row>
    <row r="27" spans="1:20" ht="17" thickBot="1" x14ac:dyDescent="0.25">
      <c r="A27" s="105" t="s">
        <v>153</v>
      </c>
      <c r="B27" s="104"/>
      <c r="C27" s="104"/>
      <c r="D27" s="104"/>
      <c r="E27" s="104"/>
      <c r="F27" s="104"/>
      <c r="G27" s="104"/>
      <c r="H27" s="104"/>
      <c r="I27" s="104"/>
      <c r="J27" s="103"/>
      <c r="M27" s="102"/>
      <c r="N27" s="101"/>
      <c r="O27" s="99"/>
      <c r="P27" s="99"/>
      <c r="Q27" s="99"/>
      <c r="R27" s="99"/>
      <c r="T27" s="96"/>
    </row>
    <row r="28" spans="1:20" x14ac:dyDescent="0.2">
      <c r="M28" s="102"/>
      <c r="N28" s="101"/>
      <c r="O28" s="99"/>
      <c r="P28" s="99"/>
      <c r="Q28" s="99"/>
      <c r="R28" s="99"/>
      <c r="T28" s="96"/>
    </row>
    <row r="29" spans="1:20" x14ac:dyDescent="0.2">
      <c r="M29" s="102"/>
      <c r="N29" s="101"/>
      <c r="O29" s="99"/>
      <c r="P29" s="99"/>
      <c r="Q29" s="99"/>
      <c r="R29" s="99"/>
      <c r="T29" s="96"/>
    </row>
    <row r="30" spans="1:20" x14ac:dyDescent="0.2">
      <c r="T30" s="96"/>
    </row>
    <row r="31" spans="1:20" x14ac:dyDescent="0.2">
      <c r="T31" s="96"/>
    </row>
    <row r="32" spans="1:20" x14ac:dyDescent="0.2">
      <c r="T32" s="96"/>
    </row>
    <row r="33" spans="13:20" x14ac:dyDescent="0.2">
      <c r="T33" s="96"/>
    </row>
    <row r="34" spans="13:20" x14ac:dyDescent="0.2">
      <c r="N34" s="99"/>
      <c r="T34" s="96"/>
    </row>
    <row r="35" spans="13:20" x14ac:dyDescent="0.2">
      <c r="T35" s="96"/>
    </row>
    <row r="36" spans="13:20" x14ac:dyDescent="0.2">
      <c r="N36" s="100"/>
      <c r="T36" s="96"/>
    </row>
    <row r="37" spans="13:20" x14ac:dyDescent="0.2">
      <c r="T37" s="96"/>
    </row>
    <row r="38" spans="13:20" x14ac:dyDescent="0.2">
      <c r="N38" s="99"/>
      <c r="T38" s="96"/>
    </row>
    <row r="39" spans="13:20" x14ac:dyDescent="0.2">
      <c r="T39" s="96"/>
    </row>
    <row r="40" spans="13:20" x14ac:dyDescent="0.2">
      <c r="T40" s="96"/>
    </row>
    <row r="41" spans="13:20" x14ac:dyDescent="0.2">
      <c r="T41" s="96"/>
    </row>
    <row r="42" spans="13:20" x14ac:dyDescent="0.2">
      <c r="T42" s="96"/>
    </row>
    <row r="43" spans="13:20" x14ac:dyDescent="0.2">
      <c r="M43" s="96"/>
      <c r="N43" s="96"/>
      <c r="O43" s="96"/>
      <c r="P43" s="96"/>
      <c r="Q43" s="96"/>
      <c r="R43" s="96"/>
      <c r="S43" s="96"/>
      <c r="T43" s="96"/>
    </row>
    <row r="44" spans="13:20" x14ac:dyDescent="0.2">
      <c r="M44" s="96"/>
      <c r="N44" s="96"/>
      <c r="O44" s="96"/>
      <c r="P44" s="96"/>
      <c r="Q44" s="96"/>
      <c r="R44" s="96"/>
      <c r="S44" s="96"/>
      <c r="T44" s="96"/>
    </row>
    <row r="45" spans="13:20" x14ac:dyDescent="0.2">
      <c r="M45" s="96"/>
      <c r="N45" s="96"/>
      <c r="O45" s="96"/>
      <c r="P45" s="96"/>
      <c r="Q45" s="96"/>
      <c r="R45" s="96"/>
      <c r="S45" s="96"/>
      <c r="T45" s="96"/>
    </row>
    <row r="46" spans="13:20" x14ac:dyDescent="0.2">
      <c r="M46" s="96"/>
      <c r="N46" s="96"/>
      <c r="O46" s="96"/>
      <c r="P46" s="96"/>
      <c r="Q46" s="96"/>
      <c r="R46" s="96"/>
      <c r="S46" s="96"/>
      <c r="T46" s="96"/>
    </row>
    <row r="47" spans="13:20" x14ac:dyDescent="0.2">
      <c r="M47" s="96"/>
      <c r="N47" s="96"/>
      <c r="O47" s="96"/>
      <c r="P47" s="96"/>
      <c r="Q47" s="96"/>
      <c r="R47" s="96"/>
      <c r="S47" s="96"/>
      <c r="T47" s="96"/>
    </row>
    <row r="48" spans="13:20" x14ac:dyDescent="0.2">
      <c r="M48" s="96"/>
      <c r="N48" s="96"/>
      <c r="O48" s="96"/>
      <c r="P48" s="96"/>
      <c r="Q48" s="96"/>
      <c r="R48" s="96"/>
      <c r="S48" s="96"/>
      <c r="T48" s="96"/>
    </row>
    <row r="49" spans="13:20" x14ac:dyDescent="0.2">
      <c r="M49" s="96"/>
      <c r="N49" s="96"/>
      <c r="O49" s="96"/>
      <c r="P49" s="96"/>
      <c r="Q49" s="96"/>
      <c r="R49" s="96"/>
      <c r="S49" s="96"/>
      <c r="T49" s="96"/>
    </row>
    <row r="50" spans="13:20" x14ac:dyDescent="0.2">
      <c r="M50" s="96"/>
      <c r="N50" s="96"/>
      <c r="O50" s="96"/>
      <c r="P50" s="96"/>
      <c r="Q50" s="96"/>
      <c r="R50" s="96"/>
      <c r="S50" s="96"/>
      <c r="T50" s="96"/>
    </row>
    <row r="51" spans="13:20" x14ac:dyDescent="0.2">
      <c r="M51" s="96"/>
      <c r="N51" s="96"/>
      <c r="O51" s="96"/>
      <c r="P51" s="96"/>
      <c r="Q51" s="96"/>
      <c r="R51" s="96"/>
      <c r="S51" s="96"/>
      <c r="T51" s="96"/>
    </row>
    <row r="52" spans="13:20" x14ac:dyDescent="0.2">
      <c r="M52" s="96"/>
      <c r="N52" s="98"/>
      <c r="O52" s="96"/>
      <c r="P52" s="96"/>
      <c r="Q52" s="96"/>
      <c r="R52" s="96"/>
      <c r="S52" s="96"/>
      <c r="T52" s="96"/>
    </row>
    <row r="53" spans="13:20" x14ac:dyDescent="0.2">
      <c r="M53" s="96"/>
      <c r="N53" s="98"/>
      <c r="O53" s="96"/>
      <c r="P53" s="96"/>
      <c r="Q53" s="96"/>
      <c r="R53" s="96"/>
      <c r="S53" s="96"/>
      <c r="T53" s="96"/>
    </row>
    <row r="54" spans="13:20" x14ac:dyDescent="0.2">
      <c r="M54" s="96"/>
      <c r="N54" s="96"/>
      <c r="O54" s="96"/>
      <c r="P54" s="96"/>
      <c r="Q54" s="96"/>
      <c r="R54" s="96"/>
      <c r="S54" s="96"/>
      <c r="T54" s="96"/>
    </row>
    <row r="55" spans="13:20" x14ac:dyDescent="0.2">
      <c r="M55" s="96"/>
      <c r="N55" s="96"/>
      <c r="O55" s="96"/>
      <c r="P55" s="96"/>
      <c r="Q55" s="96"/>
      <c r="R55" s="96"/>
      <c r="S55" s="96"/>
      <c r="T55" s="96"/>
    </row>
    <row r="56" spans="13:20" x14ac:dyDescent="0.2">
      <c r="M56" s="96"/>
      <c r="N56" s="96"/>
      <c r="O56" s="96"/>
      <c r="P56" s="96"/>
      <c r="Q56" s="96"/>
      <c r="R56" s="96"/>
      <c r="S56" s="96"/>
      <c r="T56" s="96"/>
    </row>
    <row r="57" spans="13:20" x14ac:dyDescent="0.2">
      <c r="M57" s="96"/>
      <c r="N57" s="96"/>
      <c r="O57" s="96"/>
      <c r="P57" s="96"/>
      <c r="Q57" s="96"/>
      <c r="R57" s="96"/>
      <c r="S57" s="96"/>
      <c r="T57" s="96"/>
    </row>
    <row r="58" spans="13:20" x14ac:dyDescent="0.2">
      <c r="M58" s="96"/>
      <c r="N58" s="96"/>
      <c r="O58" s="96"/>
      <c r="P58" s="96"/>
      <c r="Q58" s="96"/>
      <c r="R58" s="96"/>
      <c r="S58" s="96"/>
      <c r="T58" s="96"/>
    </row>
    <row r="59" spans="13:20" x14ac:dyDescent="0.2">
      <c r="M59" s="96"/>
      <c r="N59" s="96"/>
      <c r="O59" s="96"/>
      <c r="P59" s="96"/>
      <c r="Q59" s="96"/>
      <c r="R59" s="96"/>
      <c r="S59" s="96"/>
      <c r="T59" s="96"/>
    </row>
    <row r="60" spans="13:20" x14ac:dyDescent="0.2">
      <c r="M60" s="96"/>
      <c r="N60" s="97"/>
      <c r="O60" s="97"/>
      <c r="P60" s="97"/>
      <c r="Q60" s="97"/>
      <c r="R60" s="96"/>
      <c r="S60" s="96"/>
      <c r="T60" s="96"/>
    </row>
    <row r="61" spans="13:20" x14ac:dyDescent="0.2">
      <c r="M61" s="96"/>
      <c r="N61" s="97"/>
      <c r="O61" s="97"/>
      <c r="P61" s="97"/>
      <c r="Q61" s="97"/>
      <c r="R61" s="96"/>
      <c r="S61" s="96"/>
      <c r="T61" s="96"/>
    </row>
    <row r="62" spans="13:20" x14ac:dyDescent="0.2">
      <c r="M62" s="96"/>
      <c r="N62" s="96"/>
      <c r="O62" s="96"/>
      <c r="P62" s="96"/>
      <c r="Q62" s="96"/>
      <c r="R62" s="96"/>
      <c r="S62" s="96"/>
      <c r="T62" s="96"/>
    </row>
    <row r="63" spans="13:20" x14ac:dyDescent="0.2">
      <c r="M63" s="96"/>
      <c r="N63" s="96"/>
      <c r="O63" s="96"/>
      <c r="P63" s="96"/>
      <c r="Q63" s="96"/>
      <c r="R63" s="96"/>
      <c r="S63" s="96"/>
      <c r="T63" s="96"/>
    </row>
    <row r="64" spans="13:20" x14ac:dyDescent="0.2">
      <c r="M64" s="96"/>
      <c r="N64" s="96"/>
      <c r="O64" s="96"/>
      <c r="P64" s="96"/>
      <c r="Q64" s="96"/>
      <c r="R64" s="96"/>
      <c r="S64" s="96"/>
      <c r="T64" s="96"/>
    </row>
    <row r="65" spans="13:20" x14ac:dyDescent="0.2">
      <c r="M65" s="96"/>
      <c r="N65" s="96"/>
      <c r="O65" s="96"/>
      <c r="P65" s="96"/>
      <c r="Q65" s="96"/>
      <c r="R65" s="96"/>
      <c r="S65" s="96"/>
      <c r="T65" s="96"/>
    </row>
    <row r="66" spans="13:20" x14ac:dyDescent="0.2">
      <c r="M66" s="96"/>
      <c r="N66" s="96"/>
      <c r="O66" s="96"/>
      <c r="P66" s="96"/>
      <c r="Q66" s="96"/>
      <c r="R66" s="96"/>
      <c r="S66" s="96"/>
      <c r="T66" s="96"/>
    </row>
    <row r="67" spans="13:20" x14ac:dyDescent="0.2">
      <c r="M67" s="96"/>
      <c r="N67" s="96"/>
      <c r="O67" s="96"/>
      <c r="P67" s="96"/>
      <c r="Q67" s="96"/>
      <c r="R67" s="96"/>
      <c r="S67" s="96"/>
      <c r="T67" s="96"/>
    </row>
    <row r="68" spans="13:20" x14ac:dyDescent="0.2">
      <c r="M68" s="96"/>
      <c r="N68" s="96"/>
      <c r="O68" s="96"/>
      <c r="P68" s="96"/>
      <c r="Q68" s="96"/>
      <c r="R68" s="96"/>
      <c r="S68" s="96"/>
    </row>
    <row r="69" spans="13:20" x14ac:dyDescent="0.2">
      <c r="M69" s="96"/>
      <c r="N69" s="96"/>
      <c r="O69" s="96"/>
      <c r="P69" s="96"/>
      <c r="Q69" s="96"/>
      <c r="R69" s="96"/>
      <c r="S69" s="96"/>
    </row>
  </sheetData>
  <mergeCells count="6">
    <mergeCell ref="B18:I19"/>
    <mergeCell ref="M23:R25"/>
    <mergeCell ref="M5:R6"/>
    <mergeCell ref="M10:R11"/>
    <mergeCell ref="M13:R16"/>
    <mergeCell ref="M20:R2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3845-513D-B44F-BC6C-7E3971C293DA}">
  <dimension ref="A1:U72"/>
  <sheetViews>
    <sheetView workbookViewId="0"/>
  </sheetViews>
  <sheetFormatPr baseColWidth="10" defaultColWidth="11" defaultRowHeight="16" outlineLevelCol="1" x14ac:dyDescent="0.2"/>
  <cols>
    <col min="1" max="1" width="4.5" customWidth="1"/>
    <col min="2" max="10" width="10.83203125" customWidth="1"/>
    <col min="12" max="12" width="11.1640625" bestFit="1" customWidth="1"/>
    <col min="13" max="13" width="11" hidden="1" customWidth="1" outlineLevel="1"/>
    <col min="14" max="20" width="10.83203125" hidden="1" customWidth="1" outlineLevel="1"/>
    <col min="21" max="21" width="11" collapsed="1"/>
  </cols>
  <sheetData>
    <row r="1" spans="1:15" ht="19" x14ac:dyDescent="0.25">
      <c r="A1" s="151" t="s">
        <v>236</v>
      </c>
      <c r="B1" s="121"/>
      <c r="C1" s="120"/>
      <c r="D1" s="120"/>
      <c r="E1" s="120"/>
      <c r="F1" s="119"/>
      <c r="G1" s="119"/>
      <c r="H1" s="119"/>
      <c r="I1" s="119"/>
      <c r="J1" s="118"/>
      <c r="L1" s="117" t="s">
        <v>154</v>
      </c>
    </row>
    <row r="2" spans="1:15" x14ac:dyDescent="0.2">
      <c r="A2" s="109"/>
      <c r="B2" s="107"/>
      <c r="C2" s="107"/>
      <c r="D2" s="107"/>
      <c r="E2" s="107"/>
      <c r="F2" s="107"/>
      <c r="G2" s="107"/>
      <c r="H2" s="107"/>
      <c r="I2" s="107"/>
      <c r="J2" s="106"/>
      <c r="M2" s="96" t="s">
        <v>206</v>
      </c>
      <c r="N2" s="116"/>
    </row>
    <row r="3" spans="1:15" x14ac:dyDescent="0.2">
      <c r="A3" s="109"/>
      <c r="B3" s="107" t="s">
        <v>235</v>
      </c>
      <c r="C3" s="107"/>
      <c r="D3" s="107"/>
      <c r="E3" s="107"/>
      <c r="F3" s="107"/>
      <c r="G3" s="107"/>
      <c r="H3" s="107"/>
      <c r="I3" s="107"/>
      <c r="J3" s="106"/>
      <c r="N3" s="150"/>
    </row>
    <row r="4" spans="1:15" x14ac:dyDescent="0.2">
      <c r="A4" s="109"/>
      <c r="B4" s="107"/>
      <c r="C4" s="107"/>
      <c r="D4" s="107"/>
      <c r="E4" s="107"/>
      <c r="F4" s="107"/>
      <c r="G4" s="107"/>
      <c r="H4" s="107"/>
      <c r="I4" s="107"/>
      <c r="J4" s="106"/>
      <c r="M4" s="122" t="s">
        <v>234</v>
      </c>
      <c r="N4" s="101"/>
    </row>
    <row r="5" spans="1:15" x14ac:dyDescent="0.2">
      <c r="A5" s="109"/>
      <c r="B5" s="107"/>
      <c r="C5" s="419" t="s">
        <v>45</v>
      </c>
      <c r="D5" s="416" t="s">
        <v>233</v>
      </c>
      <c r="E5" s="417"/>
      <c r="F5" s="417"/>
      <c r="G5" s="417"/>
      <c r="H5" s="418"/>
      <c r="I5" s="107"/>
      <c r="J5" s="106"/>
      <c r="N5" s="101"/>
    </row>
    <row r="6" spans="1:15" x14ac:dyDescent="0.2">
      <c r="A6" s="109"/>
      <c r="B6" s="107"/>
      <c r="C6" s="420"/>
      <c r="D6" s="147" t="s">
        <v>232</v>
      </c>
      <c r="E6" s="146" t="s">
        <v>231</v>
      </c>
      <c r="F6" s="146" t="s">
        <v>230</v>
      </c>
      <c r="G6" s="146" t="s">
        <v>229</v>
      </c>
      <c r="H6" s="145" t="s">
        <v>228</v>
      </c>
      <c r="I6" s="107"/>
      <c r="J6" s="106"/>
      <c r="M6" s="144" t="s">
        <v>45</v>
      </c>
      <c r="N6" s="143" t="s">
        <v>227</v>
      </c>
      <c r="O6" s="142" t="s">
        <v>226</v>
      </c>
    </row>
    <row r="7" spans="1:15" x14ac:dyDescent="0.2">
      <c r="A7" s="109"/>
      <c r="B7" s="107"/>
      <c r="C7" s="139">
        <v>2012</v>
      </c>
      <c r="D7" s="138">
        <v>45</v>
      </c>
      <c r="E7" s="137">
        <v>20</v>
      </c>
      <c r="F7" s="137">
        <v>10</v>
      </c>
      <c r="G7" s="137">
        <v>5</v>
      </c>
      <c r="H7" s="136">
        <v>2</v>
      </c>
      <c r="I7" s="107"/>
      <c r="J7" s="106"/>
      <c r="M7" s="141">
        <v>2012</v>
      </c>
      <c r="N7" s="140">
        <f>E7/D7</f>
        <v>0.44444444444444442</v>
      </c>
      <c r="O7" s="140">
        <f>F7/SUM(D7:E7)</f>
        <v>0.15384615384615385</v>
      </c>
    </row>
    <row r="8" spans="1:15" x14ac:dyDescent="0.2">
      <c r="A8" s="109"/>
      <c r="B8" s="107"/>
      <c r="C8" s="139">
        <v>2013</v>
      </c>
      <c r="D8" s="138">
        <v>40</v>
      </c>
      <c r="E8" s="137">
        <v>25</v>
      </c>
      <c r="F8" s="137">
        <v>20</v>
      </c>
      <c r="G8" s="137">
        <v>5</v>
      </c>
      <c r="H8" s="136"/>
      <c r="I8" s="107"/>
      <c r="J8" s="106"/>
      <c r="M8" s="141">
        <v>2013</v>
      </c>
      <c r="N8" s="140">
        <f>E8/D8</f>
        <v>0.625</v>
      </c>
      <c r="O8" s="140">
        <f>F8/SUM(D8:E8)</f>
        <v>0.30769230769230771</v>
      </c>
    </row>
    <row r="9" spans="1:15" x14ac:dyDescent="0.2">
      <c r="A9" s="109"/>
      <c r="B9" s="107"/>
      <c r="C9" s="139">
        <v>2014</v>
      </c>
      <c r="D9" s="138">
        <v>50</v>
      </c>
      <c r="E9" s="137">
        <v>30</v>
      </c>
      <c r="F9" s="137">
        <v>15</v>
      </c>
      <c r="G9" s="137"/>
      <c r="H9" s="136"/>
      <c r="I9" s="107"/>
      <c r="J9" s="106"/>
      <c r="M9" s="141">
        <v>2014</v>
      </c>
      <c r="N9" s="140">
        <f>E9/D9</f>
        <v>0.6</v>
      </c>
      <c r="O9" s="140">
        <f>F9/SUM(D9:E9)</f>
        <v>0.1875</v>
      </c>
    </row>
    <row r="10" spans="1:15" x14ac:dyDescent="0.2">
      <c r="A10" s="109"/>
      <c r="B10" s="107"/>
      <c r="C10" s="139">
        <v>2015</v>
      </c>
      <c r="D10" s="138">
        <v>90</v>
      </c>
      <c r="E10" s="137">
        <v>50</v>
      </c>
      <c r="F10" s="137"/>
      <c r="G10" s="137"/>
      <c r="H10" s="136"/>
      <c r="I10" s="107"/>
      <c r="J10" s="106"/>
      <c r="N10" s="101"/>
    </row>
    <row r="11" spans="1:15" x14ac:dyDescent="0.2">
      <c r="A11" s="109"/>
      <c r="B11" s="107"/>
      <c r="C11" s="135">
        <v>2016</v>
      </c>
      <c r="D11" s="134">
        <v>120</v>
      </c>
      <c r="E11" s="133"/>
      <c r="F11" s="133"/>
      <c r="G11" s="133"/>
      <c r="H11" s="132"/>
      <c r="I11" s="107"/>
      <c r="J11" s="106"/>
      <c r="M11" s="122" t="s">
        <v>225</v>
      </c>
    </row>
    <row r="12" spans="1:15" x14ac:dyDescent="0.2">
      <c r="A12" s="109"/>
      <c r="B12" s="107"/>
      <c r="C12" s="107"/>
      <c r="D12" s="107"/>
      <c r="E12" s="107"/>
      <c r="F12" s="107"/>
      <c r="G12" s="107"/>
      <c r="H12" s="107"/>
      <c r="I12" s="107"/>
      <c r="J12" s="106"/>
      <c r="N12" s="101"/>
    </row>
    <row r="13" spans="1:15" x14ac:dyDescent="0.2">
      <c r="A13" s="109"/>
      <c r="B13" s="115" t="s">
        <v>224</v>
      </c>
      <c r="C13" s="107"/>
      <c r="D13" s="107"/>
      <c r="E13" s="107"/>
      <c r="F13" s="111">
        <v>6.3140000000000001</v>
      </c>
      <c r="G13" s="111"/>
      <c r="H13" s="107"/>
      <c r="I13" s="107"/>
      <c r="J13" s="106"/>
      <c r="M13" t="s">
        <v>223</v>
      </c>
      <c r="N13" s="131">
        <f>CORREL(N7:N9,O7:O9)</f>
        <v>0.75869508507303385</v>
      </c>
      <c r="O13" s="126"/>
    </row>
    <row r="14" spans="1:15" x14ac:dyDescent="0.2">
      <c r="A14" s="109"/>
      <c r="B14" s="107"/>
      <c r="C14" s="107"/>
      <c r="D14" s="107"/>
      <c r="E14" s="107"/>
      <c r="F14" s="107"/>
      <c r="G14" s="107"/>
      <c r="H14" s="107"/>
      <c r="I14" s="107"/>
      <c r="J14" s="106"/>
      <c r="N14" s="130"/>
      <c r="O14" s="126"/>
    </row>
    <row r="15" spans="1:15" x14ac:dyDescent="0.2">
      <c r="A15" s="109"/>
      <c r="B15" s="129" t="s">
        <v>0</v>
      </c>
      <c r="C15" s="107"/>
      <c r="D15" s="107"/>
      <c r="E15" s="107"/>
      <c r="F15" s="107"/>
      <c r="G15" s="107"/>
      <c r="H15" s="107"/>
      <c r="I15" s="107"/>
      <c r="J15" s="106"/>
      <c r="M15" s="126" t="s">
        <v>222</v>
      </c>
      <c r="N15" s="128">
        <f>N13*((3-2)/(1-N13^2))^0.5</f>
        <v>1.1646325175799703</v>
      </c>
      <c r="O15" s="126" t="s">
        <v>221</v>
      </c>
    </row>
    <row r="16" spans="1:15" ht="16" customHeight="1" x14ac:dyDescent="0.2">
      <c r="A16" s="109"/>
      <c r="B16" s="107" t="s">
        <v>220</v>
      </c>
      <c r="C16" s="107"/>
      <c r="D16" s="107"/>
      <c r="E16" s="107"/>
      <c r="F16" s="107"/>
      <c r="G16" s="107"/>
      <c r="H16" s="107"/>
      <c r="I16" s="107"/>
      <c r="J16" s="106"/>
      <c r="M16" s="126" t="s">
        <v>219</v>
      </c>
      <c r="N16" s="126">
        <f>3-2</f>
        <v>1</v>
      </c>
      <c r="O16" s="126" t="s">
        <v>218</v>
      </c>
    </row>
    <row r="17" spans="1:19" ht="17" thickBot="1" x14ac:dyDescent="0.25">
      <c r="A17" s="109"/>
      <c r="B17" s="111"/>
      <c r="C17" s="107"/>
      <c r="D17" s="107"/>
      <c r="E17" s="107"/>
      <c r="F17" s="107"/>
      <c r="G17" s="107"/>
      <c r="H17" s="107"/>
      <c r="I17" s="107"/>
      <c r="J17" s="106"/>
    </row>
    <row r="18" spans="1:19" x14ac:dyDescent="0.2">
      <c r="A18" s="109"/>
      <c r="B18" s="112" t="s">
        <v>1</v>
      </c>
      <c r="C18" s="107"/>
      <c r="D18" s="107"/>
      <c r="E18" s="107"/>
      <c r="F18" s="107"/>
      <c r="G18" s="107"/>
      <c r="H18" s="107"/>
      <c r="I18" s="107"/>
      <c r="J18" s="106"/>
      <c r="M18" s="421" t="s">
        <v>584</v>
      </c>
      <c r="N18" s="422"/>
      <c r="O18" s="422"/>
      <c r="P18" s="422"/>
      <c r="Q18" s="422"/>
      <c r="R18" s="422"/>
      <c r="S18" s="423"/>
    </row>
    <row r="19" spans="1:19" ht="15.75" customHeight="1" thickBot="1" x14ac:dyDescent="0.25">
      <c r="A19" s="109"/>
      <c r="B19" s="412" t="s">
        <v>217</v>
      </c>
      <c r="C19" s="412"/>
      <c r="D19" s="412"/>
      <c r="E19" s="412"/>
      <c r="F19" s="412"/>
      <c r="G19" s="412"/>
      <c r="H19" s="412"/>
      <c r="I19" s="412"/>
      <c r="J19" s="106"/>
      <c r="M19" s="424"/>
      <c r="N19" s="425"/>
      <c r="O19" s="425"/>
      <c r="P19" s="425"/>
      <c r="Q19" s="425"/>
      <c r="R19" s="425"/>
      <c r="S19" s="426"/>
    </row>
    <row r="20" spans="1:19" ht="16" customHeight="1" x14ac:dyDescent="0.2">
      <c r="A20" s="109"/>
      <c r="B20" s="412"/>
      <c r="C20" s="412"/>
      <c r="D20" s="412"/>
      <c r="E20" s="412"/>
      <c r="F20" s="412"/>
      <c r="G20" s="412"/>
      <c r="H20" s="412"/>
      <c r="I20" s="412"/>
      <c r="J20" s="106"/>
    </row>
    <row r="21" spans="1:19" x14ac:dyDescent="0.2">
      <c r="A21" s="109"/>
      <c r="B21" s="412"/>
      <c r="C21" s="412"/>
      <c r="D21" s="412"/>
      <c r="E21" s="412"/>
      <c r="F21" s="412"/>
      <c r="G21" s="412"/>
      <c r="H21" s="412"/>
      <c r="I21" s="412"/>
      <c r="J21" s="106"/>
      <c r="M21" s="96" t="s">
        <v>204</v>
      </c>
    </row>
    <row r="22" spans="1:19" ht="17" thickBot="1" x14ac:dyDescent="0.25">
      <c r="A22" s="109"/>
      <c r="B22" s="127"/>
      <c r="C22" s="127"/>
      <c r="D22" s="127"/>
      <c r="E22" s="127"/>
      <c r="F22" s="127"/>
      <c r="G22" s="127"/>
      <c r="H22" s="107"/>
      <c r="I22" s="107"/>
      <c r="J22" s="106"/>
      <c r="M22" s="122"/>
    </row>
    <row r="23" spans="1:19" ht="17" thickBot="1" x14ac:dyDescent="0.25">
      <c r="A23" s="105" t="s">
        <v>153</v>
      </c>
      <c r="B23" s="104"/>
      <c r="C23" s="104"/>
      <c r="D23" s="104"/>
      <c r="E23" s="104"/>
      <c r="F23" s="104"/>
      <c r="G23" s="104"/>
      <c r="H23" s="104"/>
      <c r="I23" s="104"/>
      <c r="J23" s="103"/>
      <c r="M23" s="126" t="s">
        <v>216</v>
      </c>
      <c r="N23" s="126">
        <f>COMBIN(10-3,2)</f>
        <v>21</v>
      </c>
      <c r="O23" t="s">
        <v>215</v>
      </c>
    </row>
    <row r="24" spans="1:19" x14ac:dyDescent="0.2">
      <c r="N24" s="99"/>
    </row>
    <row r="25" spans="1:19" x14ac:dyDescent="0.2">
      <c r="M25" s="413" t="s">
        <v>214</v>
      </c>
      <c r="N25" s="413"/>
      <c r="O25" s="413"/>
      <c r="P25" s="413"/>
      <c r="Q25" s="413"/>
      <c r="R25" s="413"/>
      <c r="S25" s="413"/>
    </row>
    <row r="26" spans="1:19" x14ac:dyDescent="0.2">
      <c r="M26" s="413"/>
      <c r="N26" s="413"/>
      <c r="O26" s="413"/>
      <c r="P26" s="413"/>
      <c r="Q26" s="413"/>
      <c r="R26" s="413"/>
      <c r="S26" s="413"/>
    </row>
    <row r="28" spans="1:19" x14ac:dyDescent="0.2">
      <c r="M28" t="s">
        <v>213</v>
      </c>
    </row>
    <row r="30" spans="1:19" x14ac:dyDescent="0.2">
      <c r="M30" t="s">
        <v>212</v>
      </c>
      <c r="N30" s="114">
        <f>N23*0.1</f>
        <v>2.1</v>
      </c>
    </row>
    <row r="31" spans="1:19" x14ac:dyDescent="0.2">
      <c r="M31" t="s">
        <v>211</v>
      </c>
      <c r="N31" s="114">
        <f>21*0.1*0.9</f>
        <v>1.8900000000000001</v>
      </c>
    </row>
    <row r="33" spans="13:20" ht="18" x14ac:dyDescent="0.25">
      <c r="M33" s="125" t="s">
        <v>210</v>
      </c>
      <c r="N33" s="124">
        <f>N30+2*SQRT(N31)</f>
        <v>4.8495454169735037</v>
      </c>
    </row>
    <row r="34" spans="13:20" ht="17" thickBot="1" x14ac:dyDescent="0.25"/>
    <row r="35" spans="13:20" x14ac:dyDescent="0.2">
      <c r="M35" s="421" t="s">
        <v>209</v>
      </c>
      <c r="N35" s="422"/>
      <c r="O35" s="422"/>
      <c r="P35" s="422"/>
      <c r="Q35" s="422"/>
      <c r="R35" s="422"/>
      <c r="S35" s="423"/>
    </row>
    <row r="36" spans="13:20" ht="17" thickBot="1" x14ac:dyDescent="0.25">
      <c r="M36" s="424"/>
      <c r="N36" s="425"/>
      <c r="O36" s="425"/>
      <c r="P36" s="425"/>
      <c r="Q36" s="425"/>
      <c r="R36" s="425"/>
      <c r="S36" s="426"/>
    </row>
    <row r="38" spans="13:20" ht="19" x14ac:dyDescent="0.25">
      <c r="M38" s="123" t="s">
        <v>146</v>
      </c>
    </row>
    <row r="39" spans="13:20" x14ac:dyDescent="0.2">
      <c r="M39" s="415" t="s">
        <v>208</v>
      </c>
      <c r="N39" s="415"/>
      <c r="O39" s="415"/>
      <c r="P39" s="415"/>
      <c r="Q39" s="415"/>
      <c r="R39" s="415"/>
      <c r="S39" s="415"/>
      <c r="T39" s="415"/>
    </row>
    <row r="40" spans="13:20" x14ac:dyDescent="0.2">
      <c r="M40" s="415"/>
      <c r="N40" s="415"/>
      <c r="O40" s="415"/>
      <c r="P40" s="415"/>
      <c r="Q40" s="415"/>
      <c r="R40" s="415"/>
      <c r="S40" s="415"/>
      <c r="T40" s="415"/>
    </row>
    <row r="41" spans="13:20" x14ac:dyDescent="0.2">
      <c r="M41" s="102"/>
    </row>
    <row r="42" spans="13:20" ht="19" x14ac:dyDescent="0.25">
      <c r="M42" s="123" t="s">
        <v>177</v>
      </c>
    </row>
    <row r="43" spans="13:20" x14ac:dyDescent="0.2">
      <c r="M43" t="s">
        <v>178</v>
      </c>
    </row>
    <row r="48" spans="13:20" x14ac:dyDescent="0.2">
      <c r="M48" s="122"/>
    </row>
    <row r="56" spans="13:13" x14ac:dyDescent="0.2">
      <c r="M56" s="122"/>
    </row>
    <row r="63" spans="13:13" x14ac:dyDescent="0.2">
      <c r="M63" s="122"/>
    </row>
    <row r="72" spans="13:13" x14ac:dyDescent="0.2">
      <c r="M72" s="122"/>
    </row>
  </sheetData>
  <mergeCells count="7">
    <mergeCell ref="M39:T40"/>
    <mergeCell ref="D5:H5"/>
    <mergeCell ref="C5:C6"/>
    <mergeCell ref="M25:S26"/>
    <mergeCell ref="M35:S36"/>
    <mergeCell ref="M18:S19"/>
    <mergeCell ref="B19:I21"/>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EB0F-4686-8145-9BF2-818782C2663E}">
  <dimension ref="A1:U71"/>
  <sheetViews>
    <sheetView zoomScaleNormal="100" workbookViewId="0"/>
  </sheetViews>
  <sheetFormatPr baseColWidth="10" defaultColWidth="11" defaultRowHeight="16" outlineLevelCol="1" x14ac:dyDescent="0.2"/>
  <cols>
    <col min="1" max="1" width="4.5" customWidth="1"/>
    <col min="2" max="10" width="10.83203125" customWidth="1"/>
    <col min="13" max="13" width="13.33203125" hidden="1" customWidth="1" outlineLevel="1"/>
    <col min="14" max="20" width="10.83203125" hidden="1" customWidth="1" outlineLevel="1"/>
    <col min="21" max="21" width="11" collapsed="1"/>
  </cols>
  <sheetData>
    <row r="1" spans="1:18" ht="19" x14ac:dyDescent="0.25">
      <c r="A1" s="151" t="s">
        <v>252</v>
      </c>
      <c r="B1" s="121"/>
      <c r="C1" s="120"/>
      <c r="D1" s="120"/>
      <c r="E1" s="120"/>
      <c r="F1" s="119"/>
      <c r="G1" s="119"/>
      <c r="H1" s="119"/>
      <c r="I1" s="119"/>
      <c r="J1" s="118"/>
      <c r="L1" s="117" t="s">
        <v>154</v>
      </c>
    </row>
    <row r="2" spans="1:18" x14ac:dyDescent="0.2">
      <c r="A2" s="109"/>
      <c r="B2" s="107"/>
      <c r="C2" s="107"/>
      <c r="D2" s="107"/>
      <c r="E2" s="107"/>
      <c r="F2" s="107"/>
      <c r="G2" s="107"/>
      <c r="H2" s="107"/>
      <c r="I2" s="107"/>
      <c r="J2" s="106"/>
    </row>
    <row r="3" spans="1:18" x14ac:dyDescent="0.2">
      <c r="A3" s="109"/>
      <c r="B3" s="412" t="s">
        <v>251</v>
      </c>
      <c r="C3" s="412"/>
      <c r="D3" s="412"/>
      <c r="E3" s="412"/>
      <c r="F3" s="412"/>
      <c r="G3" s="412"/>
      <c r="H3" s="412"/>
      <c r="I3" s="412"/>
      <c r="J3" s="106"/>
      <c r="M3" s="96" t="s">
        <v>206</v>
      </c>
      <c r="N3" s="116"/>
    </row>
    <row r="4" spans="1:18" x14ac:dyDescent="0.2">
      <c r="A4" s="109"/>
      <c r="B4" s="412"/>
      <c r="C4" s="412"/>
      <c r="D4" s="412"/>
      <c r="E4" s="412"/>
      <c r="F4" s="412"/>
      <c r="G4" s="412"/>
      <c r="H4" s="412"/>
      <c r="I4" s="412"/>
      <c r="J4" s="106"/>
      <c r="N4" s="150"/>
    </row>
    <row r="5" spans="1:18" x14ac:dyDescent="0.2">
      <c r="A5" s="109"/>
      <c r="B5" s="107"/>
      <c r="C5" s="107"/>
      <c r="D5" s="107"/>
      <c r="E5" s="107"/>
      <c r="F5" s="107"/>
      <c r="G5" s="107"/>
      <c r="H5" s="107"/>
      <c r="I5" s="107"/>
      <c r="J5" s="106"/>
      <c r="M5" s="144" t="s">
        <v>244</v>
      </c>
      <c r="N5" s="143" t="s">
        <v>243</v>
      </c>
      <c r="O5" s="142" t="s">
        <v>242</v>
      </c>
      <c r="P5" s="142" t="s">
        <v>241</v>
      </c>
      <c r="Q5" s="142" t="s">
        <v>74</v>
      </c>
      <c r="R5" s="142" t="s">
        <v>75</v>
      </c>
    </row>
    <row r="6" spans="1:18" x14ac:dyDescent="0.2">
      <c r="A6" s="109"/>
      <c r="B6" s="107"/>
      <c r="C6" s="419" t="s">
        <v>45</v>
      </c>
      <c r="D6" s="416" t="s">
        <v>233</v>
      </c>
      <c r="E6" s="417"/>
      <c r="F6" s="417"/>
      <c r="G6" s="418"/>
      <c r="H6" s="107"/>
      <c r="I6" s="107"/>
      <c r="J6" s="106"/>
      <c r="M6" s="153">
        <f>E8</f>
        <v>30</v>
      </c>
      <c r="N6" s="152">
        <f>D8</f>
        <v>40</v>
      </c>
      <c r="O6" s="152">
        <v>0</v>
      </c>
      <c r="P6" s="152">
        <v>0</v>
      </c>
      <c r="Q6" s="152">
        <v>0</v>
      </c>
      <c r="R6" s="152">
        <v>0</v>
      </c>
    </row>
    <row r="7" spans="1:18" x14ac:dyDescent="0.2">
      <c r="A7" s="109"/>
      <c r="B7" s="107"/>
      <c r="C7" s="420"/>
      <c r="D7" s="147" t="s">
        <v>232</v>
      </c>
      <c r="E7" s="146" t="s">
        <v>231</v>
      </c>
      <c r="F7" s="146" t="s">
        <v>230</v>
      </c>
      <c r="G7" s="145" t="s">
        <v>229</v>
      </c>
      <c r="H7" s="107"/>
      <c r="I7" s="107"/>
      <c r="J7" s="106"/>
      <c r="M7" s="153">
        <f>E9</f>
        <v>60</v>
      </c>
      <c r="N7" s="152">
        <f>D9</f>
        <v>50</v>
      </c>
      <c r="O7" s="152">
        <v>0</v>
      </c>
      <c r="P7" s="152">
        <v>0</v>
      </c>
      <c r="Q7" s="152">
        <v>1</v>
      </c>
      <c r="R7" s="152">
        <v>0</v>
      </c>
    </row>
    <row r="8" spans="1:18" x14ac:dyDescent="0.2">
      <c r="A8" s="109"/>
      <c r="B8" s="107"/>
      <c r="C8" s="139">
        <v>2012</v>
      </c>
      <c r="D8" s="138">
        <v>40</v>
      </c>
      <c r="E8" s="137">
        <v>30</v>
      </c>
      <c r="F8" s="137">
        <v>10</v>
      </c>
      <c r="G8" s="136">
        <v>5</v>
      </c>
      <c r="H8" s="107"/>
      <c r="I8" s="107"/>
      <c r="J8" s="106"/>
      <c r="M8" s="153">
        <f>E10</f>
        <v>50</v>
      </c>
      <c r="N8" s="152">
        <f>D10</f>
        <v>90</v>
      </c>
      <c r="O8" s="152">
        <v>0</v>
      </c>
      <c r="P8" s="152">
        <v>0</v>
      </c>
      <c r="Q8" s="152">
        <v>0</v>
      </c>
      <c r="R8" s="152">
        <v>1</v>
      </c>
    </row>
    <row r="9" spans="1:18" x14ac:dyDescent="0.2">
      <c r="A9" s="109"/>
      <c r="B9" s="107"/>
      <c r="C9" s="139">
        <v>2013</v>
      </c>
      <c r="D9" s="138">
        <v>50</v>
      </c>
      <c r="E9" s="137">
        <v>60</v>
      </c>
      <c r="F9" s="137">
        <v>30</v>
      </c>
      <c r="G9" s="136"/>
      <c r="H9" s="107"/>
      <c r="I9" s="107"/>
      <c r="J9" s="106"/>
      <c r="M9" s="153">
        <f>F8</f>
        <v>10</v>
      </c>
      <c r="N9" s="152">
        <v>0</v>
      </c>
      <c r="O9" s="152">
        <f>D8+E8</f>
        <v>70</v>
      </c>
      <c r="P9" s="152">
        <v>0</v>
      </c>
      <c r="Q9" s="152">
        <v>1</v>
      </c>
      <c r="R9" s="152">
        <v>0</v>
      </c>
    </row>
    <row r="10" spans="1:18" x14ac:dyDescent="0.2">
      <c r="A10" s="109"/>
      <c r="B10" s="107"/>
      <c r="C10" s="139">
        <v>2014</v>
      </c>
      <c r="D10" s="138">
        <v>90</v>
      </c>
      <c r="E10" s="137">
        <v>50</v>
      </c>
      <c r="F10" s="137"/>
      <c r="G10" s="136"/>
      <c r="H10" s="107"/>
      <c r="I10" s="107"/>
      <c r="J10" s="106"/>
      <c r="M10" s="153">
        <f>F9</f>
        <v>30</v>
      </c>
      <c r="N10" s="152">
        <v>0</v>
      </c>
      <c r="O10" s="152">
        <f>D9+E9</f>
        <v>110</v>
      </c>
      <c r="P10" s="152">
        <v>0</v>
      </c>
      <c r="Q10" s="152">
        <v>0</v>
      </c>
      <c r="R10" s="152">
        <v>1</v>
      </c>
    </row>
    <row r="11" spans="1:18" x14ac:dyDescent="0.2">
      <c r="A11" s="109"/>
      <c r="B11" s="107"/>
      <c r="C11" s="135">
        <v>2015</v>
      </c>
      <c r="D11" s="134">
        <v>120</v>
      </c>
      <c r="E11" s="133"/>
      <c r="F11" s="133"/>
      <c r="G11" s="132"/>
      <c r="H11" s="107"/>
      <c r="I11" s="107"/>
      <c r="J11" s="106"/>
      <c r="M11" s="153">
        <f>G8</f>
        <v>5</v>
      </c>
      <c r="N11" s="152">
        <v>0</v>
      </c>
      <c r="O11" s="152">
        <v>0</v>
      </c>
      <c r="P11" s="152">
        <f>D8+E8+F8</f>
        <v>80</v>
      </c>
      <c r="Q11" s="152">
        <v>0</v>
      </c>
      <c r="R11" s="152">
        <v>1</v>
      </c>
    </row>
    <row r="12" spans="1:18" x14ac:dyDescent="0.2">
      <c r="A12" s="109"/>
      <c r="B12" s="107"/>
      <c r="C12" s="107"/>
      <c r="D12" s="107"/>
      <c r="E12" s="107"/>
      <c r="F12" s="107"/>
      <c r="G12" s="107"/>
      <c r="H12" s="107"/>
      <c r="I12" s="107"/>
      <c r="J12" s="106"/>
      <c r="N12" s="101"/>
    </row>
    <row r="13" spans="1:18" x14ac:dyDescent="0.2">
      <c r="A13" s="109"/>
      <c r="B13" s="129" t="s">
        <v>0</v>
      </c>
      <c r="C13" s="107"/>
      <c r="D13" s="107"/>
      <c r="E13" s="107"/>
      <c r="F13" s="107"/>
      <c r="G13" s="107"/>
      <c r="H13" s="107"/>
      <c r="I13" s="107"/>
      <c r="J13" s="106"/>
      <c r="M13" t="s">
        <v>250</v>
      </c>
    </row>
    <row r="14" spans="1:18" ht="16" customHeight="1" x14ac:dyDescent="0.2">
      <c r="A14" s="109"/>
      <c r="B14" s="412" t="s">
        <v>249</v>
      </c>
      <c r="C14" s="412"/>
      <c r="D14" s="412"/>
      <c r="E14" s="412"/>
      <c r="F14" s="412"/>
      <c r="G14" s="412"/>
      <c r="H14" s="412"/>
      <c r="I14" s="412"/>
      <c r="J14" s="106"/>
      <c r="M14" t="s">
        <v>248</v>
      </c>
    </row>
    <row r="15" spans="1:18" x14ac:dyDescent="0.2">
      <c r="A15" s="109"/>
      <c r="B15" s="412"/>
      <c r="C15" s="412"/>
      <c r="D15" s="412"/>
      <c r="E15" s="412"/>
      <c r="F15" s="412"/>
      <c r="G15" s="412"/>
      <c r="H15" s="412"/>
      <c r="I15" s="412"/>
      <c r="J15" s="106"/>
      <c r="N15" s="154"/>
    </row>
    <row r="16" spans="1:18" x14ac:dyDescent="0.2">
      <c r="A16" s="109"/>
      <c r="B16" s="111"/>
      <c r="C16" s="107"/>
      <c r="D16" s="107"/>
      <c r="E16" s="107"/>
      <c r="F16" s="107"/>
      <c r="G16" s="107"/>
      <c r="H16" s="107"/>
      <c r="I16" s="107"/>
      <c r="J16" s="106"/>
      <c r="M16" s="96" t="s">
        <v>204</v>
      </c>
      <c r="N16" s="114"/>
    </row>
    <row r="17" spans="1:18" x14ac:dyDescent="0.2">
      <c r="A17" s="109"/>
      <c r="B17" s="112" t="s">
        <v>1</v>
      </c>
      <c r="C17" s="107"/>
      <c r="D17" s="107"/>
      <c r="E17" s="107"/>
      <c r="F17" s="107"/>
      <c r="G17" s="107"/>
      <c r="H17" s="107"/>
      <c r="I17" s="107"/>
      <c r="J17" s="106"/>
    </row>
    <row r="18" spans="1:18" x14ac:dyDescent="0.2">
      <c r="A18" s="109"/>
      <c r="B18" s="107" t="s">
        <v>247</v>
      </c>
      <c r="C18" s="107"/>
      <c r="D18" s="107"/>
      <c r="E18" s="107"/>
      <c r="F18" s="107"/>
      <c r="G18" s="107"/>
      <c r="H18" s="107"/>
      <c r="I18" s="107"/>
      <c r="J18" s="106"/>
      <c r="M18" s="413" t="s">
        <v>246</v>
      </c>
      <c r="N18" s="413"/>
      <c r="O18" s="413"/>
      <c r="P18" s="413"/>
      <c r="Q18" s="413"/>
      <c r="R18" s="413"/>
    </row>
    <row r="19" spans="1:18" x14ac:dyDescent="0.2">
      <c r="A19" s="109"/>
      <c r="B19" s="107"/>
      <c r="C19" s="107"/>
      <c r="D19" s="107"/>
      <c r="E19" s="107"/>
      <c r="F19" s="107"/>
      <c r="G19" s="107"/>
      <c r="H19" s="107"/>
      <c r="I19" s="107"/>
      <c r="J19" s="106"/>
      <c r="M19" s="413"/>
      <c r="N19" s="413"/>
      <c r="O19" s="413"/>
      <c r="P19" s="413"/>
      <c r="Q19" s="413"/>
      <c r="R19" s="413"/>
    </row>
    <row r="20" spans="1:18" x14ac:dyDescent="0.2">
      <c r="A20" s="109"/>
      <c r="B20" s="129" t="s">
        <v>2</v>
      </c>
      <c r="C20" s="107"/>
      <c r="D20" s="107"/>
      <c r="E20" s="107"/>
      <c r="F20" s="107"/>
      <c r="G20" s="107"/>
      <c r="H20" s="107"/>
      <c r="I20" s="107"/>
      <c r="J20" s="106"/>
    </row>
    <row r="21" spans="1:18" ht="16" customHeight="1" x14ac:dyDescent="0.2">
      <c r="A21" s="109"/>
      <c r="B21" s="412" t="s">
        <v>245</v>
      </c>
      <c r="C21" s="412"/>
      <c r="D21" s="412"/>
      <c r="E21" s="412"/>
      <c r="F21" s="412"/>
      <c r="G21" s="412"/>
      <c r="H21" s="412"/>
      <c r="I21" s="412"/>
      <c r="J21" s="106"/>
      <c r="M21" s="144" t="s">
        <v>244</v>
      </c>
      <c r="N21" s="143" t="s">
        <v>243</v>
      </c>
      <c r="O21" s="142" t="s">
        <v>242</v>
      </c>
      <c r="P21" s="142" t="s">
        <v>241</v>
      </c>
      <c r="Q21" s="142" t="s">
        <v>74</v>
      </c>
      <c r="R21" s="142" t="s">
        <v>75</v>
      </c>
    </row>
    <row r="22" spans="1:18" x14ac:dyDescent="0.2">
      <c r="A22" s="109"/>
      <c r="B22" s="412"/>
      <c r="C22" s="412"/>
      <c r="D22" s="412"/>
      <c r="E22" s="412"/>
      <c r="F22" s="412"/>
      <c r="G22" s="412"/>
      <c r="H22" s="412"/>
      <c r="I22" s="412"/>
      <c r="J22" s="106"/>
      <c r="M22" s="153">
        <f t="shared" ref="M22:M27" si="0">M6</f>
        <v>30</v>
      </c>
      <c r="N22" s="152">
        <v>1</v>
      </c>
      <c r="O22" s="152">
        <v>0</v>
      </c>
      <c r="P22" s="152">
        <v>0</v>
      </c>
      <c r="Q22" s="152">
        <v>0</v>
      </c>
      <c r="R22" s="152">
        <v>0</v>
      </c>
    </row>
    <row r="23" spans="1:18" x14ac:dyDescent="0.2">
      <c r="A23" s="109"/>
      <c r="B23" s="412"/>
      <c r="C23" s="412"/>
      <c r="D23" s="412"/>
      <c r="E23" s="412"/>
      <c r="F23" s="412"/>
      <c r="G23" s="412"/>
      <c r="H23" s="412"/>
      <c r="I23" s="412"/>
      <c r="J23" s="106"/>
      <c r="M23" s="153">
        <f t="shared" si="0"/>
        <v>60</v>
      </c>
      <c r="N23" s="152">
        <v>1</v>
      </c>
      <c r="O23" s="152">
        <v>0</v>
      </c>
      <c r="P23" s="152">
        <v>0</v>
      </c>
      <c r="Q23" s="152">
        <v>1</v>
      </c>
      <c r="R23" s="152">
        <v>0</v>
      </c>
    </row>
    <row r="24" spans="1:18" ht="17" thickBot="1" x14ac:dyDescent="0.25">
      <c r="A24" s="109"/>
      <c r="B24" s="108"/>
      <c r="C24" s="107"/>
      <c r="D24" s="107"/>
      <c r="E24" s="107"/>
      <c r="F24" s="107"/>
      <c r="G24" s="107"/>
      <c r="H24" s="107"/>
      <c r="I24" s="107"/>
      <c r="J24" s="106"/>
      <c r="M24" s="153">
        <f t="shared" si="0"/>
        <v>50</v>
      </c>
      <c r="N24" s="152">
        <v>1</v>
      </c>
      <c r="O24" s="152">
        <v>0</v>
      </c>
      <c r="P24" s="152">
        <v>0</v>
      </c>
      <c r="Q24" s="152">
        <v>0</v>
      </c>
      <c r="R24" s="152">
        <v>1</v>
      </c>
    </row>
    <row r="25" spans="1:18" ht="17" thickBot="1" x14ac:dyDescent="0.25">
      <c r="A25" s="105" t="s">
        <v>153</v>
      </c>
      <c r="B25" s="104"/>
      <c r="C25" s="104"/>
      <c r="D25" s="104"/>
      <c r="E25" s="104"/>
      <c r="F25" s="104"/>
      <c r="G25" s="104"/>
      <c r="H25" s="104"/>
      <c r="I25" s="104"/>
      <c r="J25" s="103"/>
      <c r="M25" s="153">
        <f t="shared" si="0"/>
        <v>10</v>
      </c>
      <c r="N25" s="152">
        <v>0</v>
      </c>
      <c r="O25" s="152">
        <v>1</v>
      </c>
      <c r="P25" s="152">
        <v>0</v>
      </c>
      <c r="Q25" s="152">
        <v>1</v>
      </c>
      <c r="R25" s="152">
        <v>0</v>
      </c>
    </row>
    <row r="26" spans="1:18" x14ac:dyDescent="0.2">
      <c r="M26" s="153">
        <f t="shared" si="0"/>
        <v>30</v>
      </c>
      <c r="N26" s="152">
        <v>0</v>
      </c>
      <c r="O26" s="152">
        <v>1</v>
      </c>
      <c r="P26" s="152">
        <v>0</v>
      </c>
      <c r="Q26" s="152">
        <v>0</v>
      </c>
      <c r="R26" s="152">
        <v>1</v>
      </c>
    </row>
    <row r="27" spans="1:18" x14ac:dyDescent="0.2">
      <c r="M27" s="153">
        <f t="shared" si="0"/>
        <v>5</v>
      </c>
      <c r="N27" s="152">
        <v>0</v>
      </c>
      <c r="O27" s="152">
        <v>0</v>
      </c>
      <c r="P27" s="152">
        <v>1</v>
      </c>
      <c r="Q27" s="152">
        <v>0</v>
      </c>
      <c r="R27" s="152">
        <v>1</v>
      </c>
    </row>
    <row r="28" spans="1:18" x14ac:dyDescent="0.2">
      <c r="N28" s="99"/>
    </row>
    <row r="29" spans="1:18" x14ac:dyDescent="0.2">
      <c r="M29" s="96" t="s">
        <v>200</v>
      </c>
      <c r="N29" s="99"/>
    </row>
    <row r="31" spans="1:18" x14ac:dyDescent="0.2">
      <c r="M31" t="s">
        <v>240</v>
      </c>
    </row>
    <row r="32" spans="1:18" x14ac:dyDescent="0.2">
      <c r="O32" s="114"/>
    </row>
    <row r="33" spans="13:20" x14ac:dyDescent="0.2">
      <c r="M33" t="s">
        <v>239</v>
      </c>
      <c r="O33" s="114"/>
    </row>
    <row r="35" spans="13:20" x14ac:dyDescent="0.2">
      <c r="M35" t="s">
        <v>238</v>
      </c>
    </row>
    <row r="37" spans="13:20" ht="19" x14ac:dyDescent="0.25">
      <c r="M37" s="123" t="s">
        <v>146</v>
      </c>
    </row>
    <row r="38" spans="13:20" x14ac:dyDescent="0.2">
      <c r="M38" s="415" t="s">
        <v>237</v>
      </c>
      <c r="N38" s="415"/>
      <c r="O38" s="415"/>
      <c r="P38" s="415"/>
      <c r="Q38" s="415"/>
      <c r="R38" s="415"/>
      <c r="S38" s="415"/>
      <c r="T38" s="415"/>
    </row>
    <row r="39" spans="13:20" x14ac:dyDescent="0.2">
      <c r="M39" s="415"/>
      <c r="N39" s="415"/>
      <c r="O39" s="415"/>
      <c r="P39" s="415"/>
      <c r="Q39" s="415"/>
      <c r="R39" s="415"/>
      <c r="S39" s="415"/>
      <c r="T39" s="415"/>
    </row>
    <row r="40" spans="13:20" x14ac:dyDescent="0.2">
      <c r="M40" s="415"/>
      <c r="N40" s="415"/>
      <c r="O40" s="415"/>
      <c r="P40" s="415"/>
      <c r="Q40" s="415"/>
      <c r="R40" s="415"/>
      <c r="S40" s="415"/>
      <c r="T40" s="415"/>
    </row>
    <row r="41" spans="13:20" x14ac:dyDescent="0.2">
      <c r="M41" s="415"/>
      <c r="N41" s="415"/>
      <c r="O41" s="415"/>
      <c r="P41" s="415"/>
      <c r="Q41" s="415"/>
      <c r="R41" s="415"/>
      <c r="S41" s="415"/>
      <c r="T41" s="415"/>
    </row>
    <row r="42" spans="13:20" x14ac:dyDescent="0.2">
      <c r="M42" s="415"/>
      <c r="N42" s="415"/>
      <c r="O42" s="415"/>
      <c r="P42" s="415"/>
      <c r="Q42" s="415"/>
      <c r="R42" s="415"/>
      <c r="S42" s="415"/>
      <c r="T42" s="415"/>
    </row>
    <row r="43" spans="13:20" x14ac:dyDescent="0.2">
      <c r="M43" s="415"/>
      <c r="N43" s="415"/>
      <c r="O43" s="415"/>
      <c r="P43" s="415"/>
      <c r="Q43" s="415"/>
      <c r="R43" s="415"/>
      <c r="S43" s="415"/>
      <c r="T43" s="415"/>
    </row>
    <row r="44" spans="13:20" x14ac:dyDescent="0.2">
      <c r="M44" s="415"/>
      <c r="N44" s="415"/>
      <c r="O44" s="415"/>
      <c r="P44" s="415"/>
      <c r="Q44" s="415"/>
      <c r="R44" s="415"/>
      <c r="S44" s="415"/>
      <c r="T44" s="415"/>
    </row>
    <row r="45" spans="13:20" x14ac:dyDescent="0.2">
      <c r="M45" s="415"/>
      <c r="N45" s="415"/>
      <c r="O45" s="415"/>
      <c r="P45" s="415"/>
      <c r="Q45" s="415"/>
      <c r="R45" s="415"/>
      <c r="S45" s="415"/>
      <c r="T45" s="415"/>
    </row>
    <row r="46" spans="13:20" x14ac:dyDescent="0.2">
      <c r="M46" s="415"/>
      <c r="N46" s="415"/>
      <c r="O46" s="415"/>
      <c r="P46" s="415"/>
      <c r="Q46" s="415"/>
      <c r="R46" s="415"/>
      <c r="S46" s="415"/>
      <c r="T46" s="415"/>
    </row>
    <row r="47" spans="13:20" x14ac:dyDescent="0.2">
      <c r="M47" s="415"/>
      <c r="N47" s="415"/>
      <c r="O47" s="415"/>
      <c r="P47" s="415"/>
      <c r="Q47" s="415"/>
      <c r="R47" s="415"/>
      <c r="S47" s="415"/>
      <c r="T47" s="415"/>
    </row>
    <row r="48" spans="13:20" x14ac:dyDescent="0.2">
      <c r="M48" s="415"/>
      <c r="N48" s="415"/>
      <c r="O48" s="415"/>
      <c r="P48" s="415"/>
      <c r="Q48" s="415"/>
      <c r="R48" s="415"/>
      <c r="S48" s="415"/>
      <c r="T48" s="415"/>
    </row>
    <row r="50" spans="13:13" ht="19" x14ac:dyDescent="0.25">
      <c r="M50" s="123" t="s">
        <v>177</v>
      </c>
    </row>
    <row r="51" spans="13:13" x14ac:dyDescent="0.2">
      <c r="M51" t="s">
        <v>181</v>
      </c>
    </row>
    <row r="55" spans="13:13" x14ac:dyDescent="0.2">
      <c r="M55" s="122"/>
    </row>
    <row r="62" spans="13:13" x14ac:dyDescent="0.2">
      <c r="M62" s="122"/>
    </row>
    <row r="71" spans="13:13" x14ac:dyDescent="0.2">
      <c r="M71" s="122"/>
    </row>
  </sheetData>
  <mergeCells count="7">
    <mergeCell ref="M38:T48"/>
    <mergeCell ref="B3:I4"/>
    <mergeCell ref="B21:I23"/>
    <mergeCell ref="B14:I15"/>
    <mergeCell ref="M18:R19"/>
    <mergeCell ref="C6:C7"/>
    <mergeCell ref="D6:G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B664-A3E1-F746-AA87-9D27BD9E90E6}">
  <dimension ref="A1:U80"/>
  <sheetViews>
    <sheetView workbookViewId="0"/>
  </sheetViews>
  <sheetFormatPr baseColWidth="10" defaultColWidth="11" defaultRowHeight="16" outlineLevelCol="1" x14ac:dyDescent="0.2"/>
  <cols>
    <col min="1" max="1" width="4.5" customWidth="1"/>
    <col min="2" max="10" width="10.83203125" customWidth="1"/>
    <col min="12" max="12" width="11.1640625" bestFit="1" customWidth="1"/>
    <col min="13" max="20" width="10.83203125" hidden="1" customWidth="1" outlineLevel="1"/>
    <col min="21" max="21" width="11" collapsed="1"/>
  </cols>
  <sheetData>
    <row r="1" spans="1:19" ht="19" x14ac:dyDescent="0.25">
      <c r="A1" s="151" t="s">
        <v>268</v>
      </c>
      <c r="B1" s="121"/>
      <c r="C1" s="120"/>
      <c r="D1" s="120"/>
      <c r="E1" s="120"/>
      <c r="F1" s="119"/>
      <c r="G1" s="119"/>
      <c r="H1" s="119"/>
      <c r="I1" s="119"/>
      <c r="J1" s="118"/>
      <c r="L1" s="117" t="s">
        <v>154</v>
      </c>
    </row>
    <row r="2" spans="1:19" x14ac:dyDescent="0.2">
      <c r="A2" s="109"/>
      <c r="B2" s="107"/>
      <c r="C2" s="107"/>
      <c r="D2" s="107"/>
      <c r="E2" s="107"/>
      <c r="F2" s="107"/>
      <c r="G2" s="107"/>
      <c r="H2" s="107"/>
      <c r="I2" s="107"/>
      <c r="J2" s="106"/>
    </row>
    <row r="3" spans="1:19" x14ac:dyDescent="0.2">
      <c r="A3" s="109"/>
      <c r="B3" s="107" t="s">
        <v>267</v>
      </c>
      <c r="C3" s="107"/>
      <c r="D3" s="107"/>
      <c r="E3" s="107"/>
      <c r="F3" s="107"/>
      <c r="G3" s="107"/>
      <c r="H3" s="107"/>
      <c r="I3" s="107"/>
      <c r="J3" s="106"/>
      <c r="M3" s="96" t="s">
        <v>206</v>
      </c>
      <c r="N3" s="116"/>
    </row>
    <row r="4" spans="1:19" x14ac:dyDescent="0.2">
      <c r="A4" s="109"/>
      <c r="B4" s="107"/>
      <c r="C4" s="107"/>
      <c r="D4" s="107"/>
      <c r="E4" s="107"/>
      <c r="F4" s="107"/>
      <c r="G4" s="107"/>
      <c r="H4" s="107"/>
      <c r="I4" s="107"/>
      <c r="J4" s="106"/>
      <c r="N4" s="150"/>
    </row>
    <row r="5" spans="1:19" ht="16" customHeight="1" x14ac:dyDescent="0.2">
      <c r="A5" s="109"/>
      <c r="B5" s="419" t="s">
        <v>45</v>
      </c>
      <c r="C5" s="416" t="s">
        <v>233</v>
      </c>
      <c r="D5" s="417"/>
      <c r="E5" s="417"/>
      <c r="F5" s="417"/>
      <c r="G5" s="417"/>
      <c r="H5" s="418"/>
      <c r="I5" s="111"/>
      <c r="J5" s="177"/>
      <c r="M5" s="413" t="s">
        <v>587</v>
      </c>
      <c r="N5" s="413"/>
      <c r="O5" s="413"/>
      <c r="P5" s="413"/>
      <c r="Q5" s="413"/>
      <c r="R5" s="413"/>
      <c r="S5" s="413"/>
    </row>
    <row r="6" spans="1:19" x14ac:dyDescent="0.2">
      <c r="A6" s="109"/>
      <c r="B6" s="420"/>
      <c r="C6" s="147" t="s">
        <v>232</v>
      </c>
      <c r="D6" s="146" t="s">
        <v>231</v>
      </c>
      <c r="E6" s="146" t="s">
        <v>230</v>
      </c>
      <c r="F6" s="146" t="s">
        <v>229</v>
      </c>
      <c r="G6" s="146" t="s">
        <v>228</v>
      </c>
      <c r="H6" s="145" t="s">
        <v>266</v>
      </c>
      <c r="I6" s="111"/>
      <c r="J6" s="177"/>
      <c r="M6" s="413"/>
      <c r="N6" s="413"/>
      <c r="O6" s="413"/>
      <c r="P6" s="413"/>
      <c r="Q6" s="413"/>
      <c r="R6" s="413"/>
      <c r="S6" s="413"/>
    </row>
    <row r="7" spans="1:19" x14ac:dyDescent="0.2">
      <c r="A7" s="109"/>
      <c r="B7" s="149">
        <v>2007</v>
      </c>
      <c r="C7" s="176">
        <v>500</v>
      </c>
      <c r="D7" s="175">
        <v>300</v>
      </c>
      <c r="E7" s="175">
        <v>300</v>
      </c>
      <c r="F7" s="175">
        <v>25</v>
      </c>
      <c r="G7" s="175">
        <v>75</v>
      </c>
      <c r="H7" s="174">
        <v>30</v>
      </c>
      <c r="I7" s="137"/>
      <c r="J7" s="173"/>
      <c r="M7" s="413"/>
      <c r="N7" s="413"/>
      <c r="O7" s="413"/>
      <c r="P7" s="413"/>
      <c r="Q7" s="413"/>
      <c r="R7" s="413"/>
      <c r="S7" s="413"/>
    </row>
    <row r="8" spans="1:19" x14ac:dyDescent="0.2">
      <c r="A8" s="109"/>
      <c r="B8" s="171">
        <v>2008</v>
      </c>
      <c r="C8" s="138">
        <v>300</v>
      </c>
      <c r="D8" s="137">
        <v>600</v>
      </c>
      <c r="E8" s="137">
        <v>150</v>
      </c>
      <c r="F8" s="137">
        <v>100</v>
      </c>
      <c r="G8" s="137">
        <v>60</v>
      </c>
      <c r="H8" s="170"/>
      <c r="I8" s="107"/>
      <c r="J8" s="106"/>
      <c r="M8" s="172"/>
      <c r="N8" s="101"/>
      <c r="O8" s="101"/>
      <c r="P8" s="101"/>
      <c r="Q8" s="101"/>
      <c r="R8" s="101"/>
      <c r="S8" s="101"/>
    </row>
    <row r="9" spans="1:19" ht="17" thickBot="1" x14ac:dyDescent="0.25">
      <c r="A9" s="109"/>
      <c r="B9" s="171">
        <v>2009</v>
      </c>
      <c r="C9" s="138">
        <v>400</v>
      </c>
      <c r="D9" s="137">
        <v>200</v>
      </c>
      <c r="E9" s="137">
        <v>300</v>
      </c>
      <c r="F9" s="137">
        <v>100</v>
      </c>
      <c r="G9" s="137"/>
      <c r="H9" s="170"/>
      <c r="I9" s="107"/>
      <c r="J9" s="106"/>
      <c r="M9" s="101"/>
      <c r="N9" s="101"/>
      <c r="O9" s="101"/>
      <c r="P9" s="101"/>
      <c r="Q9" s="101"/>
      <c r="R9" s="101"/>
      <c r="S9" s="101"/>
    </row>
    <row r="10" spans="1:19" x14ac:dyDescent="0.2">
      <c r="A10" s="109"/>
      <c r="B10" s="171">
        <v>2010</v>
      </c>
      <c r="C10" s="138">
        <v>600</v>
      </c>
      <c r="D10" s="137">
        <v>300</v>
      </c>
      <c r="E10" s="137">
        <v>220</v>
      </c>
      <c r="F10" s="137"/>
      <c r="G10" s="137"/>
      <c r="H10" s="170"/>
      <c r="I10" s="107"/>
      <c r="J10" s="106"/>
      <c r="M10" s="428" t="s">
        <v>588</v>
      </c>
      <c r="N10" s="429"/>
      <c r="O10" s="429"/>
      <c r="P10" s="429"/>
      <c r="Q10" s="429"/>
      <c r="R10" s="429"/>
      <c r="S10" s="430"/>
    </row>
    <row r="11" spans="1:19" ht="17" thickBot="1" x14ac:dyDescent="0.25">
      <c r="A11" s="109"/>
      <c r="B11" s="171">
        <v>2011</v>
      </c>
      <c r="C11" s="138">
        <v>200</v>
      </c>
      <c r="D11" s="137">
        <v>400</v>
      </c>
      <c r="E11" s="137"/>
      <c r="F11" s="137"/>
      <c r="G11" s="137"/>
      <c r="H11" s="170"/>
      <c r="I11" s="107"/>
      <c r="J11" s="106"/>
      <c r="M11" s="431"/>
      <c r="N11" s="432"/>
      <c r="O11" s="432"/>
      <c r="P11" s="432"/>
      <c r="Q11" s="432"/>
      <c r="R11" s="432"/>
      <c r="S11" s="433"/>
    </row>
    <row r="12" spans="1:19" x14ac:dyDescent="0.2">
      <c r="A12" s="109"/>
      <c r="B12" s="148">
        <v>2012</v>
      </c>
      <c r="C12" s="134">
        <v>350</v>
      </c>
      <c r="D12" s="133"/>
      <c r="E12" s="133"/>
      <c r="F12" s="133"/>
      <c r="G12" s="133"/>
      <c r="H12" s="169"/>
      <c r="I12" s="107"/>
      <c r="J12" s="106"/>
      <c r="M12" s="101"/>
      <c r="N12" s="101"/>
      <c r="O12" s="101"/>
      <c r="P12" s="101"/>
      <c r="Q12" s="101"/>
      <c r="R12" s="101"/>
      <c r="S12" s="101"/>
    </row>
    <row r="13" spans="1:19" x14ac:dyDescent="0.2">
      <c r="A13" s="109"/>
      <c r="B13" s="107"/>
      <c r="C13" s="107"/>
      <c r="D13" s="107"/>
      <c r="E13" s="107"/>
      <c r="F13" s="107"/>
      <c r="G13" s="107"/>
      <c r="H13" s="107"/>
      <c r="I13" s="107"/>
      <c r="J13" s="106"/>
      <c r="M13" s="168" t="s">
        <v>204</v>
      </c>
      <c r="N13" s="101"/>
      <c r="O13" s="101"/>
      <c r="P13" s="101"/>
      <c r="Q13" s="101"/>
      <c r="R13" s="101"/>
      <c r="S13" s="101"/>
    </row>
    <row r="14" spans="1:19" ht="16" customHeight="1" x14ac:dyDescent="0.2">
      <c r="A14" s="109"/>
      <c r="B14" s="427" t="s">
        <v>265</v>
      </c>
      <c r="C14" s="427"/>
      <c r="D14" s="427"/>
      <c r="E14" s="427"/>
      <c r="F14" s="427"/>
      <c r="G14" s="427"/>
      <c r="H14" s="427"/>
      <c r="I14" s="427"/>
      <c r="J14" s="167"/>
      <c r="M14" s="101"/>
      <c r="N14" s="101"/>
      <c r="O14" s="101"/>
      <c r="P14" s="101"/>
      <c r="Q14" s="101"/>
      <c r="R14" s="101"/>
      <c r="S14" s="101"/>
    </row>
    <row r="15" spans="1:19" x14ac:dyDescent="0.2">
      <c r="A15" s="109"/>
      <c r="B15" s="427"/>
      <c r="C15" s="427"/>
      <c r="D15" s="427"/>
      <c r="E15" s="427"/>
      <c r="F15" s="427"/>
      <c r="G15" s="427"/>
      <c r="H15" s="427"/>
      <c r="I15" s="427"/>
      <c r="J15" s="167"/>
      <c r="M15" s="413" t="s">
        <v>264</v>
      </c>
      <c r="N15" s="413"/>
      <c r="O15" s="413"/>
      <c r="P15" s="413"/>
      <c r="Q15" s="413"/>
      <c r="R15" s="413"/>
      <c r="S15" s="413"/>
    </row>
    <row r="16" spans="1:19" x14ac:dyDescent="0.2">
      <c r="A16" s="109"/>
      <c r="B16" s="115" t="s">
        <v>263</v>
      </c>
      <c r="C16" s="115"/>
      <c r="D16" s="115"/>
      <c r="E16" s="115"/>
      <c r="F16" s="115"/>
      <c r="G16" s="115"/>
      <c r="H16" s="115"/>
      <c r="I16" s="115"/>
      <c r="J16" s="166"/>
      <c r="M16" s="413"/>
      <c r="N16" s="413"/>
      <c r="O16" s="413"/>
      <c r="P16" s="413"/>
      <c r="Q16" s="413"/>
      <c r="R16" s="413"/>
      <c r="S16" s="413"/>
    </row>
    <row r="17" spans="1:19" x14ac:dyDescent="0.2">
      <c r="A17" s="109"/>
      <c r="B17" s="107"/>
      <c r="C17" s="107"/>
      <c r="D17" s="107"/>
      <c r="E17" s="107"/>
      <c r="F17" s="107"/>
      <c r="G17" s="107"/>
      <c r="H17" s="107"/>
      <c r="I17" s="107"/>
      <c r="J17" s="106"/>
      <c r="M17" s="413"/>
      <c r="N17" s="413"/>
      <c r="O17" s="413"/>
      <c r="P17" s="413"/>
      <c r="Q17" s="413"/>
      <c r="R17" s="413"/>
      <c r="S17" s="413"/>
    </row>
    <row r="18" spans="1:19" x14ac:dyDescent="0.2">
      <c r="A18" s="109"/>
      <c r="B18" s="107"/>
      <c r="C18" s="416" t="s">
        <v>262</v>
      </c>
      <c r="D18" s="417"/>
      <c r="E18" s="417"/>
      <c r="F18" s="418"/>
      <c r="G18" s="107"/>
      <c r="H18" s="107"/>
      <c r="I18" s="107"/>
      <c r="J18" s="106"/>
      <c r="M18" s="413"/>
      <c r="N18" s="413"/>
      <c r="O18" s="413"/>
      <c r="P18" s="413"/>
      <c r="Q18" s="413"/>
      <c r="R18" s="413"/>
      <c r="S18" s="413"/>
    </row>
    <row r="19" spans="1:19" x14ac:dyDescent="0.2">
      <c r="A19" s="109"/>
      <c r="B19" s="107"/>
      <c r="C19" s="165"/>
      <c r="D19" s="164" t="s">
        <v>261</v>
      </c>
      <c r="E19" s="164" t="s">
        <v>260</v>
      </c>
      <c r="F19" s="163" t="s">
        <v>259</v>
      </c>
      <c r="G19" s="107"/>
      <c r="H19" s="107"/>
      <c r="I19" s="107"/>
      <c r="J19" s="106"/>
    </row>
    <row r="20" spans="1:19" x14ac:dyDescent="0.2">
      <c r="A20" s="109"/>
      <c r="B20" s="107"/>
      <c r="C20" s="149" t="s">
        <v>258</v>
      </c>
      <c r="D20" s="162">
        <v>560</v>
      </c>
      <c r="E20" s="162">
        <v>549.16999999999996</v>
      </c>
      <c r="F20" s="161">
        <v>368.27</v>
      </c>
      <c r="G20" s="107"/>
      <c r="H20" s="107"/>
      <c r="I20" s="107"/>
      <c r="J20" s="106"/>
      <c r="M20" s="101"/>
    </row>
    <row r="21" spans="1:19" ht="19" x14ac:dyDescent="0.25">
      <c r="A21" s="109"/>
      <c r="B21" s="107"/>
      <c r="C21" s="148" t="s">
        <v>257</v>
      </c>
      <c r="D21" s="157">
        <v>200.5</v>
      </c>
      <c r="E21" s="157">
        <v>193.48</v>
      </c>
      <c r="F21" s="156">
        <v>305.8</v>
      </c>
      <c r="G21" s="107"/>
      <c r="H21" s="107"/>
      <c r="I21" s="107"/>
      <c r="J21" s="106"/>
      <c r="M21" s="117" t="s">
        <v>146</v>
      </c>
    </row>
    <row r="22" spans="1:19" ht="16" customHeight="1" x14ac:dyDescent="0.2">
      <c r="A22" s="109"/>
      <c r="B22" s="107"/>
      <c r="C22" s="160" t="s">
        <v>256</v>
      </c>
      <c r="D22" s="159">
        <v>-0.5</v>
      </c>
      <c r="E22" s="159">
        <v>-0.38</v>
      </c>
      <c r="F22" s="158">
        <v>-0.28999999999999998</v>
      </c>
      <c r="G22" s="107"/>
      <c r="H22" s="107"/>
      <c r="I22" s="107"/>
      <c r="J22" s="106"/>
      <c r="M22" s="460" t="s">
        <v>589</v>
      </c>
      <c r="N22" s="460"/>
      <c r="O22" s="460"/>
      <c r="P22" s="460"/>
      <c r="Q22" s="460"/>
      <c r="R22" s="460"/>
      <c r="S22" s="460"/>
    </row>
    <row r="23" spans="1:19" x14ac:dyDescent="0.2">
      <c r="A23" s="109"/>
      <c r="B23" s="107"/>
      <c r="C23" s="148" t="s">
        <v>255</v>
      </c>
      <c r="D23" s="157">
        <v>0.47</v>
      </c>
      <c r="E23" s="157">
        <v>0.24</v>
      </c>
      <c r="F23" s="156">
        <v>0.3</v>
      </c>
      <c r="G23" s="107"/>
      <c r="H23" s="107"/>
      <c r="I23" s="107"/>
      <c r="J23" s="106"/>
      <c r="M23" s="460"/>
      <c r="N23" s="460"/>
      <c r="O23" s="460"/>
      <c r="P23" s="460"/>
      <c r="Q23" s="460"/>
      <c r="R23" s="460"/>
      <c r="S23" s="460"/>
    </row>
    <row r="24" spans="1:19" x14ac:dyDescent="0.2">
      <c r="A24" s="109"/>
      <c r="B24" s="107"/>
      <c r="C24" s="107"/>
      <c r="D24" s="107"/>
      <c r="E24" s="107"/>
      <c r="F24" s="107"/>
      <c r="G24" s="107"/>
      <c r="H24" s="107"/>
      <c r="I24" s="107"/>
      <c r="J24" s="106"/>
      <c r="M24" s="460"/>
      <c r="N24" s="460"/>
      <c r="O24" s="460"/>
      <c r="P24" s="460"/>
      <c r="Q24" s="460"/>
      <c r="R24" s="460"/>
      <c r="S24" s="460"/>
    </row>
    <row r="25" spans="1:19" x14ac:dyDescent="0.2">
      <c r="A25" s="109"/>
      <c r="B25" s="129" t="s">
        <v>0</v>
      </c>
      <c r="C25" s="107"/>
      <c r="D25" s="107"/>
      <c r="E25" s="107"/>
      <c r="F25" s="107"/>
      <c r="G25" s="107"/>
      <c r="H25" s="107"/>
      <c r="I25" s="107"/>
      <c r="J25" s="106"/>
      <c r="M25" s="460"/>
      <c r="N25" s="460"/>
      <c r="O25" s="460"/>
      <c r="P25" s="460"/>
      <c r="Q25" s="460"/>
      <c r="R25" s="460"/>
      <c r="S25" s="460"/>
    </row>
    <row r="26" spans="1:19" ht="16" customHeight="1" x14ac:dyDescent="0.2">
      <c r="A26" s="109"/>
      <c r="B26" s="412" t="s">
        <v>254</v>
      </c>
      <c r="C26" s="412"/>
      <c r="D26" s="412"/>
      <c r="E26" s="412"/>
      <c r="F26" s="412"/>
      <c r="G26" s="412"/>
      <c r="H26" s="412"/>
      <c r="I26" s="412"/>
      <c r="J26" s="155"/>
      <c r="M26" s="101"/>
    </row>
    <row r="27" spans="1:19" x14ac:dyDescent="0.2">
      <c r="A27" s="109"/>
      <c r="B27" s="412"/>
      <c r="C27" s="412"/>
      <c r="D27" s="412"/>
      <c r="E27" s="412"/>
      <c r="F27" s="412"/>
      <c r="G27" s="412"/>
      <c r="H27" s="412"/>
      <c r="I27" s="412"/>
      <c r="J27" s="155"/>
      <c r="M27" s="101"/>
    </row>
    <row r="28" spans="1:19" x14ac:dyDescent="0.2">
      <c r="A28" s="109"/>
      <c r="B28" s="111"/>
      <c r="C28" s="107"/>
      <c r="D28" s="107"/>
      <c r="E28" s="107"/>
      <c r="F28" s="107"/>
      <c r="G28" s="107"/>
      <c r="H28" s="107"/>
      <c r="I28" s="107"/>
      <c r="J28" s="106"/>
      <c r="M28" s="101"/>
      <c r="N28" s="154"/>
    </row>
    <row r="29" spans="1:19" x14ac:dyDescent="0.2">
      <c r="A29" s="109"/>
      <c r="B29" s="112" t="s">
        <v>1</v>
      </c>
      <c r="C29" s="107"/>
      <c r="D29" s="107"/>
      <c r="E29" s="107"/>
      <c r="F29" s="107"/>
      <c r="G29" s="107"/>
      <c r="H29" s="107"/>
      <c r="I29" s="107"/>
      <c r="J29" s="106"/>
      <c r="M29" s="101"/>
      <c r="N29" s="114"/>
    </row>
    <row r="30" spans="1:19" x14ac:dyDescent="0.2">
      <c r="A30" s="109"/>
      <c r="B30" s="107" t="s">
        <v>253</v>
      </c>
      <c r="C30" s="107"/>
      <c r="D30" s="107"/>
      <c r="E30" s="107"/>
      <c r="F30" s="107"/>
      <c r="G30" s="107"/>
      <c r="H30" s="107"/>
      <c r="I30" s="107"/>
      <c r="J30" s="106"/>
      <c r="M30" s="101"/>
    </row>
    <row r="31" spans="1:19" ht="17" thickBot="1" x14ac:dyDescent="0.25">
      <c r="A31" s="109"/>
      <c r="B31" s="108"/>
      <c r="C31" s="107"/>
      <c r="D31" s="107"/>
      <c r="E31" s="107"/>
      <c r="F31" s="107"/>
      <c r="G31" s="107"/>
      <c r="H31" s="107"/>
      <c r="I31" s="107"/>
      <c r="J31" s="106"/>
      <c r="M31" s="101"/>
    </row>
    <row r="32" spans="1:19" ht="17" thickBot="1" x14ac:dyDescent="0.25">
      <c r="A32" s="105" t="s">
        <v>153</v>
      </c>
      <c r="B32" s="104"/>
      <c r="C32" s="104"/>
      <c r="D32" s="104"/>
      <c r="E32" s="104"/>
      <c r="F32" s="104"/>
      <c r="G32" s="104"/>
      <c r="H32" s="104"/>
      <c r="I32" s="104"/>
      <c r="J32" s="103"/>
      <c r="M32" s="101"/>
      <c r="N32" s="101"/>
      <c r="O32" s="101"/>
      <c r="P32" s="101"/>
      <c r="Q32" s="101"/>
      <c r="R32" s="101"/>
      <c r="S32" s="101"/>
    </row>
    <row r="33" spans="13:19" x14ac:dyDescent="0.2">
      <c r="M33" s="101"/>
      <c r="N33" s="101"/>
      <c r="O33" s="101"/>
      <c r="P33" s="101"/>
      <c r="Q33" s="101"/>
      <c r="R33" s="101"/>
      <c r="S33" s="101"/>
    </row>
    <row r="34" spans="13:19" x14ac:dyDescent="0.2">
      <c r="M34" s="101"/>
      <c r="N34" s="101"/>
      <c r="O34" s="101"/>
      <c r="P34" s="101"/>
      <c r="Q34" s="101"/>
      <c r="R34" s="101"/>
      <c r="S34" s="101"/>
    </row>
    <row r="35" spans="13:19" x14ac:dyDescent="0.2">
      <c r="M35" s="101"/>
      <c r="N35" s="101"/>
      <c r="O35" s="101"/>
      <c r="P35" s="101"/>
      <c r="Q35" s="101"/>
      <c r="R35" s="101"/>
      <c r="S35" s="101"/>
    </row>
    <row r="36" spans="13:19" x14ac:dyDescent="0.2">
      <c r="N36" s="99"/>
    </row>
    <row r="37" spans="13:19" x14ac:dyDescent="0.2">
      <c r="N37" s="99"/>
    </row>
    <row r="40" spans="13:19" x14ac:dyDescent="0.2">
      <c r="O40" s="114"/>
    </row>
    <row r="41" spans="13:19" x14ac:dyDescent="0.2">
      <c r="O41" s="114"/>
    </row>
    <row r="48" spans="13:19" x14ac:dyDescent="0.2">
      <c r="M48" s="122"/>
    </row>
    <row r="56" spans="13:13" x14ac:dyDescent="0.2">
      <c r="M56" s="122"/>
    </row>
    <row r="64" spans="13:13" x14ac:dyDescent="0.2">
      <c r="M64" s="122"/>
    </row>
    <row r="71" spans="13:13" x14ac:dyDescent="0.2">
      <c r="M71" s="122"/>
    </row>
    <row r="80" spans="13:13" x14ac:dyDescent="0.2">
      <c r="M80" s="122"/>
    </row>
  </sheetData>
  <mergeCells count="9">
    <mergeCell ref="B5:B6"/>
    <mergeCell ref="B14:I15"/>
    <mergeCell ref="B26:I27"/>
    <mergeCell ref="M10:S11"/>
    <mergeCell ref="M15:S18"/>
    <mergeCell ref="C5:H5"/>
    <mergeCell ref="C18:F18"/>
    <mergeCell ref="M5:S7"/>
    <mergeCell ref="M22:S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9C9A-3D8E-1145-81C7-34EAC29A6978}">
  <dimension ref="A1:S120"/>
  <sheetViews>
    <sheetView zoomScaleNormal="100" workbookViewId="0"/>
  </sheetViews>
  <sheetFormatPr baseColWidth="10" defaultColWidth="11" defaultRowHeight="16" outlineLevelCol="1" x14ac:dyDescent="0.2"/>
  <cols>
    <col min="1" max="1" width="4.5" style="331" customWidth="1"/>
    <col min="2" max="2" width="10.83203125" style="331" customWidth="1"/>
    <col min="3" max="3" width="14" style="331" customWidth="1"/>
    <col min="4" max="10" width="10.83203125" style="331" customWidth="1"/>
    <col min="11" max="11" width="11" style="331"/>
    <col min="12" max="12" width="11.1640625" style="331" bestFit="1" customWidth="1"/>
    <col min="13" max="13" width="10.83203125" style="331" hidden="1" customWidth="1" outlineLevel="1"/>
    <col min="14" max="14" width="16.33203125" style="331" hidden="1" customWidth="1" outlineLevel="1"/>
    <col min="15" max="18" width="10.83203125" style="331" hidden="1" customWidth="1" outlineLevel="1"/>
    <col min="19" max="19" width="11" style="331" collapsed="1"/>
    <col min="20" max="16384" width="11" style="331"/>
  </cols>
  <sheetData>
    <row r="1" spans="1:18" ht="19" x14ac:dyDescent="0.25">
      <c r="A1" s="392" t="s">
        <v>283</v>
      </c>
      <c r="B1" s="391"/>
      <c r="C1" s="390"/>
      <c r="D1" s="390"/>
      <c r="E1" s="390"/>
      <c r="F1" s="389"/>
      <c r="G1" s="389"/>
      <c r="H1" s="389"/>
      <c r="I1" s="389"/>
      <c r="J1" s="388"/>
      <c r="L1" s="3" t="s">
        <v>154</v>
      </c>
    </row>
    <row r="2" spans="1:18" x14ac:dyDescent="0.2">
      <c r="A2" s="366"/>
      <c r="B2" s="363"/>
      <c r="C2" s="363"/>
      <c r="D2" s="363"/>
      <c r="E2" s="363"/>
      <c r="F2" s="363"/>
      <c r="G2" s="363"/>
      <c r="H2" s="363"/>
      <c r="I2" s="363"/>
      <c r="J2" s="362"/>
    </row>
    <row r="3" spans="1:18" x14ac:dyDescent="0.2">
      <c r="A3" s="366"/>
      <c r="B3" s="363" t="s">
        <v>282</v>
      </c>
      <c r="C3" s="363"/>
      <c r="D3" s="363"/>
      <c r="E3" s="363"/>
      <c r="F3" s="363"/>
      <c r="G3" s="363"/>
      <c r="H3" s="363"/>
      <c r="I3" s="363"/>
      <c r="J3" s="362"/>
      <c r="M3" s="387" t="s">
        <v>281</v>
      </c>
      <c r="N3" s="386"/>
    </row>
    <row r="4" spans="1:18" x14ac:dyDescent="0.2">
      <c r="A4" s="366"/>
      <c r="B4" s="363"/>
      <c r="C4" s="363"/>
      <c r="D4" s="363"/>
      <c r="E4" s="363"/>
      <c r="F4" s="363"/>
      <c r="G4" s="363"/>
      <c r="H4" s="363"/>
      <c r="I4" s="363"/>
      <c r="J4" s="362"/>
      <c r="N4" s="385"/>
    </row>
    <row r="5" spans="1:18" x14ac:dyDescent="0.2">
      <c r="A5" s="366"/>
      <c r="B5" s="363"/>
      <c r="C5" s="374"/>
      <c r="D5" s="434" t="s">
        <v>233</v>
      </c>
      <c r="E5" s="434"/>
      <c r="F5" s="434"/>
      <c r="G5" s="435"/>
      <c r="H5" s="363"/>
      <c r="I5" s="363"/>
      <c r="J5" s="362"/>
      <c r="M5" s="334" t="s">
        <v>276</v>
      </c>
      <c r="N5" s="336"/>
      <c r="O5" s="347">
        <f>E13*E16</f>
        <v>148</v>
      </c>
      <c r="P5" s="347"/>
      <c r="Q5" s="347"/>
      <c r="R5" s="334"/>
    </row>
    <row r="6" spans="1:18" x14ac:dyDescent="0.2">
      <c r="A6" s="366"/>
      <c r="B6" s="363"/>
      <c r="C6" s="374" t="s">
        <v>7</v>
      </c>
      <c r="D6" s="372" t="s">
        <v>232</v>
      </c>
      <c r="E6" s="372" t="s">
        <v>231</v>
      </c>
      <c r="F6" s="372" t="s">
        <v>280</v>
      </c>
      <c r="G6" s="371" t="s">
        <v>229</v>
      </c>
      <c r="H6" s="363"/>
      <c r="I6" s="363"/>
      <c r="J6" s="362"/>
      <c r="M6" s="334" t="s">
        <v>275</v>
      </c>
      <c r="N6" s="336"/>
      <c r="O6" s="347">
        <f>E13*F16</f>
        <v>48.1</v>
      </c>
      <c r="P6" s="347"/>
      <c r="Q6" s="347"/>
      <c r="R6" s="334"/>
    </row>
    <row r="7" spans="1:18" ht="17" thickBot="1" x14ac:dyDescent="0.25">
      <c r="A7" s="366"/>
      <c r="B7" s="363"/>
      <c r="C7" s="383">
        <v>2009</v>
      </c>
      <c r="D7" s="382">
        <v>400</v>
      </c>
      <c r="E7" s="382">
        <v>200</v>
      </c>
      <c r="F7" s="382">
        <v>100</v>
      </c>
      <c r="G7" s="381">
        <v>50</v>
      </c>
      <c r="H7" s="363"/>
      <c r="I7" s="363"/>
      <c r="J7" s="362"/>
      <c r="M7" s="334"/>
      <c r="N7" s="336"/>
      <c r="O7" s="347"/>
      <c r="P7" s="347"/>
      <c r="Q7" s="347"/>
      <c r="R7" s="334"/>
    </row>
    <row r="8" spans="1:18" ht="17" thickBot="1" x14ac:dyDescent="0.25">
      <c r="A8" s="366"/>
      <c r="B8" s="363"/>
      <c r="C8" s="383">
        <v>2010</v>
      </c>
      <c r="D8" s="382">
        <v>450</v>
      </c>
      <c r="E8" s="382">
        <v>300</v>
      </c>
      <c r="F8" s="382">
        <v>200</v>
      </c>
      <c r="G8" s="381"/>
      <c r="H8" s="363"/>
      <c r="I8" s="363"/>
      <c r="J8" s="362"/>
      <c r="N8" s="338" t="s">
        <v>572</v>
      </c>
      <c r="O8" s="384">
        <f>O5+O6</f>
        <v>196.1</v>
      </c>
      <c r="P8" s="347"/>
      <c r="Q8" s="347"/>
      <c r="R8" s="334"/>
    </row>
    <row r="9" spans="1:18" x14ac:dyDescent="0.2">
      <c r="A9" s="366"/>
      <c r="B9" s="363"/>
      <c r="C9" s="383">
        <v>2011</v>
      </c>
      <c r="D9" s="382">
        <v>425</v>
      </c>
      <c r="E9" s="382">
        <v>100</v>
      </c>
      <c r="F9" s="382"/>
      <c r="G9" s="381"/>
      <c r="H9" s="363"/>
      <c r="I9" s="363"/>
      <c r="J9" s="362"/>
      <c r="M9" s="334"/>
      <c r="N9" s="336"/>
      <c r="O9" s="347"/>
      <c r="P9" s="347"/>
      <c r="Q9" s="347"/>
      <c r="R9" s="334"/>
    </row>
    <row r="10" spans="1:18" x14ac:dyDescent="0.2">
      <c r="A10" s="366"/>
      <c r="B10" s="363"/>
      <c r="C10" s="370">
        <v>2012</v>
      </c>
      <c r="D10" s="380">
        <v>500</v>
      </c>
      <c r="E10" s="376"/>
      <c r="F10" s="376"/>
      <c r="G10" s="375"/>
      <c r="H10" s="363"/>
      <c r="I10" s="363"/>
      <c r="J10" s="362"/>
      <c r="M10" s="379" t="s">
        <v>279</v>
      </c>
      <c r="N10" s="336"/>
      <c r="O10" s="347"/>
      <c r="P10" s="347"/>
      <c r="Q10" s="347"/>
      <c r="R10" s="334"/>
    </row>
    <row r="11" spans="1:18" x14ac:dyDescent="0.2">
      <c r="A11" s="366"/>
      <c r="B11" s="363"/>
      <c r="C11" s="378"/>
      <c r="D11" s="364"/>
      <c r="E11" s="363"/>
      <c r="F11" s="363"/>
      <c r="G11" s="363"/>
      <c r="H11" s="363"/>
      <c r="I11" s="363"/>
      <c r="J11" s="362"/>
      <c r="M11" s="334"/>
      <c r="N11" s="336"/>
      <c r="O11" s="347"/>
      <c r="P11" s="347"/>
      <c r="Q11" s="347"/>
      <c r="R11" s="334"/>
    </row>
    <row r="12" spans="1:18" x14ac:dyDescent="0.2">
      <c r="A12" s="366"/>
      <c r="B12" s="363"/>
      <c r="C12" s="374" t="s">
        <v>278</v>
      </c>
      <c r="D12" s="372">
        <v>2010</v>
      </c>
      <c r="E12" s="372">
        <v>2011</v>
      </c>
      <c r="F12" s="371">
        <v>2012</v>
      </c>
      <c r="G12" s="363"/>
      <c r="H12" s="363"/>
      <c r="I12" s="363"/>
      <c r="J12" s="362"/>
      <c r="M12" s="436" t="s">
        <v>581</v>
      </c>
      <c r="N12" s="436"/>
      <c r="O12" s="436"/>
      <c r="P12" s="436"/>
      <c r="Q12" s="436"/>
      <c r="R12" s="436"/>
    </row>
    <row r="13" spans="1:18" x14ac:dyDescent="0.2">
      <c r="A13" s="366"/>
      <c r="B13" s="363"/>
      <c r="C13" s="370" t="s">
        <v>277</v>
      </c>
      <c r="D13" s="377">
        <v>975</v>
      </c>
      <c r="E13" s="376">
        <v>740</v>
      </c>
      <c r="F13" s="375">
        <v>950</v>
      </c>
      <c r="G13" s="363"/>
      <c r="H13" s="363"/>
      <c r="I13" s="363"/>
      <c r="J13" s="362"/>
      <c r="M13" s="436"/>
      <c r="N13" s="436"/>
      <c r="O13" s="436"/>
      <c r="P13" s="436"/>
      <c r="Q13" s="436"/>
      <c r="R13" s="436"/>
    </row>
    <row r="14" spans="1:18" x14ac:dyDescent="0.2">
      <c r="A14" s="366"/>
      <c r="B14" s="363"/>
      <c r="C14" s="363"/>
      <c r="D14" s="363"/>
      <c r="E14" s="363"/>
      <c r="F14" s="363"/>
      <c r="G14" s="363"/>
      <c r="H14" s="363"/>
      <c r="I14" s="363"/>
      <c r="J14" s="362"/>
      <c r="M14" s="436"/>
      <c r="N14" s="436"/>
      <c r="O14" s="436"/>
      <c r="P14" s="436"/>
      <c r="Q14" s="436"/>
      <c r="R14" s="436"/>
    </row>
    <row r="15" spans="1:18" x14ac:dyDescent="0.2">
      <c r="A15" s="366"/>
      <c r="B15" s="363"/>
      <c r="C15" s="374" t="s">
        <v>274</v>
      </c>
      <c r="D15" s="373" t="s">
        <v>231</v>
      </c>
      <c r="E15" s="372" t="s">
        <v>230</v>
      </c>
      <c r="F15" s="371" t="s">
        <v>229</v>
      </c>
      <c r="G15" s="363"/>
      <c r="H15" s="363"/>
      <c r="I15" s="363"/>
      <c r="J15" s="362"/>
      <c r="M15" s="336"/>
      <c r="N15" s="336"/>
      <c r="O15" s="354"/>
      <c r="P15" s="354"/>
      <c r="Q15" s="354"/>
      <c r="R15" s="336"/>
    </row>
    <row r="16" spans="1:18" x14ac:dyDescent="0.2">
      <c r="A16" s="366"/>
      <c r="B16" s="363"/>
      <c r="C16" s="370" t="s">
        <v>273</v>
      </c>
      <c r="D16" s="369">
        <v>0.42</v>
      </c>
      <c r="E16" s="369">
        <v>0.2</v>
      </c>
      <c r="F16" s="368">
        <v>6.5000000000000002E-2</v>
      </c>
      <c r="G16" s="363"/>
      <c r="H16" s="363"/>
      <c r="I16" s="363"/>
      <c r="J16" s="362"/>
      <c r="M16" s="336"/>
      <c r="N16" s="336"/>
      <c r="O16" s="354"/>
      <c r="P16" s="354"/>
      <c r="Q16" s="354"/>
      <c r="R16" s="336"/>
    </row>
    <row r="17" spans="1:18" x14ac:dyDescent="0.2">
      <c r="A17" s="366"/>
      <c r="B17" s="363"/>
      <c r="C17" s="364"/>
      <c r="D17" s="363"/>
      <c r="E17" s="363"/>
      <c r="F17" s="363"/>
      <c r="G17" s="363"/>
      <c r="H17" s="363"/>
      <c r="I17" s="363"/>
      <c r="J17" s="362"/>
      <c r="M17" s="334" t="s">
        <v>276</v>
      </c>
      <c r="N17" s="336"/>
      <c r="O17" s="339">
        <f>AVERAGE(F7:F8)</f>
        <v>150</v>
      </c>
      <c r="P17" s="339"/>
      <c r="Q17" s="339"/>
      <c r="R17" s="336"/>
    </row>
    <row r="18" spans="1:18" x14ac:dyDescent="0.2">
      <c r="A18" s="366"/>
      <c r="B18" s="367"/>
      <c r="C18" s="364"/>
      <c r="D18" s="363"/>
      <c r="E18" s="363"/>
      <c r="F18" s="363"/>
      <c r="G18" s="363"/>
      <c r="H18" s="363"/>
      <c r="I18" s="363"/>
      <c r="J18" s="362"/>
      <c r="M18" s="334" t="s">
        <v>275</v>
      </c>
      <c r="N18" s="336"/>
      <c r="O18" s="339">
        <f>G7</f>
        <v>50</v>
      </c>
      <c r="P18" s="339"/>
      <c r="Q18" s="339"/>
      <c r="R18" s="336"/>
    </row>
    <row r="19" spans="1:18" ht="17" thickBot="1" x14ac:dyDescent="0.25">
      <c r="A19" s="366"/>
      <c r="B19" s="363"/>
      <c r="C19" s="364"/>
      <c r="D19" s="363"/>
      <c r="E19" s="363"/>
      <c r="F19" s="363"/>
      <c r="G19" s="363"/>
      <c r="H19" s="363"/>
      <c r="I19" s="363"/>
      <c r="J19" s="362"/>
      <c r="M19" s="334"/>
      <c r="N19" s="336"/>
      <c r="O19" s="339"/>
      <c r="P19" s="339"/>
      <c r="Q19" s="339"/>
      <c r="R19" s="336"/>
    </row>
    <row r="20" spans="1:18" ht="17" thickBot="1" x14ac:dyDescent="0.25">
      <c r="A20" s="366"/>
      <c r="B20" s="365" t="s">
        <v>269</v>
      </c>
      <c r="C20" s="364"/>
      <c r="D20" s="363"/>
      <c r="E20" s="363"/>
      <c r="F20" s="363"/>
      <c r="G20" s="363"/>
      <c r="H20" s="363"/>
      <c r="I20" s="363"/>
      <c r="J20" s="362"/>
      <c r="N20" s="338" t="s">
        <v>572</v>
      </c>
      <c r="O20" s="337">
        <f>O17+O18</f>
        <v>200</v>
      </c>
      <c r="P20" s="339"/>
      <c r="Q20" s="339"/>
      <c r="R20" s="336"/>
    </row>
    <row r="21" spans="1:18" x14ac:dyDescent="0.2">
      <c r="A21" s="366"/>
      <c r="B21" s="393" t="s">
        <v>585</v>
      </c>
      <c r="C21" s="364"/>
      <c r="D21" s="363"/>
      <c r="E21" s="363"/>
      <c r="F21" s="363"/>
      <c r="G21" s="363"/>
      <c r="H21" s="363"/>
      <c r="I21" s="363"/>
      <c r="J21" s="362"/>
      <c r="M21" s="336"/>
      <c r="N21" s="336"/>
      <c r="O21" s="354"/>
      <c r="P21" s="354"/>
      <c r="Q21" s="354"/>
      <c r="R21" s="336"/>
    </row>
    <row r="22" spans="1:18" ht="17" thickBot="1" x14ac:dyDescent="0.25">
      <c r="A22" s="366"/>
      <c r="B22" s="365"/>
      <c r="C22" s="364"/>
      <c r="D22" s="363"/>
      <c r="E22" s="363"/>
      <c r="F22" s="363"/>
      <c r="G22" s="363"/>
      <c r="H22" s="363"/>
      <c r="I22" s="363"/>
      <c r="J22" s="362"/>
      <c r="M22" s="361" t="s">
        <v>272</v>
      </c>
      <c r="N22" s="336"/>
      <c r="O22" s="354"/>
      <c r="P22" s="354"/>
      <c r="Q22" s="354"/>
      <c r="R22" s="336"/>
    </row>
    <row r="23" spans="1:18" ht="17" thickBot="1" x14ac:dyDescent="0.25">
      <c r="A23" s="360" t="s">
        <v>153</v>
      </c>
      <c r="B23" s="359"/>
      <c r="C23" s="359"/>
      <c r="D23" s="359"/>
      <c r="E23" s="359"/>
      <c r="F23" s="359"/>
      <c r="G23" s="359"/>
      <c r="H23" s="359"/>
      <c r="I23" s="359"/>
      <c r="J23" s="358"/>
      <c r="M23" s="336"/>
      <c r="N23" s="336"/>
      <c r="O23" s="354"/>
      <c r="P23" s="354"/>
      <c r="Q23" s="354"/>
      <c r="R23" s="336"/>
    </row>
    <row r="24" spans="1:18" x14ac:dyDescent="0.2">
      <c r="B24" s="4"/>
      <c r="N24" s="336" t="s">
        <v>271</v>
      </c>
      <c r="O24" s="357">
        <f>SUM(D7:F8)/SUM(D7:E8)</f>
        <v>1.2222222222222223</v>
      </c>
      <c r="P24" s="357"/>
      <c r="Q24" s="357"/>
      <c r="R24" s="336"/>
    </row>
    <row r="25" spans="1:18" x14ac:dyDescent="0.2">
      <c r="N25" s="334" t="s">
        <v>270</v>
      </c>
      <c r="O25" s="357">
        <f>SUM(D7:G7)/SUM(D7:F7)</f>
        <v>1.0714285714285714</v>
      </c>
      <c r="P25" s="357"/>
      <c r="Q25" s="357"/>
      <c r="R25" s="336"/>
    </row>
    <row r="26" spans="1:18" ht="17" thickBot="1" x14ac:dyDescent="0.25">
      <c r="N26" s="334"/>
      <c r="O26" s="357"/>
      <c r="P26" s="357"/>
      <c r="Q26" s="357"/>
      <c r="R26" s="336"/>
    </row>
    <row r="27" spans="1:18" ht="17" thickBot="1" x14ac:dyDescent="0.25">
      <c r="N27" s="356" t="s">
        <v>572</v>
      </c>
      <c r="O27" s="355">
        <f>SUM(D9:E9)* O24*O25-SUM(D9:E9)</f>
        <v>162.50000000000011</v>
      </c>
      <c r="P27" s="354"/>
      <c r="Q27" s="354"/>
      <c r="R27" s="336"/>
    </row>
    <row r="28" spans="1:18" x14ac:dyDescent="0.2">
      <c r="M28" s="336"/>
      <c r="N28" s="336"/>
      <c r="O28" s="336"/>
      <c r="P28" s="336"/>
      <c r="Q28" s="336"/>
      <c r="R28" s="336"/>
    </row>
    <row r="29" spans="1:18" x14ac:dyDescent="0.2">
      <c r="M29" s="334"/>
      <c r="N29" s="336"/>
      <c r="O29" s="334"/>
      <c r="P29" s="334"/>
      <c r="Q29" s="334"/>
      <c r="R29" s="334"/>
    </row>
    <row r="30" spans="1:18" x14ac:dyDescent="0.2">
      <c r="M30" s="334"/>
      <c r="N30" s="335"/>
      <c r="O30" s="333"/>
      <c r="P30" s="333"/>
      <c r="Q30" s="333"/>
      <c r="R30" s="333"/>
    </row>
    <row r="31" spans="1:18" ht="19" x14ac:dyDescent="0.25">
      <c r="M31" s="353" t="s">
        <v>146</v>
      </c>
      <c r="N31" s="336"/>
      <c r="O31" s="334"/>
      <c r="P31" s="334"/>
      <c r="Q31" s="334"/>
      <c r="R31" s="334"/>
    </row>
    <row r="32" spans="1:18" x14ac:dyDescent="0.2">
      <c r="M32" s="436" t="s">
        <v>580</v>
      </c>
      <c r="N32" s="436"/>
      <c r="O32" s="436"/>
      <c r="P32" s="436"/>
      <c r="Q32" s="436"/>
      <c r="R32" s="436"/>
    </row>
    <row r="33" spans="13:18" x14ac:dyDescent="0.2">
      <c r="M33" s="436"/>
      <c r="N33" s="436"/>
      <c r="O33" s="436"/>
      <c r="P33" s="436"/>
      <c r="Q33" s="436"/>
      <c r="R33" s="436"/>
    </row>
    <row r="34" spans="13:18" x14ac:dyDescent="0.2">
      <c r="M34" s="436"/>
      <c r="N34" s="436"/>
      <c r="O34" s="436"/>
      <c r="P34" s="436"/>
      <c r="Q34" s="436"/>
      <c r="R34" s="436"/>
    </row>
    <row r="35" spans="13:18" x14ac:dyDescent="0.2">
      <c r="M35" s="436"/>
      <c r="N35" s="436"/>
      <c r="O35" s="436"/>
      <c r="P35" s="436"/>
      <c r="Q35" s="436"/>
      <c r="R35" s="436"/>
    </row>
    <row r="36" spans="13:18" x14ac:dyDescent="0.2">
      <c r="M36" s="436"/>
      <c r="N36" s="436"/>
      <c r="O36" s="436"/>
      <c r="P36" s="436"/>
      <c r="Q36" s="436"/>
      <c r="R36" s="436"/>
    </row>
    <row r="37" spans="13:18" x14ac:dyDescent="0.2">
      <c r="M37" s="436"/>
      <c r="N37" s="436"/>
      <c r="O37" s="436"/>
      <c r="P37" s="436"/>
      <c r="Q37" s="436"/>
      <c r="R37" s="436"/>
    </row>
    <row r="38" spans="13:18" x14ac:dyDescent="0.2">
      <c r="M38" s="334"/>
      <c r="N38" s="336"/>
      <c r="O38" s="334"/>
      <c r="P38" s="334"/>
      <c r="Q38" s="334"/>
      <c r="R38" s="334"/>
    </row>
    <row r="39" spans="13:18" x14ac:dyDescent="0.2">
      <c r="M39" s="334"/>
      <c r="N39" s="336"/>
      <c r="O39" s="334"/>
      <c r="P39" s="334"/>
      <c r="Q39" s="334"/>
      <c r="R39" s="334"/>
    </row>
    <row r="40" spans="13:18" ht="19" x14ac:dyDescent="0.25">
      <c r="M40" s="330" t="s">
        <v>579</v>
      </c>
      <c r="R40" s="334"/>
    </row>
    <row r="41" spans="13:18" x14ac:dyDescent="0.2">
      <c r="R41" s="334"/>
    </row>
    <row r="42" spans="13:18" x14ac:dyDescent="0.2">
      <c r="M42" s="331" t="s">
        <v>578</v>
      </c>
      <c r="R42" s="334"/>
    </row>
    <row r="43" spans="13:18" x14ac:dyDescent="0.2">
      <c r="R43" s="334"/>
    </row>
    <row r="44" spans="13:18" x14ac:dyDescent="0.2">
      <c r="M44" s="341" t="s">
        <v>40</v>
      </c>
      <c r="N44" s="347">
        <v>0</v>
      </c>
      <c r="O44" s="347">
        <v>1</v>
      </c>
      <c r="P44" s="352">
        <v>2</v>
      </c>
      <c r="Q44" s="347">
        <v>3</v>
      </c>
      <c r="R44" s="334"/>
    </row>
    <row r="45" spans="13:18" x14ac:dyDescent="0.2">
      <c r="M45" s="343" t="s">
        <v>577</v>
      </c>
      <c r="N45" s="351" t="s">
        <v>261</v>
      </c>
      <c r="O45" s="342" t="s">
        <v>260</v>
      </c>
      <c r="P45" s="342" t="s">
        <v>259</v>
      </c>
      <c r="Q45" s="342" t="s">
        <v>576</v>
      </c>
      <c r="R45" s="334"/>
    </row>
    <row r="46" spans="13:18" x14ac:dyDescent="0.2">
      <c r="M46" s="341" t="s">
        <v>36</v>
      </c>
      <c r="N46" s="348">
        <f>SUM(D7:E9)/SUM(D7:D9)</f>
        <v>1.4705882352941178</v>
      </c>
      <c r="O46" s="348">
        <f>SUM(D7:F8)/SUM(D7:E8)</f>
        <v>1.2222222222222223</v>
      </c>
      <c r="P46" s="348">
        <f>SUM(D7:G7)/SUM(D7:F7)</f>
        <v>1.0714285714285714</v>
      </c>
      <c r="Q46" s="348">
        <v>1</v>
      </c>
      <c r="R46" s="334"/>
    </row>
    <row r="47" spans="13:18" x14ac:dyDescent="0.2">
      <c r="M47" s="341" t="s">
        <v>37</v>
      </c>
      <c r="N47" s="348">
        <f>N46*O47</f>
        <v>1.9257703081232493</v>
      </c>
      <c r="O47" s="348">
        <f>O46*P47</f>
        <v>1.3095238095238095</v>
      </c>
      <c r="P47" s="348">
        <f>P46*Q47</f>
        <v>1.0714285714285714</v>
      </c>
      <c r="Q47" s="348">
        <f>Q46</f>
        <v>1</v>
      </c>
      <c r="R47" s="333"/>
    </row>
    <row r="48" spans="13:18" x14ac:dyDescent="0.2">
      <c r="M48" s="343" t="s">
        <v>38</v>
      </c>
      <c r="N48" s="350">
        <f>1/N47</f>
        <v>0.51927272727272722</v>
      </c>
      <c r="O48" s="350">
        <f>1/O47</f>
        <v>0.76363636363636367</v>
      </c>
      <c r="P48" s="350">
        <f>1/P47</f>
        <v>0.93333333333333335</v>
      </c>
      <c r="Q48" s="350">
        <f>1/Q47</f>
        <v>1</v>
      </c>
    </row>
    <row r="49" spans="13:18" x14ac:dyDescent="0.2">
      <c r="M49" s="341" t="s">
        <v>41</v>
      </c>
      <c r="N49" s="340">
        <f>N48</f>
        <v>0.51927272727272722</v>
      </c>
      <c r="O49" s="340">
        <f>O48-N48</f>
        <v>0.24436363636363645</v>
      </c>
      <c r="P49" s="340">
        <f>P48-O48</f>
        <v>0.16969696969696968</v>
      </c>
      <c r="Q49" s="340">
        <f>Q48-P48</f>
        <v>6.6666666666666652E-2</v>
      </c>
    </row>
    <row r="52" spans="13:18" x14ac:dyDescent="0.2">
      <c r="M52" s="411" t="s">
        <v>541</v>
      </c>
      <c r="N52" s="411"/>
      <c r="O52" s="411"/>
      <c r="P52" s="411"/>
      <c r="R52" s="332"/>
    </row>
    <row r="53" spans="13:18" x14ac:dyDescent="0.2">
      <c r="M53" s="343" t="s">
        <v>45</v>
      </c>
      <c r="N53" s="342">
        <v>12</v>
      </c>
      <c r="O53" s="342">
        <v>24</v>
      </c>
      <c r="P53" s="342">
        <v>36</v>
      </c>
      <c r="Q53" s="342">
        <v>48</v>
      </c>
      <c r="R53" s="332"/>
    </row>
    <row r="54" spans="13:18" x14ac:dyDescent="0.2">
      <c r="M54" s="341">
        <f>C7</f>
        <v>2009</v>
      </c>
      <c r="N54" s="349">
        <f>N49</f>
        <v>0.51927272727272722</v>
      </c>
      <c r="O54" s="349">
        <f>O49</f>
        <v>0.24436363636363645</v>
      </c>
      <c r="P54" s="349">
        <f>P49</f>
        <v>0.16969696969696968</v>
      </c>
      <c r="Q54" s="349">
        <f>Q49</f>
        <v>6.6666666666666652E-2</v>
      </c>
    </row>
    <row r="55" spans="13:18" x14ac:dyDescent="0.2">
      <c r="M55" s="341">
        <f>C8</f>
        <v>2010</v>
      </c>
      <c r="N55" s="349">
        <f>N54</f>
        <v>0.51927272727272722</v>
      </c>
      <c r="O55" s="349">
        <f>O54</f>
        <v>0.24436363636363645</v>
      </c>
      <c r="P55" s="349">
        <f>P54</f>
        <v>0.16969696969696968</v>
      </c>
      <c r="Q55" s="348"/>
    </row>
    <row r="56" spans="13:18" x14ac:dyDescent="0.2">
      <c r="M56" s="341">
        <f>C9</f>
        <v>2011</v>
      </c>
      <c r="N56" s="349">
        <f>N55</f>
        <v>0.51927272727272722</v>
      </c>
      <c r="O56" s="349">
        <f>O55</f>
        <v>0.24436363636363645</v>
      </c>
      <c r="P56" s="348"/>
      <c r="Q56" s="348"/>
    </row>
    <row r="57" spans="13:18" x14ac:dyDescent="0.2">
      <c r="M57" s="341">
        <f>C10</f>
        <v>2012</v>
      </c>
      <c r="N57" s="349">
        <f>N56</f>
        <v>0.51927272727272722</v>
      </c>
      <c r="O57" s="348"/>
      <c r="P57" s="348"/>
      <c r="Q57" s="348"/>
    </row>
    <row r="58" spans="13:18" x14ac:dyDescent="0.2">
      <c r="N58" s="345"/>
    </row>
    <row r="59" spans="13:18" ht="19" x14ac:dyDescent="0.2">
      <c r="M59" s="347" t="s">
        <v>542</v>
      </c>
      <c r="N59" s="346">
        <f>SUMPRODUCT(N54:Q57,$D$7:$G$10)/SUMSQ(N54:Q57)</f>
        <v>850.58882576974577</v>
      </c>
      <c r="R59" s="334"/>
    </row>
    <row r="60" spans="13:18" x14ac:dyDescent="0.2">
      <c r="N60" s="345"/>
    </row>
    <row r="61" spans="13:18" x14ac:dyDescent="0.2">
      <c r="R61" s="334"/>
    </row>
    <row r="62" spans="13:18" x14ac:dyDescent="0.2">
      <c r="M62" s="343" t="s">
        <v>575</v>
      </c>
      <c r="N62" s="342" t="s">
        <v>46</v>
      </c>
      <c r="R62" s="334"/>
    </row>
    <row r="63" spans="13:18" x14ac:dyDescent="0.2">
      <c r="M63" s="341">
        <f>C7</f>
        <v>2009</v>
      </c>
      <c r="N63" s="344">
        <f>$N$59</f>
        <v>850.58882576974577</v>
      </c>
      <c r="R63" s="334"/>
    </row>
    <row r="64" spans="13:18" x14ac:dyDescent="0.2">
      <c r="M64" s="341">
        <f>C8</f>
        <v>2010</v>
      </c>
      <c r="N64" s="344">
        <f>$N$59</f>
        <v>850.58882576974577</v>
      </c>
      <c r="R64" s="336"/>
    </row>
    <row r="65" spans="13:18" x14ac:dyDescent="0.2">
      <c r="M65" s="341">
        <f>C9</f>
        <v>2011</v>
      </c>
      <c r="N65" s="344">
        <f>$N$59</f>
        <v>850.58882576974577</v>
      </c>
    </row>
    <row r="66" spans="13:18" x14ac:dyDescent="0.2">
      <c r="M66" s="341">
        <f>C10</f>
        <v>2012</v>
      </c>
      <c r="N66" s="344">
        <f>$N$59</f>
        <v>850.58882576974577</v>
      </c>
    </row>
    <row r="68" spans="13:18" x14ac:dyDescent="0.2">
      <c r="M68" s="331" t="s">
        <v>574</v>
      </c>
    </row>
    <row r="70" spans="13:18" x14ac:dyDescent="0.2">
      <c r="M70" s="343" t="s">
        <v>40</v>
      </c>
      <c r="N70" s="342">
        <v>12</v>
      </c>
      <c r="O70" s="342">
        <v>24</v>
      </c>
      <c r="P70" s="342">
        <v>36</v>
      </c>
      <c r="Q70" s="342">
        <v>48</v>
      </c>
    </row>
    <row r="71" spans="13:18" x14ac:dyDescent="0.2">
      <c r="M71" s="341" t="s">
        <v>41</v>
      </c>
      <c r="N71" s="340">
        <f>SUMPRODUCT($N$63:$N$66,D$7:D$10)/SUMSQ($N$63:$N$66)</f>
        <v>0.5216974248379358</v>
      </c>
      <c r="O71" s="340">
        <f>SUMPRODUCT($N$63:$N$65,E$7:E$9)/SUMSQ($N$63:$N$65)</f>
        <v>0.23513123372977382</v>
      </c>
      <c r="P71" s="340">
        <f>SUMPRODUCT($N$63:$N$64,F$7:F$8)/SUMSQ($N$63:$N$64)</f>
        <v>0.17634842529733039</v>
      </c>
      <c r="Q71" s="340">
        <f>SUMPRODUCT($N$63,G$7)/SUMSQ($N$63)</f>
        <v>5.8782808432443462E-2</v>
      </c>
    </row>
    <row r="73" spans="13:18" x14ac:dyDescent="0.2">
      <c r="M73" s="331" t="s">
        <v>573</v>
      </c>
      <c r="R73" s="336"/>
    </row>
    <row r="74" spans="13:18" x14ac:dyDescent="0.2">
      <c r="R74" s="336"/>
    </row>
    <row r="75" spans="13:18" x14ac:dyDescent="0.2">
      <c r="M75" s="334" t="s">
        <v>276</v>
      </c>
      <c r="N75" s="336"/>
      <c r="O75" s="339">
        <f>N65*P71</f>
        <v>149.99999999999997</v>
      </c>
      <c r="R75" s="334"/>
    </row>
    <row r="76" spans="13:18" x14ac:dyDescent="0.2">
      <c r="M76" s="334" t="s">
        <v>275</v>
      </c>
      <c r="N76" s="336"/>
      <c r="O76" s="339">
        <f>N66*Q71</f>
        <v>49.999999999999993</v>
      </c>
      <c r="R76" s="333"/>
    </row>
    <row r="77" spans="13:18" ht="17" thickBot="1" x14ac:dyDescent="0.25">
      <c r="M77" s="334"/>
      <c r="N77" s="336"/>
      <c r="O77" s="339"/>
    </row>
    <row r="78" spans="13:18" ht="17" thickBot="1" x14ac:dyDescent="0.25">
      <c r="N78" s="338" t="s">
        <v>572</v>
      </c>
      <c r="O78" s="337">
        <f>O75+O76</f>
        <v>199.99999999999997</v>
      </c>
    </row>
    <row r="80" spans="13:18" x14ac:dyDescent="0.2">
      <c r="M80" s="334" t="s">
        <v>571</v>
      </c>
      <c r="N80" s="333"/>
    </row>
    <row r="83" spans="13:18" ht="19" x14ac:dyDescent="0.25">
      <c r="M83" s="123" t="s">
        <v>177</v>
      </c>
      <c r="N83" s="332"/>
      <c r="O83" s="332"/>
      <c r="P83" s="332"/>
      <c r="Q83" s="332"/>
      <c r="R83" s="332"/>
    </row>
    <row r="84" spans="13:18" x14ac:dyDescent="0.2">
      <c r="M84" s="102" t="s">
        <v>179</v>
      </c>
      <c r="N84" s="332"/>
      <c r="O84" s="332"/>
      <c r="P84" s="332"/>
      <c r="Q84" s="332"/>
      <c r="R84" s="332"/>
    </row>
    <row r="88" spans="13:18" x14ac:dyDescent="0.2">
      <c r="M88" s="334"/>
      <c r="N88" s="333"/>
      <c r="O88" s="334"/>
      <c r="P88" s="334"/>
      <c r="Q88" s="334"/>
      <c r="R88" s="334"/>
    </row>
    <row r="89" spans="13:18" x14ac:dyDescent="0.2">
      <c r="M89" s="334"/>
      <c r="N89" s="334"/>
      <c r="O89" s="334"/>
      <c r="P89" s="334"/>
      <c r="Q89" s="334"/>
      <c r="R89" s="334"/>
    </row>
    <row r="90" spans="13:18" x14ac:dyDescent="0.2">
      <c r="M90" s="334"/>
      <c r="N90" s="334"/>
      <c r="O90" s="334"/>
      <c r="P90" s="334"/>
      <c r="Q90" s="334"/>
      <c r="R90" s="334"/>
    </row>
    <row r="91" spans="13:18" x14ac:dyDescent="0.2">
      <c r="M91" s="334"/>
      <c r="N91" s="334"/>
      <c r="O91" s="334"/>
      <c r="P91" s="334"/>
      <c r="Q91" s="334"/>
      <c r="R91" s="334"/>
    </row>
    <row r="92" spans="13:18" x14ac:dyDescent="0.2">
      <c r="M92" s="334"/>
      <c r="N92" s="333"/>
      <c r="O92" s="334"/>
      <c r="P92" s="334"/>
      <c r="Q92" s="334"/>
      <c r="R92" s="334"/>
    </row>
    <row r="93" spans="13:18" x14ac:dyDescent="0.2">
      <c r="M93" s="334"/>
      <c r="N93" s="333"/>
      <c r="O93" s="334"/>
      <c r="P93" s="334"/>
      <c r="Q93" s="334"/>
      <c r="R93" s="334"/>
    </row>
    <row r="94" spans="13:18" x14ac:dyDescent="0.2">
      <c r="M94" s="334"/>
      <c r="N94" s="333"/>
      <c r="O94" s="334"/>
      <c r="P94" s="334"/>
      <c r="Q94" s="334"/>
      <c r="R94" s="334"/>
    </row>
    <row r="95" spans="13:18" x14ac:dyDescent="0.2">
      <c r="M95" s="336"/>
      <c r="N95" s="333"/>
      <c r="O95" s="336"/>
      <c r="P95" s="336"/>
      <c r="Q95" s="336"/>
      <c r="R95" s="336"/>
    </row>
    <row r="96" spans="13:18" x14ac:dyDescent="0.2">
      <c r="M96" s="336"/>
      <c r="N96" s="336"/>
      <c r="O96" s="336"/>
      <c r="P96" s="336"/>
      <c r="Q96" s="336"/>
      <c r="R96" s="336"/>
    </row>
    <row r="97" spans="13:18" x14ac:dyDescent="0.2">
      <c r="M97" s="336"/>
      <c r="N97" s="336"/>
      <c r="O97" s="336"/>
      <c r="P97" s="336"/>
      <c r="Q97" s="336"/>
      <c r="R97" s="336"/>
    </row>
    <row r="98" spans="13:18" x14ac:dyDescent="0.2">
      <c r="M98" s="336"/>
      <c r="N98" s="336"/>
      <c r="O98" s="336"/>
      <c r="P98" s="336"/>
      <c r="Q98" s="336"/>
      <c r="R98" s="336"/>
    </row>
    <row r="99" spans="13:18" x14ac:dyDescent="0.2">
      <c r="M99" s="336"/>
      <c r="N99" s="336"/>
      <c r="O99" s="334"/>
      <c r="P99" s="334"/>
      <c r="Q99" s="334"/>
      <c r="R99" s="334"/>
    </row>
    <row r="100" spans="13:18" x14ac:dyDescent="0.2">
      <c r="M100" s="335"/>
      <c r="N100" s="335"/>
      <c r="O100" s="333"/>
      <c r="P100" s="333"/>
      <c r="Q100" s="333"/>
      <c r="R100" s="333"/>
    </row>
    <row r="101" spans="13:18" x14ac:dyDescent="0.2">
      <c r="O101" s="334"/>
      <c r="P101" s="334"/>
      <c r="Q101" s="334"/>
      <c r="R101" s="334"/>
    </row>
    <row r="102" spans="13:18" x14ac:dyDescent="0.2">
      <c r="M102" s="334"/>
      <c r="N102" s="334"/>
      <c r="O102" s="334"/>
      <c r="P102" s="334"/>
      <c r="Q102" s="334"/>
      <c r="R102" s="334"/>
    </row>
    <row r="103" spans="13:18" x14ac:dyDescent="0.2">
      <c r="M103" s="334"/>
      <c r="N103" s="334"/>
      <c r="O103" s="334"/>
      <c r="P103" s="334"/>
      <c r="Q103" s="334"/>
      <c r="R103" s="334"/>
    </row>
    <row r="104" spans="13:18" x14ac:dyDescent="0.2">
      <c r="M104" s="334"/>
      <c r="N104" s="334"/>
      <c r="O104" s="334"/>
      <c r="P104" s="334"/>
      <c r="Q104" s="334"/>
      <c r="R104" s="334"/>
    </row>
    <row r="105" spans="13:18" x14ac:dyDescent="0.2">
      <c r="M105" s="334"/>
      <c r="N105" s="334"/>
      <c r="O105" s="333"/>
      <c r="P105" s="333"/>
      <c r="Q105" s="333"/>
      <c r="R105" s="334"/>
    </row>
    <row r="106" spans="13:18" x14ac:dyDescent="0.2">
      <c r="M106" s="334"/>
      <c r="N106" s="333"/>
      <c r="O106" s="333"/>
      <c r="P106" s="333"/>
      <c r="Q106" s="333"/>
    </row>
    <row r="107" spans="13:18" x14ac:dyDescent="0.2">
      <c r="M107" s="334"/>
      <c r="N107" s="333"/>
      <c r="O107" s="334"/>
      <c r="P107" s="334"/>
      <c r="Q107" s="334"/>
    </row>
    <row r="108" spans="13:18" x14ac:dyDescent="0.2">
      <c r="M108" s="334"/>
      <c r="N108" s="333"/>
      <c r="O108" s="334"/>
      <c r="P108" s="334"/>
      <c r="Q108" s="334"/>
    </row>
    <row r="109" spans="13:18" x14ac:dyDescent="0.2">
      <c r="M109" s="336"/>
      <c r="N109" s="333"/>
      <c r="O109" s="334"/>
      <c r="P109" s="334"/>
      <c r="Q109" s="334"/>
      <c r="R109" s="334"/>
    </row>
    <row r="110" spans="13:18" x14ac:dyDescent="0.2">
      <c r="M110" s="336"/>
      <c r="N110" s="336"/>
      <c r="O110" s="334"/>
      <c r="P110" s="334"/>
      <c r="Q110" s="334"/>
      <c r="R110" s="334"/>
    </row>
    <row r="111" spans="13:18" x14ac:dyDescent="0.2">
      <c r="M111" s="336"/>
      <c r="N111" s="336"/>
      <c r="O111" s="334"/>
      <c r="P111" s="334"/>
      <c r="Q111" s="334"/>
      <c r="R111" s="334"/>
    </row>
    <row r="112" spans="13:18" x14ac:dyDescent="0.2">
      <c r="M112" s="336"/>
      <c r="N112" s="336"/>
      <c r="O112" s="334"/>
      <c r="P112" s="334"/>
      <c r="Q112" s="334"/>
      <c r="R112" s="334"/>
    </row>
    <row r="113" spans="13:18" x14ac:dyDescent="0.2">
      <c r="M113" s="336"/>
      <c r="N113" s="336"/>
      <c r="O113" s="334"/>
      <c r="P113" s="334"/>
      <c r="Q113" s="334"/>
      <c r="R113" s="334"/>
    </row>
    <row r="114" spans="13:18" x14ac:dyDescent="0.2">
      <c r="M114" s="335"/>
      <c r="N114" s="335"/>
      <c r="O114" s="333"/>
      <c r="P114" s="333"/>
      <c r="Q114" s="333"/>
      <c r="R114" s="333"/>
    </row>
    <row r="115" spans="13:18" x14ac:dyDescent="0.2">
      <c r="M115" s="334"/>
      <c r="N115" s="333"/>
    </row>
    <row r="116" spans="13:18" x14ac:dyDescent="0.2">
      <c r="M116" s="334"/>
      <c r="N116" s="333"/>
    </row>
    <row r="119" spans="13:18" x14ac:dyDescent="0.2">
      <c r="N119" s="332"/>
      <c r="O119" s="332"/>
      <c r="P119" s="332"/>
      <c r="Q119" s="332"/>
      <c r="R119" s="332"/>
    </row>
    <row r="120" spans="13:18" x14ac:dyDescent="0.2">
      <c r="N120" s="332"/>
      <c r="O120" s="332"/>
      <c r="P120" s="332"/>
      <c r="Q120" s="332"/>
      <c r="R120" s="332"/>
    </row>
  </sheetData>
  <mergeCells count="4">
    <mergeCell ref="D5:G5"/>
    <mergeCell ref="M12:R14"/>
    <mergeCell ref="M52:P52"/>
    <mergeCell ref="M32:R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077A-5F04-0140-B954-250835A90082}">
  <dimension ref="A1:U136"/>
  <sheetViews>
    <sheetView workbookViewId="0"/>
  </sheetViews>
  <sheetFormatPr baseColWidth="10" defaultColWidth="11" defaultRowHeight="19" outlineLevelCol="1" x14ac:dyDescent="0.25"/>
  <cols>
    <col min="1" max="1" width="4.5" customWidth="1"/>
    <col min="2" max="6" width="10.83203125" customWidth="1"/>
    <col min="7" max="7" width="13.5" customWidth="1"/>
    <col min="8" max="10" width="10.83203125" customWidth="1"/>
    <col min="12" max="12" width="11.1640625" style="190" bestFit="1" customWidth="1"/>
    <col min="13" max="20" width="10.83203125" hidden="1" customWidth="1" outlineLevel="1"/>
    <col min="21" max="21" width="11" collapsed="1"/>
  </cols>
  <sheetData>
    <row r="1" spans="1:20" x14ac:dyDescent="0.25">
      <c r="A1" s="151" t="s">
        <v>322</v>
      </c>
      <c r="B1" s="121"/>
      <c r="C1" s="120"/>
      <c r="D1" s="120"/>
      <c r="E1" s="120"/>
      <c r="F1" s="119"/>
      <c r="G1" s="119"/>
      <c r="H1" s="119"/>
      <c r="I1" s="119"/>
      <c r="J1" s="118"/>
      <c r="L1" s="117" t="s">
        <v>154</v>
      </c>
    </row>
    <row r="2" spans="1:20" x14ac:dyDescent="0.25">
      <c r="A2" s="109"/>
      <c r="B2" s="107"/>
      <c r="C2" s="107"/>
      <c r="D2" s="107"/>
      <c r="E2" s="107"/>
      <c r="F2" s="107"/>
      <c r="G2" s="107"/>
      <c r="H2" s="107"/>
      <c r="I2" s="107"/>
      <c r="J2" s="106"/>
    </row>
    <row r="3" spans="1:20" ht="16" customHeight="1" x14ac:dyDescent="0.25">
      <c r="A3" s="109"/>
      <c r="B3" s="107" t="s">
        <v>321</v>
      </c>
      <c r="C3" s="107"/>
      <c r="D3" s="107"/>
      <c r="E3" s="107"/>
      <c r="F3" s="107"/>
      <c r="G3" s="107"/>
      <c r="H3" s="107"/>
      <c r="I3" s="107"/>
      <c r="J3" s="106"/>
      <c r="M3" s="96" t="s">
        <v>206</v>
      </c>
      <c r="N3" s="116"/>
    </row>
    <row r="4" spans="1:20" ht="16" customHeight="1" x14ac:dyDescent="0.25">
      <c r="A4" s="109"/>
      <c r="B4" s="107"/>
      <c r="C4" s="107"/>
      <c r="D4" s="107"/>
      <c r="E4" s="107"/>
      <c r="F4" s="107"/>
      <c r="G4" s="107"/>
      <c r="H4" s="107"/>
      <c r="I4" s="107"/>
      <c r="J4" s="106"/>
      <c r="N4" s="150"/>
    </row>
    <row r="5" spans="1:20" ht="16" customHeight="1" x14ac:dyDescent="0.25">
      <c r="A5" s="109"/>
      <c r="B5" s="416" t="s">
        <v>320</v>
      </c>
      <c r="C5" s="417"/>
      <c r="D5" s="417"/>
      <c r="E5" s="417"/>
      <c r="F5" s="417"/>
      <c r="G5" s="418"/>
      <c r="H5" s="107"/>
      <c r="I5" s="107"/>
      <c r="J5" s="106"/>
      <c r="M5" s="182" t="s">
        <v>319</v>
      </c>
      <c r="N5" s="172"/>
      <c r="O5" s="102"/>
      <c r="P5" s="102"/>
      <c r="Q5" s="102"/>
      <c r="R5" s="102"/>
      <c r="S5" s="102"/>
      <c r="T5" s="102"/>
    </row>
    <row r="6" spans="1:20" ht="16" customHeight="1" x14ac:dyDescent="0.25">
      <c r="A6" s="109"/>
      <c r="B6" s="139" t="s">
        <v>311</v>
      </c>
      <c r="C6" s="111" t="s">
        <v>310</v>
      </c>
      <c r="D6" s="111" t="s">
        <v>309</v>
      </c>
      <c r="E6" s="111" t="s">
        <v>308</v>
      </c>
      <c r="F6" s="111" t="s">
        <v>307</v>
      </c>
      <c r="G6" s="203" t="s">
        <v>306</v>
      </c>
      <c r="H6" s="107"/>
      <c r="I6" s="107"/>
      <c r="J6" s="106"/>
      <c r="M6" s="102"/>
      <c r="N6" s="172"/>
      <c r="O6" s="102"/>
      <c r="P6" s="102"/>
      <c r="Q6" s="102"/>
      <c r="R6" s="102"/>
      <c r="S6" s="102"/>
      <c r="T6" s="102"/>
    </row>
    <row r="7" spans="1:20" ht="16" customHeight="1" x14ac:dyDescent="0.25">
      <c r="A7" s="109"/>
      <c r="B7" s="202">
        <v>5400</v>
      </c>
      <c r="C7" s="189">
        <v>5400</v>
      </c>
      <c r="D7" s="189">
        <v>3750</v>
      </c>
      <c r="E7" s="189">
        <v>2750</v>
      </c>
      <c r="F7" s="189">
        <v>2400</v>
      </c>
      <c r="G7" s="204">
        <v>-1200</v>
      </c>
      <c r="H7" s="107"/>
      <c r="I7" s="107"/>
      <c r="J7" s="106"/>
      <c r="M7" s="102" t="s">
        <v>318</v>
      </c>
      <c r="N7" s="172"/>
      <c r="O7" s="102"/>
      <c r="P7" s="102"/>
      <c r="Q7" s="102"/>
      <c r="R7" s="102"/>
      <c r="S7" s="102"/>
      <c r="T7" s="102"/>
    </row>
    <row r="8" spans="1:20" ht="16" customHeight="1" x14ac:dyDescent="0.25">
      <c r="A8" s="109"/>
      <c r="B8" s="107"/>
      <c r="C8" s="107"/>
      <c r="D8" s="107"/>
      <c r="E8" s="107"/>
      <c r="F8" s="107"/>
      <c r="G8" s="107"/>
      <c r="H8" s="107"/>
      <c r="I8" s="107"/>
      <c r="J8" s="106"/>
      <c r="M8" s="102" t="s">
        <v>317</v>
      </c>
      <c r="N8" s="172"/>
      <c r="O8" s="102"/>
      <c r="P8" s="102"/>
      <c r="Q8" s="102"/>
      <c r="R8" s="102"/>
      <c r="S8" s="102"/>
      <c r="T8" s="102"/>
    </row>
    <row r="9" spans="1:20" ht="16" customHeight="1" x14ac:dyDescent="0.25">
      <c r="A9" s="109"/>
      <c r="B9" s="416" t="s">
        <v>316</v>
      </c>
      <c r="C9" s="417"/>
      <c r="D9" s="417"/>
      <c r="E9" s="417"/>
      <c r="F9" s="417"/>
      <c r="G9" s="418"/>
      <c r="H9" s="107"/>
      <c r="I9" s="107"/>
      <c r="J9" s="106"/>
      <c r="M9" s="102" t="s">
        <v>315</v>
      </c>
      <c r="N9" s="172"/>
      <c r="O9" s="102"/>
      <c r="P9" s="102"/>
      <c r="Q9" s="102"/>
      <c r="R9" s="102"/>
      <c r="S9" s="102"/>
      <c r="T9" s="102"/>
    </row>
    <row r="10" spans="1:20" ht="16" customHeight="1" thickBot="1" x14ac:dyDescent="0.3">
      <c r="A10" s="109"/>
      <c r="B10" s="139" t="s">
        <v>311</v>
      </c>
      <c r="C10" s="111" t="s">
        <v>310</v>
      </c>
      <c r="D10" s="111" t="s">
        <v>309</v>
      </c>
      <c r="E10" s="111" t="s">
        <v>308</v>
      </c>
      <c r="F10" s="111" t="s">
        <v>307</v>
      </c>
      <c r="G10" s="203" t="s">
        <v>306</v>
      </c>
      <c r="H10" s="107"/>
      <c r="I10" s="107"/>
      <c r="J10" s="106"/>
      <c r="M10" s="102"/>
      <c r="N10" s="172"/>
      <c r="O10" s="102"/>
      <c r="P10" s="102"/>
      <c r="Q10" s="102"/>
      <c r="R10" s="102"/>
      <c r="S10" s="102"/>
      <c r="T10" s="102"/>
    </row>
    <row r="11" spans="1:20" ht="16" customHeight="1" thickBot="1" x14ac:dyDescent="0.3">
      <c r="A11" s="109"/>
      <c r="B11" s="202">
        <v>5500</v>
      </c>
      <c r="C11" s="189">
        <v>5500</v>
      </c>
      <c r="D11" s="189">
        <v>3800</v>
      </c>
      <c r="E11" s="189">
        <v>2700</v>
      </c>
      <c r="F11" s="189">
        <v>2100</v>
      </c>
      <c r="G11" s="200">
        <v>0.7</v>
      </c>
      <c r="H11" s="107"/>
      <c r="I11" s="107"/>
      <c r="J11" s="106"/>
      <c r="M11" s="184" t="s">
        <v>314</v>
      </c>
      <c r="N11" s="192"/>
      <c r="O11" s="191">
        <f>E7+G7</f>
        <v>1550</v>
      </c>
      <c r="P11" s="102"/>
      <c r="Q11" s="102"/>
      <c r="R11" s="102"/>
      <c r="S11" s="102"/>
      <c r="T11" s="102"/>
    </row>
    <row r="12" spans="1:20" ht="16" customHeight="1" x14ac:dyDescent="0.25">
      <c r="A12" s="109"/>
      <c r="B12" s="107"/>
      <c r="C12" s="107"/>
      <c r="D12" s="107"/>
      <c r="E12" s="107"/>
      <c r="F12" s="107"/>
      <c r="G12" s="107"/>
      <c r="H12" s="107"/>
      <c r="I12" s="107"/>
      <c r="J12" s="106"/>
      <c r="M12" s="102"/>
      <c r="N12" s="172"/>
      <c r="O12" s="102"/>
      <c r="P12" s="102"/>
      <c r="Q12" s="102"/>
      <c r="R12" s="102"/>
      <c r="S12" s="102"/>
      <c r="T12" s="102"/>
    </row>
    <row r="13" spans="1:20" ht="16" customHeight="1" x14ac:dyDescent="0.25">
      <c r="A13" s="109"/>
      <c r="B13" s="416" t="s">
        <v>313</v>
      </c>
      <c r="C13" s="417"/>
      <c r="D13" s="417"/>
      <c r="E13" s="417"/>
      <c r="F13" s="417"/>
      <c r="G13" s="417"/>
      <c r="H13" s="418"/>
      <c r="I13" s="111"/>
      <c r="J13" s="177"/>
      <c r="M13" s="182" t="s">
        <v>312</v>
      </c>
      <c r="N13" s="172"/>
      <c r="O13" s="102"/>
      <c r="P13" s="102"/>
      <c r="Q13" s="102"/>
      <c r="R13" s="102"/>
      <c r="S13" s="102"/>
      <c r="T13" s="102"/>
    </row>
    <row r="14" spans="1:20" ht="16" customHeight="1" thickBot="1" x14ac:dyDescent="0.3">
      <c r="A14" s="109"/>
      <c r="B14" s="139" t="s">
        <v>311</v>
      </c>
      <c r="C14" s="111" t="s">
        <v>310</v>
      </c>
      <c r="D14" s="111" t="s">
        <v>309</v>
      </c>
      <c r="E14" s="111" t="s">
        <v>308</v>
      </c>
      <c r="F14" s="111" t="s">
        <v>307</v>
      </c>
      <c r="G14" s="111" t="s">
        <v>306</v>
      </c>
      <c r="H14" s="203" t="s">
        <v>305</v>
      </c>
      <c r="I14" s="111"/>
      <c r="J14" s="177"/>
      <c r="M14" s="102"/>
      <c r="N14" s="172"/>
      <c r="O14" s="102"/>
      <c r="P14" s="102"/>
      <c r="Q14" s="102"/>
      <c r="R14" s="102"/>
      <c r="S14" s="102"/>
      <c r="T14" s="102"/>
    </row>
    <row r="15" spans="1:20" ht="16" customHeight="1" thickBot="1" x14ac:dyDescent="0.3">
      <c r="A15" s="109"/>
      <c r="B15" s="202">
        <v>5000</v>
      </c>
      <c r="C15" s="189">
        <v>5000</v>
      </c>
      <c r="D15" s="189">
        <v>3450</v>
      </c>
      <c r="E15" s="189">
        <v>2500</v>
      </c>
      <c r="F15" s="189">
        <v>2000</v>
      </c>
      <c r="G15" s="201">
        <v>0.75</v>
      </c>
      <c r="H15" s="200">
        <v>1.25</v>
      </c>
      <c r="I15" s="199"/>
      <c r="J15" s="198"/>
      <c r="M15" s="184" t="s">
        <v>286</v>
      </c>
      <c r="N15" s="192"/>
      <c r="O15" s="191">
        <f>E11*G11</f>
        <v>1889.9999999999998</v>
      </c>
      <c r="P15" s="102"/>
      <c r="Q15" s="102"/>
      <c r="R15" s="102"/>
      <c r="S15" s="102"/>
      <c r="T15" s="102"/>
    </row>
    <row r="16" spans="1:20" ht="16" customHeight="1" x14ac:dyDescent="0.25">
      <c r="A16" s="109"/>
      <c r="B16" s="107"/>
      <c r="C16" s="107"/>
      <c r="D16" s="107"/>
      <c r="E16" s="107"/>
      <c r="F16" s="107"/>
      <c r="G16" s="107"/>
      <c r="H16" s="107"/>
      <c r="I16" s="107"/>
      <c r="J16" s="106"/>
      <c r="M16" s="102"/>
      <c r="N16" s="172"/>
      <c r="O16" s="102"/>
      <c r="P16" s="102"/>
      <c r="Q16" s="102"/>
      <c r="R16" s="102"/>
      <c r="S16" s="102"/>
      <c r="T16" s="102"/>
    </row>
    <row r="17" spans="1:20" ht="16" customHeight="1" x14ac:dyDescent="0.25">
      <c r="A17" s="109"/>
      <c r="B17" s="115" t="s">
        <v>304</v>
      </c>
      <c r="C17" s="107"/>
      <c r="D17" s="107"/>
      <c r="E17" s="107"/>
      <c r="F17" s="107"/>
      <c r="G17" s="107"/>
      <c r="H17" s="107"/>
      <c r="I17" s="107"/>
      <c r="J17" s="106"/>
      <c r="M17" s="102" t="s">
        <v>303</v>
      </c>
      <c r="N17" s="172"/>
      <c r="O17" s="102"/>
      <c r="P17" s="102"/>
      <c r="Q17" s="102"/>
      <c r="R17" s="102"/>
      <c r="S17" s="102"/>
      <c r="T17" s="102"/>
    </row>
    <row r="18" spans="1:20" ht="16" customHeight="1" thickBot="1" x14ac:dyDescent="0.3">
      <c r="A18" s="109"/>
      <c r="B18" s="115"/>
      <c r="C18" s="107"/>
      <c r="D18" s="107"/>
      <c r="E18" s="107"/>
      <c r="F18" s="107"/>
      <c r="G18" s="107"/>
      <c r="H18" s="107"/>
      <c r="I18" s="107"/>
      <c r="J18" s="106"/>
      <c r="M18" s="102"/>
      <c r="N18" s="172"/>
      <c r="O18" s="102"/>
      <c r="P18" s="102"/>
      <c r="Q18" s="102"/>
      <c r="R18" s="102"/>
      <c r="S18" s="102"/>
      <c r="T18" s="102"/>
    </row>
    <row r="19" spans="1:20" ht="16" customHeight="1" thickBot="1" x14ac:dyDescent="0.3">
      <c r="A19" s="109"/>
      <c r="B19" s="112" t="s">
        <v>0</v>
      </c>
      <c r="C19" s="107"/>
      <c r="D19" s="107"/>
      <c r="E19" s="107"/>
      <c r="F19" s="107"/>
      <c r="G19" s="107"/>
      <c r="H19" s="107"/>
      <c r="I19" s="107"/>
      <c r="J19" s="106"/>
      <c r="M19" s="184" t="s">
        <v>286</v>
      </c>
      <c r="N19" s="192"/>
      <c r="O19" s="191">
        <f>E15*G15*H15</f>
        <v>2343.75</v>
      </c>
      <c r="P19" s="102"/>
      <c r="Q19" s="102"/>
      <c r="R19" s="102"/>
      <c r="S19" s="102"/>
      <c r="T19" s="102"/>
    </row>
    <row r="20" spans="1:20" ht="16" customHeight="1" x14ac:dyDescent="0.25">
      <c r="A20" s="109"/>
      <c r="B20" s="412" t="s">
        <v>302</v>
      </c>
      <c r="C20" s="412"/>
      <c r="D20" s="412"/>
      <c r="E20" s="412"/>
      <c r="F20" s="412"/>
      <c r="G20" s="412"/>
      <c r="H20" s="412"/>
      <c r="I20" s="412"/>
      <c r="J20" s="106"/>
      <c r="M20" s="102"/>
      <c r="N20" s="172"/>
      <c r="O20" s="102"/>
      <c r="P20" s="102"/>
      <c r="Q20" s="102"/>
      <c r="R20" s="102"/>
      <c r="S20" s="102"/>
      <c r="T20" s="102"/>
    </row>
    <row r="21" spans="1:20" ht="16" customHeight="1" x14ac:dyDescent="0.25">
      <c r="A21" s="109"/>
      <c r="B21" s="412"/>
      <c r="C21" s="412"/>
      <c r="D21" s="412"/>
      <c r="E21" s="412"/>
      <c r="F21" s="412"/>
      <c r="G21" s="412"/>
      <c r="H21" s="412"/>
      <c r="I21" s="412"/>
      <c r="J21" s="106"/>
      <c r="M21" s="196" t="s">
        <v>204</v>
      </c>
      <c r="N21" s="172"/>
      <c r="O21" s="102"/>
      <c r="P21" s="102"/>
      <c r="Q21" s="102"/>
      <c r="R21" s="102"/>
      <c r="S21" s="102"/>
      <c r="T21" s="102"/>
    </row>
    <row r="22" spans="1:20" ht="16" customHeight="1" x14ac:dyDescent="0.25">
      <c r="A22" s="109"/>
      <c r="B22" s="113"/>
      <c r="C22" s="107"/>
      <c r="D22" s="107"/>
      <c r="E22" s="107"/>
      <c r="F22" s="107"/>
      <c r="G22" s="107"/>
      <c r="H22" s="107"/>
      <c r="I22" s="107"/>
      <c r="J22" s="106"/>
      <c r="M22" s="102"/>
      <c r="N22" s="172"/>
      <c r="O22" s="102"/>
      <c r="P22" s="102"/>
      <c r="Q22" s="102"/>
      <c r="R22" s="102"/>
      <c r="S22" s="102"/>
      <c r="T22" s="102"/>
    </row>
    <row r="23" spans="1:20" ht="16" customHeight="1" x14ac:dyDescent="0.25">
      <c r="A23" s="109"/>
      <c r="B23" s="112" t="s">
        <v>1</v>
      </c>
      <c r="C23" s="107"/>
      <c r="D23" s="107"/>
      <c r="E23" s="107"/>
      <c r="F23" s="107"/>
      <c r="G23" s="107"/>
      <c r="H23" s="107"/>
      <c r="I23" s="107"/>
      <c r="J23" s="106"/>
      <c r="M23" s="102" t="s">
        <v>301</v>
      </c>
      <c r="N23" s="172"/>
      <c r="O23" s="102"/>
      <c r="P23" s="102"/>
      <c r="Q23" s="102"/>
      <c r="R23" s="102"/>
      <c r="S23" s="102"/>
      <c r="T23" s="102"/>
    </row>
    <row r="24" spans="1:20" ht="16" customHeight="1" thickBot="1" x14ac:dyDescent="0.3">
      <c r="A24" s="109"/>
      <c r="B24" s="412" t="s">
        <v>300</v>
      </c>
      <c r="C24" s="412"/>
      <c r="D24" s="412"/>
      <c r="E24" s="412"/>
      <c r="F24" s="412"/>
      <c r="G24" s="412"/>
      <c r="H24" s="412"/>
      <c r="I24" s="412"/>
      <c r="J24" s="106"/>
      <c r="M24" s="102"/>
      <c r="N24" s="172"/>
      <c r="O24" s="102"/>
      <c r="P24" s="102"/>
      <c r="Q24" s="102"/>
      <c r="R24" s="102"/>
      <c r="S24" s="102"/>
      <c r="T24" s="102"/>
    </row>
    <row r="25" spans="1:20" ht="16" customHeight="1" thickBot="1" x14ac:dyDescent="0.3">
      <c r="A25" s="109"/>
      <c r="B25" s="412"/>
      <c r="C25" s="412"/>
      <c r="D25" s="412"/>
      <c r="E25" s="412"/>
      <c r="F25" s="412"/>
      <c r="G25" s="412"/>
      <c r="H25" s="412"/>
      <c r="I25" s="412"/>
      <c r="J25" s="106"/>
      <c r="M25" s="184" t="s">
        <v>286</v>
      </c>
      <c r="N25" s="192"/>
      <c r="O25" s="191">
        <f>D28*(1+D29)^4*(1+D30)^(4+1)*(1+D31)^1</f>
        <v>2374.215359201281</v>
      </c>
      <c r="P25" s="102" t="s">
        <v>299</v>
      </c>
      <c r="Q25" s="102"/>
      <c r="R25" s="102"/>
      <c r="S25" s="102"/>
      <c r="T25" s="102"/>
    </row>
    <row r="26" spans="1:20" ht="16" customHeight="1" x14ac:dyDescent="0.25">
      <c r="A26" s="109"/>
      <c r="B26" s="113"/>
      <c r="C26" s="107"/>
      <c r="D26" s="107"/>
      <c r="E26" s="107"/>
      <c r="F26" s="107"/>
      <c r="G26" s="107"/>
      <c r="H26" s="107"/>
      <c r="I26" s="107"/>
      <c r="J26" s="106"/>
      <c r="M26" s="102"/>
      <c r="N26" s="172"/>
      <c r="O26" s="102"/>
      <c r="P26" s="102"/>
      <c r="Q26" s="102"/>
      <c r="R26" s="102"/>
      <c r="S26" s="102"/>
      <c r="T26" s="102"/>
    </row>
    <row r="27" spans="1:20" ht="16" customHeight="1" x14ac:dyDescent="0.25">
      <c r="A27" s="109"/>
      <c r="B27" s="113"/>
      <c r="C27" s="197" t="s">
        <v>298</v>
      </c>
      <c r="D27" s="145" t="s">
        <v>297</v>
      </c>
      <c r="E27" s="107"/>
      <c r="F27" s="107"/>
      <c r="G27" s="107"/>
      <c r="H27" s="107"/>
      <c r="I27" s="107"/>
      <c r="J27" s="106"/>
      <c r="M27" s="196" t="s">
        <v>200</v>
      </c>
      <c r="N27" s="172"/>
      <c r="O27" s="102"/>
      <c r="P27" s="102"/>
      <c r="Q27" s="102"/>
      <c r="R27" s="102"/>
      <c r="S27" s="102"/>
      <c r="T27" s="102"/>
    </row>
    <row r="28" spans="1:20" ht="16" customHeight="1" x14ac:dyDescent="0.25">
      <c r="A28" s="109"/>
      <c r="B28" s="113"/>
      <c r="C28" s="194" t="s">
        <v>296</v>
      </c>
      <c r="D28" s="195">
        <v>5000</v>
      </c>
      <c r="E28" s="107"/>
      <c r="F28" s="107"/>
      <c r="G28" s="107"/>
      <c r="H28" s="107"/>
      <c r="I28" s="107"/>
      <c r="J28" s="106"/>
      <c r="M28" s="102"/>
      <c r="N28" s="172"/>
      <c r="O28" s="102"/>
      <c r="P28" s="102"/>
      <c r="Q28" s="102"/>
      <c r="R28" s="102"/>
      <c r="S28" s="102"/>
      <c r="T28" s="102"/>
    </row>
    <row r="29" spans="1:20" ht="16" customHeight="1" x14ac:dyDescent="0.25">
      <c r="A29" s="109"/>
      <c r="B29" s="113"/>
      <c r="C29" s="194" t="s">
        <v>295</v>
      </c>
      <c r="D29" s="158">
        <v>-0.2</v>
      </c>
      <c r="E29" s="107"/>
      <c r="F29" s="107"/>
      <c r="G29" s="107"/>
      <c r="H29" s="107"/>
      <c r="I29" s="107"/>
      <c r="J29" s="106"/>
      <c r="M29" s="102" t="s">
        <v>294</v>
      </c>
      <c r="N29" s="172"/>
      <c r="O29" s="102"/>
      <c r="P29" s="102"/>
      <c r="Q29" s="102"/>
      <c r="R29" s="102"/>
      <c r="S29" s="102"/>
      <c r="T29" s="102"/>
    </row>
    <row r="30" spans="1:20" ht="16" customHeight="1" x14ac:dyDescent="0.25">
      <c r="A30" s="109"/>
      <c r="B30" s="113"/>
      <c r="C30" s="194" t="s">
        <v>293</v>
      </c>
      <c r="D30" s="158">
        <v>0.02</v>
      </c>
      <c r="E30" s="107"/>
      <c r="F30" s="107"/>
      <c r="G30" s="107"/>
      <c r="H30" s="107"/>
      <c r="I30" s="107"/>
      <c r="J30" s="106"/>
      <c r="M30" s="102"/>
      <c r="N30" s="172"/>
      <c r="O30" s="102"/>
      <c r="P30" s="102"/>
      <c r="Q30" s="102"/>
      <c r="R30" s="102"/>
      <c r="S30" s="102"/>
      <c r="T30" s="102"/>
    </row>
    <row r="31" spans="1:20" ht="16" customHeight="1" x14ac:dyDescent="0.25">
      <c r="A31" s="109"/>
      <c r="B31" s="113"/>
      <c r="C31" s="193" t="s">
        <v>292</v>
      </c>
      <c r="D31" s="156">
        <v>0.05</v>
      </c>
      <c r="E31" s="107"/>
      <c r="F31" s="107"/>
      <c r="G31" s="107"/>
      <c r="H31" s="107"/>
      <c r="I31" s="107"/>
      <c r="J31" s="106"/>
      <c r="M31" s="102" t="s">
        <v>291</v>
      </c>
      <c r="N31" s="172"/>
      <c r="O31" s="102"/>
      <c r="P31" s="102"/>
      <c r="Q31" s="102"/>
      <c r="R31" s="102"/>
      <c r="S31" s="102"/>
      <c r="T31" s="102"/>
    </row>
    <row r="32" spans="1:20" ht="16" customHeight="1" x14ac:dyDescent="0.25">
      <c r="A32" s="109"/>
      <c r="B32" s="113"/>
      <c r="C32" s="107"/>
      <c r="D32" s="107"/>
      <c r="E32" s="107"/>
      <c r="F32" s="107"/>
      <c r="G32" s="107"/>
      <c r="H32" s="107"/>
      <c r="I32" s="107"/>
      <c r="J32" s="106"/>
      <c r="M32" s="102"/>
      <c r="N32" s="172"/>
      <c r="O32" s="102"/>
      <c r="P32" s="102"/>
      <c r="Q32" s="102"/>
      <c r="R32" s="102"/>
      <c r="S32" s="102"/>
      <c r="T32" s="102"/>
    </row>
    <row r="33" spans="1:20" ht="16" customHeight="1" x14ac:dyDescent="0.25">
      <c r="A33" s="109"/>
      <c r="B33" s="129" t="s">
        <v>290</v>
      </c>
      <c r="C33" s="107"/>
      <c r="D33" s="107"/>
      <c r="E33" s="107"/>
      <c r="F33" s="107"/>
      <c r="G33" s="107"/>
      <c r="H33" s="107"/>
      <c r="I33" s="107"/>
      <c r="J33" s="106"/>
      <c r="M33" s="102" t="s">
        <v>289</v>
      </c>
      <c r="N33" s="179">
        <f>D29+D30+D29*D30</f>
        <v>-0.18400000000000002</v>
      </c>
      <c r="O33" s="102"/>
      <c r="P33" s="102"/>
      <c r="Q33" s="102"/>
      <c r="R33" s="102"/>
      <c r="S33" s="102"/>
      <c r="T33" s="102"/>
    </row>
    <row r="34" spans="1:20" ht="16" customHeight="1" x14ac:dyDescent="0.25">
      <c r="A34" s="109"/>
      <c r="B34" s="111"/>
      <c r="C34" s="107"/>
      <c r="D34" s="107"/>
      <c r="E34" s="107"/>
      <c r="F34" s="107"/>
      <c r="G34" s="107"/>
      <c r="H34" s="107"/>
      <c r="I34" s="107"/>
      <c r="J34" s="106"/>
      <c r="M34" s="102" t="s">
        <v>288</v>
      </c>
      <c r="N34" s="179">
        <f>D31+D30+D30*D31</f>
        <v>7.1000000000000008E-2</v>
      </c>
      <c r="O34" s="102"/>
      <c r="P34" s="102"/>
      <c r="Q34" s="102"/>
      <c r="R34" s="102"/>
      <c r="S34" s="102"/>
      <c r="T34" s="102"/>
    </row>
    <row r="35" spans="1:20" ht="16" customHeight="1" thickBot="1" x14ac:dyDescent="0.3">
      <c r="A35" s="109"/>
      <c r="B35" s="129" t="s">
        <v>2</v>
      </c>
      <c r="C35" s="107"/>
      <c r="D35" s="107"/>
      <c r="E35" s="107"/>
      <c r="F35" s="107"/>
      <c r="G35" s="107"/>
      <c r="H35" s="107"/>
      <c r="I35" s="107"/>
      <c r="J35" s="106"/>
      <c r="M35" s="102"/>
      <c r="N35" s="172"/>
      <c r="O35" s="102"/>
      <c r="P35" s="102"/>
      <c r="Q35" s="102"/>
      <c r="R35" s="102"/>
      <c r="S35" s="102"/>
      <c r="T35" s="102"/>
    </row>
    <row r="36" spans="1:20" ht="16" customHeight="1" thickBot="1" x14ac:dyDescent="0.3">
      <c r="A36" s="109"/>
      <c r="B36" s="107" t="s">
        <v>287</v>
      </c>
      <c r="C36" s="107"/>
      <c r="D36" s="107"/>
      <c r="E36" s="107"/>
      <c r="F36" s="107"/>
      <c r="G36" s="107"/>
      <c r="H36" s="107"/>
      <c r="I36" s="107"/>
      <c r="J36" s="106"/>
      <c r="M36" s="184" t="s">
        <v>286</v>
      </c>
      <c r="N36" s="192"/>
      <c r="O36" s="191">
        <f>D28*(1+N33)^4*(1+N34)^1</f>
        <v>2374.2153592012787</v>
      </c>
      <c r="P36" s="102"/>
      <c r="Q36" s="102"/>
      <c r="R36" s="102"/>
      <c r="S36" s="102"/>
      <c r="T36" s="102"/>
    </row>
    <row r="37" spans="1:20" ht="16" customHeight="1" thickBot="1" x14ac:dyDescent="0.3">
      <c r="A37" s="109"/>
      <c r="B37" s="108"/>
      <c r="C37" s="107"/>
      <c r="D37" s="107"/>
      <c r="E37" s="107"/>
      <c r="F37" s="107"/>
      <c r="G37" s="107"/>
      <c r="H37" s="107"/>
      <c r="I37" s="107"/>
      <c r="J37" s="106"/>
      <c r="M37" s="102"/>
      <c r="N37" s="172"/>
      <c r="O37" s="102"/>
      <c r="P37" s="102"/>
      <c r="Q37" s="102"/>
      <c r="R37" s="102"/>
      <c r="S37" s="102"/>
      <c r="T37" s="102"/>
    </row>
    <row r="38" spans="1:20" ht="16" customHeight="1" thickBot="1" x14ac:dyDescent="0.3">
      <c r="A38" s="105" t="s">
        <v>153</v>
      </c>
      <c r="B38" s="104"/>
      <c r="C38" s="104"/>
      <c r="D38" s="104"/>
      <c r="E38" s="104"/>
      <c r="F38" s="104"/>
      <c r="G38" s="104"/>
      <c r="H38" s="104"/>
      <c r="I38" s="104"/>
      <c r="J38" s="103"/>
      <c r="M38" s="102" t="s">
        <v>285</v>
      </c>
      <c r="N38" s="172"/>
      <c r="O38" s="102"/>
      <c r="P38" s="102"/>
      <c r="Q38" s="102"/>
      <c r="R38" s="102"/>
      <c r="S38" s="102"/>
      <c r="T38" s="102"/>
    </row>
    <row r="39" spans="1:20" ht="16" customHeight="1" x14ac:dyDescent="0.25">
      <c r="M39" s="172"/>
      <c r="N39" s="172"/>
      <c r="O39" s="172"/>
      <c r="P39" s="172"/>
      <c r="Q39" s="172"/>
      <c r="R39" s="172"/>
      <c r="S39" s="102"/>
      <c r="T39" s="102"/>
    </row>
    <row r="40" spans="1:20" ht="16" customHeight="1" x14ac:dyDescent="0.25">
      <c r="M40" s="123" t="s">
        <v>146</v>
      </c>
      <c r="N40" s="172"/>
      <c r="O40" s="102"/>
      <c r="P40" s="102"/>
      <c r="Q40" s="172"/>
      <c r="R40" s="172"/>
      <c r="S40" s="102"/>
      <c r="T40" s="102"/>
    </row>
    <row r="41" spans="1:20" ht="16" customHeight="1" x14ac:dyDescent="0.25">
      <c r="M41" s="415" t="s">
        <v>284</v>
      </c>
      <c r="N41" s="415"/>
      <c r="O41" s="415"/>
      <c r="P41" s="415"/>
      <c r="Q41" s="415"/>
      <c r="R41" s="415"/>
      <c r="S41" s="415"/>
      <c r="T41" s="415"/>
    </row>
    <row r="42" spans="1:20" ht="16" customHeight="1" x14ac:dyDescent="0.25">
      <c r="M42" s="415"/>
      <c r="N42" s="415"/>
      <c r="O42" s="415"/>
      <c r="P42" s="415"/>
      <c r="Q42" s="415"/>
      <c r="R42" s="415"/>
      <c r="S42" s="415"/>
      <c r="T42" s="415"/>
    </row>
    <row r="43" spans="1:20" ht="16" customHeight="1" x14ac:dyDescent="0.25">
      <c r="M43" s="415"/>
      <c r="N43" s="415"/>
      <c r="O43" s="415"/>
      <c r="P43" s="415"/>
      <c r="Q43" s="415"/>
      <c r="R43" s="415"/>
      <c r="S43" s="415"/>
      <c r="T43" s="415"/>
    </row>
    <row r="44" spans="1:20" ht="16" customHeight="1" x14ac:dyDescent="0.25">
      <c r="M44" s="415"/>
      <c r="N44" s="415"/>
      <c r="O44" s="415"/>
      <c r="P44" s="415"/>
      <c r="Q44" s="415"/>
      <c r="R44" s="415"/>
      <c r="S44" s="415"/>
      <c r="T44" s="415"/>
    </row>
    <row r="45" spans="1:20" ht="16" customHeight="1" x14ac:dyDescent="0.25">
      <c r="M45" s="415"/>
      <c r="N45" s="415"/>
      <c r="O45" s="415"/>
      <c r="P45" s="415"/>
      <c r="Q45" s="415"/>
      <c r="R45" s="415"/>
      <c r="S45" s="415"/>
      <c r="T45" s="415"/>
    </row>
    <row r="46" spans="1:20" ht="16" customHeight="1" x14ac:dyDescent="0.25">
      <c r="M46" s="415"/>
      <c r="N46" s="415"/>
      <c r="O46" s="415"/>
      <c r="P46" s="415"/>
      <c r="Q46" s="415"/>
      <c r="R46" s="415"/>
      <c r="S46" s="415"/>
      <c r="T46" s="415"/>
    </row>
    <row r="47" spans="1:20" ht="16" customHeight="1" x14ac:dyDescent="0.25">
      <c r="M47" s="415"/>
      <c r="N47" s="415"/>
      <c r="O47" s="415"/>
      <c r="P47" s="415"/>
      <c r="Q47" s="415"/>
      <c r="R47" s="415"/>
      <c r="S47" s="415"/>
      <c r="T47" s="415"/>
    </row>
    <row r="48" spans="1:20" ht="16" customHeight="1" x14ac:dyDescent="0.25">
      <c r="M48" s="415"/>
      <c r="N48" s="415"/>
      <c r="O48" s="415"/>
      <c r="P48" s="415"/>
      <c r="Q48" s="415"/>
      <c r="R48" s="415"/>
      <c r="S48" s="415"/>
      <c r="T48" s="415"/>
    </row>
    <row r="49" spans="13:20" ht="16" customHeight="1" x14ac:dyDescent="0.25">
      <c r="M49" s="415"/>
      <c r="N49" s="415"/>
      <c r="O49" s="415"/>
      <c r="P49" s="415"/>
      <c r="Q49" s="415"/>
      <c r="R49" s="415"/>
      <c r="S49" s="415"/>
      <c r="T49" s="415"/>
    </row>
    <row r="50" spans="13:20" ht="16" customHeight="1" x14ac:dyDescent="0.25">
      <c r="M50" s="415"/>
      <c r="N50" s="415"/>
      <c r="O50" s="415"/>
      <c r="P50" s="415"/>
      <c r="Q50" s="415"/>
      <c r="R50" s="415"/>
      <c r="S50" s="415"/>
      <c r="T50" s="415"/>
    </row>
    <row r="51" spans="13:20" ht="16" customHeight="1" x14ac:dyDescent="0.25">
      <c r="M51" s="415"/>
      <c r="N51" s="415"/>
      <c r="O51" s="415"/>
      <c r="P51" s="415"/>
      <c r="Q51" s="415"/>
      <c r="R51" s="415"/>
      <c r="S51" s="415"/>
      <c r="T51" s="415"/>
    </row>
    <row r="52" spans="13:20" ht="16" customHeight="1" x14ac:dyDescent="0.25">
      <c r="M52" s="415"/>
      <c r="N52" s="415"/>
      <c r="O52" s="415"/>
      <c r="P52" s="415"/>
      <c r="Q52" s="415"/>
      <c r="R52" s="415"/>
      <c r="S52" s="415"/>
      <c r="T52" s="415"/>
    </row>
    <row r="53" spans="13:20" ht="16" customHeight="1" x14ac:dyDescent="0.25">
      <c r="M53" s="415"/>
      <c r="N53" s="415"/>
      <c r="O53" s="415"/>
      <c r="P53" s="415"/>
      <c r="Q53" s="415"/>
      <c r="R53" s="415"/>
      <c r="S53" s="415"/>
      <c r="T53" s="415"/>
    </row>
    <row r="54" spans="13:20" ht="16" customHeight="1" x14ac:dyDescent="0.25">
      <c r="M54" s="415"/>
      <c r="N54" s="415"/>
      <c r="O54" s="415"/>
      <c r="P54" s="415"/>
      <c r="Q54" s="415"/>
      <c r="R54" s="415"/>
      <c r="S54" s="415"/>
      <c r="T54" s="415"/>
    </row>
    <row r="55" spans="13:20" ht="16" customHeight="1" x14ac:dyDescent="0.25">
      <c r="M55" s="415"/>
      <c r="N55" s="415"/>
      <c r="O55" s="415"/>
      <c r="P55" s="415"/>
      <c r="Q55" s="415"/>
      <c r="R55" s="415"/>
      <c r="S55" s="415"/>
      <c r="T55" s="415"/>
    </row>
    <row r="56" spans="13:20" ht="16" customHeight="1" x14ac:dyDescent="0.25">
      <c r="M56" s="415"/>
      <c r="N56" s="415"/>
      <c r="O56" s="415"/>
      <c r="P56" s="415"/>
      <c r="Q56" s="415"/>
      <c r="R56" s="415"/>
      <c r="S56" s="415"/>
      <c r="T56" s="415"/>
    </row>
    <row r="57" spans="13:20" ht="16" customHeight="1" x14ac:dyDescent="0.25">
      <c r="M57" s="415"/>
      <c r="N57" s="415"/>
      <c r="O57" s="415"/>
      <c r="P57" s="415"/>
      <c r="Q57" s="415"/>
      <c r="R57" s="415"/>
      <c r="S57" s="415"/>
      <c r="T57" s="415"/>
    </row>
    <row r="58" spans="13:20" ht="16" customHeight="1" x14ac:dyDescent="0.25">
      <c r="M58" s="172"/>
      <c r="N58" s="178"/>
      <c r="O58" s="102"/>
      <c r="P58" s="102"/>
      <c r="Q58" s="102"/>
      <c r="R58" s="102"/>
      <c r="S58" s="102"/>
      <c r="T58" s="102"/>
    </row>
    <row r="59" spans="13:20" ht="16" customHeight="1" x14ac:dyDescent="0.25">
      <c r="M59" s="172"/>
      <c r="N59" s="172"/>
      <c r="O59" s="102"/>
      <c r="P59" s="102"/>
      <c r="Q59" s="102"/>
      <c r="R59" s="102"/>
      <c r="S59" s="102"/>
      <c r="T59" s="102"/>
    </row>
    <row r="60" spans="13:20" ht="16" customHeight="1" x14ac:dyDescent="0.25">
      <c r="M60" s="172"/>
      <c r="N60" s="172"/>
      <c r="O60" s="102"/>
      <c r="P60" s="102"/>
      <c r="Q60" s="102"/>
      <c r="R60" s="102"/>
      <c r="S60" s="102"/>
      <c r="T60" s="102"/>
    </row>
    <row r="61" spans="13:20" ht="16" customHeight="1" x14ac:dyDescent="0.25">
      <c r="M61" s="172"/>
      <c r="N61" s="172"/>
      <c r="O61" s="102"/>
      <c r="P61" s="102"/>
      <c r="Q61" s="102"/>
      <c r="R61" s="102"/>
      <c r="S61" s="102"/>
      <c r="T61" s="102"/>
    </row>
    <row r="62" spans="13:20" ht="16" customHeight="1" x14ac:dyDescent="0.25">
      <c r="M62" s="182"/>
      <c r="N62" s="102"/>
      <c r="O62" s="102"/>
      <c r="P62" s="102"/>
      <c r="Q62" s="102"/>
      <c r="R62" s="102"/>
      <c r="S62" s="102"/>
      <c r="T62" s="102"/>
    </row>
    <row r="63" spans="13:20" ht="16" customHeight="1" x14ac:dyDescent="0.25">
      <c r="M63" s="102"/>
      <c r="N63" s="178"/>
      <c r="O63" s="178"/>
      <c r="P63" s="178"/>
      <c r="Q63" s="102"/>
      <c r="R63" s="102"/>
      <c r="S63" s="102"/>
      <c r="T63" s="102"/>
    </row>
    <row r="64" spans="13:20" ht="16" customHeight="1" x14ac:dyDescent="0.25">
      <c r="M64" s="102"/>
      <c r="N64" s="178"/>
    </row>
    <row r="65" spans="13:17" ht="16" customHeight="1" x14ac:dyDescent="0.25">
      <c r="M65" s="102"/>
      <c r="N65" s="178"/>
    </row>
    <row r="66" spans="13:17" ht="16" customHeight="1" x14ac:dyDescent="0.25">
      <c r="M66" s="172"/>
      <c r="N66" s="178"/>
    </row>
    <row r="67" spans="13:17" ht="16" customHeight="1" x14ac:dyDescent="0.25">
      <c r="M67" s="172"/>
      <c r="N67" s="172"/>
    </row>
    <row r="68" spans="13:17" ht="16" customHeight="1" x14ac:dyDescent="0.25">
      <c r="M68" s="172"/>
      <c r="N68" s="172"/>
      <c r="O68" s="114"/>
      <c r="P68" s="114"/>
      <c r="Q68" s="114"/>
    </row>
    <row r="69" spans="13:17" ht="16" customHeight="1" x14ac:dyDescent="0.25">
      <c r="N69" s="114"/>
      <c r="O69" s="114"/>
      <c r="P69" s="114"/>
      <c r="Q69" s="114"/>
    </row>
    <row r="70" spans="13:17" ht="16" customHeight="1" x14ac:dyDescent="0.25">
      <c r="M70" s="181"/>
    </row>
    <row r="71" spans="13:17" ht="16" customHeight="1" x14ac:dyDescent="0.25">
      <c r="M71" s="181"/>
    </row>
    <row r="72" spans="13:17" ht="16" customHeight="1" x14ac:dyDescent="0.25">
      <c r="M72" s="181"/>
    </row>
    <row r="73" spans="13:17" ht="16" customHeight="1" x14ac:dyDescent="0.25">
      <c r="M73" s="102"/>
      <c r="N73" s="178"/>
    </row>
    <row r="74" spans="13:17" ht="16" customHeight="1" x14ac:dyDescent="0.25">
      <c r="M74" s="102"/>
      <c r="N74" s="102"/>
    </row>
    <row r="75" spans="13:17" ht="16" customHeight="1" x14ac:dyDescent="0.25">
      <c r="M75" s="102"/>
      <c r="N75" s="102"/>
      <c r="P75" s="102"/>
    </row>
    <row r="76" spans="13:17" ht="16" customHeight="1" x14ac:dyDescent="0.25">
      <c r="M76" s="102"/>
      <c r="N76" s="102"/>
      <c r="Q76" s="180"/>
    </row>
    <row r="77" spans="13:17" ht="16" customHeight="1" x14ac:dyDescent="0.25">
      <c r="M77" s="102"/>
      <c r="N77" s="179"/>
      <c r="P77" s="102"/>
      <c r="Q77" s="179"/>
    </row>
    <row r="78" spans="13:17" ht="16" customHeight="1" x14ac:dyDescent="0.25">
      <c r="M78" s="102"/>
      <c r="N78" s="179"/>
      <c r="P78" s="102"/>
      <c r="Q78" s="179"/>
    </row>
    <row r="79" spans="13:17" ht="16" customHeight="1" x14ac:dyDescent="0.25">
      <c r="M79" s="102"/>
      <c r="N79" s="179"/>
      <c r="P79" s="102"/>
      <c r="Q79" s="179"/>
    </row>
    <row r="80" spans="13:17" ht="16" customHeight="1" x14ac:dyDescent="0.25">
      <c r="M80" s="172"/>
      <c r="N80" s="179"/>
      <c r="P80" s="172"/>
      <c r="Q80" s="179"/>
    </row>
    <row r="81" spans="13:16" ht="16" customHeight="1" x14ac:dyDescent="0.25"/>
    <row r="82" spans="13:16" ht="16" customHeight="1" x14ac:dyDescent="0.25">
      <c r="M82" s="102"/>
    </row>
    <row r="83" spans="13:16" ht="16" customHeight="1" x14ac:dyDescent="0.25">
      <c r="M83" s="102"/>
    </row>
    <row r="84" spans="13:16" ht="16" customHeight="1" x14ac:dyDescent="0.25">
      <c r="M84" s="102"/>
    </row>
    <row r="85" spans="13:16" ht="16" customHeight="1" x14ac:dyDescent="0.25">
      <c r="M85" s="102"/>
    </row>
    <row r="86" spans="13:16" ht="16" customHeight="1" x14ac:dyDescent="0.25"/>
    <row r="87" spans="13:16" ht="16" customHeight="1" x14ac:dyDescent="0.25">
      <c r="M87" s="102"/>
    </row>
    <row r="88" spans="13:16" ht="16" customHeight="1" x14ac:dyDescent="0.25"/>
    <row r="89" spans="13:16" ht="16" customHeight="1" x14ac:dyDescent="0.25">
      <c r="M89" s="172"/>
      <c r="N89" s="172"/>
      <c r="O89" s="172"/>
      <c r="P89" s="172"/>
    </row>
    <row r="90" spans="13:16" ht="16" customHeight="1" x14ac:dyDescent="0.25">
      <c r="M90" s="172"/>
      <c r="N90" s="172"/>
      <c r="O90" s="172"/>
      <c r="P90" s="172"/>
    </row>
    <row r="91" spans="13:16" ht="16" customHeight="1" x14ac:dyDescent="0.25">
      <c r="M91" s="172"/>
      <c r="N91" s="172"/>
      <c r="O91" s="102"/>
      <c r="P91" s="102"/>
    </row>
    <row r="92" spans="13:16" ht="16" customHeight="1" x14ac:dyDescent="0.25">
      <c r="M92" s="179"/>
      <c r="N92" s="179"/>
      <c r="O92" s="178"/>
      <c r="P92" s="178"/>
    </row>
    <row r="93" spans="13:16" ht="16" customHeight="1" x14ac:dyDescent="0.25"/>
    <row r="94" spans="13:16" ht="16" customHeight="1" x14ac:dyDescent="0.25"/>
    <row r="95" spans="13:16" ht="16" customHeight="1" x14ac:dyDescent="0.25"/>
    <row r="96" spans="13:16" ht="16" customHeight="1" x14ac:dyDescent="0.25">
      <c r="M96" s="102"/>
      <c r="N96" s="178"/>
    </row>
    <row r="97" spans="13:17" ht="16" customHeight="1" x14ac:dyDescent="0.25"/>
    <row r="98" spans="13:17" ht="16" customHeight="1" x14ac:dyDescent="0.25"/>
    <row r="99" spans="13:17" ht="16" customHeight="1" x14ac:dyDescent="0.25">
      <c r="N99" s="114"/>
      <c r="O99" s="114"/>
      <c r="P99" s="114"/>
      <c r="Q99" s="114"/>
    </row>
    <row r="100" spans="13:17" ht="16" customHeight="1" x14ac:dyDescent="0.25">
      <c r="N100" s="114"/>
      <c r="O100" s="114"/>
      <c r="P100" s="114"/>
      <c r="Q100" s="114"/>
    </row>
    <row r="101" spans="13:17" ht="16" customHeight="1" x14ac:dyDescent="0.25"/>
    <row r="102" spans="13:17" ht="16" customHeight="1" x14ac:dyDescent="0.25"/>
    <row r="103" spans="13:17" ht="16" customHeight="1" x14ac:dyDescent="0.25"/>
    <row r="104" spans="13:17" ht="16" customHeight="1" x14ac:dyDescent="0.25">
      <c r="M104" s="102"/>
      <c r="N104" s="178"/>
      <c r="O104" s="102"/>
      <c r="P104" s="102"/>
      <c r="Q104" s="102"/>
    </row>
    <row r="105" spans="13:17" ht="16" customHeight="1" x14ac:dyDescent="0.25">
      <c r="M105" s="102"/>
      <c r="N105" s="102"/>
      <c r="O105" s="102"/>
      <c r="P105" s="102"/>
      <c r="Q105" s="102"/>
    </row>
    <row r="106" spans="13:17" ht="16" customHeight="1" x14ac:dyDescent="0.25">
      <c r="M106" s="102"/>
      <c r="N106" s="102"/>
      <c r="O106" s="102"/>
      <c r="P106" s="102"/>
      <c r="Q106" s="102"/>
    </row>
    <row r="107" spans="13:17" ht="16" customHeight="1" x14ac:dyDescent="0.25">
      <c r="M107" s="102"/>
      <c r="N107" s="102"/>
      <c r="O107" s="102"/>
      <c r="P107" s="102"/>
      <c r="Q107" s="102"/>
    </row>
    <row r="108" spans="13:17" ht="16" customHeight="1" x14ac:dyDescent="0.25">
      <c r="M108" s="102"/>
      <c r="N108" s="178"/>
      <c r="O108" s="102"/>
      <c r="P108" s="102"/>
      <c r="Q108" s="102"/>
    </row>
    <row r="109" spans="13:17" ht="16" customHeight="1" x14ac:dyDescent="0.25">
      <c r="M109" s="102"/>
      <c r="N109" s="178"/>
      <c r="O109" s="102"/>
      <c r="P109" s="102"/>
      <c r="Q109" s="102"/>
    </row>
    <row r="110" spans="13:17" ht="16" customHeight="1" x14ac:dyDescent="0.25">
      <c r="M110" s="102"/>
      <c r="N110" s="178"/>
      <c r="O110" s="102"/>
      <c r="P110" s="102"/>
      <c r="Q110" s="102"/>
    </row>
    <row r="111" spans="13:17" ht="16" customHeight="1" x14ac:dyDescent="0.25">
      <c r="M111" s="172"/>
      <c r="N111" s="178"/>
      <c r="O111" s="172"/>
      <c r="P111" s="172"/>
      <c r="Q111" s="172"/>
    </row>
    <row r="112" spans="13:17" ht="16" customHeight="1" x14ac:dyDescent="0.25">
      <c r="M112" s="172"/>
      <c r="N112" s="172"/>
      <c r="O112" s="172"/>
      <c r="P112" s="172"/>
      <c r="Q112" s="172"/>
    </row>
    <row r="113" spans="13:17" ht="16" customHeight="1" x14ac:dyDescent="0.25">
      <c r="M113" s="172"/>
      <c r="N113" s="172"/>
      <c r="O113" s="172"/>
      <c r="P113" s="172"/>
      <c r="Q113" s="172"/>
    </row>
    <row r="114" spans="13:17" ht="16" customHeight="1" x14ac:dyDescent="0.25">
      <c r="M114" s="172"/>
      <c r="N114" s="172"/>
      <c r="O114" s="172"/>
      <c r="P114" s="172"/>
      <c r="Q114" s="172"/>
    </row>
    <row r="115" spans="13:17" ht="16" customHeight="1" x14ac:dyDescent="0.25">
      <c r="M115" s="172"/>
      <c r="N115" s="172"/>
      <c r="O115" s="102"/>
      <c r="P115" s="102"/>
      <c r="Q115" s="172"/>
    </row>
    <row r="116" spans="13:17" ht="16" customHeight="1" x14ac:dyDescent="0.25">
      <c r="M116" s="179"/>
      <c r="N116" s="179"/>
      <c r="O116" s="178"/>
      <c r="P116" s="178"/>
      <c r="Q116" s="172"/>
    </row>
    <row r="117" spans="13:17" ht="16" customHeight="1" x14ac:dyDescent="0.25">
      <c r="O117" s="102"/>
      <c r="P117" s="102"/>
      <c r="Q117" s="102"/>
    </row>
    <row r="118" spans="13:17" ht="16" customHeight="1" x14ac:dyDescent="0.25">
      <c r="M118" s="102"/>
      <c r="N118" s="102"/>
      <c r="O118" s="102"/>
      <c r="P118" s="102"/>
      <c r="Q118" s="102"/>
    </row>
    <row r="119" spans="13:17" ht="16" customHeight="1" x14ac:dyDescent="0.25">
      <c r="M119" s="102"/>
      <c r="N119" s="102"/>
      <c r="O119" s="102"/>
      <c r="P119" s="102"/>
      <c r="Q119" s="102"/>
    </row>
    <row r="120" spans="13:17" ht="16" customHeight="1" x14ac:dyDescent="0.25">
      <c r="M120" s="102"/>
      <c r="N120" s="102"/>
      <c r="O120" s="102"/>
      <c r="P120" s="102"/>
      <c r="Q120" s="102"/>
    </row>
    <row r="121" spans="13:17" ht="16" customHeight="1" x14ac:dyDescent="0.25">
      <c r="M121" s="102"/>
      <c r="N121" s="102"/>
      <c r="O121" s="178"/>
      <c r="P121" s="102"/>
      <c r="Q121" s="102"/>
    </row>
    <row r="122" spans="13:17" ht="16" customHeight="1" x14ac:dyDescent="0.25">
      <c r="M122" s="102"/>
      <c r="N122" s="178"/>
      <c r="O122" s="178"/>
    </row>
    <row r="123" spans="13:17" ht="16" customHeight="1" x14ac:dyDescent="0.25">
      <c r="M123" s="102"/>
      <c r="N123" s="178"/>
      <c r="O123" s="102"/>
    </row>
    <row r="124" spans="13:17" ht="16" customHeight="1" x14ac:dyDescent="0.25">
      <c r="M124" s="102"/>
      <c r="N124" s="178"/>
      <c r="O124" s="102"/>
    </row>
    <row r="125" spans="13:17" ht="16" customHeight="1" x14ac:dyDescent="0.25">
      <c r="M125" s="172"/>
      <c r="N125" s="178"/>
      <c r="O125" s="102"/>
      <c r="P125" s="102"/>
      <c r="Q125" s="102"/>
    </row>
    <row r="126" spans="13:17" ht="16" customHeight="1" x14ac:dyDescent="0.25">
      <c r="M126" s="172"/>
      <c r="N126" s="172"/>
      <c r="O126" s="102"/>
      <c r="P126" s="102"/>
      <c r="Q126" s="102"/>
    </row>
    <row r="127" spans="13:17" ht="16" customHeight="1" x14ac:dyDescent="0.25">
      <c r="M127" s="172"/>
      <c r="N127" s="172"/>
      <c r="O127" s="102"/>
      <c r="P127" s="102"/>
      <c r="Q127" s="102"/>
    </row>
    <row r="128" spans="13:17" ht="16" customHeight="1" x14ac:dyDescent="0.25">
      <c r="M128" s="172"/>
      <c r="N128" s="172"/>
      <c r="O128" s="102"/>
      <c r="P128" s="102"/>
      <c r="Q128" s="102"/>
    </row>
    <row r="129" spans="13:17" x14ac:dyDescent="0.25">
      <c r="M129" s="172"/>
      <c r="N129" s="172"/>
      <c r="O129" s="102"/>
      <c r="P129" s="102"/>
      <c r="Q129" s="102"/>
    </row>
    <row r="130" spans="13:17" x14ac:dyDescent="0.25">
      <c r="M130" s="179"/>
      <c r="N130" s="179"/>
      <c r="O130" s="178"/>
      <c r="P130" s="178"/>
      <c r="Q130" s="102"/>
    </row>
    <row r="131" spans="13:17" x14ac:dyDescent="0.25">
      <c r="M131" s="102"/>
      <c r="N131" s="178"/>
    </row>
    <row r="132" spans="13:17" x14ac:dyDescent="0.25">
      <c r="M132" s="102"/>
      <c r="N132" s="178"/>
    </row>
    <row r="135" spans="13:17" x14ac:dyDescent="0.25">
      <c r="N135" s="114"/>
      <c r="O135" s="114"/>
      <c r="P135" s="114"/>
      <c r="Q135" s="114"/>
    </row>
    <row r="136" spans="13:17" x14ac:dyDescent="0.25">
      <c r="N136" s="114"/>
      <c r="O136" s="114"/>
      <c r="P136" s="114"/>
      <c r="Q136" s="114"/>
    </row>
  </sheetData>
  <mergeCells count="6">
    <mergeCell ref="M41:T57"/>
    <mergeCell ref="B5:G5"/>
    <mergeCell ref="B9:G9"/>
    <mergeCell ref="B13:H13"/>
    <mergeCell ref="B24:I25"/>
    <mergeCell ref="B20:I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19F3-8CB0-AD4B-B79F-1FC76DE92816}">
  <dimension ref="A1:X114"/>
  <sheetViews>
    <sheetView zoomScaleNormal="100" workbookViewId="0"/>
  </sheetViews>
  <sheetFormatPr baseColWidth="10" defaultColWidth="11" defaultRowHeight="16" outlineLevelCol="1" x14ac:dyDescent="0.2"/>
  <cols>
    <col min="1" max="1" width="4.5" customWidth="1"/>
    <col min="2" max="10" width="10.83203125" customWidth="1"/>
    <col min="12" max="12" width="11.1640625" bestFit="1" customWidth="1"/>
    <col min="13" max="19" width="10.83203125" hidden="1" customWidth="1" outlineLevel="1"/>
    <col min="20" max="23" width="0" hidden="1" customWidth="1" outlineLevel="1"/>
    <col min="24" max="24" width="11" collapsed="1"/>
  </cols>
  <sheetData>
    <row r="1" spans="1:23" ht="19" x14ac:dyDescent="0.25">
      <c r="A1" s="219" t="s">
        <v>527</v>
      </c>
      <c r="B1" s="121"/>
      <c r="C1" s="120"/>
      <c r="D1" s="120"/>
      <c r="E1" s="120"/>
      <c r="F1" s="119"/>
      <c r="G1" s="119"/>
      <c r="H1" s="119"/>
      <c r="I1" s="119"/>
      <c r="J1" s="118"/>
      <c r="L1" s="117" t="s">
        <v>154</v>
      </c>
    </row>
    <row r="2" spans="1:23" x14ac:dyDescent="0.2">
      <c r="A2" s="109"/>
      <c r="B2" s="107"/>
      <c r="C2" s="107"/>
      <c r="D2" s="107"/>
      <c r="E2" s="107"/>
      <c r="F2" s="107"/>
      <c r="G2" s="107"/>
      <c r="H2" s="107"/>
      <c r="I2" s="107"/>
      <c r="J2" s="106"/>
    </row>
    <row r="3" spans="1:23" x14ac:dyDescent="0.2">
      <c r="A3" s="109"/>
      <c r="B3" s="107" t="s">
        <v>528</v>
      </c>
      <c r="C3" s="107"/>
      <c r="D3" s="107"/>
      <c r="E3" s="107"/>
      <c r="F3" s="107"/>
      <c r="G3" s="107"/>
      <c r="H3" s="107"/>
      <c r="I3" s="107"/>
      <c r="J3" s="106"/>
      <c r="M3" s="96" t="s">
        <v>206</v>
      </c>
      <c r="N3" s="116"/>
    </row>
    <row r="4" spans="1:23" x14ac:dyDescent="0.2">
      <c r="A4" s="109"/>
      <c r="B4" s="107"/>
      <c r="C4" s="107"/>
      <c r="D4" s="107"/>
      <c r="E4" s="107"/>
      <c r="F4" s="107"/>
      <c r="G4" s="107"/>
      <c r="H4" s="107"/>
      <c r="I4" s="107"/>
      <c r="J4" s="106"/>
      <c r="N4" s="150"/>
    </row>
    <row r="5" spans="1:23" x14ac:dyDescent="0.2">
      <c r="A5" s="109"/>
      <c r="B5" s="107"/>
      <c r="C5" s="419" t="s">
        <v>45</v>
      </c>
      <c r="D5" s="416" t="s">
        <v>233</v>
      </c>
      <c r="E5" s="417"/>
      <c r="F5" s="417"/>
      <c r="G5" s="418"/>
      <c r="H5" s="107"/>
      <c r="I5" s="107"/>
      <c r="J5" s="106"/>
      <c r="M5" s="102" t="s">
        <v>529</v>
      </c>
      <c r="N5" s="172"/>
      <c r="O5" s="102"/>
      <c r="P5" s="102"/>
      <c r="Q5" s="102"/>
      <c r="R5" s="102"/>
      <c r="S5" s="102"/>
    </row>
    <row r="6" spans="1:23" x14ac:dyDescent="0.2">
      <c r="A6" s="109"/>
      <c r="B6" s="107"/>
      <c r="C6" s="420"/>
      <c r="D6" s="147" t="s">
        <v>232</v>
      </c>
      <c r="E6" s="146" t="s">
        <v>231</v>
      </c>
      <c r="F6" s="146" t="s">
        <v>230</v>
      </c>
      <c r="G6" s="145" t="s">
        <v>229</v>
      </c>
      <c r="H6" s="107"/>
      <c r="I6" s="107"/>
      <c r="J6" s="106"/>
      <c r="M6" s="172"/>
      <c r="N6" s="172"/>
      <c r="O6" s="172"/>
      <c r="P6" s="172"/>
      <c r="Q6" s="172"/>
      <c r="R6" s="172"/>
      <c r="S6" s="102"/>
    </row>
    <row r="7" spans="1:23" x14ac:dyDescent="0.2">
      <c r="A7" s="109"/>
      <c r="B7" s="107"/>
      <c r="C7" s="139">
        <v>2012</v>
      </c>
      <c r="D7" s="138">
        <v>400</v>
      </c>
      <c r="E7" s="137">
        <v>200</v>
      </c>
      <c r="F7" s="137">
        <v>100</v>
      </c>
      <c r="G7" s="136">
        <v>50</v>
      </c>
      <c r="H7" s="298"/>
      <c r="I7" s="298"/>
      <c r="J7" s="299"/>
      <c r="M7" s="300"/>
      <c r="N7" s="301" t="s">
        <v>530</v>
      </c>
      <c r="O7" s="302" t="s">
        <v>531</v>
      </c>
      <c r="P7" s="172"/>
      <c r="Q7" s="172"/>
      <c r="R7" s="172"/>
      <c r="S7" s="102"/>
    </row>
    <row r="8" spans="1:23" x14ac:dyDescent="0.2">
      <c r="A8" s="109"/>
      <c r="B8" s="107"/>
      <c r="C8" s="139">
        <v>2013</v>
      </c>
      <c r="D8" s="138">
        <v>450</v>
      </c>
      <c r="E8" s="137">
        <v>300</v>
      </c>
      <c r="F8" s="137">
        <v>200</v>
      </c>
      <c r="G8" s="136"/>
      <c r="H8" s="107"/>
      <c r="I8" s="107"/>
      <c r="J8" s="106"/>
      <c r="M8" s="303" t="s">
        <v>261</v>
      </c>
      <c r="N8" s="179">
        <f>SUM(E7:E9)/SUM(D7:D9)</f>
        <v>0.47058823529411764</v>
      </c>
      <c r="O8" s="304">
        <f>(1+N8)*(1+N9)*(1+N10)</f>
        <v>1.9257703081232496</v>
      </c>
      <c r="P8" s="305"/>
      <c r="Q8" s="172"/>
      <c r="R8" s="172"/>
      <c r="S8" s="102"/>
    </row>
    <row r="9" spans="1:23" x14ac:dyDescent="0.2">
      <c r="A9" s="109"/>
      <c r="B9" s="107"/>
      <c r="C9" s="139">
        <v>2014</v>
      </c>
      <c r="D9" s="138">
        <v>425</v>
      </c>
      <c r="E9" s="137">
        <v>100</v>
      </c>
      <c r="F9" s="137"/>
      <c r="G9" s="136"/>
      <c r="H9" s="107"/>
      <c r="I9" s="107"/>
      <c r="J9" s="106"/>
      <c r="M9" s="303" t="s">
        <v>260</v>
      </c>
      <c r="N9" s="304">
        <f>SUM(F7:F8)/SUM(D7:E8)</f>
        <v>0.22222222222222221</v>
      </c>
      <c r="O9" s="179">
        <f>(1+N9)*(1+N10)</f>
        <v>1.3095238095238095</v>
      </c>
      <c r="P9" s="179"/>
      <c r="Q9" s="172"/>
      <c r="R9" s="172"/>
      <c r="S9" s="102"/>
    </row>
    <row r="10" spans="1:23" x14ac:dyDescent="0.2">
      <c r="A10" s="109"/>
      <c r="B10" s="107"/>
      <c r="C10" s="135">
        <v>2015</v>
      </c>
      <c r="D10" s="134">
        <v>500</v>
      </c>
      <c r="E10" s="133"/>
      <c r="F10" s="133"/>
      <c r="G10" s="132"/>
      <c r="H10" s="107"/>
      <c r="I10" s="107"/>
      <c r="J10" s="106"/>
      <c r="M10" s="306" t="s">
        <v>259</v>
      </c>
      <c r="N10" s="179">
        <f>G7/SUM(D7:F7)</f>
        <v>7.1428571428571425E-2</v>
      </c>
      <c r="O10" s="179">
        <f>1+N10</f>
        <v>1.0714285714285714</v>
      </c>
      <c r="P10" s="172"/>
      <c r="Q10" s="172"/>
      <c r="R10" s="172"/>
      <c r="S10" s="102"/>
    </row>
    <row r="11" spans="1:23" x14ac:dyDescent="0.2">
      <c r="A11" s="109"/>
      <c r="B11" s="107"/>
      <c r="C11" s="107"/>
      <c r="D11" s="107"/>
      <c r="E11" s="107"/>
      <c r="F11" s="107"/>
      <c r="G11" s="107"/>
      <c r="H11" s="107"/>
      <c r="I11" s="107"/>
      <c r="J11" s="106"/>
      <c r="M11" s="102"/>
      <c r="N11" s="179"/>
      <c r="O11" s="102"/>
      <c r="P11" s="102"/>
      <c r="Q11" s="102"/>
      <c r="R11" s="102"/>
      <c r="S11" s="102"/>
    </row>
    <row r="12" spans="1:23" x14ac:dyDescent="0.2">
      <c r="A12" s="109"/>
      <c r="B12" s="129" t="s">
        <v>0</v>
      </c>
      <c r="C12" s="107"/>
      <c r="D12" s="107"/>
      <c r="E12" s="107"/>
      <c r="F12" s="107"/>
      <c r="G12" s="107"/>
      <c r="H12" s="107"/>
      <c r="I12" s="107"/>
      <c r="J12" s="106"/>
      <c r="M12" s="307" t="s">
        <v>40</v>
      </c>
      <c r="N12" s="308">
        <v>12</v>
      </c>
      <c r="O12" s="308">
        <v>24</v>
      </c>
      <c r="P12" s="308">
        <v>36</v>
      </c>
      <c r="Q12" s="308">
        <v>48</v>
      </c>
      <c r="R12" s="102"/>
      <c r="S12" s="102"/>
    </row>
    <row r="13" spans="1:23" ht="15.75" customHeight="1" x14ac:dyDescent="0.2">
      <c r="A13" s="109"/>
      <c r="B13" s="437" t="s">
        <v>532</v>
      </c>
      <c r="C13" s="437"/>
      <c r="D13" s="437"/>
      <c r="E13" s="437"/>
      <c r="F13" s="437"/>
      <c r="G13" s="437"/>
      <c r="H13" s="437"/>
      <c r="I13" s="437"/>
      <c r="J13" s="106"/>
      <c r="M13" s="309" t="s">
        <v>41</v>
      </c>
      <c r="N13" s="131">
        <f>1-SUM(O13:Q13)</f>
        <v>0.51927272727272733</v>
      </c>
      <c r="O13" s="131">
        <f>N8/O8</f>
        <v>0.24436363636363634</v>
      </c>
      <c r="P13" s="128">
        <f>N9/O9</f>
        <v>0.16969696969696968</v>
      </c>
      <c r="Q13" s="128">
        <f>N10/O10</f>
        <v>6.6666666666666666E-2</v>
      </c>
      <c r="R13" s="102"/>
      <c r="S13" s="102"/>
    </row>
    <row r="14" spans="1:23" x14ac:dyDescent="0.2">
      <c r="A14" s="109"/>
      <c r="B14" s="437"/>
      <c r="C14" s="437"/>
      <c r="D14" s="437"/>
      <c r="E14" s="437"/>
      <c r="F14" s="437"/>
      <c r="G14" s="437"/>
      <c r="H14" s="437"/>
      <c r="I14" s="437"/>
      <c r="J14" s="106"/>
      <c r="M14" s="102"/>
      <c r="N14" s="310"/>
      <c r="O14" s="102"/>
      <c r="P14" s="102"/>
      <c r="Q14" s="102"/>
      <c r="R14" s="102"/>
      <c r="S14" s="102"/>
    </row>
    <row r="15" spans="1:23" x14ac:dyDescent="0.2">
      <c r="A15" s="109"/>
      <c r="B15" s="437"/>
      <c r="C15" s="437"/>
      <c r="D15" s="437"/>
      <c r="E15" s="437"/>
      <c r="F15" s="437"/>
      <c r="G15" s="437"/>
      <c r="H15" s="437"/>
      <c r="I15" s="437"/>
      <c r="J15" s="106"/>
      <c r="M15" s="311" t="s">
        <v>533</v>
      </c>
      <c r="N15" s="178"/>
      <c r="O15" s="102"/>
      <c r="P15" s="102"/>
      <c r="Q15" s="102"/>
      <c r="R15" s="102"/>
      <c r="S15" s="311" t="s">
        <v>534</v>
      </c>
      <c r="T15" s="102"/>
      <c r="U15" s="102"/>
      <c r="V15" s="102"/>
      <c r="W15" s="102"/>
    </row>
    <row r="16" spans="1:23" x14ac:dyDescent="0.2">
      <c r="A16" s="109"/>
      <c r="B16" s="111"/>
      <c r="C16" s="107"/>
      <c r="D16" s="107"/>
      <c r="E16" s="107"/>
      <c r="F16" s="107"/>
      <c r="G16" s="107"/>
      <c r="H16" s="107"/>
      <c r="I16" s="107"/>
      <c r="J16" s="106"/>
      <c r="M16" s="312" t="s">
        <v>49</v>
      </c>
      <c r="N16" s="102"/>
      <c r="O16" s="102"/>
      <c r="P16" s="102"/>
      <c r="Q16" s="102"/>
      <c r="R16" s="102"/>
      <c r="S16" s="102"/>
      <c r="T16" s="102"/>
      <c r="U16" s="102"/>
      <c r="V16" s="102"/>
      <c r="W16" s="102"/>
    </row>
    <row r="17" spans="1:23" x14ac:dyDescent="0.2">
      <c r="A17" s="109"/>
      <c r="B17" s="112" t="s">
        <v>1</v>
      </c>
      <c r="C17" s="107"/>
      <c r="D17" s="107"/>
      <c r="E17" s="107"/>
      <c r="F17" s="107"/>
      <c r="G17" s="107"/>
      <c r="H17" s="107"/>
      <c r="I17" s="107"/>
      <c r="J17" s="106"/>
      <c r="M17" s="312" t="s">
        <v>48</v>
      </c>
      <c r="N17" s="102"/>
      <c r="O17" s="102"/>
      <c r="P17" s="102"/>
      <c r="Q17" s="102"/>
      <c r="R17" s="102"/>
      <c r="S17" s="102" t="s">
        <v>535</v>
      </c>
      <c r="T17" s="102"/>
      <c r="U17" s="102"/>
      <c r="V17" s="102"/>
      <c r="W17" s="102"/>
    </row>
    <row r="18" spans="1:23" ht="16" customHeight="1" x14ac:dyDescent="0.2">
      <c r="A18" s="109"/>
      <c r="B18" s="437" t="s">
        <v>536</v>
      </c>
      <c r="C18" s="437"/>
      <c r="D18" s="437"/>
      <c r="E18" s="437"/>
      <c r="F18" s="437"/>
      <c r="G18" s="437"/>
      <c r="H18" s="437"/>
      <c r="I18" s="437"/>
      <c r="J18" s="106"/>
      <c r="M18" s="102"/>
      <c r="N18" s="102"/>
      <c r="O18" s="102"/>
      <c r="P18" s="102"/>
      <c r="Q18" s="102"/>
      <c r="R18" s="102"/>
      <c r="S18" s="102"/>
      <c r="T18" s="102"/>
      <c r="U18" s="178"/>
      <c r="V18" s="102"/>
      <c r="W18" s="102"/>
    </row>
    <row r="19" spans="1:23" x14ac:dyDescent="0.2">
      <c r="A19" s="109"/>
      <c r="B19" s="437"/>
      <c r="C19" s="437"/>
      <c r="D19" s="437"/>
      <c r="E19" s="437"/>
      <c r="F19" s="437"/>
      <c r="G19" s="437"/>
      <c r="H19" s="437"/>
      <c r="I19" s="437"/>
      <c r="J19" s="106"/>
      <c r="M19" s="144" t="s">
        <v>45</v>
      </c>
      <c r="N19" s="142" t="s">
        <v>46</v>
      </c>
      <c r="O19" s="102"/>
      <c r="P19" s="102"/>
      <c r="Q19" s="102"/>
      <c r="R19" s="102"/>
      <c r="S19" s="144" t="s">
        <v>45</v>
      </c>
      <c r="T19" s="142" t="s">
        <v>46</v>
      </c>
      <c r="U19" s="178"/>
      <c r="V19" s="102"/>
      <c r="W19" s="102"/>
    </row>
    <row r="20" spans="1:23" x14ac:dyDescent="0.2">
      <c r="A20" s="109"/>
      <c r="B20" s="437"/>
      <c r="C20" s="437"/>
      <c r="D20" s="437"/>
      <c r="E20" s="437"/>
      <c r="F20" s="437"/>
      <c r="G20" s="437"/>
      <c r="H20" s="437"/>
      <c r="I20" s="437"/>
      <c r="J20" s="106"/>
      <c r="M20" s="141">
        <v>2012</v>
      </c>
      <c r="N20" s="234">
        <f>SUMPRODUCT(N13:Q13,D7:G7)/SUMPRODUCT(N13:Q13,N13:Q13)</f>
        <v>763.61118328102793</v>
      </c>
      <c r="O20" s="102"/>
      <c r="P20" s="102"/>
      <c r="Q20" s="102"/>
      <c r="R20" s="102"/>
      <c r="S20" s="141">
        <v>2012</v>
      </c>
      <c r="T20" s="234">
        <f>SUMPRODUCT(N29:Q29,D7:G7)/SUMPRODUCT(N29:Q29,N29:Q29)</f>
        <v>760.16756637733727</v>
      </c>
      <c r="U20" s="178"/>
    </row>
    <row r="21" spans="1:23" x14ac:dyDescent="0.2">
      <c r="A21" s="109"/>
      <c r="B21" s="107"/>
      <c r="C21" s="107"/>
      <c r="D21" s="107"/>
      <c r="E21" s="107"/>
      <c r="F21" s="107"/>
      <c r="G21" s="107"/>
      <c r="H21" s="107"/>
      <c r="I21" s="107"/>
      <c r="J21" s="106"/>
      <c r="M21" s="141">
        <v>2013</v>
      </c>
      <c r="N21" s="234">
        <f>SUMPRODUCT(N13:P13,D8:F8)/SUMPRODUCT(N13:P13,N13:P13)</f>
        <v>951.88225645643695</v>
      </c>
      <c r="O21" s="102"/>
      <c r="P21" s="102"/>
      <c r="Q21" s="102"/>
      <c r="R21" s="102"/>
      <c r="S21" s="141">
        <v>2013</v>
      </c>
      <c r="T21" s="234">
        <f>SUMPRODUCT(N29:P29,D8:F8)/SUMPRODUCT(N29:P29,N29:P29)</f>
        <v>950.71182943203542</v>
      </c>
      <c r="U21" s="102"/>
    </row>
    <row r="22" spans="1:23" x14ac:dyDescent="0.2">
      <c r="A22" s="109"/>
      <c r="B22" s="129" t="s">
        <v>2</v>
      </c>
      <c r="C22" s="107"/>
      <c r="D22" s="107"/>
      <c r="E22" s="107"/>
      <c r="F22" s="107"/>
      <c r="G22" s="107"/>
      <c r="H22" s="107"/>
      <c r="I22" s="107"/>
      <c r="J22" s="106"/>
      <c r="M22" s="141">
        <v>2014</v>
      </c>
      <c r="N22" s="234">
        <f>SUMPRODUCT(N13:O13,D9:E9)/SUMPRODUCT(N13:O13,N13:O13)</f>
        <v>744.25839740995536</v>
      </c>
      <c r="O22" s="102"/>
      <c r="P22" s="102"/>
      <c r="Q22" s="102"/>
      <c r="R22" s="102"/>
      <c r="S22" s="141">
        <v>2014</v>
      </c>
      <c r="T22" s="234">
        <f>SUMPRODUCT(N29:O29,D9:E9)/SUMPRODUCT(N29:O29,N29:O29)</f>
        <v>742.70587538333734</v>
      </c>
      <c r="U22" s="102"/>
    </row>
    <row r="23" spans="1:23" ht="16" customHeight="1" x14ac:dyDescent="0.2">
      <c r="A23" s="109"/>
      <c r="B23" s="437" t="s">
        <v>537</v>
      </c>
      <c r="C23" s="437"/>
      <c r="D23" s="437"/>
      <c r="E23" s="437"/>
      <c r="F23" s="437"/>
      <c r="G23" s="437"/>
      <c r="H23" s="437"/>
      <c r="I23" s="437"/>
      <c r="J23" s="106"/>
      <c r="M23" s="141">
        <v>2015</v>
      </c>
      <c r="N23" s="234">
        <f>N13*D10/(N13*N13)</f>
        <v>962.88515406162458</v>
      </c>
      <c r="O23" s="172"/>
      <c r="P23" s="172"/>
      <c r="Q23" s="172"/>
      <c r="R23" s="172"/>
      <c r="S23" s="141">
        <v>2015</v>
      </c>
      <c r="T23" s="234">
        <f>SUMPRODUCT(N29,D10)/SUMPRODUCT(N29,N29)</f>
        <v>969.69152539135825</v>
      </c>
      <c r="U23" s="102"/>
      <c r="V23" s="102"/>
      <c r="W23" s="102"/>
    </row>
    <row r="24" spans="1:23" x14ac:dyDescent="0.2">
      <c r="A24" s="109"/>
      <c r="B24" s="437"/>
      <c r="C24" s="437"/>
      <c r="D24" s="437"/>
      <c r="E24" s="437"/>
      <c r="F24" s="437"/>
      <c r="G24" s="437"/>
      <c r="H24" s="437"/>
      <c r="I24" s="437"/>
      <c r="J24" s="106"/>
      <c r="M24" s="102"/>
      <c r="N24" s="172"/>
      <c r="O24" s="172"/>
      <c r="P24" s="172"/>
      <c r="Q24" s="172"/>
      <c r="R24" s="172"/>
      <c r="S24" s="172"/>
      <c r="T24" s="172"/>
      <c r="U24" s="102"/>
      <c r="V24" s="102"/>
      <c r="W24" s="102"/>
    </row>
    <row r="25" spans="1:23" x14ac:dyDescent="0.2">
      <c r="A25" s="109"/>
      <c r="B25" s="437"/>
      <c r="C25" s="437"/>
      <c r="D25" s="437"/>
      <c r="E25" s="437"/>
      <c r="F25" s="437"/>
      <c r="G25" s="437"/>
      <c r="H25" s="437"/>
      <c r="I25" s="437"/>
      <c r="J25" s="106"/>
      <c r="M25" s="313" t="s">
        <v>43</v>
      </c>
      <c r="N25" s="172"/>
      <c r="O25" s="172"/>
      <c r="P25" s="172"/>
      <c r="Q25" s="172"/>
      <c r="R25" s="172"/>
      <c r="S25" s="172" t="s">
        <v>538</v>
      </c>
      <c r="T25" s="172"/>
      <c r="U25" s="102"/>
      <c r="V25" s="102"/>
      <c r="W25" s="102"/>
    </row>
    <row r="26" spans="1:23" ht="17" thickBot="1" x14ac:dyDescent="0.25">
      <c r="A26" s="109"/>
      <c r="B26" s="107"/>
      <c r="C26" s="107"/>
      <c r="D26" s="107"/>
      <c r="E26" s="107"/>
      <c r="F26" s="107"/>
      <c r="G26" s="107"/>
      <c r="H26" s="107"/>
      <c r="I26" s="107"/>
      <c r="J26" s="106"/>
      <c r="M26" s="313" t="s">
        <v>50</v>
      </c>
      <c r="N26" s="172"/>
      <c r="O26" s="172"/>
      <c r="P26" s="172"/>
      <c r="Q26" s="172"/>
      <c r="R26" s="172"/>
      <c r="S26" s="172"/>
      <c r="T26" s="172"/>
      <c r="U26" s="102"/>
      <c r="V26" s="102"/>
      <c r="W26" s="102"/>
    </row>
    <row r="27" spans="1:23" ht="17" thickBot="1" x14ac:dyDescent="0.25">
      <c r="A27" s="105" t="s">
        <v>153</v>
      </c>
      <c r="B27" s="104"/>
      <c r="C27" s="104"/>
      <c r="D27" s="104"/>
      <c r="E27" s="104"/>
      <c r="F27" s="104"/>
      <c r="G27" s="104"/>
      <c r="H27" s="104"/>
      <c r="I27" s="104"/>
      <c r="J27" s="103"/>
      <c r="M27" s="313"/>
      <c r="N27" s="172"/>
      <c r="O27" s="172"/>
      <c r="P27" s="172"/>
      <c r="Q27" s="172"/>
      <c r="R27" s="172"/>
    </row>
    <row r="28" spans="1:23" x14ac:dyDescent="0.2">
      <c r="M28" s="307" t="s">
        <v>40</v>
      </c>
      <c r="N28" s="308">
        <v>12</v>
      </c>
      <c r="O28" s="308">
        <v>24</v>
      </c>
      <c r="P28" s="308">
        <v>36</v>
      </c>
      <c r="Q28" s="308">
        <v>48</v>
      </c>
      <c r="R28" s="172"/>
      <c r="S28" s="307" t="s">
        <v>40</v>
      </c>
      <c r="T28" s="308">
        <v>12</v>
      </c>
      <c r="U28" s="308">
        <v>24</v>
      </c>
      <c r="V28" s="308">
        <v>36</v>
      </c>
      <c r="W28" s="308">
        <v>48</v>
      </c>
    </row>
    <row r="29" spans="1:23" x14ac:dyDescent="0.2">
      <c r="M29" s="309" t="s">
        <v>41</v>
      </c>
      <c r="N29" s="131">
        <f>SUMPRODUCT(N20:N23,D7:D10)/SUMPRODUCT(N20:N23,N20:N23)</f>
        <v>0.51562789496196204</v>
      </c>
      <c r="O29" s="131">
        <f>SUMPRODUCT(N20:N22,E7:E9)/SUMPRODUCT(N20:N22,N20:N22)</f>
        <v>0.25094813917713632</v>
      </c>
      <c r="P29" s="128">
        <f>SUMPRODUCT(N20:N21,F7:F8)/SUMPRODUCT(N20:N21,N20:N21)</f>
        <v>0.17911685275145686</v>
      </c>
      <c r="Q29" s="128">
        <f>G7*N20/(N20*N20)</f>
        <v>6.5478349577285794E-2</v>
      </c>
      <c r="R29" s="172"/>
      <c r="S29" s="309" t="s">
        <v>41</v>
      </c>
      <c r="T29" s="131">
        <f>SUMPRODUCT(T20:T23,D7:D10)/SUMPRODUCT(T20:T23,T20:T23)</f>
        <v>0.51532556165855237</v>
      </c>
      <c r="U29" s="131">
        <f>SUMPRODUCT(T20:T22,E7:E9)/SUMPRODUCT(T20:T22,T20:T22)</f>
        <v>0.25156774036435242</v>
      </c>
      <c r="V29" s="128">
        <f>SUMPRODUCT(T20:T21,F7:F8)/SUMPRODUCT(T20:T21,T20:T21)</f>
        <v>0.17962997724956256</v>
      </c>
      <c r="W29" s="128">
        <f>G7*T20/(T20*T20)</f>
        <v>6.5774971481985911E-2</v>
      </c>
    </row>
    <row r="30" spans="1:23" x14ac:dyDescent="0.2">
      <c r="O30" s="102"/>
      <c r="P30" s="102"/>
      <c r="Q30" s="102"/>
      <c r="R30" s="172"/>
      <c r="S30" s="102"/>
    </row>
    <row r="31" spans="1:23" x14ac:dyDescent="0.2">
      <c r="R31" s="102"/>
      <c r="S31" s="102"/>
    </row>
    <row r="32" spans="1:23" x14ac:dyDescent="0.2">
      <c r="R32" s="102"/>
      <c r="S32" s="102"/>
    </row>
    <row r="33" spans="13:19" x14ac:dyDescent="0.2">
      <c r="M33" s="102" t="s">
        <v>539</v>
      </c>
      <c r="N33" s="178"/>
      <c r="R33" s="102"/>
      <c r="S33" s="102"/>
    </row>
    <row r="34" spans="13:19" ht="17" thickBot="1" x14ac:dyDescent="0.25">
      <c r="R34" s="102"/>
      <c r="S34" s="102"/>
    </row>
    <row r="35" spans="13:19" x14ac:dyDescent="0.2">
      <c r="M35" s="314"/>
      <c r="N35" s="315">
        <v>0</v>
      </c>
      <c r="O35" s="315">
        <v>1</v>
      </c>
      <c r="P35" s="315">
        <v>2</v>
      </c>
      <c r="Q35" s="316">
        <v>3</v>
      </c>
      <c r="R35" s="102"/>
      <c r="S35" s="102"/>
    </row>
    <row r="36" spans="13:19" x14ac:dyDescent="0.2">
      <c r="M36" s="317" t="s">
        <v>46</v>
      </c>
      <c r="N36" s="234">
        <f>T20</f>
        <v>760.16756637733727</v>
      </c>
      <c r="O36" s="234">
        <f>T21</f>
        <v>950.71182943203542</v>
      </c>
      <c r="P36" s="234">
        <f>T22</f>
        <v>742.70587538333734</v>
      </c>
      <c r="Q36" s="289">
        <f>T23</f>
        <v>969.69152539135825</v>
      </c>
      <c r="R36" s="102"/>
      <c r="S36" s="102"/>
    </row>
    <row r="37" spans="13:19" ht="17" thickBot="1" x14ac:dyDescent="0.25">
      <c r="M37" s="318" t="s">
        <v>41</v>
      </c>
      <c r="N37" s="319">
        <f>T29</f>
        <v>0.51532556165855237</v>
      </c>
      <c r="O37" s="319">
        <f>U29</f>
        <v>0.25156774036435242</v>
      </c>
      <c r="P37" s="319">
        <f>V29</f>
        <v>0.17962997724956256</v>
      </c>
      <c r="Q37" s="320">
        <f>W29</f>
        <v>6.5774971481985911E-2</v>
      </c>
      <c r="R37" s="102"/>
      <c r="S37" s="102"/>
    </row>
    <row r="38" spans="13:19" x14ac:dyDescent="0.2">
      <c r="R38" s="102"/>
      <c r="S38" s="102"/>
    </row>
    <row r="39" spans="13:19" x14ac:dyDescent="0.2">
      <c r="R39" s="102"/>
      <c r="S39" s="102"/>
    </row>
    <row r="40" spans="13:19" x14ac:dyDescent="0.2">
      <c r="M40" s="96" t="s">
        <v>204</v>
      </c>
      <c r="R40" s="102"/>
      <c r="S40" s="102"/>
    </row>
    <row r="41" spans="13:19" x14ac:dyDescent="0.2">
      <c r="R41" s="102"/>
      <c r="S41" s="102"/>
    </row>
    <row r="42" spans="13:19" x14ac:dyDescent="0.2">
      <c r="R42" s="102"/>
      <c r="S42" s="102"/>
    </row>
    <row r="43" spans="13:19" x14ac:dyDescent="0.2">
      <c r="M43" s="182" t="s">
        <v>533</v>
      </c>
      <c r="R43" s="102"/>
      <c r="S43" s="102"/>
    </row>
    <row r="44" spans="13:19" x14ac:dyDescent="0.2">
      <c r="M44" s="182"/>
      <c r="R44" s="102"/>
      <c r="S44" s="102"/>
    </row>
    <row r="45" spans="13:19" x14ac:dyDescent="0.2">
      <c r="M45" s="312" t="s">
        <v>540</v>
      </c>
      <c r="R45" s="102"/>
      <c r="S45" s="102"/>
    </row>
    <row r="46" spans="13:19" x14ac:dyDescent="0.2">
      <c r="M46" s="182"/>
      <c r="R46" s="102"/>
      <c r="S46" s="102"/>
    </row>
    <row r="47" spans="13:19" x14ac:dyDescent="0.2">
      <c r="R47" s="102"/>
      <c r="S47" s="102"/>
    </row>
    <row r="48" spans="13:19" x14ac:dyDescent="0.2">
      <c r="M48" s="411" t="s">
        <v>541</v>
      </c>
      <c r="N48" s="411"/>
      <c r="O48" s="411"/>
      <c r="P48" s="411"/>
      <c r="Q48" s="411"/>
      <c r="R48" s="102"/>
    </row>
    <row r="49" spans="13:18" x14ac:dyDescent="0.2">
      <c r="M49" s="307" t="s">
        <v>45</v>
      </c>
      <c r="N49" s="308">
        <v>12</v>
      </c>
      <c r="O49" s="308">
        <v>24</v>
      </c>
      <c r="P49" s="308">
        <v>36</v>
      </c>
      <c r="Q49" s="308">
        <v>48</v>
      </c>
      <c r="R49" s="102"/>
    </row>
    <row r="50" spans="13:18" x14ac:dyDescent="0.2">
      <c r="M50" s="309">
        <f>C7</f>
        <v>2012</v>
      </c>
      <c r="N50" s="321">
        <f>N$13</f>
        <v>0.51927272727272733</v>
      </c>
      <c r="O50" s="321">
        <f t="shared" ref="O50:P52" si="0">O$13</f>
        <v>0.24436363636363634</v>
      </c>
      <c r="P50" s="321">
        <f t="shared" si="0"/>
        <v>0.16969696969696968</v>
      </c>
      <c r="Q50" s="321">
        <f>Q$13</f>
        <v>6.6666666666666666E-2</v>
      </c>
      <c r="R50" s="102"/>
    </row>
    <row r="51" spans="13:18" x14ac:dyDescent="0.2">
      <c r="M51" s="309">
        <f t="shared" ref="M51:M53" si="1">C8</f>
        <v>2013</v>
      </c>
      <c r="N51" s="321">
        <f t="shared" ref="N51:N53" si="2">N$13</f>
        <v>0.51927272727272733</v>
      </c>
      <c r="O51" s="321">
        <f t="shared" si="0"/>
        <v>0.24436363636363634</v>
      </c>
      <c r="P51" s="321">
        <f t="shared" si="0"/>
        <v>0.16969696969696968</v>
      </c>
    </row>
    <row r="52" spans="13:18" x14ac:dyDescent="0.2">
      <c r="M52" s="309">
        <f t="shared" si="1"/>
        <v>2014</v>
      </c>
      <c r="N52" s="321">
        <f t="shared" si="2"/>
        <v>0.51927272727272733</v>
      </c>
      <c r="O52" s="321">
        <f t="shared" si="0"/>
        <v>0.24436363636363634</v>
      </c>
      <c r="P52" s="322"/>
    </row>
    <row r="53" spans="13:18" x14ac:dyDescent="0.2">
      <c r="M53" s="309">
        <f t="shared" si="1"/>
        <v>2015</v>
      </c>
      <c r="N53" s="321">
        <f t="shared" si="2"/>
        <v>0.51927272727272733</v>
      </c>
    </row>
    <row r="55" spans="13:18" ht="19" x14ac:dyDescent="0.2">
      <c r="M55" s="323" t="s">
        <v>542</v>
      </c>
      <c r="N55" s="324">
        <f>SUMPRODUCT(N50:Q53,D7:G10)/SUMSQ(N50:Q53)</f>
        <v>850.58882576974554</v>
      </c>
    </row>
    <row r="57" spans="13:18" x14ac:dyDescent="0.2">
      <c r="M57" s="144" t="s">
        <v>45</v>
      </c>
      <c r="N57" s="142" t="s">
        <v>46</v>
      </c>
    </row>
    <row r="58" spans="13:18" x14ac:dyDescent="0.2">
      <c r="M58" s="141">
        <v>2012</v>
      </c>
      <c r="N58" s="234">
        <f>$N$55</f>
        <v>850.58882576974554</v>
      </c>
    </row>
    <row r="59" spans="13:18" x14ac:dyDescent="0.2">
      <c r="M59" s="141">
        <v>2013</v>
      </c>
      <c r="N59" s="234">
        <f t="shared" ref="N59:N61" si="3">$N$55</f>
        <v>850.58882576974554</v>
      </c>
    </row>
    <row r="60" spans="13:18" x14ac:dyDescent="0.2">
      <c r="M60" s="141">
        <v>2014</v>
      </c>
      <c r="N60" s="234">
        <f t="shared" si="3"/>
        <v>850.58882576974554</v>
      </c>
    </row>
    <row r="61" spans="13:18" x14ac:dyDescent="0.2">
      <c r="M61" s="141">
        <v>2015</v>
      </c>
      <c r="N61" s="234">
        <f t="shared" si="3"/>
        <v>850.58882576974554</v>
      </c>
    </row>
    <row r="63" spans="13:18" x14ac:dyDescent="0.2">
      <c r="M63" s="172" t="s">
        <v>538</v>
      </c>
      <c r="N63" s="172"/>
      <c r="O63" s="172"/>
      <c r="P63" s="172"/>
    </row>
    <row r="64" spans="13:18" x14ac:dyDescent="0.2">
      <c r="M64" s="172"/>
      <c r="N64" s="172"/>
      <c r="O64" s="172"/>
      <c r="P64" s="172"/>
    </row>
    <row r="65" spans="13:23" x14ac:dyDescent="0.2">
      <c r="M65" s="307" t="s">
        <v>40</v>
      </c>
      <c r="N65" s="308">
        <v>12</v>
      </c>
      <c r="O65" s="308">
        <v>24</v>
      </c>
      <c r="P65" s="308">
        <v>36</v>
      </c>
      <c r="Q65" s="308">
        <v>48</v>
      </c>
    </row>
    <row r="66" spans="13:23" x14ac:dyDescent="0.2">
      <c r="M66" s="309" t="s">
        <v>41</v>
      </c>
      <c r="N66" s="131">
        <f>SUMPRODUCT(N58:N61,D7:D10)/SUMPRODUCT(N58:N61,N58:N61)</f>
        <v>0.52169742483793591</v>
      </c>
      <c r="O66" s="131">
        <f>SUMPRODUCT(N58:N60,E7:E9)/SUMPRODUCT(N58:N60,N58:N60)</f>
        <v>0.23513123372977399</v>
      </c>
      <c r="P66" s="128">
        <f>SUMPRODUCT(N58:N59,F7:F8)/SUMPRODUCT(N58:N59,N58:N59)</f>
        <v>0.17634842529733047</v>
      </c>
      <c r="Q66" s="128">
        <f>SUMPRODUCT(N58,G7)/SUMPRODUCT(N58,N58)</f>
        <v>5.878280843244349E-2</v>
      </c>
    </row>
    <row r="68" spans="13:23" x14ac:dyDescent="0.2">
      <c r="M68" s="415" t="s">
        <v>543</v>
      </c>
      <c r="N68" s="415"/>
      <c r="O68" s="415"/>
      <c r="P68" s="415"/>
      <c r="Q68" s="415"/>
      <c r="R68" s="415"/>
      <c r="S68" s="415"/>
    </row>
    <row r="69" spans="13:23" x14ac:dyDescent="0.2">
      <c r="M69" s="415"/>
      <c r="N69" s="415"/>
      <c r="O69" s="415"/>
      <c r="P69" s="415"/>
      <c r="Q69" s="415"/>
      <c r="R69" s="415"/>
      <c r="S69" s="415"/>
    </row>
    <row r="70" spans="13:23" x14ac:dyDescent="0.2">
      <c r="M70" s="297"/>
      <c r="N70" s="297"/>
      <c r="O70" s="297"/>
      <c r="P70" s="297"/>
      <c r="Q70" s="297"/>
      <c r="R70" s="297"/>
      <c r="S70" s="297"/>
    </row>
    <row r="71" spans="13:23" x14ac:dyDescent="0.2">
      <c r="M71" s="102" t="s">
        <v>544</v>
      </c>
      <c r="N71" s="178"/>
    </row>
    <row r="72" spans="13:23" ht="17" thickBot="1" x14ac:dyDescent="0.25"/>
    <row r="73" spans="13:23" x14ac:dyDescent="0.2">
      <c r="M73" s="314"/>
      <c r="N73" s="315">
        <v>0</v>
      </c>
      <c r="O73" s="315">
        <v>1</v>
      </c>
      <c r="P73" s="315">
        <v>2</v>
      </c>
      <c r="Q73" s="316">
        <v>3</v>
      </c>
    </row>
    <row r="74" spans="13:23" x14ac:dyDescent="0.2">
      <c r="M74" s="317" t="s">
        <v>296</v>
      </c>
      <c r="N74" s="234">
        <f>N58</f>
        <v>850.58882576974554</v>
      </c>
      <c r="O74" s="234">
        <f>N74</f>
        <v>850.58882576974554</v>
      </c>
      <c r="P74" s="234">
        <f>O74</f>
        <v>850.58882576974554</v>
      </c>
      <c r="Q74" s="289">
        <f>P74</f>
        <v>850.58882576974554</v>
      </c>
    </row>
    <row r="75" spans="13:23" ht="17" thickBot="1" x14ac:dyDescent="0.25">
      <c r="M75" s="318" t="s">
        <v>41</v>
      </c>
      <c r="N75" s="319">
        <f>N66</f>
        <v>0.52169742483793591</v>
      </c>
      <c r="O75" s="319">
        <f>O66</f>
        <v>0.23513123372977399</v>
      </c>
      <c r="P75" s="319">
        <f>P66</f>
        <v>0.17634842529733047</v>
      </c>
      <c r="Q75" s="320">
        <f>Q66</f>
        <v>5.878280843244349E-2</v>
      </c>
    </row>
    <row r="78" spans="13:23" x14ac:dyDescent="0.2">
      <c r="M78" s="96" t="s">
        <v>200</v>
      </c>
    </row>
    <row r="80" spans="13:23" x14ac:dyDescent="0.2">
      <c r="M80" s="182" t="s">
        <v>533</v>
      </c>
      <c r="N80" s="178"/>
      <c r="O80" s="102"/>
      <c r="P80" s="102"/>
      <c r="Q80" s="102"/>
      <c r="S80" s="182" t="s">
        <v>534</v>
      </c>
      <c r="T80" s="102"/>
      <c r="U80" s="102"/>
      <c r="V80" s="102"/>
      <c r="W80" s="102"/>
    </row>
    <row r="81" spans="13:23" x14ac:dyDescent="0.2">
      <c r="M81" s="102"/>
      <c r="N81" s="102"/>
      <c r="O81" s="102"/>
      <c r="P81" s="102"/>
      <c r="Q81" s="102"/>
      <c r="S81" s="102"/>
      <c r="T81" s="102"/>
      <c r="U81" s="102"/>
      <c r="V81" s="102"/>
      <c r="W81" s="102"/>
    </row>
    <row r="82" spans="13:23" x14ac:dyDescent="0.2">
      <c r="M82" s="13" t="s">
        <v>49</v>
      </c>
      <c r="N82" s="102"/>
      <c r="O82" s="102"/>
      <c r="P82" s="102"/>
      <c r="Q82" s="102"/>
      <c r="S82" s="102" t="s">
        <v>535</v>
      </c>
      <c r="T82" s="102"/>
      <c r="U82" s="102"/>
      <c r="V82" s="102"/>
      <c r="W82" s="102"/>
    </row>
    <row r="83" spans="13:23" x14ac:dyDescent="0.2">
      <c r="M83" s="313" t="s">
        <v>60</v>
      </c>
      <c r="N83" s="102"/>
      <c r="O83" s="102"/>
      <c r="P83" s="102"/>
      <c r="Q83" s="102"/>
      <c r="T83" s="102"/>
      <c r="U83" s="102"/>
      <c r="V83" s="102"/>
      <c r="W83" s="102"/>
    </row>
    <row r="84" spans="13:23" x14ac:dyDescent="0.2">
      <c r="M84" s="102"/>
      <c r="N84" s="102"/>
      <c r="O84" s="102"/>
      <c r="P84" s="102"/>
      <c r="Q84" s="102"/>
      <c r="S84" s="102"/>
      <c r="T84" s="102"/>
      <c r="U84" s="178"/>
      <c r="V84" s="102"/>
      <c r="W84" s="102"/>
    </row>
    <row r="85" spans="13:23" x14ac:dyDescent="0.2">
      <c r="M85" s="144" t="s">
        <v>45</v>
      </c>
      <c r="N85" s="142" t="s">
        <v>46</v>
      </c>
      <c r="O85" s="102"/>
      <c r="P85" s="102"/>
      <c r="Q85" s="102"/>
      <c r="S85" s="144" t="s">
        <v>45</v>
      </c>
      <c r="T85" s="142" t="s">
        <v>46</v>
      </c>
      <c r="U85" s="178"/>
      <c r="V85" s="102"/>
      <c r="W85" s="102"/>
    </row>
    <row r="86" spans="13:23" x14ac:dyDescent="0.2">
      <c r="M86" s="141">
        <v>2012</v>
      </c>
      <c r="N86" s="234">
        <f>SQRT((D7^2/N13+E7^2/O13+F7^2/P13+G7^2/Q13)/SUM(N13:Q13))</f>
        <v>753.81847743257629</v>
      </c>
      <c r="O86" s="102"/>
      <c r="P86" s="102"/>
      <c r="Q86" s="102"/>
      <c r="S86" s="141">
        <v>2012</v>
      </c>
      <c r="T86" s="234">
        <f>SQRT((D7^2/N96+E7^2/O96+F7^2/P96+G7^2/Q96)/SUM(N96:Q96))</f>
        <v>752.7927776522705</v>
      </c>
      <c r="U86" s="178"/>
    </row>
    <row r="87" spans="13:23" x14ac:dyDescent="0.2">
      <c r="M87" s="141">
        <v>2013</v>
      </c>
      <c r="N87" s="234">
        <f>SQRT((D8^2/N13+E8^2/O13+F8^2/P13)/SUM(N13:P13))</f>
        <v>1031.9812833320473</v>
      </c>
      <c r="O87" s="102"/>
      <c r="P87" s="102"/>
      <c r="Q87" s="102"/>
      <c r="S87" s="141">
        <v>2013</v>
      </c>
      <c r="T87" s="234">
        <f>SQRT((D8^2/N96+E8^2/O96+F8^2/P96)/SUM(N96:P96))</f>
        <v>1028.5533286210793</v>
      </c>
      <c r="U87" s="102"/>
    </row>
    <row r="88" spans="13:23" x14ac:dyDescent="0.2">
      <c r="M88" s="141">
        <v>2014</v>
      </c>
      <c r="N88" s="234">
        <f>SQRT((D9^2/N13+E9^2/O13)/SUM(N13:O13))</f>
        <v>713.51024373433643</v>
      </c>
      <c r="O88" s="102"/>
      <c r="P88" s="102"/>
      <c r="Q88" s="102"/>
      <c r="S88" s="141">
        <v>2014</v>
      </c>
      <c r="T88" s="234">
        <f>SQRT((D9^2/N96+E9^2/O96)/SUM(N96:O96))</f>
        <v>714.70129666568437</v>
      </c>
      <c r="U88" s="102"/>
    </row>
    <row r="89" spans="13:23" x14ac:dyDescent="0.2">
      <c r="M89" s="141">
        <v>2015</v>
      </c>
      <c r="N89" s="234">
        <f>SQRT((D10^2/N13)/SUM(N13:N13))</f>
        <v>962.88515406162458</v>
      </c>
      <c r="O89" s="172"/>
      <c r="P89" s="172"/>
      <c r="Q89" s="172"/>
      <c r="S89" s="141">
        <v>2015</v>
      </c>
      <c r="T89" s="234">
        <f>SQRT((D10^2/N96)/SUM(N96:N96))</f>
        <v>969.29031440108622</v>
      </c>
      <c r="U89" s="102"/>
      <c r="V89" s="102"/>
      <c r="W89" s="102"/>
    </row>
    <row r="90" spans="13:23" x14ac:dyDescent="0.2">
      <c r="M90" s="172"/>
      <c r="N90" s="172"/>
      <c r="O90" s="172"/>
      <c r="P90" s="172"/>
      <c r="Q90" s="172"/>
      <c r="S90" s="172"/>
      <c r="T90" s="172"/>
      <c r="U90" s="102"/>
      <c r="V90" s="102"/>
      <c r="W90" s="102"/>
    </row>
    <row r="91" spans="13:23" x14ac:dyDescent="0.2">
      <c r="M91" s="172"/>
      <c r="N91" s="172"/>
      <c r="O91" s="172"/>
      <c r="P91" s="172"/>
      <c r="Q91" s="172"/>
      <c r="S91" s="172"/>
      <c r="T91" s="172"/>
      <c r="U91" s="102"/>
      <c r="V91" s="102"/>
      <c r="W91" s="102"/>
    </row>
    <row r="92" spans="13:23" x14ac:dyDescent="0.2">
      <c r="M92" s="14" t="s">
        <v>43</v>
      </c>
      <c r="N92" s="172"/>
      <c r="O92" s="172"/>
      <c r="P92" s="172"/>
      <c r="Q92" s="172"/>
      <c r="S92" s="172"/>
      <c r="T92" s="172"/>
      <c r="U92" s="102"/>
      <c r="V92" s="102"/>
      <c r="W92" s="102"/>
    </row>
    <row r="93" spans="13:23" x14ac:dyDescent="0.2">
      <c r="M93" s="313" t="s">
        <v>61</v>
      </c>
      <c r="N93" s="172"/>
      <c r="O93" s="172"/>
      <c r="P93" s="172"/>
      <c r="Q93" s="172"/>
      <c r="S93" s="172" t="s">
        <v>538</v>
      </c>
      <c r="T93" s="172"/>
      <c r="U93" s="102"/>
      <c r="V93" s="102"/>
      <c r="W93" s="102"/>
    </row>
    <row r="94" spans="13:23" x14ac:dyDescent="0.2">
      <c r="M94" s="172"/>
      <c r="N94" s="172"/>
      <c r="O94" s="172"/>
      <c r="P94" s="172"/>
      <c r="Q94" s="172"/>
      <c r="S94" s="172"/>
      <c r="T94" s="172"/>
      <c r="U94" s="102"/>
      <c r="V94" s="102"/>
      <c r="W94" s="102"/>
    </row>
    <row r="95" spans="13:23" x14ac:dyDescent="0.2">
      <c r="M95" s="307" t="s">
        <v>40</v>
      </c>
      <c r="N95" s="308">
        <v>12</v>
      </c>
      <c r="O95" s="308">
        <v>24</v>
      </c>
      <c r="P95" s="308">
        <v>36</v>
      </c>
      <c r="Q95" s="308">
        <v>48</v>
      </c>
      <c r="S95" s="307" t="s">
        <v>40</v>
      </c>
      <c r="T95" s="308">
        <v>12</v>
      </c>
      <c r="U95" s="308">
        <v>24</v>
      </c>
      <c r="V95" s="308">
        <v>36</v>
      </c>
      <c r="W95" s="308">
        <v>48</v>
      </c>
    </row>
    <row r="96" spans="13:23" x14ac:dyDescent="0.2">
      <c r="M96" s="309" t="s">
        <v>41</v>
      </c>
      <c r="N96" s="131">
        <f>SQRT((D7^2/N86+D8^2/N87+D9^2/N88+D10^2/N89)/SUM(N86:N89))</f>
        <v>0.51584132490681545</v>
      </c>
      <c r="O96" s="131">
        <f>SQRT((E7^2/N86+E8^2/N87+E9^2/N88)/SUM(N86:N88))</f>
        <v>0.24846075561259126</v>
      </c>
      <c r="P96" s="128">
        <f>SQRT((F7^2/N86+F8^2/N87)/SUM(N86:N87))</f>
        <v>0.17068470843732839</v>
      </c>
      <c r="Q96" s="128">
        <f>SQRT((G7^2/N86)/SUM(N86:N86))</f>
        <v>6.6328965788016447E-2</v>
      </c>
      <c r="S96" s="309" t="s">
        <v>41</v>
      </c>
      <c r="T96" s="131">
        <f>SQRT((D7^2/T86+D8^2/T87+D9^2/T88+D10^2/T89)/SUM(T86:T89))</f>
        <v>0.51527302902081362</v>
      </c>
      <c r="U96" s="131">
        <f>SQRT((E7^2/T86+E8^2/T87+E9^2/T88)/SUM(T86:T88))</f>
        <v>0.24889655125980661</v>
      </c>
      <c r="V96" s="128">
        <f>SQRT((F7^2/T86+F8^2/T87)/SUM(T86:T87))</f>
        <v>0.17113962953808518</v>
      </c>
      <c r="W96" s="128">
        <f>SQRT((G7^2/T86)/SUM(T86))</f>
        <v>6.6419340732697577E-2</v>
      </c>
    </row>
    <row r="97" spans="13:20" x14ac:dyDescent="0.2">
      <c r="O97" s="102"/>
      <c r="P97" s="102"/>
      <c r="Q97" s="102"/>
    </row>
    <row r="99" spans="13:20" x14ac:dyDescent="0.2">
      <c r="M99" s="102" t="s">
        <v>539</v>
      </c>
      <c r="N99" s="178"/>
    </row>
    <row r="100" spans="13:20" ht="17" thickBot="1" x14ac:dyDescent="0.25"/>
    <row r="101" spans="13:20" x14ac:dyDescent="0.2">
      <c r="M101" s="314"/>
      <c r="N101" s="315">
        <v>0</v>
      </c>
      <c r="O101" s="315">
        <v>1</v>
      </c>
      <c r="P101" s="315">
        <v>2</v>
      </c>
      <c r="Q101" s="316">
        <v>3</v>
      </c>
    </row>
    <row r="102" spans="13:20" x14ac:dyDescent="0.2">
      <c r="M102" s="317" t="s">
        <v>46</v>
      </c>
      <c r="N102" s="234">
        <f>T86</f>
        <v>752.7927776522705</v>
      </c>
      <c r="O102" s="234">
        <f>T87</f>
        <v>1028.5533286210793</v>
      </c>
      <c r="P102" s="234">
        <f>T88</f>
        <v>714.70129666568437</v>
      </c>
      <c r="Q102" s="289">
        <f>T89</f>
        <v>969.29031440108622</v>
      </c>
    </row>
    <row r="103" spans="13:20" ht="17" thickBot="1" x14ac:dyDescent="0.25">
      <c r="M103" s="318" t="s">
        <v>41</v>
      </c>
      <c r="N103" s="319">
        <f>T96</f>
        <v>0.51527302902081362</v>
      </c>
      <c r="O103" s="319">
        <f>U96</f>
        <v>0.24889655125980661</v>
      </c>
      <c r="P103" s="319">
        <f>V96</f>
        <v>0.17113962953808518</v>
      </c>
      <c r="Q103" s="320">
        <f>W96</f>
        <v>6.6419340732697577E-2</v>
      </c>
    </row>
    <row r="107" spans="13:20" ht="19" x14ac:dyDescent="0.25">
      <c r="M107" s="123" t="s">
        <v>146</v>
      </c>
    </row>
    <row r="108" spans="13:20" x14ac:dyDescent="0.2">
      <c r="M108" s="415" t="s">
        <v>545</v>
      </c>
      <c r="N108" s="415"/>
      <c r="O108" s="415"/>
      <c r="P108" s="415"/>
      <c r="Q108" s="415"/>
      <c r="R108" s="415"/>
      <c r="S108" s="415"/>
      <c r="T108" s="415"/>
    </row>
    <row r="109" spans="13:20" x14ac:dyDescent="0.2">
      <c r="M109" s="415"/>
      <c r="N109" s="415"/>
      <c r="O109" s="415"/>
      <c r="P109" s="415"/>
      <c r="Q109" s="415"/>
      <c r="R109" s="415"/>
      <c r="S109" s="415"/>
      <c r="T109" s="415"/>
    </row>
    <row r="110" spans="13:20" x14ac:dyDescent="0.2">
      <c r="M110" s="415"/>
      <c r="N110" s="415"/>
      <c r="O110" s="415"/>
      <c r="P110" s="415"/>
      <c r="Q110" s="415"/>
      <c r="R110" s="415"/>
      <c r="S110" s="415"/>
      <c r="T110" s="415"/>
    </row>
    <row r="111" spans="13:20" x14ac:dyDescent="0.2">
      <c r="M111" s="297"/>
      <c r="N111" s="297"/>
      <c r="O111" s="297"/>
      <c r="P111" s="297"/>
      <c r="Q111" s="297"/>
      <c r="R111" s="297"/>
      <c r="S111" s="297"/>
      <c r="T111" s="297"/>
    </row>
    <row r="112" spans="13:20" ht="19" x14ac:dyDescent="0.25">
      <c r="M112" s="123" t="s">
        <v>177</v>
      </c>
      <c r="N112" s="178"/>
    </row>
    <row r="113" spans="13:13" x14ac:dyDescent="0.2">
      <c r="M113" t="s">
        <v>179</v>
      </c>
    </row>
    <row r="114" spans="13:13" x14ac:dyDescent="0.2">
      <c r="M114" t="s">
        <v>180</v>
      </c>
    </row>
  </sheetData>
  <mergeCells count="8">
    <mergeCell ref="M68:S69"/>
    <mergeCell ref="M108:T110"/>
    <mergeCell ref="C5:C6"/>
    <mergeCell ref="D5:G5"/>
    <mergeCell ref="B13:I15"/>
    <mergeCell ref="B18:I20"/>
    <mergeCell ref="B23:I25"/>
    <mergeCell ref="M48:Q4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B15B-69E7-5B44-9CA9-1F84C5E75F49}">
  <dimension ref="A1:V107"/>
  <sheetViews>
    <sheetView zoomScaleNormal="100" workbookViewId="0"/>
  </sheetViews>
  <sheetFormatPr baseColWidth="10" defaultColWidth="11" defaultRowHeight="16" outlineLevelCol="1" x14ac:dyDescent="0.2"/>
  <cols>
    <col min="1" max="1" width="4.5" customWidth="1"/>
    <col min="2" max="10" width="10.83203125" customWidth="1"/>
    <col min="12" max="12" width="11.1640625" bestFit="1" customWidth="1"/>
    <col min="13" max="13" width="13.5" hidden="1" customWidth="1" outlineLevel="1"/>
    <col min="14" max="14" width="13.1640625" hidden="1" customWidth="1" outlineLevel="1"/>
    <col min="15" max="17" width="10.83203125" hidden="1" customWidth="1" outlineLevel="1"/>
    <col min="18" max="18" width="12" hidden="1" customWidth="1" outlineLevel="1"/>
    <col min="19" max="20" width="10.83203125" hidden="1" customWidth="1" outlineLevel="1"/>
    <col min="21" max="21" width="11" collapsed="1"/>
  </cols>
  <sheetData>
    <row r="1" spans="1:22" ht="19" x14ac:dyDescent="0.25">
      <c r="A1" s="219" t="s">
        <v>546</v>
      </c>
      <c r="B1" s="121"/>
      <c r="C1" s="120"/>
      <c r="D1" s="120"/>
      <c r="E1" s="120"/>
      <c r="F1" s="119"/>
      <c r="G1" s="119"/>
      <c r="H1" s="119"/>
      <c r="I1" s="119"/>
      <c r="J1" s="118"/>
      <c r="L1" s="117" t="s">
        <v>154</v>
      </c>
    </row>
    <row r="2" spans="1:22" x14ac:dyDescent="0.2">
      <c r="A2" s="109"/>
      <c r="B2" s="107"/>
      <c r="C2" s="107"/>
      <c r="D2" s="107"/>
      <c r="E2" s="107"/>
      <c r="F2" s="107"/>
      <c r="G2" s="107"/>
      <c r="H2" s="107"/>
      <c r="I2" s="107"/>
      <c r="J2" s="106"/>
    </row>
    <row r="3" spans="1:22" x14ac:dyDescent="0.2">
      <c r="A3" s="109"/>
      <c r="B3" s="107" t="s">
        <v>547</v>
      </c>
      <c r="C3" s="107"/>
      <c r="D3" s="107"/>
      <c r="E3" s="107"/>
      <c r="F3" s="107"/>
      <c r="G3" s="107"/>
      <c r="H3" s="107"/>
      <c r="I3" s="107"/>
      <c r="J3" s="106"/>
      <c r="M3" t="s">
        <v>548</v>
      </c>
      <c r="N3" s="116"/>
    </row>
    <row r="4" spans="1:22" x14ac:dyDescent="0.2">
      <c r="A4" s="109"/>
      <c r="B4" s="107"/>
      <c r="C4" s="107"/>
      <c r="D4" s="107"/>
      <c r="E4" s="107"/>
      <c r="F4" s="107"/>
      <c r="G4" s="107"/>
      <c r="H4" s="107"/>
      <c r="I4" s="107"/>
      <c r="J4" s="106"/>
      <c r="N4" s="150"/>
    </row>
    <row r="5" spans="1:22" x14ac:dyDescent="0.2">
      <c r="A5" s="109"/>
      <c r="B5" s="107"/>
      <c r="C5" s="416" t="s">
        <v>549</v>
      </c>
      <c r="D5" s="418"/>
      <c r="E5" s="145" t="s">
        <v>135</v>
      </c>
      <c r="F5" s="107"/>
      <c r="G5" s="107"/>
      <c r="H5" s="107"/>
      <c r="I5" s="107"/>
      <c r="J5" s="106"/>
      <c r="M5" s="102"/>
      <c r="N5" s="172"/>
      <c r="O5" s="102"/>
      <c r="P5" s="102"/>
      <c r="Q5" s="102"/>
      <c r="R5" s="102"/>
      <c r="S5" s="102"/>
      <c r="T5" s="102"/>
    </row>
    <row r="6" spans="1:22" x14ac:dyDescent="0.2">
      <c r="A6" s="109"/>
      <c r="B6" s="107"/>
      <c r="C6" s="439" t="s">
        <v>550</v>
      </c>
      <c r="D6" s="440"/>
      <c r="E6" s="195">
        <v>200000</v>
      </c>
      <c r="F6" s="107"/>
      <c r="G6" s="107"/>
      <c r="H6" s="107"/>
      <c r="I6" s="107"/>
      <c r="J6" s="106"/>
      <c r="M6" s="102"/>
      <c r="N6" s="172"/>
      <c r="O6" s="102"/>
      <c r="P6" s="102"/>
      <c r="Q6" s="102"/>
      <c r="R6" s="102"/>
      <c r="S6" s="102"/>
      <c r="T6" s="102"/>
    </row>
    <row r="7" spans="1:22" x14ac:dyDescent="0.2">
      <c r="A7" s="109"/>
      <c r="B7" s="107"/>
      <c r="C7" s="441" t="s">
        <v>551</v>
      </c>
      <c r="D7" s="442"/>
      <c r="E7" s="195">
        <v>50000</v>
      </c>
      <c r="F7" s="107"/>
      <c r="G7" s="107"/>
      <c r="H7" s="107"/>
      <c r="I7" s="107"/>
      <c r="J7" s="106"/>
      <c r="M7" s="102"/>
      <c r="N7" s="172"/>
      <c r="O7" s="102"/>
      <c r="P7" s="102"/>
      <c r="Q7" s="102"/>
      <c r="R7" s="102"/>
      <c r="S7" s="102"/>
      <c r="T7" s="102"/>
    </row>
    <row r="8" spans="1:22" x14ac:dyDescent="0.2">
      <c r="A8" s="109"/>
      <c r="B8" s="107"/>
      <c r="C8" s="443" t="s">
        <v>552</v>
      </c>
      <c r="D8" s="444"/>
      <c r="E8" s="204">
        <v>120000</v>
      </c>
      <c r="F8" s="107"/>
      <c r="G8" s="107"/>
      <c r="H8" s="107"/>
      <c r="I8" s="107"/>
      <c r="J8" s="106"/>
      <c r="M8" s="102"/>
      <c r="N8" s="172"/>
      <c r="O8" s="102"/>
      <c r="P8" s="102"/>
      <c r="Q8" s="102"/>
      <c r="R8" s="102"/>
      <c r="S8" s="102"/>
      <c r="T8" s="102"/>
      <c r="U8" s="102"/>
      <c r="V8" s="102"/>
    </row>
    <row r="9" spans="1:22" x14ac:dyDescent="0.2">
      <c r="A9" s="109"/>
      <c r="B9" s="107"/>
      <c r="C9" s="111"/>
      <c r="D9" s="111"/>
      <c r="E9" s="183"/>
      <c r="F9" s="107"/>
      <c r="G9" s="107"/>
      <c r="H9" s="107"/>
      <c r="I9" s="107"/>
      <c r="J9" s="106"/>
      <c r="M9" s="126" t="s">
        <v>553</v>
      </c>
      <c r="N9" s="152">
        <v>10</v>
      </c>
      <c r="O9" s="102" t="s">
        <v>554</v>
      </c>
      <c r="P9" s="102"/>
      <c r="Q9" s="102"/>
      <c r="R9" s="102"/>
      <c r="S9" s="102"/>
      <c r="T9" s="102"/>
      <c r="U9" s="102"/>
    </row>
    <row r="10" spans="1:22" ht="16" customHeight="1" x14ac:dyDescent="0.2">
      <c r="A10" s="109"/>
      <c r="B10" s="111"/>
      <c r="C10" s="183"/>
      <c r="D10" s="107"/>
      <c r="E10" s="107"/>
      <c r="F10" s="107"/>
      <c r="G10" s="107"/>
      <c r="H10" s="107"/>
      <c r="I10" s="107"/>
      <c r="J10" s="106"/>
      <c r="M10" s="102"/>
      <c r="N10" s="172"/>
      <c r="O10" s="102"/>
      <c r="P10" s="102"/>
      <c r="Q10" s="102"/>
      <c r="R10" s="102"/>
      <c r="S10" s="102"/>
      <c r="T10" s="102"/>
    </row>
    <row r="11" spans="1:22" x14ac:dyDescent="0.2">
      <c r="A11" s="109"/>
      <c r="B11" s="437" t="s">
        <v>555</v>
      </c>
      <c r="C11" s="437"/>
      <c r="D11" s="437"/>
      <c r="E11" s="437"/>
      <c r="F11" s="437"/>
      <c r="G11" s="437"/>
      <c r="H11" s="437"/>
      <c r="I11" s="437"/>
      <c r="J11" s="106"/>
      <c r="N11" s="172"/>
      <c r="O11" s="102"/>
      <c r="P11" s="102"/>
      <c r="Q11" s="102"/>
      <c r="R11" s="102"/>
      <c r="S11" s="102"/>
      <c r="T11" s="102"/>
    </row>
    <row r="12" spans="1:22" x14ac:dyDescent="0.2">
      <c r="A12" s="109"/>
      <c r="B12" s="437"/>
      <c r="C12" s="437"/>
      <c r="D12" s="437"/>
      <c r="E12" s="437"/>
      <c r="F12" s="437"/>
      <c r="G12" s="437"/>
      <c r="H12" s="437"/>
      <c r="I12" s="437"/>
      <c r="J12" s="106"/>
      <c r="M12" s="300"/>
      <c r="N12" s="325" t="s">
        <v>550</v>
      </c>
      <c r="O12" s="302" t="s">
        <v>556</v>
      </c>
      <c r="P12" s="326" t="s">
        <v>557</v>
      </c>
      <c r="Q12" s="102"/>
      <c r="R12" s="102"/>
      <c r="S12" s="102"/>
      <c r="T12" s="102"/>
    </row>
    <row r="13" spans="1:22" ht="17" thickBot="1" x14ac:dyDescent="0.25">
      <c r="A13" s="109"/>
      <c r="B13" s="107"/>
      <c r="C13" s="107"/>
      <c r="D13" s="107"/>
      <c r="E13" s="107"/>
      <c r="F13" s="107"/>
      <c r="G13" s="107"/>
      <c r="H13" s="107"/>
      <c r="I13" s="107"/>
      <c r="J13" s="106"/>
      <c r="M13" s="327" t="s">
        <v>558</v>
      </c>
      <c r="N13" s="152">
        <v>4</v>
      </c>
      <c r="O13" s="152">
        <v>8</v>
      </c>
      <c r="P13" s="152">
        <v>4</v>
      </c>
      <c r="Q13" s="102"/>
      <c r="R13" s="102"/>
      <c r="S13" s="102"/>
      <c r="T13" s="102"/>
    </row>
    <row r="14" spans="1:22" ht="17" thickBot="1" x14ac:dyDescent="0.25">
      <c r="A14" s="105" t="s">
        <v>153</v>
      </c>
      <c r="B14" s="328"/>
      <c r="C14" s="104"/>
      <c r="D14" s="104"/>
      <c r="E14" s="104"/>
      <c r="F14" s="104"/>
      <c r="G14" s="104"/>
      <c r="H14" s="104"/>
      <c r="I14" s="104"/>
      <c r="J14" s="103"/>
      <c r="M14" s="329" t="s">
        <v>144</v>
      </c>
      <c r="N14" s="172">
        <f>E6/(N9-N13)^2</f>
        <v>5555.5555555555557</v>
      </c>
      <c r="O14" s="172">
        <f>E7/(N9-O13)^2</f>
        <v>12500</v>
      </c>
      <c r="P14" s="172">
        <f>E8/(N9-P13)^2</f>
        <v>3333.3333333333335</v>
      </c>
      <c r="Q14" s="172"/>
      <c r="R14" s="172"/>
      <c r="S14" s="102"/>
      <c r="T14" s="102"/>
    </row>
    <row r="15" spans="1:22" x14ac:dyDescent="0.2">
      <c r="M15" s="329" t="s">
        <v>559</v>
      </c>
      <c r="N15" s="172">
        <f>E6*EXP(2*N13/N9)</f>
        <v>445108.18569849356</v>
      </c>
      <c r="O15" s="172">
        <f>E7*EXP(2*O13/N9)</f>
        <v>247651.62121975573</v>
      </c>
      <c r="P15" s="172">
        <f>E8*EXP(2*P13/N9)</f>
        <v>267064.91141909617</v>
      </c>
      <c r="Q15" s="172"/>
      <c r="R15" s="172"/>
      <c r="S15" s="102"/>
      <c r="T15" s="102"/>
    </row>
    <row r="16" spans="1:22" x14ac:dyDescent="0.2">
      <c r="M16" s="329" t="s">
        <v>560</v>
      </c>
      <c r="N16" s="172">
        <f>E6*N9^(N13/N9)</f>
        <v>502377.28630191612</v>
      </c>
      <c r="O16" s="172">
        <f>E7*N9^(O13/N9)</f>
        <v>315478.67224009673</v>
      </c>
      <c r="P16" s="172">
        <f>E8*N9^(P13/N9)</f>
        <v>301426.37178114965</v>
      </c>
      <c r="Q16" s="172"/>
      <c r="R16" s="172"/>
      <c r="S16" s="102"/>
      <c r="T16" s="102"/>
    </row>
    <row r="17" spans="13:20" x14ac:dyDescent="0.2">
      <c r="N17" s="172"/>
      <c r="O17" s="172"/>
      <c r="P17" s="172"/>
      <c r="Q17" s="172"/>
      <c r="R17" s="172"/>
      <c r="S17" s="102"/>
      <c r="T17" s="102"/>
    </row>
    <row r="18" spans="13:20" x14ac:dyDescent="0.2">
      <c r="M18" s="172"/>
      <c r="N18" s="172"/>
      <c r="O18" s="172"/>
      <c r="P18" s="172"/>
      <c r="Q18" s="172"/>
      <c r="R18" s="172"/>
      <c r="S18" s="102"/>
      <c r="T18" s="102"/>
    </row>
    <row r="19" spans="13:20" x14ac:dyDescent="0.2">
      <c r="M19" s="122" t="s">
        <v>561</v>
      </c>
      <c r="N19" s="114"/>
      <c r="O19" s="114"/>
      <c r="P19" s="114"/>
      <c r="Q19" s="114"/>
      <c r="T19" s="102"/>
    </row>
    <row r="20" spans="13:20" ht="16" customHeight="1" x14ac:dyDescent="0.2">
      <c r="M20" s="445" t="s">
        <v>562</v>
      </c>
      <c r="N20" s="445"/>
      <c r="O20" s="445"/>
      <c r="P20" s="445"/>
      <c r="Q20" s="445"/>
      <c r="R20" s="445"/>
      <c r="S20" s="445"/>
      <c r="T20" s="445"/>
    </row>
    <row r="21" spans="13:20" x14ac:dyDescent="0.2">
      <c r="M21" s="445"/>
      <c r="N21" s="445"/>
      <c r="O21" s="445"/>
      <c r="P21" s="445"/>
      <c r="Q21" s="445"/>
      <c r="R21" s="445"/>
      <c r="S21" s="445"/>
      <c r="T21" s="445"/>
    </row>
    <row r="22" spans="13:20" x14ac:dyDescent="0.2">
      <c r="M22" s="445"/>
      <c r="N22" s="445"/>
      <c r="O22" s="445"/>
      <c r="P22" s="445"/>
      <c r="Q22" s="445"/>
      <c r="R22" s="445"/>
      <c r="S22" s="445"/>
      <c r="T22" s="445"/>
    </row>
    <row r="23" spans="13:20" x14ac:dyDescent="0.2">
      <c r="M23" s="172"/>
      <c r="N23" s="172"/>
      <c r="O23" s="172"/>
      <c r="P23" s="172"/>
      <c r="Q23" s="172"/>
      <c r="R23" s="172"/>
      <c r="S23" s="102"/>
      <c r="T23" s="102"/>
    </row>
    <row r="24" spans="13:20" x14ac:dyDescent="0.2">
      <c r="M24" s="172"/>
      <c r="N24" s="172"/>
      <c r="O24" s="172"/>
      <c r="P24" s="172"/>
      <c r="Q24" s="172"/>
      <c r="R24" s="172"/>
      <c r="S24" s="102"/>
      <c r="T24" s="102"/>
    </row>
    <row r="25" spans="13:20" x14ac:dyDescent="0.2">
      <c r="M25" s="172"/>
      <c r="N25" s="172"/>
      <c r="O25" s="102"/>
      <c r="P25" s="102"/>
      <c r="Q25" s="102"/>
      <c r="R25" s="102"/>
      <c r="S25" s="102"/>
      <c r="T25" s="102"/>
    </row>
    <row r="26" spans="13:20" ht="19" x14ac:dyDescent="0.25">
      <c r="M26" s="123" t="s">
        <v>146</v>
      </c>
      <c r="N26" s="172"/>
      <c r="O26" s="102"/>
      <c r="P26" s="102"/>
      <c r="Q26" s="102"/>
      <c r="R26" s="102"/>
      <c r="S26" s="102"/>
      <c r="T26" s="102"/>
    </row>
    <row r="27" spans="13:20" x14ac:dyDescent="0.2">
      <c r="M27" s="415" t="s">
        <v>563</v>
      </c>
      <c r="N27" s="415"/>
      <c r="O27" s="415"/>
      <c r="P27" s="415"/>
      <c r="Q27" s="415"/>
      <c r="R27" s="415"/>
      <c r="S27" s="415"/>
      <c r="T27" s="415"/>
    </row>
    <row r="28" spans="13:20" x14ac:dyDescent="0.2">
      <c r="M28" s="415"/>
      <c r="N28" s="415"/>
      <c r="O28" s="415"/>
      <c r="P28" s="415"/>
      <c r="Q28" s="415"/>
      <c r="R28" s="415"/>
      <c r="S28" s="415"/>
      <c r="T28" s="415"/>
    </row>
    <row r="29" spans="13:20" x14ac:dyDescent="0.2">
      <c r="M29" s="415"/>
      <c r="N29" s="415"/>
      <c r="O29" s="415"/>
      <c r="P29" s="415"/>
      <c r="Q29" s="415"/>
      <c r="R29" s="415"/>
      <c r="S29" s="415"/>
      <c r="T29" s="415"/>
    </row>
    <row r="30" spans="13:20" x14ac:dyDescent="0.2">
      <c r="M30" s="415"/>
      <c r="N30" s="415"/>
      <c r="O30" s="415"/>
      <c r="P30" s="415"/>
      <c r="Q30" s="415"/>
      <c r="R30" s="415"/>
      <c r="S30" s="415"/>
      <c r="T30" s="415"/>
    </row>
    <row r="31" spans="13:20" x14ac:dyDescent="0.2">
      <c r="M31" s="415"/>
      <c r="N31" s="415"/>
      <c r="O31" s="415"/>
      <c r="P31" s="415"/>
      <c r="Q31" s="415"/>
      <c r="R31" s="415"/>
      <c r="S31" s="415"/>
      <c r="T31" s="415"/>
    </row>
    <row r="32" spans="13:20" ht="16" customHeight="1" x14ac:dyDescent="0.2">
      <c r="M32" s="172"/>
      <c r="N32" s="172"/>
    </row>
    <row r="33" spans="13:20" ht="19" x14ac:dyDescent="0.25">
      <c r="M33" s="330" t="s">
        <v>564</v>
      </c>
      <c r="N33" s="5"/>
      <c r="O33" s="5"/>
      <c r="P33" s="5"/>
      <c r="Q33" s="5"/>
      <c r="R33" s="5"/>
      <c r="S33" s="5"/>
      <c r="T33" s="5"/>
    </row>
    <row r="34" spans="13:20" x14ac:dyDescent="0.2">
      <c r="M34" s="313" t="s">
        <v>565</v>
      </c>
      <c r="N34" s="5"/>
      <c r="O34" s="5"/>
      <c r="P34" s="5"/>
      <c r="Q34" s="5"/>
      <c r="R34" s="5"/>
      <c r="S34" s="5"/>
      <c r="T34" s="5"/>
    </row>
    <row r="35" spans="13:20" x14ac:dyDescent="0.2">
      <c r="M35" s="438" t="s">
        <v>566</v>
      </c>
      <c r="N35" s="438"/>
      <c r="O35" s="438"/>
      <c r="P35" s="438"/>
      <c r="Q35" s="438"/>
      <c r="R35" s="438"/>
      <c r="S35" s="438"/>
      <c r="T35" s="438"/>
    </row>
    <row r="36" spans="13:20" x14ac:dyDescent="0.2">
      <c r="M36" s="438"/>
      <c r="N36" s="438"/>
      <c r="O36" s="438"/>
      <c r="P36" s="438"/>
      <c r="Q36" s="438"/>
      <c r="R36" s="438"/>
      <c r="S36" s="438"/>
      <c r="T36" s="438"/>
    </row>
    <row r="38" spans="13:20" x14ac:dyDescent="0.2">
      <c r="M38" s="13" t="s">
        <v>567</v>
      </c>
      <c r="N38" s="5"/>
      <c r="O38" s="5"/>
      <c r="P38" s="5"/>
      <c r="Q38" s="5"/>
      <c r="R38" s="5"/>
      <c r="S38" s="5"/>
      <c r="T38" s="5"/>
    </row>
    <row r="39" spans="13:20" x14ac:dyDescent="0.2">
      <c r="M39" s="438" t="s">
        <v>568</v>
      </c>
      <c r="N39" s="438"/>
      <c r="O39" s="438"/>
      <c r="P39" s="438"/>
      <c r="Q39" s="438"/>
      <c r="R39" s="438"/>
      <c r="S39" s="438"/>
      <c r="T39" s="438"/>
    </row>
    <row r="40" spans="13:20" x14ac:dyDescent="0.2">
      <c r="M40" s="438"/>
      <c r="N40" s="438"/>
      <c r="O40" s="438"/>
      <c r="P40" s="438"/>
      <c r="Q40" s="438"/>
      <c r="R40" s="438"/>
      <c r="S40" s="438"/>
      <c r="T40" s="438"/>
    </row>
    <row r="41" spans="13:20" x14ac:dyDescent="0.2">
      <c r="M41" s="438"/>
      <c r="N41" s="438"/>
      <c r="O41" s="438"/>
      <c r="P41" s="438"/>
      <c r="Q41" s="438"/>
      <c r="R41" s="438"/>
      <c r="S41" s="438"/>
      <c r="T41" s="438"/>
    </row>
    <row r="42" spans="13:20" x14ac:dyDescent="0.2">
      <c r="M42" s="102"/>
      <c r="N42" s="178"/>
    </row>
    <row r="43" spans="13:20" x14ac:dyDescent="0.2">
      <c r="M43" s="313" t="s">
        <v>569</v>
      </c>
      <c r="N43" s="5"/>
      <c r="O43" s="5"/>
      <c r="P43" s="5"/>
      <c r="Q43" s="5"/>
      <c r="R43" s="5"/>
      <c r="S43" s="5"/>
      <c r="T43" s="5"/>
    </row>
    <row r="44" spans="13:20" ht="16" customHeight="1" x14ac:dyDescent="0.2">
      <c r="M44" s="438" t="s">
        <v>570</v>
      </c>
      <c r="N44" s="438"/>
      <c r="O44" s="438"/>
      <c r="P44" s="438"/>
      <c r="Q44" s="438"/>
      <c r="R44" s="438"/>
      <c r="S44" s="438"/>
      <c r="T44" s="438"/>
    </row>
    <row r="45" spans="13:20" x14ac:dyDescent="0.2">
      <c r="M45" s="438"/>
      <c r="N45" s="438"/>
      <c r="O45" s="438"/>
      <c r="P45" s="438"/>
      <c r="Q45" s="438"/>
      <c r="R45" s="438"/>
      <c r="S45" s="438"/>
      <c r="T45" s="438"/>
    </row>
    <row r="46" spans="13:20" x14ac:dyDescent="0.2">
      <c r="M46" s="438"/>
      <c r="N46" s="438"/>
      <c r="O46" s="438"/>
      <c r="P46" s="438"/>
      <c r="Q46" s="438"/>
      <c r="R46" s="438"/>
      <c r="S46" s="438"/>
      <c r="T46" s="438"/>
    </row>
    <row r="47" spans="13:20" x14ac:dyDescent="0.2">
      <c r="N47" s="179"/>
      <c r="P47" s="102"/>
      <c r="Q47" s="179"/>
    </row>
    <row r="48" spans="13:20" x14ac:dyDescent="0.2">
      <c r="N48" s="179"/>
      <c r="P48" s="102"/>
      <c r="Q48" s="179"/>
    </row>
    <row r="49" spans="13:16" ht="19" x14ac:dyDescent="0.25">
      <c r="M49" s="123" t="s">
        <v>177</v>
      </c>
    </row>
    <row r="50" spans="13:16" x14ac:dyDescent="0.2">
      <c r="M50" s="172" t="s">
        <v>182</v>
      </c>
    </row>
    <row r="53" spans="13:16" x14ac:dyDescent="0.2">
      <c r="M53" s="102"/>
    </row>
    <row r="54" spans="13:16" x14ac:dyDescent="0.2">
      <c r="M54" s="102"/>
    </row>
    <row r="55" spans="13:16" x14ac:dyDescent="0.2">
      <c r="M55" s="102"/>
    </row>
    <row r="56" spans="13:16" x14ac:dyDescent="0.2">
      <c r="M56" s="102"/>
    </row>
    <row r="58" spans="13:16" x14ac:dyDescent="0.2">
      <c r="M58" s="102"/>
    </row>
    <row r="60" spans="13:16" x14ac:dyDescent="0.2">
      <c r="M60" s="172"/>
      <c r="N60" s="172"/>
      <c r="O60" s="172"/>
      <c r="P60" s="172"/>
    </row>
    <row r="61" spans="13:16" x14ac:dyDescent="0.2">
      <c r="M61" s="172"/>
      <c r="N61" s="172"/>
      <c r="O61" s="172"/>
      <c r="P61" s="172"/>
    </row>
    <row r="62" spans="13:16" x14ac:dyDescent="0.2">
      <c r="M62" s="172"/>
      <c r="N62" s="172"/>
      <c r="O62" s="102"/>
      <c r="P62" s="102"/>
    </row>
    <row r="63" spans="13:16" x14ac:dyDescent="0.2">
      <c r="M63" s="179"/>
      <c r="N63" s="179"/>
      <c r="O63" s="178"/>
      <c r="P63" s="178"/>
    </row>
    <row r="67" spans="13:17" x14ac:dyDescent="0.2">
      <c r="M67" s="102"/>
      <c r="N67" s="178"/>
    </row>
    <row r="70" spans="13:17" x14ac:dyDescent="0.2">
      <c r="N70" s="114"/>
      <c r="O70" s="114"/>
      <c r="P70" s="114"/>
      <c r="Q70" s="114"/>
    </row>
    <row r="71" spans="13:17" x14ac:dyDescent="0.2">
      <c r="N71" s="114"/>
      <c r="O71" s="114"/>
      <c r="P71" s="114"/>
      <c r="Q71" s="114"/>
    </row>
    <row r="75" spans="13:17" x14ac:dyDescent="0.2">
      <c r="M75" s="102"/>
      <c r="N75" s="178"/>
      <c r="O75" s="102"/>
      <c r="P75" s="102"/>
      <c r="Q75" s="102"/>
    </row>
    <row r="76" spans="13:17" x14ac:dyDescent="0.2">
      <c r="M76" s="102"/>
      <c r="N76" s="102"/>
      <c r="O76" s="102"/>
      <c r="P76" s="102"/>
      <c r="Q76" s="102"/>
    </row>
    <row r="77" spans="13:17" x14ac:dyDescent="0.2">
      <c r="M77" s="102"/>
      <c r="N77" s="102"/>
      <c r="O77" s="102"/>
      <c r="P77" s="102"/>
      <c r="Q77" s="102"/>
    </row>
    <row r="78" spans="13:17" x14ac:dyDescent="0.2">
      <c r="M78" s="102"/>
      <c r="N78" s="102"/>
      <c r="O78" s="102"/>
      <c r="P78" s="102"/>
      <c r="Q78" s="102"/>
    </row>
    <row r="79" spans="13:17" x14ac:dyDescent="0.2">
      <c r="M79" s="102"/>
      <c r="N79" s="178"/>
      <c r="O79" s="102"/>
      <c r="P79" s="102"/>
      <c r="Q79" s="102"/>
    </row>
    <row r="80" spans="13:17" x14ac:dyDescent="0.2">
      <c r="M80" s="102"/>
      <c r="N80" s="178"/>
      <c r="O80" s="102"/>
      <c r="P80" s="102"/>
      <c r="Q80" s="102"/>
    </row>
    <row r="81" spans="13:17" x14ac:dyDescent="0.2">
      <c r="M81" s="102"/>
      <c r="N81" s="178"/>
      <c r="O81" s="102"/>
      <c r="P81" s="102"/>
      <c r="Q81" s="102"/>
    </row>
    <row r="82" spans="13:17" x14ac:dyDescent="0.2">
      <c r="M82" s="172"/>
      <c r="N82" s="178"/>
      <c r="O82" s="172"/>
      <c r="P82" s="172"/>
      <c r="Q82" s="172"/>
    </row>
    <row r="83" spans="13:17" x14ac:dyDescent="0.2">
      <c r="M83" s="172"/>
      <c r="N83" s="172"/>
      <c r="O83" s="172"/>
      <c r="P83" s="172"/>
      <c r="Q83" s="172"/>
    </row>
    <row r="84" spans="13:17" x14ac:dyDescent="0.2">
      <c r="M84" s="172"/>
      <c r="N84" s="172"/>
      <c r="O84" s="172"/>
      <c r="P84" s="172"/>
      <c r="Q84" s="172"/>
    </row>
    <row r="85" spans="13:17" x14ac:dyDescent="0.2">
      <c r="M85" s="172"/>
      <c r="N85" s="172"/>
      <c r="O85" s="172"/>
      <c r="P85" s="172"/>
      <c r="Q85" s="172"/>
    </row>
    <row r="86" spans="13:17" x14ac:dyDescent="0.2">
      <c r="M86" s="172"/>
      <c r="N86" s="172"/>
      <c r="O86" s="102"/>
      <c r="P86" s="102"/>
      <c r="Q86" s="172"/>
    </row>
    <row r="87" spans="13:17" x14ac:dyDescent="0.2">
      <c r="M87" s="179"/>
      <c r="N87" s="179"/>
      <c r="O87" s="178"/>
      <c r="P87" s="178"/>
      <c r="Q87" s="172"/>
    </row>
    <row r="88" spans="13:17" x14ac:dyDescent="0.2">
      <c r="O88" s="102"/>
      <c r="P88" s="102"/>
      <c r="Q88" s="102"/>
    </row>
    <row r="89" spans="13:17" x14ac:dyDescent="0.2">
      <c r="M89" s="102"/>
      <c r="N89" s="102"/>
      <c r="O89" s="102"/>
      <c r="P89" s="102"/>
      <c r="Q89" s="102"/>
    </row>
    <row r="90" spans="13:17" x14ac:dyDescent="0.2">
      <c r="M90" s="102"/>
      <c r="N90" s="102"/>
      <c r="O90" s="102"/>
      <c r="P90" s="102"/>
      <c r="Q90" s="102"/>
    </row>
    <row r="91" spans="13:17" x14ac:dyDescent="0.2">
      <c r="M91" s="102"/>
      <c r="N91" s="102"/>
      <c r="O91" s="102"/>
      <c r="P91" s="102"/>
      <c r="Q91" s="102"/>
    </row>
    <row r="92" spans="13:17" x14ac:dyDescent="0.2">
      <c r="M92" s="102"/>
      <c r="N92" s="102"/>
      <c r="O92" s="178"/>
      <c r="P92" s="102"/>
      <c r="Q92" s="102"/>
    </row>
    <row r="93" spans="13:17" x14ac:dyDescent="0.2">
      <c r="M93" s="102"/>
      <c r="N93" s="178"/>
      <c r="O93" s="178"/>
    </row>
    <row r="94" spans="13:17" x14ac:dyDescent="0.2">
      <c r="M94" s="102"/>
      <c r="N94" s="178"/>
      <c r="O94" s="102"/>
    </row>
    <row r="95" spans="13:17" x14ac:dyDescent="0.2">
      <c r="M95" s="102"/>
      <c r="N95" s="178"/>
      <c r="O95" s="102"/>
    </row>
    <row r="96" spans="13:17" x14ac:dyDescent="0.2">
      <c r="M96" s="172"/>
      <c r="N96" s="178"/>
      <c r="O96" s="102"/>
      <c r="P96" s="102"/>
      <c r="Q96" s="102"/>
    </row>
    <row r="97" spans="13:17" x14ac:dyDescent="0.2">
      <c r="M97" s="172"/>
      <c r="N97" s="172"/>
      <c r="O97" s="102"/>
      <c r="P97" s="102"/>
      <c r="Q97" s="102"/>
    </row>
    <row r="98" spans="13:17" x14ac:dyDescent="0.2">
      <c r="M98" s="172"/>
      <c r="N98" s="172"/>
      <c r="O98" s="102"/>
      <c r="P98" s="102"/>
      <c r="Q98" s="102"/>
    </row>
    <row r="99" spans="13:17" x14ac:dyDescent="0.2">
      <c r="M99" s="172"/>
      <c r="N99" s="172"/>
      <c r="O99" s="102"/>
      <c r="P99" s="102"/>
      <c r="Q99" s="102"/>
    </row>
    <row r="100" spans="13:17" x14ac:dyDescent="0.2">
      <c r="M100" s="172"/>
      <c r="N100" s="172"/>
      <c r="O100" s="102"/>
      <c r="P100" s="102"/>
      <c r="Q100" s="102"/>
    </row>
    <row r="101" spans="13:17" x14ac:dyDescent="0.2">
      <c r="M101" s="179"/>
      <c r="N101" s="179"/>
      <c r="O101" s="178"/>
      <c r="P101" s="178"/>
      <c r="Q101" s="102"/>
    </row>
    <row r="102" spans="13:17" x14ac:dyDescent="0.2">
      <c r="M102" s="102"/>
      <c r="N102" s="178"/>
    </row>
    <row r="103" spans="13:17" x14ac:dyDescent="0.2">
      <c r="M103" s="102"/>
      <c r="N103" s="178"/>
    </row>
    <row r="106" spans="13:17" x14ac:dyDescent="0.2">
      <c r="N106" s="114"/>
      <c r="O106" s="114"/>
      <c r="P106" s="114"/>
      <c r="Q106" s="114"/>
    </row>
    <row r="107" spans="13:17" x14ac:dyDescent="0.2">
      <c r="N107" s="114"/>
      <c r="O107" s="114"/>
      <c r="P107" s="114"/>
      <c r="Q107" s="114"/>
    </row>
  </sheetData>
  <mergeCells count="10">
    <mergeCell ref="M27:T31"/>
    <mergeCell ref="M35:T36"/>
    <mergeCell ref="M39:T41"/>
    <mergeCell ref="M44:T46"/>
    <mergeCell ref="C5:D5"/>
    <mergeCell ref="C6:D6"/>
    <mergeCell ref="C7:D7"/>
    <mergeCell ref="C8:D8"/>
    <mergeCell ref="B11:I12"/>
    <mergeCell ref="M20:T2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F06D-2B0A-4342-8AD4-8C8FF14864E5}">
  <dimension ref="A1:T53"/>
  <sheetViews>
    <sheetView workbookViewId="0"/>
  </sheetViews>
  <sheetFormatPr baseColWidth="10" defaultColWidth="10.83203125" defaultRowHeight="16" outlineLevelCol="1" x14ac:dyDescent="0.2"/>
  <cols>
    <col min="1" max="1" width="4.5" style="102" customWidth="1"/>
    <col min="2" max="2" width="10.83203125" style="102"/>
    <col min="3" max="3" width="13.83203125" style="102" bestFit="1" customWidth="1"/>
    <col min="4" max="4" width="13.1640625" style="102" bestFit="1" customWidth="1"/>
    <col min="5" max="7" width="10.83203125" style="102"/>
    <col min="8" max="10" width="11.5" style="102" customWidth="1"/>
    <col min="11" max="11" width="10.83203125" style="102"/>
    <col min="12" max="12" width="12" style="102" bestFit="1" customWidth="1"/>
    <col min="13" max="19" width="10.83203125" style="102" hidden="1" customWidth="1" outlineLevel="1"/>
    <col min="20" max="20" width="10.83203125" style="102" collapsed="1"/>
    <col min="21" max="16384" width="10.83203125" style="102"/>
  </cols>
  <sheetData>
    <row r="1" spans="1:19" ht="19" x14ac:dyDescent="0.25">
      <c r="A1" s="219" t="s">
        <v>344</v>
      </c>
      <c r="B1" s="121"/>
      <c r="C1" s="120"/>
      <c r="D1" s="120"/>
      <c r="E1" s="120"/>
      <c r="F1" s="218"/>
      <c r="G1" s="218"/>
      <c r="H1" s="218"/>
      <c r="I1" s="218"/>
      <c r="J1" s="217"/>
      <c r="L1" s="117" t="s">
        <v>343</v>
      </c>
    </row>
    <row r="2" spans="1:19" x14ac:dyDescent="0.2">
      <c r="A2" s="211"/>
      <c r="B2" s="129"/>
      <c r="C2" s="129"/>
      <c r="D2" s="129"/>
      <c r="E2" s="129"/>
      <c r="F2" s="129"/>
      <c r="G2" s="129"/>
      <c r="H2" s="129"/>
      <c r="I2" s="129"/>
      <c r="J2" s="210"/>
    </row>
    <row r="3" spans="1:19" x14ac:dyDescent="0.2">
      <c r="A3" s="211"/>
      <c r="B3" s="212" t="s">
        <v>342</v>
      </c>
      <c r="C3" s="129"/>
      <c r="D3" s="129"/>
      <c r="E3" s="129"/>
      <c r="F3" s="129"/>
      <c r="G3" s="129"/>
      <c r="H3" s="129"/>
      <c r="I3" s="129"/>
      <c r="J3" s="210"/>
      <c r="M3" s="216" t="s">
        <v>342</v>
      </c>
    </row>
    <row r="4" spans="1:19" x14ac:dyDescent="0.2">
      <c r="A4" s="211"/>
      <c r="B4" s="129"/>
      <c r="C4" s="129"/>
      <c r="D4" s="129"/>
      <c r="E4" s="129"/>
      <c r="F4" s="129"/>
      <c r="G4" s="129"/>
      <c r="H4" s="129"/>
      <c r="I4" s="129"/>
      <c r="J4" s="210"/>
      <c r="M4" s="206"/>
    </row>
    <row r="5" spans="1:19" x14ac:dyDescent="0.2">
      <c r="A5" s="211"/>
      <c r="B5" s="214" t="s">
        <v>341</v>
      </c>
      <c r="C5" s="129"/>
      <c r="D5" s="129"/>
      <c r="E5" s="129"/>
      <c r="F5" s="129"/>
      <c r="G5" s="129"/>
      <c r="H5" s="129"/>
      <c r="I5" s="129"/>
      <c r="J5" s="210"/>
      <c r="M5" s="414" t="s">
        <v>340</v>
      </c>
      <c r="N5" s="414"/>
      <c r="O5" s="414"/>
      <c r="P5" s="414"/>
      <c r="Q5" s="414"/>
      <c r="R5" s="414"/>
      <c r="S5" s="414"/>
    </row>
    <row r="6" spans="1:19" x14ac:dyDescent="0.2">
      <c r="A6" s="211"/>
      <c r="B6" s="112"/>
      <c r="C6" s="129"/>
      <c r="D6" s="129"/>
      <c r="E6" s="129"/>
      <c r="F6" s="213"/>
      <c r="G6" s="213"/>
      <c r="H6" s="129"/>
      <c r="I6" s="129"/>
      <c r="J6" s="210"/>
      <c r="M6" s="414"/>
      <c r="N6" s="414"/>
      <c r="O6" s="414"/>
      <c r="P6" s="414"/>
      <c r="Q6" s="414"/>
      <c r="R6" s="414"/>
      <c r="S6" s="414"/>
    </row>
    <row r="7" spans="1:19" x14ac:dyDescent="0.2">
      <c r="A7" s="211"/>
      <c r="B7" s="212" t="s">
        <v>331</v>
      </c>
      <c r="C7" s="129"/>
      <c r="D7" s="129"/>
      <c r="E7" s="213"/>
      <c r="F7" s="215"/>
      <c r="G7" s="129"/>
      <c r="H7" s="129"/>
      <c r="I7" s="129"/>
      <c r="J7" s="210"/>
      <c r="M7" s="206"/>
    </row>
    <row r="8" spans="1:19" x14ac:dyDescent="0.2">
      <c r="A8" s="211"/>
      <c r="B8" s="129"/>
      <c r="C8" s="129"/>
      <c r="D8" s="129"/>
      <c r="E8" s="213"/>
      <c r="F8" s="215"/>
      <c r="G8" s="129"/>
      <c r="H8" s="129"/>
      <c r="I8" s="129"/>
      <c r="J8" s="210"/>
      <c r="M8" s="414" t="s">
        <v>339</v>
      </c>
      <c r="N8" s="414"/>
      <c r="O8" s="414"/>
      <c r="P8" s="414"/>
      <c r="Q8" s="414"/>
      <c r="R8" s="414"/>
      <c r="S8" s="414"/>
    </row>
    <row r="9" spans="1:19" x14ac:dyDescent="0.2">
      <c r="A9" s="211"/>
      <c r="B9" s="214" t="s">
        <v>338</v>
      </c>
      <c r="C9" s="129"/>
      <c r="D9" s="129"/>
      <c r="E9" s="129"/>
      <c r="F9" s="213"/>
      <c r="G9" s="129"/>
      <c r="H9" s="129"/>
      <c r="I9" s="129"/>
      <c r="J9" s="210"/>
      <c r="M9" s="414"/>
      <c r="N9" s="414"/>
      <c r="O9" s="414"/>
      <c r="P9" s="414"/>
      <c r="Q9" s="414"/>
      <c r="R9" s="414"/>
      <c r="S9" s="414"/>
    </row>
    <row r="10" spans="1:19" x14ac:dyDescent="0.2">
      <c r="A10" s="211"/>
      <c r="B10" s="129"/>
      <c r="C10" s="129"/>
      <c r="D10" s="129"/>
      <c r="E10" s="129"/>
      <c r="F10" s="129"/>
      <c r="G10" s="129"/>
      <c r="H10" s="129"/>
      <c r="I10" s="129"/>
      <c r="J10" s="210"/>
      <c r="M10" s="414"/>
      <c r="N10" s="414"/>
      <c r="O10" s="414"/>
      <c r="P10" s="414"/>
      <c r="Q10" s="414"/>
      <c r="R10" s="414"/>
      <c r="S10" s="414"/>
    </row>
    <row r="11" spans="1:19" x14ac:dyDescent="0.2">
      <c r="A11" s="211"/>
      <c r="B11" s="212" t="s">
        <v>327</v>
      </c>
      <c r="C11" s="129"/>
      <c r="D11" s="129"/>
      <c r="E11" s="129"/>
      <c r="F11" s="129"/>
      <c r="G11" s="129"/>
      <c r="H11" s="129"/>
      <c r="I11" s="129"/>
      <c r="J11" s="210"/>
    </row>
    <row r="12" spans="1:19" x14ac:dyDescent="0.2">
      <c r="A12" s="211"/>
      <c r="B12" s="129"/>
      <c r="C12" s="129"/>
      <c r="D12" s="129"/>
      <c r="E12" s="129"/>
      <c r="F12" s="129"/>
      <c r="G12" s="129"/>
      <c r="H12" s="129"/>
      <c r="I12" s="129"/>
      <c r="J12" s="210"/>
      <c r="M12" s="414" t="s">
        <v>337</v>
      </c>
      <c r="N12" s="414"/>
      <c r="O12" s="414"/>
      <c r="P12" s="414"/>
      <c r="Q12" s="414"/>
      <c r="R12" s="414"/>
      <c r="S12" s="414"/>
    </row>
    <row r="13" spans="1:19" x14ac:dyDescent="0.2">
      <c r="A13" s="211"/>
      <c r="B13" s="437" t="s">
        <v>336</v>
      </c>
      <c r="C13" s="437"/>
      <c r="D13" s="437"/>
      <c r="E13" s="437"/>
      <c r="F13" s="437"/>
      <c r="G13" s="437"/>
      <c r="H13" s="129"/>
      <c r="I13" s="129"/>
      <c r="J13" s="210"/>
      <c r="M13" s="414"/>
      <c r="N13" s="414"/>
      <c r="O13" s="414"/>
      <c r="P13" s="414"/>
      <c r="Q13" s="414"/>
      <c r="R13" s="414"/>
      <c r="S13" s="414"/>
    </row>
    <row r="14" spans="1:19" x14ac:dyDescent="0.2">
      <c r="A14" s="211"/>
      <c r="B14" s="437"/>
      <c r="C14" s="437"/>
      <c r="D14" s="437"/>
      <c r="E14" s="437"/>
      <c r="F14" s="437"/>
      <c r="G14" s="437"/>
      <c r="H14" s="129"/>
      <c r="I14" s="129"/>
      <c r="J14" s="210"/>
    </row>
    <row r="15" spans="1:19" x14ac:dyDescent="0.2">
      <c r="A15" s="211"/>
      <c r="B15" s="129"/>
      <c r="C15" s="129"/>
      <c r="D15" s="129"/>
      <c r="E15" s="129"/>
      <c r="F15" s="129"/>
      <c r="G15" s="129"/>
      <c r="H15" s="129"/>
      <c r="I15" s="129"/>
      <c r="J15" s="210"/>
      <c r="M15" s="414" t="s">
        <v>335</v>
      </c>
      <c r="N15" s="414"/>
      <c r="O15" s="414"/>
      <c r="P15" s="414"/>
      <c r="Q15" s="414"/>
      <c r="R15" s="414"/>
      <c r="S15" s="414"/>
    </row>
    <row r="16" spans="1:19" x14ac:dyDescent="0.2">
      <c r="A16" s="211"/>
      <c r="B16" s="212" t="s">
        <v>325</v>
      </c>
      <c r="C16" s="129"/>
      <c r="D16" s="129"/>
      <c r="E16" s="129"/>
      <c r="F16" s="129"/>
      <c r="G16" s="129"/>
      <c r="H16" s="129"/>
      <c r="I16" s="129"/>
      <c r="J16" s="210"/>
      <c r="M16" s="414"/>
      <c r="N16" s="414"/>
      <c r="O16" s="414"/>
      <c r="P16" s="414"/>
      <c r="Q16" s="414"/>
      <c r="R16" s="414"/>
      <c r="S16" s="414"/>
    </row>
    <row r="17" spans="1:19" x14ac:dyDescent="0.2">
      <c r="A17" s="211"/>
      <c r="B17" s="129"/>
      <c r="C17" s="129"/>
      <c r="D17" s="129"/>
      <c r="E17" s="129"/>
      <c r="F17" s="129"/>
      <c r="G17" s="129"/>
      <c r="H17" s="129"/>
      <c r="I17" s="129"/>
      <c r="J17" s="210"/>
    </row>
    <row r="18" spans="1:19" x14ac:dyDescent="0.2">
      <c r="A18" s="211"/>
      <c r="B18" s="437" t="s">
        <v>334</v>
      </c>
      <c r="C18" s="437"/>
      <c r="D18" s="437"/>
      <c r="E18" s="437"/>
      <c r="F18" s="437"/>
      <c r="G18" s="437"/>
      <c r="H18" s="129"/>
      <c r="I18" s="129"/>
      <c r="J18" s="210"/>
      <c r="M18" s="414" t="s">
        <v>333</v>
      </c>
      <c r="N18" s="414"/>
      <c r="O18" s="414"/>
      <c r="P18" s="414"/>
      <c r="Q18" s="414"/>
      <c r="R18" s="414"/>
      <c r="S18" s="414"/>
    </row>
    <row r="19" spans="1:19" x14ac:dyDescent="0.2">
      <c r="A19" s="211"/>
      <c r="B19" s="437"/>
      <c r="C19" s="437"/>
      <c r="D19" s="437"/>
      <c r="E19" s="437"/>
      <c r="F19" s="437"/>
      <c r="G19" s="437"/>
      <c r="H19" s="129"/>
      <c r="I19" s="129"/>
      <c r="J19" s="210"/>
      <c r="M19" s="414"/>
      <c r="N19" s="414"/>
      <c r="O19" s="414"/>
      <c r="P19" s="414"/>
      <c r="Q19" s="414"/>
      <c r="R19" s="414"/>
      <c r="S19" s="414"/>
    </row>
    <row r="20" spans="1:19" ht="17" thickBot="1" x14ac:dyDescent="0.25">
      <c r="A20" s="211"/>
      <c r="B20" s="129"/>
      <c r="C20" s="129"/>
      <c r="D20" s="129"/>
      <c r="E20" s="129"/>
      <c r="F20" s="129"/>
      <c r="G20" s="129"/>
      <c r="H20" s="129"/>
      <c r="I20" s="129"/>
      <c r="J20" s="210"/>
      <c r="M20" s="414"/>
      <c r="N20" s="414"/>
      <c r="O20" s="414"/>
      <c r="P20" s="414"/>
      <c r="Q20" s="414"/>
      <c r="R20" s="414"/>
      <c r="S20" s="414"/>
    </row>
    <row r="21" spans="1:19" ht="17" thickBot="1" x14ac:dyDescent="0.25">
      <c r="A21" s="209" t="s">
        <v>153</v>
      </c>
      <c r="B21" s="208"/>
      <c r="C21" s="208"/>
      <c r="D21" s="208"/>
      <c r="E21" s="208"/>
      <c r="F21" s="208"/>
      <c r="G21" s="208"/>
      <c r="H21" s="208"/>
      <c r="I21" s="208"/>
      <c r="J21" s="207"/>
    </row>
    <row r="22" spans="1:19" x14ac:dyDescent="0.2">
      <c r="M22" s="414" t="s">
        <v>332</v>
      </c>
      <c r="N22" s="414"/>
      <c r="O22" s="414"/>
      <c r="P22" s="414"/>
      <c r="Q22" s="414"/>
      <c r="R22" s="414"/>
      <c r="S22" s="414"/>
    </row>
    <row r="23" spans="1:19" x14ac:dyDescent="0.2">
      <c r="M23" s="414"/>
      <c r="N23" s="414"/>
      <c r="O23" s="414"/>
      <c r="P23" s="414"/>
      <c r="Q23" s="414"/>
      <c r="R23" s="414"/>
      <c r="S23" s="414"/>
    </row>
    <row r="25" spans="1:19" x14ac:dyDescent="0.2">
      <c r="M25" s="196" t="s">
        <v>331</v>
      </c>
    </row>
    <row r="27" spans="1:19" x14ac:dyDescent="0.2">
      <c r="M27" s="414" t="s">
        <v>330</v>
      </c>
      <c r="N27" s="414"/>
      <c r="O27" s="414"/>
      <c r="P27" s="414"/>
      <c r="Q27" s="414"/>
      <c r="R27" s="414"/>
      <c r="S27" s="414"/>
    </row>
    <row r="28" spans="1:19" x14ac:dyDescent="0.2">
      <c r="M28" s="414"/>
      <c r="N28" s="414"/>
      <c r="O28" s="414"/>
      <c r="P28" s="414"/>
      <c r="Q28" s="414"/>
      <c r="R28" s="414"/>
      <c r="S28" s="414"/>
    </row>
    <row r="29" spans="1:19" x14ac:dyDescent="0.2">
      <c r="M29" s="206"/>
    </row>
    <row r="30" spans="1:19" x14ac:dyDescent="0.2">
      <c r="M30" s="414" t="s">
        <v>329</v>
      </c>
      <c r="N30" s="414"/>
      <c r="O30" s="414"/>
      <c r="P30" s="414"/>
      <c r="Q30" s="414"/>
      <c r="R30" s="414"/>
      <c r="S30" s="414"/>
    </row>
    <row r="31" spans="1:19" x14ac:dyDescent="0.2">
      <c r="M31" s="414"/>
      <c r="N31" s="414"/>
      <c r="O31" s="414"/>
      <c r="P31" s="414"/>
      <c r="Q31" s="414"/>
      <c r="R31" s="414"/>
      <c r="S31" s="414"/>
    </row>
    <row r="32" spans="1:19" x14ac:dyDescent="0.2">
      <c r="M32" s="206"/>
    </row>
    <row r="33" spans="13:19" x14ac:dyDescent="0.2">
      <c r="M33" s="414" t="s">
        <v>328</v>
      </c>
      <c r="N33" s="414"/>
      <c r="O33" s="414"/>
      <c r="P33" s="414"/>
      <c r="Q33" s="414"/>
      <c r="R33" s="414"/>
      <c r="S33" s="414"/>
    </row>
    <row r="34" spans="13:19" x14ac:dyDescent="0.2">
      <c r="M34" s="414"/>
      <c r="N34" s="414"/>
      <c r="O34" s="414"/>
      <c r="P34" s="414"/>
      <c r="Q34" s="414"/>
      <c r="R34" s="414"/>
      <c r="S34" s="414"/>
    </row>
    <row r="35" spans="13:19" x14ac:dyDescent="0.2">
      <c r="M35" s="414"/>
      <c r="N35" s="414"/>
      <c r="O35" s="414"/>
      <c r="P35" s="414"/>
      <c r="Q35" s="414"/>
      <c r="R35" s="414"/>
      <c r="S35" s="414"/>
    </row>
    <row r="37" spans="13:19" x14ac:dyDescent="0.2">
      <c r="M37" s="196" t="s">
        <v>327</v>
      </c>
    </row>
    <row r="39" spans="13:19" x14ac:dyDescent="0.2">
      <c r="M39" s="413" t="s">
        <v>326</v>
      </c>
      <c r="N39" s="413"/>
      <c r="O39" s="413"/>
      <c r="P39" s="413"/>
      <c r="Q39" s="413"/>
      <c r="R39" s="413"/>
      <c r="S39" s="413"/>
    </row>
    <row r="40" spans="13:19" x14ac:dyDescent="0.2">
      <c r="M40" s="413"/>
      <c r="N40" s="413"/>
      <c r="O40" s="413"/>
      <c r="P40" s="413"/>
      <c r="Q40" s="413"/>
      <c r="R40" s="413"/>
      <c r="S40" s="413"/>
    </row>
    <row r="41" spans="13:19" x14ac:dyDescent="0.2">
      <c r="M41" s="413"/>
      <c r="N41" s="413"/>
      <c r="O41" s="413"/>
      <c r="P41" s="413"/>
      <c r="Q41" s="413"/>
      <c r="R41" s="413"/>
      <c r="S41" s="413"/>
    </row>
    <row r="42" spans="13:19" x14ac:dyDescent="0.2">
      <c r="M42" s="413"/>
      <c r="N42" s="413"/>
      <c r="O42" s="413"/>
      <c r="P42" s="413"/>
      <c r="Q42" s="413"/>
      <c r="R42" s="413"/>
      <c r="S42" s="413"/>
    </row>
    <row r="43" spans="13:19" x14ac:dyDescent="0.2">
      <c r="M43" s="413"/>
      <c r="N43" s="413"/>
      <c r="O43" s="413"/>
      <c r="P43" s="413"/>
      <c r="Q43" s="413"/>
      <c r="R43" s="413"/>
      <c r="S43" s="413"/>
    </row>
    <row r="44" spans="13:19" x14ac:dyDescent="0.2">
      <c r="M44" s="413"/>
      <c r="N44" s="413"/>
      <c r="O44" s="413"/>
      <c r="P44" s="413"/>
      <c r="Q44" s="413"/>
      <c r="R44" s="413"/>
      <c r="S44" s="413"/>
    </row>
    <row r="46" spans="13:19" x14ac:dyDescent="0.2">
      <c r="M46" s="196" t="s">
        <v>325</v>
      </c>
    </row>
    <row r="48" spans="13:19" x14ac:dyDescent="0.2">
      <c r="M48" s="206" t="s">
        <v>583</v>
      </c>
    </row>
    <row r="49" spans="13:19" x14ac:dyDescent="0.2">
      <c r="M49" s="206" t="s">
        <v>324</v>
      </c>
    </row>
    <row r="50" spans="13:19" x14ac:dyDescent="0.2">
      <c r="M50" s="414" t="s">
        <v>323</v>
      </c>
      <c r="N50" s="414"/>
      <c r="O50" s="414"/>
      <c r="P50" s="414"/>
      <c r="Q50" s="414"/>
      <c r="R50" s="414"/>
      <c r="S50" s="414"/>
    </row>
    <row r="51" spans="13:19" x14ac:dyDescent="0.2">
      <c r="M51" s="414"/>
      <c r="N51" s="414"/>
      <c r="O51" s="414"/>
      <c r="P51" s="414"/>
      <c r="Q51" s="414"/>
      <c r="R51" s="414"/>
      <c r="S51" s="414"/>
    </row>
    <row r="52" spans="13:19" x14ac:dyDescent="0.2">
      <c r="M52" s="205"/>
    </row>
    <row r="53" spans="13:19" x14ac:dyDescent="0.2">
      <c r="M53" s="205"/>
    </row>
  </sheetData>
  <mergeCells count="13">
    <mergeCell ref="M30:S31"/>
    <mergeCell ref="M33:S35"/>
    <mergeCell ref="M39:S44"/>
    <mergeCell ref="M50:S51"/>
    <mergeCell ref="B13:G14"/>
    <mergeCell ref="B18:G19"/>
    <mergeCell ref="M22:S23"/>
    <mergeCell ref="M27:S28"/>
    <mergeCell ref="M5:S6"/>
    <mergeCell ref="M8:S10"/>
    <mergeCell ref="M12:S13"/>
    <mergeCell ref="M15:S16"/>
    <mergeCell ref="M18:S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E4243-6AD7-1444-893E-A73FCEFAEFEB}">
  <dimension ref="A1:X42"/>
  <sheetViews>
    <sheetView zoomScaleNormal="100" workbookViewId="0">
      <selection activeCell="B1" sqref="B1"/>
    </sheetView>
  </sheetViews>
  <sheetFormatPr baseColWidth="10" defaultColWidth="11" defaultRowHeight="16" outlineLevelCol="1" x14ac:dyDescent="0.2"/>
  <cols>
    <col min="1" max="1" width="4" style="102" customWidth="1"/>
    <col min="2" max="2" width="11.5" customWidth="1"/>
    <col min="16" max="16" width="10.83203125" hidden="1" customWidth="1" outlineLevel="1"/>
    <col min="17" max="17" width="13.33203125" hidden="1" customWidth="1" outlineLevel="1"/>
    <col min="18" max="23" width="10.83203125" hidden="1" customWidth="1" outlineLevel="1"/>
    <col min="24" max="24" width="11.6640625" bestFit="1" customWidth="1" collapsed="1"/>
  </cols>
  <sheetData>
    <row r="1" spans="1:23" x14ac:dyDescent="0.2">
      <c r="A1" s="243"/>
      <c r="B1" s="121" t="s">
        <v>374</v>
      </c>
      <c r="C1" s="120" t="s">
        <v>373</v>
      </c>
      <c r="D1" s="120" t="s">
        <v>372</v>
      </c>
      <c r="E1" s="120" t="s">
        <v>371</v>
      </c>
      <c r="F1" s="119"/>
      <c r="G1" s="119"/>
      <c r="H1" s="119"/>
      <c r="I1" s="119"/>
      <c r="J1" s="119"/>
      <c r="K1" s="119"/>
      <c r="L1" s="119"/>
      <c r="M1" s="119"/>
      <c r="N1" s="118"/>
      <c r="O1" s="96" t="s">
        <v>154</v>
      </c>
      <c r="P1" s="96"/>
    </row>
    <row r="2" spans="1:23" x14ac:dyDescent="0.2">
      <c r="A2" s="211"/>
      <c r="B2" s="242" t="s">
        <v>370</v>
      </c>
      <c r="C2" s="241">
        <v>2</v>
      </c>
      <c r="D2" s="107"/>
      <c r="E2" s="107"/>
      <c r="F2" s="107"/>
      <c r="G2" s="107"/>
      <c r="H2" s="107"/>
      <c r="I2" s="107"/>
      <c r="J2" s="107"/>
      <c r="K2" s="107"/>
      <c r="L2" s="107"/>
      <c r="M2" s="107"/>
      <c r="N2" s="106"/>
    </row>
    <row r="3" spans="1:23" x14ac:dyDescent="0.2">
      <c r="A3" s="211"/>
      <c r="B3" s="107"/>
      <c r="C3" s="107"/>
      <c r="D3" s="107"/>
      <c r="E3" s="107"/>
      <c r="F3" s="107"/>
      <c r="G3" s="107"/>
      <c r="H3" s="107"/>
      <c r="I3" s="107"/>
      <c r="J3" s="107"/>
      <c r="K3" s="107"/>
      <c r="L3" s="107"/>
      <c r="M3" s="107"/>
      <c r="N3" s="106"/>
      <c r="P3" s="96" t="s">
        <v>369</v>
      </c>
    </row>
    <row r="4" spans="1:23" x14ac:dyDescent="0.2">
      <c r="A4" s="211"/>
      <c r="B4" s="107"/>
      <c r="C4" s="107" t="s">
        <v>368</v>
      </c>
      <c r="D4" s="107"/>
      <c r="E4" s="107"/>
      <c r="F4" s="107"/>
      <c r="G4" s="107"/>
      <c r="H4" s="107"/>
      <c r="I4" s="107"/>
      <c r="J4" s="107"/>
      <c r="K4" s="107"/>
      <c r="L4" s="107"/>
      <c r="M4" s="107"/>
      <c r="N4" s="106"/>
      <c r="P4" s="447" t="s">
        <v>367</v>
      </c>
      <c r="Q4" s="447"/>
      <c r="R4" s="447"/>
      <c r="S4" s="447"/>
      <c r="T4" s="447"/>
      <c r="U4" s="447"/>
      <c r="V4" s="447"/>
      <c r="W4" s="447"/>
    </row>
    <row r="5" spans="1:23" x14ac:dyDescent="0.2">
      <c r="A5" s="211"/>
      <c r="B5" s="107"/>
      <c r="C5" s="107"/>
      <c r="D5" s="107"/>
      <c r="E5" s="107"/>
      <c r="F5" s="107"/>
      <c r="G5" s="107"/>
      <c r="H5" s="107"/>
      <c r="I5" s="107"/>
      <c r="J5" s="107"/>
      <c r="K5" s="107"/>
      <c r="L5" s="107"/>
      <c r="M5" s="107"/>
      <c r="N5" s="106"/>
      <c r="P5" s="447"/>
      <c r="Q5" s="447"/>
      <c r="R5" s="447"/>
      <c r="S5" s="447"/>
      <c r="T5" s="447"/>
      <c r="U5" s="447"/>
      <c r="V5" s="447"/>
      <c r="W5" s="447"/>
    </row>
    <row r="6" spans="1:23" x14ac:dyDescent="0.2">
      <c r="A6" s="211"/>
      <c r="B6" s="107"/>
      <c r="C6" s="446" t="s">
        <v>366</v>
      </c>
      <c r="D6" s="446"/>
      <c r="E6" s="446"/>
      <c r="F6" s="446"/>
      <c r="G6" s="446"/>
      <c r="H6" s="446"/>
      <c r="I6" s="446"/>
      <c r="J6" s="446"/>
      <c r="K6" s="446"/>
      <c r="L6" s="446"/>
      <c r="M6" s="446"/>
      <c r="N6" s="106"/>
      <c r="P6" s="447"/>
      <c r="Q6" s="447"/>
      <c r="R6" s="447"/>
      <c r="S6" s="447"/>
      <c r="T6" s="447"/>
      <c r="U6" s="447"/>
      <c r="V6" s="447"/>
      <c r="W6" s="447"/>
    </row>
    <row r="7" spans="1:23" x14ac:dyDescent="0.2">
      <c r="A7" s="211"/>
      <c r="B7" s="107"/>
      <c r="C7" s="446" t="s">
        <v>365</v>
      </c>
      <c r="D7" s="446"/>
      <c r="E7" s="446"/>
      <c r="F7" s="446"/>
      <c r="G7" s="446"/>
      <c r="H7" s="446"/>
      <c r="I7" s="446"/>
      <c r="J7" s="446"/>
      <c r="K7" s="446"/>
      <c r="L7" s="446"/>
      <c r="M7" s="446"/>
      <c r="N7" s="106"/>
    </row>
    <row r="8" spans="1:23" x14ac:dyDescent="0.2">
      <c r="A8" s="211"/>
      <c r="B8" s="107"/>
      <c r="C8" s="135" t="s">
        <v>364</v>
      </c>
      <c r="D8" s="135">
        <v>0</v>
      </c>
      <c r="E8" s="188">
        <v>1</v>
      </c>
      <c r="F8" s="188">
        <v>2</v>
      </c>
      <c r="G8" s="188">
        <v>3</v>
      </c>
      <c r="H8" s="188">
        <v>4</v>
      </c>
      <c r="I8" s="188">
        <v>5</v>
      </c>
      <c r="J8" s="188">
        <v>6</v>
      </c>
      <c r="K8" s="188">
        <v>7</v>
      </c>
      <c r="L8" s="188">
        <v>8</v>
      </c>
      <c r="M8" s="187">
        <v>9</v>
      </c>
      <c r="N8" s="106"/>
      <c r="P8" s="240"/>
      <c r="Q8" s="239" t="s">
        <v>117</v>
      </c>
      <c r="R8" s="239" t="s">
        <v>118</v>
      </c>
      <c r="S8" s="239" t="s">
        <v>119</v>
      </c>
      <c r="T8" s="239" t="s">
        <v>120</v>
      </c>
      <c r="U8" s="239" t="s">
        <v>121</v>
      </c>
      <c r="V8" s="239" t="s">
        <v>122</v>
      </c>
    </row>
    <row r="9" spans="1:23" x14ac:dyDescent="0.2">
      <c r="A9" s="211"/>
      <c r="B9" s="107"/>
      <c r="C9" s="149">
        <v>0</v>
      </c>
      <c r="D9" s="238">
        <v>5400</v>
      </c>
      <c r="E9" s="237">
        <v>10800</v>
      </c>
      <c r="F9" s="237">
        <v>17280</v>
      </c>
      <c r="G9" s="237">
        <v>24192</v>
      </c>
      <c r="H9" s="237">
        <v>29030</v>
      </c>
      <c r="I9" s="237">
        <v>33385</v>
      </c>
      <c r="J9" s="237">
        <v>36056</v>
      </c>
      <c r="K9" s="237">
        <v>37498</v>
      </c>
      <c r="L9" s="237">
        <v>37873</v>
      </c>
      <c r="M9" s="236">
        <v>37873</v>
      </c>
      <c r="N9" s="106"/>
      <c r="P9" s="235" t="s">
        <v>363</v>
      </c>
      <c r="Q9" s="234">
        <f t="shared" ref="Q9:V9" si="0">ABS(E24)/E25</f>
        <v>7.1739130434782611E-2</v>
      </c>
      <c r="R9" s="234">
        <f t="shared" si="0"/>
        <v>1.658371040723982</v>
      </c>
      <c r="S9" s="234">
        <f t="shared" si="0"/>
        <v>0.77083333333333337</v>
      </c>
      <c r="T9" s="234">
        <f t="shared" si="0"/>
        <v>1.0577385725741781</v>
      </c>
      <c r="U9" s="234">
        <f t="shared" si="0"/>
        <v>1.8147505422993493</v>
      </c>
      <c r="V9" s="234">
        <f t="shared" si="0"/>
        <v>1.3292644757433489</v>
      </c>
    </row>
    <row r="10" spans="1:23" x14ac:dyDescent="0.2">
      <c r="A10" s="211"/>
      <c r="B10" s="107"/>
      <c r="C10" s="171">
        <v>1</v>
      </c>
      <c r="D10" s="232">
        <v>5800</v>
      </c>
      <c r="E10" s="183">
        <v>12039</v>
      </c>
      <c r="F10" s="183">
        <v>19898</v>
      </c>
      <c r="G10" s="183">
        <v>28773</v>
      </c>
      <c r="H10" s="183">
        <v>37369</v>
      </c>
      <c r="I10" s="183">
        <v>46089</v>
      </c>
      <c r="J10" s="183">
        <v>54105</v>
      </c>
      <c r="K10" s="183">
        <v>58895</v>
      </c>
      <c r="L10" s="183">
        <v>64579</v>
      </c>
      <c r="M10" s="195"/>
      <c r="N10" s="106"/>
      <c r="P10" s="233"/>
    </row>
    <row r="11" spans="1:23" x14ac:dyDescent="0.2">
      <c r="A11" s="211"/>
      <c r="B11" s="107"/>
      <c r="C11" s="171">
        <v>2</v>
      </c>
      <c r="D11" s="232">
        <v>3888</v>
      </c>
      <c r="E11" s="183">
        <v>7582</v>
      </c>
      <c r="F11" s="183">
        <v>12199</v>
      </c>
      <c r="G11" s="183">
        <v>16834</v>
      </c>
      <c r="H11" s="183">
        <v>20933</v>
      </c>
      <c r="I11" s="183">
        <v>24367</v>
      </c>
      <c r="J11" s="183">
        <v>27335</v>
      </c>
      <c r="K11" s="183">
        <v>29207</v>
      </c>
      <c r="L11" s="183"/>
      <c r="M11" s="195"/>
      <c r="N11" s="106"/>
    </row>
    <row r="12" spans="1:23" x14ac:dyDescent="0.2">
      <c r="A12" s="211"/>
      <c r="B12" s="107"/>
      <c r="C12" s="171">
        <v>3</v>
      </c>
      <c r="D12" s="232">
        <v>4900</v>
      </c>
      <c r="E12" s="183">
        <v>9930</v>
      </c>
      <c r="F12" s="183">
        <v>16062</v>
      </c>
      <c r="G12" s="183">
        <v>22669</v>
      </c>
      <c r="H12" s="183">
        <v>27533</v>
      </c>
      <c r="I12" s="183">
        <v>32092</v>
      </c>
      <c r="J12" s="183">
        <v>35391</v>
      </c>
      <c r="K12" s="183"/>
      <c r="L12" s="183"/>
      <c r="M12" s="195"/>
      <c r="N12" s="106"/>
      <c r="P12" s="447" t="s">
        <v>362</v>
      </c>
      <c r="Q12" s="447"/>
      <c r="R12" s="447"/>
      <c r="S12" s="447"/>
      <c r="T12" s="447"/>
      <c r="U12" s="447"/>
      <c r="V12" s="447"/>
      <c r="W12" s="447"/>
    </row>
    <row r="13" spans="1:23" x14ac:dyDescent="0.2">
      <c r="A13" s="211"/>
      <c r="B13" s="111"/>
      <c r="C13" s="171">
        <v>4</v>
      </c>
      <c r="D13" s="232">
        <v>5655</v>
      </c>
      <c r="E13" s="183">
        <v>10631</v>
      </c>
      <c r="F13" s="183">
        <v>17123</v>
      </c>
      <c r="G13" s="183">
        <v>23802</v>
      </c>
      <c r="H13" s="183">
        <v>29320</v>
      </c>
      <c r="I13" s="183">
        <v>33980</v>
      </c>
      <c r="J13" s="183"/>
      <c r="K13" s="183"/>
      <c r="L13" s="183"/>
      <c r="M13" s="195"/>
      <c r="N13" s="106"/>
      <c r="P13" s="447"/>
      <c r="Q13" s="447"/>
      <c r="R13" s="447"/>
      <c r="S13" s="447"/>
      <c r="T13" s="447"/>
      <c r="U13" s="447"/>
      <c r="V13" s="447"/>
      <c r="W13" s="447"/>
    </row>
    <row r="14" spans="1:23" x14ac:dyDescent="0.2">
      <c r="A14" s="211"/>
      <c r="B14" s="111"/>
      <c r="C14" s="171">
        <v>5</v>
      </c>
      <c r="D14" s="232">
        <v>4950</v>
      </c>
      <c r="E14" s="183">
        <v>10313</v>
      </c>
      <c r="F14" s="183">
        <v>16568</v>
      </c>
      <c r="G14" s="183">
        <v>23712</v>
      </c>
      <c r="H14" s="183">
        <v>29215</v>
      </c>
      <c r="I14" s="183"/>
      <c r="J14" s="183"/>
      <c r="K14" s="183"/>
      <c r="L14" s="183"/>
      <c r="M14" s="195"/>
      <c r="N14" s="106"/>
      <c r="P14" s="447"/>
      <c r="Q14" s="447"/>
      <c r="R14" s="447"/>
      <c r="S14" s="447"/>
      <c r="T14" s="447"/>
      <c r="U14" s="447"/>
      <c r="V14" s="447"/>
      <c r="W14" s="447"/>
    </row>
    <row r="15" spans="1:23" x14ac:dyDescent="0.2">
      <c r="A15" s="211"/>
      <c r="B15" s="111"/>
      <c r="C15" s="171">
        <v>6</v>
      </c>
      <c r="D15" s="232">
        <v>6650</v>
      </c>
      <c r="E15" s="183">
        <v>13475</v>
      </c>
      <c r="F15" s="183">
        <v>22703</v>
      </c>
      <c r="G15" s="183">
        <v>30902</v>
      </c>
      <c r="H15" s="183"/>
      <c r="I15" s="183"/>
      <c r="J15" s="183"/>
      <c r="K15" s="183"/>
      <c r="L15" s="183"/>
      <c r="M15" s="195"/>
      <c r="N15" s="106"/>
    </row>
    <row r="16" spans="1:23" x14ac:dyDescent="0.2">
      <c r="A16" s="211"/>
      <c r="B16" s="111"/>
      <c r="C16" s="171">
        <v>7</v>
      </c>
      <c r="D16" s="232">
        <v>4890</v>
      </c>
      <c r="E16" s="183">
        <v>10269</v>
      </c>
      <c r="F16" s="183">
        <v>16512</v>
      </c>
      <c r="G16" s="183"/>
      <c r="H16" s="183"/>
      <c r="I16" s="183"/>
      <c r="J16" s="183"/>
      <c r="K16" s="183"/>
      <c r="L16" s="183"/>
      <c r="M16" s="195"/>
      <c r="N16" s="106"/>
      <c r="P16" s="96" t="s">
        <v>361</v>
      </c>
    </row>
    <row r="17" spans="1:23" x14ac:dyDescent="0.2">
      <c r="A17" s="211"/>
      <c r="B17" s="111"/>
      <c r="C17" s="171">
        <v>8</v>
      </c>
      <c r="D17" s="232">
        <v>5780</v>
      </c>
      <c r="E17" s="183">
        <v>11502</v>
      </c>
      <c r="F17" s="183"/>
      <c r="G17" s="183"/>
      <c r="H17" s="183"/>
      <c r="I17" s="183"/>
      <c r="J17" s="183"/>
      <c r="K17" s="183"/>
      <c r="L17" s="183"/>
      <c r="M17" s="195"/>
      <c r="N17" s="106"/>
      <c r="P17" s="447" t="s">
        <v>360</v>
      </c>
      <c r="Q17" s="447"/>
      <c r="R17" s="447"/>
      <c r="S17" s="447"/>
      <c r="T17" s="447"/>
      <c r="U17" s="447"/>
      <c r="V17" s="447"/>
      <c r="W17" s="447"/>
    </row>
    <row r="18" spans="1:23" x14ac:dyDescent="0.2">
      <c r="A18" s="211"/>
      <c r="B18" s="111"/>
      <c r="C18" s="148">
        <v>9</v>
      </c>
      <c r="D18" s="202">
        <v>4964</v>
      </c>
      <c r="E18" s="189"/>
      <c r="F18" s="189"/>
      <c r="G18" s="189"/>
      <c r="H18" s="189"/>
      <c r="I18" s="189"/>
      <c r="J18" s="189"/>
      <c r="K18" s="189"/>
      <c r="L18" s="189"/>
      <c r="M18" s="204"/>
      <c r="N18" s="106"/>
      <c r="P18" s="447"/>
      <c r="Q18" s="447"/>
      <c r="R18" s="447"/>
      <c r="S18" s="447"/>
      <c r="T18" s="447"/>
      <c r="U18" s="447"/>
      <c r="V18" s="447"/>
      <c r="W18" s="447"/>
    </row>
    <row r="19" spans="1:23" x14ac:dyDescent="0.2">
      <c r="A19" s="211"/>
      <c r="B19" s="111"/>
      <c r="C19" s="107"/>
      <c r="D19" s="107"/>
      <c r="E19" s="107"/>
      <c r="F19" s="107"/>
      <c r="G19" s="107"/>
      <c r="H19" s="107"/>
      <c r="I19" s="107"/>
      <c r="J19" s="107"/>
      <c r="K19" s="107"/>
      <c r="L19" s="107"/>
      <c r="M19" s="107"/>
      <c r="N19" s="106"/>
      <c r="P19" s="447"/>
      <c r="Q19" s="447"/>
      <c r="R19" s="447"/>
      <c r="S19" s="447"/>
      <c r="T19" s="447"/>
      <c r="U19" s="447"/>
      <c r="V19" s="447"/>
      <c r="W19" s="447"/>
    </row>
    <row r="20" spans="1:23" x14ac:dyDescent="0.2">
      <c r="A20" s="211"/>
      <c r="B20" s="111"/>
      <c r="C20" s="437" t="s">
        <v>359</v>
      </c>
      <c r="D20" s="437"/>
      <c r="E20" s="437"/>
      <c r="F20" s="437"/>
      <c r="G20" s="437"/>
      <c r="H20" s="437"/>
      <c r="I20" s="437"/>
      <c r="J20" s="437"/>
      <c r="K20" s="107"/>
      <c r="L20" s="107"/>
      <c r="M20" s="107"/>
      <c r="N20" s="106"/>
    </row>
    <row r="21" spans="1:23" ht="18" x14ac:dyDescent="0.25">
      <c r="A21" s="211"/>
      <c r="B21" s="111"/>
      <c r="C21" s="437"/>
      <c r="D21" s="437"/>
      <c r="E21" s="437"/>
      <c r="F21" s="437"/>
      <c r="G21" s="437"/>
      <c r="H21" s="437"/>
      <c r="I21" s="437"/>
      <c r="J21" s="437"/>
      <c r="K21" s="107"/>
      <c r="L21" s="107"/>
      <c r="M21" s="107"/>
      <c r="N21" s="106"/>
      <c r="V21" s="142" t="s">
        <v>358</v>
      </c>
      <c r="W21" s="231" t="s">
        <v>357</v>
      </c>
    </row>
    <row r="22" spans="1:23" x14ac:dyDescent="0.2">
      <c r="A22" s="211"/>
      <c r="B22" s="111"/>
      <c r="C22" s="107"/>
      <c r="D22" s="107"/>
      <c r="E22" s="107"/>
      <c r="F22" s="107"/>
      <c r="G22" s="107"/>
      <c r="H22" s="107"/>
      <c r="I22" s="107"/>
      <c r="J22" s="107"/>
      <c r="K22" s="107"/>
      <c r="L22" s="107"/>
      <c r="M22" s="107"/>
      <c r="N22" s="106"/>
      <c r="V22" s="152">
        <f t="shared" ref="V22:V30" si="1">D9</f>
        <v>5400</v>
      </c>
      <c r="W22" s="225">
        <f t="shared" ref="W22:W30" si="2">E9-D9</f>
        <v>5400</v>
      </c>
    </row>
    <row r="23" spans="1:23" x14ac:dyDescent="0.2">
      <c r="A23" s="211"/>
      <c r="B23" s="111"/>
      <c r="C23" s="416"/>
      <c r="D23" s="418"/>
      <c r="E23" s="146" t="s">
        <v>117</v>
      </c>
      <c r="F23" s="146" t="s">
        <v>118</v>
      </c>
      <c r="G23" s="146" t="s">
        <v>119</v>
      </c>
      <c r="H23" s="146" t="s">
        <v>120</v>
      </c>
      <c r="I23" s="146" t="s">
        <v>121</v>
      </c>
      <c r="J23" s="145" t="s">
        <v>122</v>
      </c>
      <c r="K23" s="107"/>
      <c r="L23" s="107"/>
      <c r="M23" s="107"/>
      <c r="N23" s="106"/>
      <c r="Q23" s="230"/>
      <c r="V23" s="152">
        <f t="shared" si="1"/>
        <v>5800</v>
      </c>
      <c r="W23" s="225">
        <f t="shared" si="2"/>
        <v>6239</v>
      </c>
    </row>
    <row r="24" spans="1:23" x14ac:dyDescent="0.2">
      <c r="A24" s="211"/>
      <c r="B24" s="111"/>
      <c r="C24" s="441" t="s">
        <v>356</v>
      </c>
      <c r="D24" s="442"/>
      <c r="E24" s="183">
        <v>-66</v>
      </c>
      <c r="F24" s="183">
        <v>-733</v>
      </c>
      <c r="G24" s="183">
        <v>-740</v>
      </c>
      <c r="H24" s="183">
        <v>-2638</v>
      </c>
      <c r="I24" s="183">
        <v>-4183</v>
      </c>
      <c r="J24" s="195">
        <v>-4247</v>
      </c>
      <c r="K24" s="107"/>
      <c r="L24" s="107"/>
      <c r="M24" s="107"/>
      <c r="N24" s="106"/>
      <c r="V24" s="152">
        <f t="shared" si="1"/>
        <v>3888</v>
      </c>
      <c r="W24" s="225">
        <f t="shared" si="2"/>
        <v>3694</v>
      </c>
    </row>
    <row r="25" spans="1:23" x14ac:dyDescent="0.2">
      <c r="A25" s="211"/>
      <c r="B25" s="111"/>
      <c r="C25" s="441" t="s">
        <v>355</v>
      </c>
      <c r="D25" s="442"/>
      <c r="E25" s="183">
        <v>920</v>
      </c>
      <c r="F25" s="183">
        <v>442</v>
      </c>
      <c r="G25" s="183">
        <v>960</v>
      </c>
      <c r="H25" s="183">
        <v>2494</v>
      </c>
      <c r="I25" s="183">
        <v>2305</v>
      </c>
      <c r="J25" s="195">
        <v>3195</v>
      </c>
      <c r="K25" s="107"/>
      <c r="L25" s="107"/>
      <c r="M25" s="107"/>
      <c r="N25" s="106"/>
      <c r="V25" s="152">
        <f t="shared" si="1"/>
        <v>4900</v>
      </c>
      <c r="W25" s="225">
        <f t="shared" si="2"/>
        <v>5030</v>
      </c>
    </row>
    <row r="26" spans="1:23" x14ac:dyDescent="0.2">
      <c r="A26" s="211"/>
      <c r="B26" s="111"/>
      <c r="C26" s="441" t="s">
        <v>354</v>
      </c>
      <c r="D26" s="442"/>
      <c r="E26" s="229">
        <v>1.024</v>
      </c>
      <c r="F26" s="229">
        <v>0.69199999999999995</v>
      </c>
      <c r="G26" s="229">
        <v>0.45300000000000001</v>
      </c>
      <c r="H26" s="229">
        <v>0.35199999999999998</v>
      </c>
      <c r="I26" s="229">
        <v>0.32300000000000001</v>
      </c>
      <c r="J26" s="228">
        <v>0.25</v>
      </c>
      <c r="K26" s="107"/>
      <c r="L26" s="107"/>
      <c r="M26" s="107"/>
      <c r="N26" s="106"/>
      <c r="V26" s="152">
        <f t="shared" si="1"/>
        <v>5655</v>
      </c>
      <c r="W26" s="225">
        <f t="shared" si="2"/>
        <v>4976</v>
      </c>
    </row>
    <row r="27" spans="1:23" x14ac:dyDescent="0.2">
      <c r="A27" s="211"/>
      <c r="B27" s="111"/>
      <c r="C27" s="443" t="s">
        <v>353</v>
      </c>
      <c r="D27" s="444"/>
      <c r="E27" s="227">
        <v>0.17100000000000001</v>
      </c>
      <c r="F27" s="227">
        <v>4.1000000000000002E-2</v>
      </c>
      <c r="G27" s="227">
        <v>5.5E-2</v>
      </c>
      <c r="H27" s="227">
        <v>0.106</v>
      </c>
      <c r="I27" s="227">
        <v>7.9000000000000001E-2</v>
      </c>
      <c r="J27" s="226">
        <v>9.1999999999999998E-2</v>
      </c>
      <c r="K27" s="107"/>
      <c r="L27" s="107"/>
      <c r="M27" s="107"/>
      <c r="N27" s="106"/>
      <c r="V27" s="152">
        <f t="shared" si="1"/>
        <v>4950</v>
      </c>
      <c r="W27" s="225">
        <f t="shared" si="2"/>
        <v>5363</v>
      </c>
    </row>
    <row r="28" spans="1:23" x14ac:dyDescent="0.2">
      <c r="A28" s="211"/>
      <c r="B28" s="111"/>
      <c r="C28" s="107"/>
      <c r="D28" s="107"/>
      <c r="E28" s="107"/>
      <c r="F28" s="107"/>
      <c r="G28" s="107"/>
      <c r="H28" s="107"/>
      <c r="I28" s="107"/>
      <c r="J28" s="107"/>
      <c r="K28" s="107"/>
      <c r="L28" s="107"/>
      <c r="M28" s="107"/>
      <c r="N28" s="106"/>
      <c r="V28" s="152">
        <f t="shared" si="1"/>
        <v>6650</v>
      </c>
      <c r="W28" s="225">
        <f t="shared" si="2"/>
        <v>6825</v>
      </c>
    </row>
    <row r="29" spans="1:23" x14ac:dyDescent="0.2">
      <c r="A29" s="211" t="s">
        <v>0</v>
      </c>
      <c r="B29" s="129" t="s">
        <v>350</v>
      </c>
      <c r="C29" s="107" t="s">
        <v>352</v>
      </c>
      <c r="D29" s="107"/>
      <c r="E29" s="107"/>
      <c r="F29" s="107"/>
      <c r="G29" s="107"/>
      <c r="H29" s="107"/>
      <c r="I29" s="107"/>
      <c r="J29" s="107"/>
      <c r="K29" s="107"/>
      <c r="L29" s="107"/>
      <c r="M29" s="107"/>
      <c r="N29" s="106"/>
      <c r="V29" s="152">
        <f t="shared" si="1"/>
        <v>4890</v>
      </c>
      <c r="W29" s="225">
        <f t="shared" si="2"/>
        <v>5379</v>
      </c>
    </row>
    <row r="30" spans="1:23" x14ac:dyDescent="0.2">
      <c r="A30" s="211"/>
      <c r="B30" s="129"/>
      <c r="C30" s="107" t="s">
        <v>351</v>
      </c>
      <c r="D30" s="107"/>
      <c r="E30" s="107"/>
      <c r="F30" s="107"/>
      <c r="G30" s="107"/>
      <c r="H30" s="107"/>
      <c r="I30" s="107"/>
      <c r="J30" s="107"/>
      <c r="K30" s="107"/>
      <c r="L30" s="107"/>
      <c r="M30" s="107"/>
      <c r="N30" s="106"/>
      <c r="V30" s="152">
        <f t="shared" si="1"/>
        <v>5780</v>
      </c>
      <c r="W30" s="225">
        <f t="shared" si="2"/>
        <v>5722</v>
      </c>
    </row>
    <row r="31" spans="1:23" x14ac:dyDescent="0.2">
      <c r="A31" s="211"/>
      <c r="B31" s="129"/>
      <c r="C31" s="107"/>
      <c r="D31" s="107"/>
      <c r="E31" s="107"/>
      <c r="F31" s="107"/>
      <c r="G31" s="107"/>
      <c r="H31" s="107"/>
      <c r="I31" s="107"/>
      <c r="J31" s="107"/>
      <c r="K31" s="107"/>
      <c r="L31" s="107"/>
      <c r="M31" s="107"/>
      <c r="N31" s="106"/>
    </row>
    <row r="32" spans="1:23" x14ac:dyDescent="0.2">
      <c r="A32" s="211" t="s">
        <v>1</v>
      </c>
      <c r="B32" s="129" t="s">
        <v>350</v>
      </c>
      <c r="C32" s="115" t="s">
        <v>349</v>
      </c>
      <c r="D32" s="107"/>
      <c r="E32" s="107"/>
      <c r="F32" s="107"/>
      <c r="G32" s="107"/>
      <c r="H32" s="107"/>
      <c r="I32" s="107"/>
      <c r="J32" s="107"/>
      <c r="K32" s="107"/>
      <c r="L32" s="107"/>
      <c r="M32" s="107"/>
      <c r="N32" s="106"/>
      <c r="P32" s="222"/>
      <c r="Q32" s="222"/>
      <c r="R32" s="222"/>
      <c r="S32" s="222"/>
      <c r="T32" s="222"/>
      <c r="U32" s="222"/>
      <c r="V32" s="222"/>
      <c r="W32" s="222"/>
    </row>
    <row r="33" spans="1:23" ht="17" thickBot="1" x14ac:dyDescent="0.25">
      <c r="A33" s="211"/>
      <c r="B33" s="107"/>
      <c r="C33" s="115"/>
      <c r="D33" s="107"/>
      <c r="E33" s="107"/>
      <c r="F33" s="107"/>
      <c r="G33" s="107"/>
      <c r="H33" s="107"/>
      <c r="I33" s="107"/>
      <c r="J33" s="107"/>
      <c r="K33" s="107"/>
      <c r="L33" s="107"/>
      <c r="M33" s="107"/>
      <c r="N33" s="106"/>
      <c r="P33" s="448" t="s">
        <v>348</v>
      </c>
      <c r="Q33" s="448"/>
      <c r="R33" s="224">
        <f>SUM(W22:W30)/SUM(V22:V30)</f>
        <v>1.014922881055246</v>
      </c>
      <c r="S33" s="222"/>
      <c r="T33" s="222"/>
      <c r="U33" s="222"/>
      <c r="V33" s="222"/>
      <c r="W33" s="222"/>
    </row>
    <row r="34" spans="1:23" ht="15.75" customHeight="1" thickBot="1" x14ac:dyDescent="0.25">
      <c r="A34" s="209" t="s">
        <v>153</v>
      </c>
      <c r="B34" s="104"/>
      <c r="C34" s="223"/>
      <c r="D34" s="104"/>
      <c r="E34" s="104"/>
      <c r="F34" s="104"/>
      <c r="G34" s="104"/>
      <c r="H34" s="104"/>
      <c r="I34" s="104"/>
      <c r="J34" s="104"/>
      <c r="K34" s="104"/>
      <c r="L34" s="104"/>
      <c r="M34" s="104"/>
      <c r="N34" s="103"/>
      <c r="P34" s="222"/>
      <c r="Q34" s="222"/>
      <c r="R34" s="222"/>
      <c r="S34" s="222"/>
      <c r="T34" s="222"/>
      <c r="U34" s="222"/>
      <c r="V34" s="222"/>
      <c r="W34" s="222"/>
    </row>
    <row r="36" spans="1:23" ht="19" x14ac:dyDescent="0.2">
      <c r="P36" s="220" t="s">
        <v>146</v>
      </c>
    </row>
    <row r="37" spans="1:23" x14ac:dyDescent="0.2">
      <c r="P37" s="447" t="s">
        <v>347</v>
      </c>
      <c r="Q37" s="447"/>
      <c r="R37" s="447"/>
      <c r="S37" s="447"/>
      <c r="T37" s="447"/>
      <c r="U37" s="447"/>
      <c r="V37" s="447"/>
      <c r="W37" s="447"/>
    </row>
    <row r="38" spans="1:23" x14ac:dyDescent="0.2">
      <c r="P38" s="447"/>
      <c r="Q38" s="447"/>
      <c r="R38" s="447"/>
      <c r="S38" s="447"/>
      <c r="T38" s="447"/>
      <c r="U38" s="447"/>
      <c r="V38" s="447"/>
      <c r="W38" s="447"/>
    </row>
    <row r="39" spans="1:23" x14ac:dyDescent="0.2">
      <c r="P39" s="447"/>
      <c r="Q39" s="447"/>
      <c r="R39" s="447"/>
      <c r="S39" s="447"/>
      <c r="T39" s="447"/>
      <c r="U39" s="447"/>
      <c r="V39" s="447"/>
      <c r="W39" s="447"/>
    </row>
    <row r="41" spans="1:23" ht="19" x14ac:dyDescent="0.2">
      <c r="P41" s="220" t="s">
        <v>346</v>
      </c>
    </row>
    <row r="42" spans="1:23" x14ac:dyDescent="0.2">
      <c r="P42" t="s">
        <v>345</v>
      </c>
    </row>
  </sheetData>
  <mergeCells count="13">
    <mergeCell ref="C27:D27"/>
    <mergeCell ref="C23:D23"/>
    <mergeCell ref="C6:M6"/>
    <mergeCell ref="P17:W19"/>
    <mergeCell ref="P37:W39"/>
    <mergeCell ref="P4:W6"/>
    <mergeCell ref="P12:W14"/>
    <mergeCell ref="P33:Q33"/>
    <mergeCell ref="C7:M7"/>
    <mergeCell ref="C24:D24"/>
    <mergeCell ref="C20:J21"/>
    <mergeCell ref="C25:D25"/>
    <mergeCell ref="C26:D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BB5C-2872-9D45-8197-4FAC2AB9C305}">
  <dimension ref="A1:U52"/>
  <sheetViews>
    <sheetView workbookViewId="0">
      <selection activeCell="B1" sqref="B1"/>
    </sheetView>
  </sheetViews>
  <sheetFormatPr baseColWidth="10" defaultColWidth="11" defaultRowHeight="16" outlineLevelCol="1" x14ac:dyDescent="0.2"/>
  <cols>
    <col min="1" max="1" width="4" style="102" customWidth="1"/>
    <col min="2" max="2" width="11.5" customWidth="1"/>
    <col min="13" max="13" width="10.83203125" hidden="1" customWidth="1" outlineLevel="1"/>
    <col min="14" max="14" width="13.33203125" hidden="1" customWidth="1" outlineLevel="1"/>
    <col min="15" max="18" width="10.83203125" hidden="1" customWidth="1" outlineLevel="1"/>
    <col min="19" max="19" width="0" hidden="1" customWidth="1" outlineLevel="1"/>
    <col min="20" max="20" width="11" collapsed="1"/>
  </cols>
  <sheetData>
    <row r="1" spans="1:15" x14ac:dyDescent="0.2">
      <c r="A1" s="243"/>
      <c r="B1" s="121" t="s">
        <v>374</v>
      </c>
      <c r="C1" s="120" t="s">
        <v>401</v>
      </c>
      <c r="D1" s="120" t="s">
        <v>372</v>
      </c>
      <c r="E1" s="120" t="s">
        <v>371</v>
      </c>
      <c r="F1" s="119"/>
      <c r="G1" s="119"/>
      <c r="H1" s="119"/>
      <c r="I1" s="119"/>
      <c r="J1" s="119"/>
      <c r="K1" s="118"/>
      <c r="L1" s="96" t="s">
        <v>154</v>
      </c>
      <c r="M1" s="96"/>
    </row>
    <row r="2" spans="1:15" x14ac:dyDescent="0.2">
      <c r="A2" s="211"/>
      <c r="B2" s="242" t="s">
        <v>370</v>
      </c>
      <c r="C2" s="241">
        <v>3.75</v>
      </c>
      <c r="D2" s="107"/>
      <c r="E2" s="107"/>
      <c r="F2" s="107"/>
      <c r="G2" s="107"/>
      <c r="H2" s="107"/>
      <c r="I2" s="107"/>
      <c r="J2" s="107"/>
      <c r="K2" s="106"/>
    </row>
    <row r="3" spans="1:15" x14ac:dyDescent="0.2">
      <c r="A3" s="211"/>
      <c r="B3" s="107"/>
      <c r="C3" s="107"/>
      <c r="D3" s="107"/>
      <c r="E3" s="107"/>
      <c r="F3" s="107"/>
      <c r="G3" s="107"/>
      <c r="H3" s="107"/>
      <c r="I3" s="107"/>
      <c r="J3" s="107"/>
      <c r="K3" s="106"/>
      <c r="M3" s="96" t="s">
        <v>369</v>
      </c>
    </row>
    <row r="4" spans="1:15" x14ac:dyDescent="0.2">
      <c r="A4" s="211"/>
      <c r="B4" s="107"/>
      <c r="C4" s="107" t="s">
        <v>400</v>
      </c>
      <c r="D4" s="107"/>
      <c r="E4" s="107"/>
      <c r="F4" s="107"/>
      <c r="G4" s="107"/>
      <c r="H4" s="107"/>
      <c r="I4" s="107"/>
      <c r="J4" s="107"/>
      <c r="K4" s="106"/>
      <c r="M4" t="s">
        <v>399</v>
      </c>
    </row>
    <row r="5" spans="1:15" x14ac:dyDescent="0.2">
      <c r="A5" s="211"/>
      <c r="B5" s="107"/>
      <c r="C5" s="107"/>
      <c r="D5" s="107"/>
      <c r="E5" s="107"/>
      <c r="F5" s="107"/>
      <c r="G5" s="107"/>
      <c r="H5" s="107"/>
      <c r="I5" s="107"/>
      <c r="J5" s="107"/>
      <c r="K5" s="106"/>
    </row>
    <row r="6" spans="1:15" x14ac:dyDescent="0.2">
      <c r="A6" s="211"/>
      <c r="B6" s="107"/>
      <c r="C6" s="416" t="s">
        <v>398</v>
      </c>
      <c r="D6" s="417"/>
      <c r="E6" s="417"/>
      <c r="F6" s="417"/>
      <c r="G6" s="417"/>
      <c r="H6" s="417"/>
      <c r="I6" s="418"/>
      <c r="J6" s="111"/>
      <c r="K6" s="106"/>
      <c r="N6" s="126" t="s">
        <v>19</v>
      </c>
      <c r="O6" s="126" t="s">
        <v>21</v>
      </c>
    </row>
    <row r="7" spans="1:15" x14ac:dyDescent="0.2">
      <c r="A7" s="211"/>
      <c r="B7" s="107"/>
      <c r="C7" s="449" t="s">
        <v>7</v>
      </c>
      <c r="D7" s="449" t="s">
        <v>30</v>
      </c>
      <c r="E7" s="450" t="s">
        <v>31</v>
      </c>
      <c r="F7" s="450" t="s">
        <v>32</v>
      </c>
      <c r="G7" s="450" t="s">
        <v>64</v>
      </c>
      <c r="H7" s="450" t="s">
        <v>93</v>
      </c>
      <c r="I7" s="452" t="s">
        <v>397</v>
      </c>
      <c r="J7" s="111"/>
      <c r="K7" s="106"/>
      <c r="M7" s="240" t="s">
        <v>45</v>
      </c>
      <c r="N7" s="257">
        <v>12</v>
      </c>
      <c r="O7" s="256">
        <v>24</v>
      </c>
    </row>
    <row r="8" spans="1:15" x14ac:dyDescent="0.2">
      <c r="A8" s="211"/>
      <c r="B8" s="107"/>
      <c r="C8" s="443" t="s">
        <v>396</v>
      </c>
      <c r="D8" s="443"/>
      <c r="E8" s="451"/>
      <c r="F8" s="451"/>
      <c r="G8" s="451"/>
      <c r="H8" s="451"/>
      <c r="I8" s="444"/>
      <c r="J8" s="111"/>
      <c r="K8" s="106"/>
      <c r="M8" s="255">
        <f>C9</f>
        <v>2008</v>
      </c>
      <c r="N8" s="254">
        <f t="shared" ref="N8:O11" si="0">E9/D9-1</f>
        <v>4</v>
      </c>
      <c r="O8" s="254">
        <f t="shared" si="0"/>
        <v>0.5</v>
      </c>
    </row>
    <row r="9" spans="1:15" x14ac:dyDescent="0.2">
      <c r="A9" s="211"/>
      <c r="B9" s="107"/>
      <c r="C9" s="171">
        <v>2008</v>
      </c>
      <c r="D9" s="183">
        <v>200</v>
      </c>
      <c r="E9" s="183">
        <v>1000</v>
      </c>
      <c r="F9" s="183">
        <v>1500</v>
      </c>
      <c r="G9" s="183">
        <v>1800</v>
      </c>
      <c r="H9" s="183">
        <v>2100</v>
      </c>
      <c r="I9" s="195">
        <v>2100</v>
      </c>
      <c r="J9" s="111"/>
      <c r="K9" s="106"/>
      <c r="M9" s="255">
        <f>C10</f>
        <v>2009</v>
      </c>
      <c r="N9" s="254">
        <f t="shared" si="0"/>
        <v>1</v>
      </c>
      <c r="O9" s="254">
        <f t="shared" si="0"/>
        <v>0.25</v>
      </c>
    </row>
    <row r="10" spans="1:15" x14ac:dyDescent="0.2">
      <c r="A10" s="211"/>
      <c r="B10" s="107"/>
      <c r="C10" s="171">
        <v>2009</v>
      </c>
      <c r="D10" s="183">
        <v>400</v>
      </c>
      <c r="E10" s="183">
        <v>800</v>
      </c>
      <c r="F10" s="183">
        <v>1000</v>
      </c>
      <c r="G10" s="183">
        <v>1500</v>
      </c>
      <c r="H10" s="183">
        <v>1800</v>
      </c>
      <c r="I10" s="195"/>
      <c r="J10" s="111"/>
      <c r="K10" s="106"/>
      <c r="M10" s="255">
        <f>C11</f>
        <v>2010</v>
      </c>
      <c r="N10" s="254">
        <f t="shared" si="0"/>
        <v>0.875</v>
      </c>
      <c r="O10" s="254">
        <f t="shared" si="0"/>
        <v>0.33333333333333326</v>
      </c>
    </row>
    <row r="11" spans="1:15" x14ac:dyDescent="0.2">
      <c r="A11" s="211"/>
      <c r="B11" s="107"/>
      <c r="C11" s="171">
        <v>2010</v>
      </c>
      <c r="D11" s="183">
        <v>800</v>
      </c>
      <c r="E11" s="183">
        <v>1500</v>
      </c>
      <c r="F11" s="183">
        <v>2000</v>
      </c>
      <c r="G11" s="183">
        <v>2200</v>
      </c>
      <c r="H11" s="183"/>
      <c r="I11" s="195"/>
      <c r="J11" s="111"/>
      <c r="K11" s="106"/>
      <c r="M11" s="255">
        <f>C12</f>
        <v>2011</v>
      </c>
      <c r="N11" s="254">
        <f t="shared" si="0"/>
        <v>0.66666666666666674</v>
      </c>
      <c r="O11" s="254">
        <f t="shared" si="0"/>
        <v>0.10000000000000009</v>
      </c>
    </row>
    <row r="12" spans="1:15" x14ac:dyDescent="0.2">
      <c r="A12" s="211"/>
      <c r="B12" s="107"/>
      <c r="C12" s="171">
        <v>2011</v>
      </c>
      <c r="D12" s="183">
        <v>1200</v>
      </c>
      <c r="E12" s="183">
        <v>2000</v>
      </c>
      <c r="F12" s="183">
        <v>2200</v>
      </c>
      <c r="G12" s="183"/>
      <c r="H12" s="183"/>
      <c r="I12" s="195"/>
      <c r="J12" s="111"/>
      <c r="K12" s="106"/>
      <c r="M12" s="252"/>
      <c r="N12" s="252"/>
      <c r="O12" s="252"/>
    </row>
    <row r="13" spans="1:15" x14ac:dyDescent="0.2">
      <c r="A13" s="211"/>
      <c r="B13" s="111"/>
      <c r="C13" s="171">
        <v>2012</v>
      </c>
      <c r="D13" s="183">
        <v>400</v>
      </c>
      <c r="E13" s="183">
        <v>1800</v>
      </c>
      <c r="F13" s="183"/>
      <c r="G13" s="183"/>
      <c r="H13" s="183"/>
      <c r="I13" s="195"/>
      <c r="J13" s="111"/>
      <c r="K13" s="106"/>
      <c r="M13" s="252" t="s">
        <v>395</v>
      </c>
      <c r="N13" s="254">
        <f>CORREL(N8:N11,O8:O11)</f>
        <v>0.84967353327151929</v>
      </c>
      <c r="O13" s="252"/>
    </row>
    <row r="14" spans="1:15" x14ac:dyDescent="0.2">
      <c r="A14" s="211"/>
      <c r="B14" s="111"/>
      <c r="C14" s="148">
        <v>2013</v>
      </c>
      <c r="D14" s="189">
        <v>200</v>
      </c>
      <c r="E14" s="189"/>
      <c r="F14" s="189"/>
      <c r="G14" s="189"/>
      <c r="H14" s="189"/>
      <c r="I14" s="204"/>
      <c r="J14" s="111"/>
      <c r="K14" s="106"/>
      <c r="M14" s="252" t="s">
        <v>24</v>
      </c>
      <c r="N14" s="253">
        <f>N13*SQRT((4-2)/(1-N13^2))</f>
        <v>2.2787769726058897</v>
      </c>
      <c r="O14" s="252"/>
    </row>
    <row r="15" spans="1:15" x14ac:dyDescent="0.2">
      <c r="A15" s="211"/>
      <c r="B15" s="111"/>
      <c r="C15" s="107"/>
      <c r="D15" s="107"/>
      <c r="E15" s="107"/>
      <c r="F15" s="107"/>
      <c r="G15" s="107"/>
      <c r="H15" s="107"/>
      <c r="I15" s="107"/>
      <c r="J15" s="107"/>
      <c r="K15" s="106"/>
    </row>
    <row r="16" spans="1:15" x14ac:dyDescent="0.2">
      <c r="A16" s="211"/>
      <c r="B16" s="111"/>
      <c r="C16" s="446" t="s">
        <v>394</v>
      </c>
      <c r="D16" s="446"/>
      <c r="E16" s="446"/>
      <c r="F16" s="446"/>
      <c r="G16" s="446"/>
      <c r="H16" s="446"/>
      <c r="I16" s="446"/>
      <c r="J16" s="446"/>
      <c r="K16" s="106"/>
      <c r="M16" s="252" t="s">
        <v>393</v>
      </c>
      <c r="N16" s="252">
        <f>4-2</f>
        <v>2</v>
      </c>
      <c r="O16" t="s">
        <v>392</v>
      </c>
    </row>
    <row r="17" spans="1:19" x14ac:dyDescent="0.2">
      <c r="A17" s="211"/>
      <c r="B17" s="111"/>
      <c r="C17" s="186" t="s">
        <v>391</v>
      </c>
      <c r="D17" s="185">
        <v>1</v>
      </c>
      <c r="E17" s="146">
        <v>2</v>
      </c>
      <c r="F17" s="146">
        <v>3</v>
      </c>
      <c r="G17" s="146">
        <v>4</v>
      </c>
      <c r="H17" s="146">
        <v>5</v>
      </c>
      <c r="I17" s="146">
        <v>6</v>
      </c>
      <c r="J17" s="145">
        <v>7</v>
      </c>
      <c r="K17" s="106"/>
      <c r="M17" s="252" t="s">
        <v>390</v>
      </c>
      <c r="N17" s="130">
        <f>E18</f>
        <v>2.92</v>
      </c>
    </row>
    <row r="18" spans="1:19" ht="16" customHeight="1" x14ac:dyDescent="0.2">
      <c r="A18" s="211"/>
      <c r="B18" s="111"/>
      <c r="C18" s="148" t="s">
        <v>389</v>
      </c>
      <c r="D18" s="201">
        <v>6.31</v>
      </c>
      <c r="E18" s="201">
        <v>2.92</v>
      </c>
      <c r="F18" s="201">
        <v>2.35</v>
      </c>
      <c r="G18" s="201">
        <v>2.13</v>
      </c>
      <c r="H18" s="201">
        <v>2.02</v>
      </c>
      <c r="I18" s="201">
        <v>1.94</v>
      </c>
      <c r="J18" s="200">
        <v>1.9</v>
      </c>
      <c r="K18" s="106"/>
    </row>
    <row r="19" spans="1:19" x14ac:dyDescent="0.2">
      <c r="A19" s="211"/>
      <c r="B19" s="111"/>
      <c r="C19" s="107"/>
      <c r="D19" s="107"/>
      <c r="E19" s="107"/>
      <c r="F19" s="107"/>
      <c r="G19" s="107"/>
      <c r="H19" s="107"/>
      <c r="I19" s="107"/>
      <c r="J19" s="107"/>
      <c r="K19" s="106"/>
      <c r="M19" s="415" t="s">
        <v>388</v>
      </c>
      <c r="N19" s="415"/>
      <c r="O19" s="415"/>
      <c r="P19" s="415"/>
      <c r="Q19" s="415"/>
      <c r="R19" s="415"/>
    </row>
    <row r="20" spans="1:19" x14ac:dyDescent="0.2">
      <c r="A20" s="211"/>
      <c r="B20" s="111"/>
      <c r="C20" s="107" t="s">
        <v>387</v>
      </c>
      <c r="D20" s="107"/>
      <c r="E20" s="107"/>
      <c r="F20" s="107"/>
      <c r="G20" s="107"/>
      <c r="H20" s="107"/>
      <c r="I20" s="107"/>
      <c r="J20" s="107"/>
      <c r="K20" s="106"/>
      <c r="M20" s="415"/>
      <c r="N20" s="415"/>
      <c r="O20" s="415"/>
      <c r="P20" s="415"/>
      <c r="Q20" s="415"/>
      <c r="R20" s="415"/>
    </row>
    <row r="21" spans="1:19" ht="20" customHeight="1" x14ac:dyDescent="0.2">
      <c r="A21" s="211"/>
      <c r="B21" s="111"/>
      <c r="C21" s="107" t="s">
        <v>386</v>
      </c>
      <c r="D21" s="107"/>
      <c r="E21" s="107"/>
      <c r="F21" s="107"/>
      <c r="G21" s="107"/>
      <c r="H21" s="107"/>
      <c r="I21" s="107"/>
      <c r="J21" s="107"/>
      <c r="K21" s="106"/>
      <c r="M21" s="415"/>
      <c r="N21" s="415"/>
      <c r="O21" s="415"/>
      <c r="P21" s="415"/>
      <c r="Q21" s="415"/>
      <c r="R21" s="415"/>
    </row>
    <row r="22" spans="1:19" x14ac:dyDescent="0.2">
      <c r="A22" s="211"/>
      <c r="B22" s="111"/>
      <c r="C22" s="107"/>
      <c r="D22" s="107"/>
      <c r="E22" s="107"/>
      <c r="F22" s="107"/>
      <c r="G22" s="107"/>
      <c r="H22" s="107"/>
      <c r="I22" s="107"/>
      <c r="J22" s="107"/>
      <c r="K22" s="106"/>
    </row>
    <row r="23" spans="1:19" x14ac:dyDescent="0.2">
      <c r="A23" s="211" t="s">
        <v>0</v>
      </c>
      <c r="B23" s="107" t="s">
        <v>385</v>
      </c>
      <c r="C23" s="107" t="s">
        <v>384</v>
      </c>
      <c r="D23" s="107"/>
      <c r="E23" s="107"/>
      <c r="F23" s="107"/>
      <c r="G23" s="107"/>
      <c r="H23" s="107"/>
      <c r="I23" s="107"/>
      <c r="J23" s="107"/>
      <c r="K23" s="106"/>
      <c r="M23" s="96" t="s">
        <v>361</v>
      </c>
    </row>
    <row r="24" spans="1:19" x14ac:dyDescent="0.2">
      <c r="A24" s="211"/>
      <c r="B24" s="107"/>
      <c r="C24" s="115" t="s">
        <v>383</v>
      </c>
      <c r="D24" s="107"/>
      <c r="E24" s="107"/>
      <c r="F24" s="107"/>
      <c r="G24" s="107"/>
      <c r="H24" s="107"/>
      <c r="I24" s="107"/>
      <c r="J24" s="107"/>
      <c r="K24" s="106"/>
      <c r="M24" t="s">
        <v>382</v>
      </c>
    </row>
    <row r="25" spans="1:19" x14ac:dyDescent="0.2">
      <c r="A25" s="211"/>
      <c r="B25" s="107"/>
      <c r="C25" s="115"/>
      <c r="D25" s="107"/>
      <c r="E25" s="107"/>
      <c r="F25" s="107"/>
      <c r="G25" s="107"/>
      <c r="H25" s="107"/>
      <c r="I25" s="107"/>
      <c r="J25" s="107"/>
      <c r="K25" s="106"/>
      <c r="M25" t="s">
        <v>381</v>
      </c>
    </row>
    <row r="26" spans="1:19" x14ac:dyDescent="0.2">
      <c r="A26" s="211" t="s">
        <v>1</v>
      </c>
      <c r="B26" s="107" t="s">
        <v>380</v>
      </c>
      <c r="C26" s="107" t="s">
        <v>379</v>
      </c>
      <c r="D26" s="107"/>
      <c r="E26" s="107"/>
      <c r="F26" s="107"/>
      <c r="G26" s="107"/>
      <c r="H26" s="107"/>
      <c r="I26" s="107"/>
      <c r="J26" s="107"/>
      <c r="K26" s="106"/>
    </row>
    <row r="27" spans="1:19" ht="17" thickBot="1" x14ac:dyDescent="0.25">
      <c r="A27" s="251"/>
      <c r="B27" s="249"/>
      <c r="C27" s="250"/>
      <c r="D27" s="249"/>
      <c r="E27" s="249"/>
      <c r="F27" s="249"/>
      <c r="G27" s="249"/>
      <c r="H27" s="249"/>
      <c r="I27" s="249"/>
      <c r="J27" s="249"/>
      <c r="K27" s="248"/>
      <c r="M27" t="s">
        <v>378</v>
      </c>
    </row>
    <row r="28" spans="1:19" ht="17" thickBot="1" x14ac:dyDescent="0.25">
      <c r="A28" s="209" t="s">
        <v>153</v>
      </c>
      <c r="B28" s="104"/>
      <c r="C28" s="223"/>
      <c r="D28" s="104"/>
      <c r="E28" s="104"/>
      <c r="F28" s="104"/>
      <c r="G28" s="104"/>
      <c r="H28" s="104"/>
      <c r="I28" s="104"/>
      <c r="J28" s="104"/>
      <c r="K28" s="103"/>
      <c r="M28" t="s">
        <v>377</v>
      </c>
    </row>
    <row r="29" spans="1:19" x14ac:dyDescent="0.2">
      <c r="M29" s="96"/>
      <c r="N29" s="247"/>
    </row>
    <row r="31" spans="1:19" ht="19" x14ac:dyDescent="0.25">
      <c r="M31" s="117" t="s">
        <v>146</v>
      </c>
    </row>
    <row r="32" spans="1:19" x14ac:dyDescent="0.2">
      <c r="M32" s="447" t="s">
        <v>376</v>
      </c>
      <c r="N32" s="447"/>
      <c r="O32" s="447"/>
      <c r="P32" s="447"/>
      <c r="Q32" s="447"/>
      <c r="R32" s="447"/>
      <c r="S32" s="447"/>
    </row>
    <row r="33" spans="13:21" x14ac:dyDescent="0.2">
      <c r="M33" s="447"/>
      <c r="N33" s="447"/>
      <c r="O33" s="447"/>
      <c r="P33" s="447"/>
      <c r="Q33" s="447"/>
      <c r="R33" s="447"/>
      <c r="S33" s="447"/>
    </row>
    <row r="34" spans="13:21" x14ac:dyDescent="0.2">
      <c r="M34" s="447"/>
      <c r="N34" s="447"/>
      <c r="O34" s="447"/>
      <c r="P34" s="447"/>
      <c r="Q34" s="447"/>
      <c r="R34" s="447"/>
      <c r="S34" s="447"/>
    </row>
    <row r="35" spans="13:21" x14ac:dyDescent="0.2">
      <c r="M35" s="447"/>
      <c r="N35" s="447"/>
      <c r="O35" s="447"/>
      <c r="P35" s="447"/>
      <c r="Q35" s="447"/>
      <c r="R35" s="447"/>
      <c r="S35" s="447"/>
    </row>
    <row r="36" spans="13:21" x14ac:dyDescent="0.2">
      <c r="M36" s="447"/>
      <c r="N36" s="447"/>
      <c r="O36" s="447"/>
      <c r="P36" s="447"/>
      <c r="Q36" s="447"/>
      <c r="R36" s="447"/>
      <c r="S36" s="447"/>
    </row>
    <row r="37" spans="13:21" x14ac:dyDescent="0.2">
      <c r="M37" s="447"/>
      <c r="N37" s="447"/>
      <c r="O37" s="447"/>
      <c r="P37" s="447"/>
      <c r="Q37" s="447"/>
      <c r="R37" s="447"/>
      <c r="S37" s="447"/>
    </row>
    <row r="38" spans="13:21" x14ac:dyDescent="0.2">
      <c r="M38" s="447"/>
      <c r="N38" s="447"/>
      <c r="O38" s="447"/>
      <c r="P38" s="447"/>
      <c r="Q38" s="447"/>
      <c r="R38" s="447"/>
      <c r="S38" s="447"/>
    </row>
    <row r="39" spans="13:21" x14ac:dyDescent="0.2">
      <c r="M39" s="447"/>
      <c r="N39" s="447"/>
      <c r="O39" s="447"/>
      <c r="P39" s="447"/>
      <c r="Q39" s="447"/>
      <c r="R39" s="447"/>
      <c r="S39" s="447"/>
    </row>
    <row r="40" spans="13:21" x14ac:dyDescent="0.2">
      <c r="M40" s="447"/>
      <c r="N40" s="447"/>
      <c r="O40" s="447"/>
      <c r="P40" s="447"/>
      <c r="Q40" s="447"/>
      <c r="R40" s="447"/>
      <c r="S40" s="447"/>
    </row>
    <row r="41" spans="13:21" ht="16" customHeight="1" x14ac:dyDescent="0.2">
      <c r="M41" s="447"/>
      <c r="N41" s="447"/>
      <c r="O41" s="447"/>
      <c r="P41" s="447"/>
      <c r="Q41" s="447"/>
      <c r="R41" s="447"/>
      <c r="S41" s="447"/>
      <c r="T41" s="221"/>
      <c r="U41" s="221"/>
    </row>
    <row r="42" spans="13:21" x14ac:dyDescent="0.2">
      <c r="M42" s="447"/>
      <c r="N42" s="447"/>
      <c r="O42" s="447"/>
      <c r="P42" s="447"/>
      <c r="Q42" s="447"/>
      <c r="R42" s="447"/>
      <c r="S42" s="447"/>
    </row>
    <row r="43" spans="13:21" x14ac:dyDescent="0.2">
      <c r="M43" s="447"/>
      <c r="N43" s="447"/>
      <c r="O43" s="447"/>
      <c r="P43" s="447"/>
      <c r="Q43" s="447"/>
      <c r="R43" s="447"/>
      <c r="S43" s="447"/>
    </row>
    <row r="45" spans="13:21" ht="19" x14ac:dyDescent="0.2">
      <c r="M45" s="220" t="s">
        <v>177</v>
      </c>
    </row>
    <row r="46" spans="13:21" ht="16" customHeight="1" x14ac:dyDescent="0.2">
      <c r="M46" s="246" t="s">
        <v>375</v>
      </c>
      <c r="N46" s="245"/>
      <c r="O46" s="245"/>
      <c r="P46" s="245"/>
      <c r="Q46" s="245"/>
      <c r="R46" s="245"/>
      <c r="S46" s="245"/>
    </row>
    <row r="47" spans="13:21" ht="15.75" customHeight="1" x14ac:dyDescent="0.2"/>
    <row r="52" spans="19:21" x14ac:dyDescent="0.2">
      <c r="S52" s="244"/>
      <c r="T52" s="244"/>
      <c r="U52" s="244"/>
    </row>
  </sheetData>
  <mergeCells count="11">
    <mergeCell ref="M19:R21"/>
    <mergeCell ref="C6:I6"/>
    <mergeCell ref="C16:J16"/>
    <mergeCell ref="M32:S43"/>
    <mergeCell ref="C7:C8"/>
    <mergeCell ref="D7:D8"/>
    <mergeCell ref="E7:E8"/>
    <mergeCell ref="F7:F8"/>
    <mergeCell ref="G7:G8"/>
    <mergeCell ref="H7:H8"/>
    <mergeCell ref="I7:I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67E83-E8DA-6245-B892-94DE8B3755FA}">
  <dimension ref="A1:S33"/>
  <sheetViews>
    <sheetView workbookViewId="0">
      <selection activeCell="B1" sqref="B1"/>
    </sheetView>
  </sheetViews>
  <sheetFormatPr baseColWidth="10" defaultColWidth="11" defaultRowHeight="16" outlineLevelCol="1" x14ac:dyDescent="0.2"/>
  <cols>
    <col min="1" max="1" width="4" style="102" customWidth="1"/>
    <col min="2" max="2" width="11.5" customWidth="1"/>
    <col min="5" max="5" width="12.1640625" customWidth="1"/>
    <col min="12" max="17" width="10.83203125" hidden="1" customWidth="1" outlineLevel="1"/>
    <col min="18" max="18" width="11" hidden="1" customWidth="1" outlineLevel="1"/>
    <col min="19" max="19" width="11" collapsed="1"/>
  </cols>
  <sheetData>
    <row r="1" spans="1:18" x14ac:dyDescent="0.2">
      <c r="A1" s="243"/>
      <c r="B1" s="121" t="s">
        <v>374</v>
      </c>
      <c r="C1" s="120" t="s">
        <v>424</v>
      </c>
      <c r="D1" s="120" t="s">
        <v>372</v>
      </c>
      <c r="E1" s="120" t="s">
        <v>423</v>
      </c>
      <c r="F1" s="119"/>
      <c r="G1" s="119"/>
      <c r="H1" s="119"/>
      <c r="I1" s="119"/>
      <c r="J1" s="118"/>
      <c r="K1" s="96" t="s">
        <v>154</v>
      </c>
      <c r="L1" s="96"/>
    </row>
    <row r="2" spans="1:18" x14ac:dyDescent="0.2">
      <c r="A2" s="211"/>
      <c r="B2" s="242" t="s">
        <v>370</v>
      </c>
      <c r="C2" s="241">
        <v>2.5</v>
      </c>
      <c r="D2" s="107"/>
      <c r="E2" s="107"/>
      <c r="F2" s="107"/>
      <c r="G2" s="107"/>
      <c r="H2" s="107"/>
      <c r="I2" s="107"/>
      <c r="J2" s="106"/>
    </row>
    <row r="3" spans="1:18" x14ac:dyDescent="0.2">
      <c r="A3" s="211"/>
      <c r="B3" s="107"/>
      <c r="C3" s="107"/>
      <c r="D3" s="107"/>
      <c r="E3" s="107"/>
      <c r="F3" s="107"/>
      <c r="G3" s="107"/>
      <c r="H3" s="107"/>
      <c r="I3" s="107"/>
      <c r="J3" s="106"/>
      <c r="L3" s="141" t="s">
        <v>19</v>
      </c>
      <c r="M3" s="126" t="s">
        <v>21</v>
      </c>
    </row>
    <row r="4" spans="1:18" ht="18" x14ac:dyDescent="0.25">
      <c r="A4" s="211"/>
      <c r="B4" s="107"/>
      <c r="C4" s="107" t="s">
        <v>6</v>
      </c>
      <c r="D4" s="107"/>
      <c r="E4" s="107"/>
      <c r="F4" s="107"/>
      <c r="G4" s="107"/>
      <c r="H4" s="107"/>
      <c r="I4" s="107"/>
      <c r="J4" s="106"/>
      <c r="L4" s="268" t="s">
        <v>422</v>
      </c>
      <c r="M4" s="267" t="s">
        <v>421</v>
      </c>
      <c r="N4" s="261"/>
      <c r="O4" s="261"/>
      <c r="P4" s="261"/>
      <c r="Q4" s="261"/>
      <c r="R4" s="261"/>
    </row>
    <row r="5" spans="1:18" x14ac:dyDescent="0.2">
      <c r="A5" s="211"/>
      <c r="B5" s="107"/>
      <c r="C5" s="107"/>
      <c r="D5" s="107"/>
      <c r="E5" s="107"/>
      <c r="F5" s="107"/>
      <c r="G5" s="107"/>
      <c r="H5" s="107"/>
      <c r="I5" s="107"/>
      <c r="J5" s="106"/>
      <c r="L5" s="266">
        <f t="shared" ref="L5:M8" si="0">D9-1</f>
        <v>1.5</v>
      </c>
      <c r="M5" s="124">
        <f t="shared" si="0"/>
        <v>0.44999999999999996</v>
      </c>
      <c r="N5" s="261"/>
      <c r="O5" s="261"/>
      <c r="P5" s="261"/>
      <c r="Q5" s="261"/>
      <c r="R5" s="261"/>
    </row>
    <row r="6" spans="1:18" x14ac:dyDescent="0.2">
      <c r="A6" s="211"/>
      <c r="B6" s="107"/>
      <c r="C6" s="446" t="s">
        <v>420</v>
      </c>
      <c r="D6" s="446"/>
      <c r="E6" s="446"/>
      <c r="F6" s="446"/>
      <c r="G6" s="446"/>
      <c r="H6" s="446"/>
      <c r="I6" s="107"/>
      <c r="J6" s="106"/>
      <c r="L6" s="266">
        <f t="shared" si="0"/>
        <v>0.8</v>
      </c>
      <c r="M6" s="124">
        <f t="shared" si="0"/>
        <v>0.37999999999999989</v>
      </c>
      <c r="N6" s="261"/>
      <c r="O6" s="261"/>
      <c r="P6" s="261"/>
      <c r="Q6" s="261"/>
      <c r="R6" s="261"/>
    </row>
    <row r="7" spans="1:18" ht="16" customHeight="1" x14ac:dyDescent="0.2">
      <c r="A7" s="211"/>
      <c r="B7" s="107"/>
      <c r="C7" s="454" t="s">
        <v>7</v>
      </c>
      <c r="D7" s="449" t="s">
        <v>419</v>
      </c>
      <c r="E7" s="450" t="s">
        <v>418</v>
      </c>
      <c r="F7" s="450" t="s">
        <v>417</v>
      </c>
      <c r="G7" s="450" t="s">
        <v>416</v>
      </c>
      <c r="H7" s="452" t="s">
        <v>415</v>
      </c>
      <c r="I7" s="107"/>
      <c r="J7" s="106"/>
      <c r="L7" s="266">
        <f t="shared" si="0"/>
        <v>1.1299999999999999</v>
      </c>
      <c r="M7" s="124">
        <f t="shared" si="0"/>
        <v>0.19999999999999996</v>
      </c>
      <c r="N7" s="261"/>
      <c r="O7" s="261"/>
      <c r="P7" s="261"/>
      <c r="Q7" s="261"/>
      <c r="R7" s="261"/>
    </row>
    <row r="8" spans="1:18" x14ac:dyDescent="0.2">
      <c r="A8" s="211"/>
      <c r="B8" s="107"/>
      <c r="C8" s="420" t="s">
        <v>364</v>
      </c>
      <c r="D8" s="443"/>
      <c r="E8" s="451"/>
      <c r="F8" s="451"/>
      <c r="G8" s="451"/>
      <c r="H8" s="444"/>
      <c r="I8" s="107"/>
      <c r="J8" s="106"/>
      <c r="L8" s="266">
        <f t="shared" si="0"/>
        <v>1.1800000000000002</v>
      </c>
      <c r="M8" s="124">
        <f t="shared" si="0"/>
        <v>0.3600000000000001</v>
      </c>
      <c r="N8" s="261"/>
      <c r="O8" s="261"/>
      <c r="P8" s="261"/>
      <c r="Q8" s="261"/>
      <c r="R8" s="261"/>
    </row>
    <row r="9" spans="1:18" x14ac:dyDescent="0.2">
      <c r="A9" s="211"/>
      <c r="B9" s="107"/>
      <c r="C9" s="171">
        <v>2009</v>
      </c>
      <c r="D9" s="159">
        <v>2.5</v>
      </c>
      <c r="E9" s="159">
        <v>1.45</v>
      </c>
      <c r="F9" s="159">
        <v>1.06</v>
      </c>
      <c r="G9" s="159">
        <v>1.05</v>
      </c>
      <c r="H9" s="158">
        <v>1.01</v>
      </c>
      <c r="I9" s="107"/>
      <c r="J9" s="106"/>
      <c r="L9" s="265"/>
      <c r="M9" s="261"/>
      <c r="N9" s="261"/>
      <c r="O9" s="261"/>
      <c r="P9" s="261"/>
      <c r="Q9" s="261"/>
      <c r="R9" s="261"/>
    </row>
    <row r="10" spans="1:18" x14ac:dyDescent="0.2">
      <c r="A10" s="211"/>
      <c r="B10" s="107"/>
      <c r="C10" s="171">
        <v>2010</v>
      </c>
      <c r="D10" s="159">
        <v>1.8</v>
      </c>
      <c r="E10" s="159">
        <v>1.38</v>
      </c>
      <c r="F10" s="159">
        <v>1.1499999999999999</v>
      </c>
      <c r="G10" s="159">
        <v>1.02</v>
      </c>
      <c r="H10" s="158"/>
      <c r="I10" s="107"/>
      <c r="J10" s="106"/>
      <c r="L10" s="125" t="s">
        <v>414</v>
      </c>
      <c r="M10" s="264">
        <f>CORREL(L5:L8,M5:M8)</f>
        <v>0.30645359209082118</v>
      </c>
      <c r="N10" s="261"/>
      <c r="O10" s="261"/>
      <c r="P10" s="261"/>
      <c r="Q10" s="261"/>
      <c r="R10" s="261"/>
    </row>
    <row r="11" spans="1:18" x14ac:dyDescent="0.2">
      <c r="A11" s="211"/>
      <c r="B11" s="107"/>
      <c r="C11" s="171">
        <v>2011</v>
      </c>
      <c r="D11" s="159">
        <v>2.13</v>
      </c>
      <c r="E11" s="159">
        <v>1.2</v>
      </c>
      <c r="F11" s="159">
        <v>1.1299999999999999</v>
      </c>
      <c r="G11" s="159"/>
      <c r="H11" s="158"/>
      <c r="I11" s="107"/>
      <c r="J11" s="106"/>
      <c r="L11" s="125" t="s">
        <v>24</v>
      </c>
      <c r="M11" s="263">
        <f>M10*SQRT((4-2)/(1-(M10)^2))</f>
        <v>0.45529717654662505</v>
      </c>
      <c r="N11" s="261"/>
      <c r="O11" s="261"/>
      <c r="P11" s="261"/>
      <c r="Q11" s="261"/>
      <c r="R11" s="261"/>
    </row>
    <row r="12" spans="1:18" x14ac:dyDescent="0.2">
      <c r="A12" s="211"/>
      <c r="B12" s="107"/>
      <c r="C12" s="171">
        <v>2012</v>
      </c>
      <c r="D12" s="159">
        <v>2.1800000000000002</v>
      </c>
      <c r="E12" s="159">
        <v>1.36</v>
      </c>
      <c r="F12" s="159"/>
      <c r="G12" s="159"/>
      <c r="H12" s="158"/>
      <c r="I12" s="107"/>
      <c r="J12" s="106"/>
      <c r="N12" s="261"/>
      <c r="O12" s="261"/>
      <c r="P12" s="261"/>
      <c r="Q12" s="261"/>
      <c r="R12" s="261"/>
    </row>
    <row r="13" spans="1:18" x14ac:dyDescent="0.2">
      <c r="A13" s="211"/>
      <c r="B13" s="111"/>
      <c r="C13" s="148">
        <v>2013</v>
      </c>
      <c r="D13" s="157">
        <v>1.95</v>
      </c>
      <c r="E13" s="157"/>
      <c r="F13" s="157"/>
      <c r="G13" s="157"/>
      <c r="H13" s="156"/>
      <c r="I13" s="107"/>
      <c r="J13" s="106"/>
      <c r="L13" s="126" t="s">
        <v>219</v>
      </c>
      <c r="M13" s="126">
        <f>4-2</f>
        <v>2</v>
      </c>
      <c r="N13" t="s">
        <v>413</v>
      </c>
      <c r="O13" s="261"/>
      <c r="P13" s="261"/>
      <c r="Q13" s="261"/>
      <c r="R13" s="261"/>
    </row>
    <row r="14" spans="1:18" x14ac:dyDescent="0.2">
      <c r="A14" s="211"/>
      <c r="B14" s="111"/>
      <c r="C14" s="107"/>
      <c r="D14" s="107"/>
      <c r="E14" s="107"/>
      <c r="F14" s="107"/>
      <c r="G14" s="107"/>
      <c r="H14" s="107"/>
      <c r="I14" s="107"/>
      <c r="J14" s="106"/>
      <c r="O14" s="261"/>
      <c r="P14" s="261"/>
      <c r="Q14" s="261"/>
      <c r="R14" s="261"/>
    </row>
    <row r="15" spans="1:18" x14ac:dyDescent="0.2">
      <c r="A15" s="211"/>
      <c r="B15" s="111"/>
      <c r="C15" s="107"/>
      <c r="D15" s="107"/>
      <c r="E15" s="149" t="s">
        <v>412</v>
      </c>
      <c r="F15" s="262" t="s">
        <v>411</v>
      </c>
      <c r="G15" s="107"/>
      <c r="H15" s="107"/>
      <c r="I15" s="107"/>
      <c r="J15" s="106"/>
      <c r="L15" s="453" t="s">
        <v>410</v>
      </c>
      <c r="M15" s="453"/>
      <c r="N15" s="453"/>
      <c r="O15" s="453"/>
      <c r="P15" s="453"/>
      <c r="Q15" s="453"/>
      <c r="R15" s="453"/>
    </row>
    <row r="16" spans="1:18" x14ac:dyDescent="0.2">
      <c r="A16" s="211"/>
      <c r="B16" s="111"/>
      <c r="C16" s="107"/>
      <c r="D16" s="107"/>
      <c r="E16" s="148" t="s">
        <v>409</v>
      </c>
      <c r="F16" s="187" t="s">
        <v>408</v>
      </c>
      <c r="G16" s="107"/>
      <c r="H16" s="107"/>
      <c r="I16" s="107"/>
      <c r="J16" s="106"/>
      <c r="L16" s="453"/>
      <c r="M16" s="453"/>
      <c r="N16" s="453"/>
      <c r="O16" s="453"/>
      <c r="P16" s="453"/>
      <c r="Q16" s="453"/>
      <c r="R16" s="453"/>
    </row>
    <row r="17" spans="1:18" x14ac:dyDescent="0.2">
      <c r="A17" s="211"/>
      <c r="B17" s="111"/>
      <c r="C17" s="107"/>
      <c r="D17" s="107"/>
      <c r="E17" s="149">
        <v>1</v>
      </c>
      <c r="F17" s="149">
        <v>6.3140000000000001</v>
      </c>
      <c r="G17" s="107"/>
      <c r="H17" s="107"/>
      <c r="I17" s="107"/>
      <c r="J17" s="106"/>
      <c r="L17" s="261"/>
      <c r="M17" s="261"/>
      <c r="N17" s="261"/>
      <c r="O17" s="261"/>
      <c r="P17" s="261"/>
      <c r="Q17" s="261"/>
      <c r="R17" s="261"/>
    </row>
    <row r="18" spans="1:18" ht="19" x14ac:dyDescent="0.25">
      <c r="A18" s="211"/>
      <c r="B18" s="111"/>
      <c r="C18" s="107"/>
      <c r="D18" s="107"/>
      <c r="E18" s="171">
        <v>2</v>
      </c>
      <c r="F18" s="260">
        <v>2.92</v>
      </c>
      <c r="G18" s="107"/>
      <c r="H18" s="107"/>
      <c r="I18" s="107"/>
      <c r="J18" s="106"/>
      <c r="L18" s="117" t="s">
        <v>146</v>
      </c>
    </row>
    <row r="19" spans="1:18" ht="16" customHeight="1" x14ac:dyDescent="0.2">
      <c r="A19" s="211"/>
      <c r="B19" s="111"/>
      <c r="C19" s="107"/>
      <c r="D19" s="107"/>
      <c r="E19" s="171">
        <v>3</v>
      </c>
      <c r="F19" s="171">
        <v>2.3530000000000002</v>
      </c>
      <c r="G19" s="107"/>
      <c r="H19" s="107"/>
      <c r="I19" s="107"/>
      <c r="J19" s="106"/>
      <c r="L19" s="415" t="s">
        <v>407</v>
      </c>
      <c r="M19" s="415"/>
      <c r="N19" s="415"/>
      <c r="O19" s="415"/>
      <c r="P19" s="415"/>
      <c r="Q19" s="415"/>
      <c r="R19" s="415"/>
    </row>
    <row r="20" spans="1:18" x14ac:dyDescent="0.2">
      <c r="A20" s="211"/>
      <c r="B20" s="111"/>
      <c r="C20" s="107"/>
      <c r="D20" s="107"/>
      <c r="E20" s="171">
        <v>4</v>
      </c>
      <c r="F20" s="171">
        <v>2.1320000000000001</v>
      </c>
      <c r="G20" s="107"/>
      <c r="H20" s="107"/>
      <c r="I20" s="107"/>
      <c r="J20" s="106"/>
      <c r="L20" s="415"/>
      <c r="M20" s="415"/>
      <c r="N20" s="415"/>
      <c r="O20" s="415"/>
      <c r="P20" s="415"/>
      <c r="Q20" s="415"/>
      <c r="R20" s="415"/>
    </row>
    <row r="21" spans="1:18" x14ac:dyDescent="0.2">
      <c r="A21" s="211"/>
      <c r="B21" s="111"/>
      <c r="C21" s="107"/>
      <c r="D21" s="107"/>
      <c r="E21" s="171">
        <v>5</v>
      </c>
      <c r="F21" s="171">
        <v>2.0150000000000001</v>
      </c>
      <c r="G21" s="107"/>
      <c r="H21" s="107"/>
      <c r="I21" s="107"/>
      <c r="J21" s="106"/>
      <c r="L21" s="415"/>
      <c r="M21" s="415"/>
      <c r="N21" s="415"/>
      <c r="O21" s="415"/>
      <c r="P21" s="415"/>
      <c r="Q21" s="415"/>
      <c r="R21" s="415"/>
    </row>
    <row r="22" spans="1:18" x14ac:dyDescent="0.2">
      <c r="A22" s="211"/>
      <c r="B22" s="111"/>
      <c r="C22" s="107"/>
      <c r="D22" s="107"/>
      <c r="E22" s="148">
        <v>6</v>
      </c>
      <c r="F22" s="259">
        <v>1.9430000000000001</v>
      </c>
      <c r="G22" s="107"/>
      <c r="H22" s="107"/>
      <c r="I22" s="107"/>
      <c r="J22" s="106"/>
      <c r="L22" s="415"/>
      <c r="M22" s="415"/>
      <c r="N22" s="415"/>
      <c r="O22" s="415"/>
      <c r="P22" s="415"/>
      <c r="Q22" s="415"/>
      <c r="R22" s="415"/>
    </row>
    <row r="23" spans="1:18" ht="15.75" customHeight="1" x14ac:dyDescent="0.2">
      <c r="A23" s="211"/>
      <c r="B23" s="107"/>
      <c r="C23" s="107"/>
      <c r="D23" s="107"/>
      <c r="E23" s="107"/>
      <c r="F23" s="107"/>
      <c r="G23" s="107"/>
      <c r="H23" s="107"/>
      <c r="I23" s="107"/>
      <c r="J23" s="106"/>
      <c r="L23" s="415"/>
      <c r="M23" s="415"/>
      <c r="N23" s="415"/>
      <c r="O23" s="415"/>
      <c r="P23" s="415"/>
      <c r="Q23" s="415"/>
      <c r="R23" s="415"/>
    </row>
    <row r="24" spans="1:18" ht="18" customHeight="1" x14ac:dyDescent="0.2">
      <c r="A24" s="211"/>
      <c r="B24" s="107"/>
      <c r="C24" s="107" t="s">
        <v>406</v>
      </c>
      <c r="D24" s="107"/>
      <c r="E24" s="107"/>
      <c r="F24" s="107" t="s">
        <v>405</v>
      </c>
      <c r="G24" s="107"/>
      <c r="H24" s="107"/>
      <c r="I24" s="107"/>
      <c r="J24" s="106"/>
      <c r="L24" s="258"/>
      <c r="M24" s="258"/>
      <c r="N24" s="258"/>
      <c r="O24" s="258"/>
      <c r="P24" s="258"/>
      <c r="Q24" s="258"/>
      <c r="R24" s="258"/>
    </row>
    <row r="25" spans="1:18" ht="19" x14ac:dyDescent="0.2">
      <c r="A25" s="211"/>
      <c r="B25" s="107"/>
      <c r="C25" s="107" t="s">
        <v>404</v>
      </c>
      <c r="D25" s="107"/>
      <c r="E25" s="107"/>
      <c r="F25" s="107"/>
      <c r="G25" s="107"/>
      <c r="H25" s="107"/>
      <c r="I25" s="107"/>
      <c r="J25" s="106"/>
      <c r="L25" s="220" t="s">
        <v>177</v>
      </c>
      <c r="M25" s="258"/>
      <c r="N25" s="258"/>
      <c r="O25" s="258"/>
      <c r="P25" s="258"/>
      <c r="Q25" s="258"/>
      <c r="R25" s="258"/>
    </row>
    <row r="26" spans="1:18" x14ac:dyDescent="0.2">
      <c r="A26" s="211"/>
      <c r="B26" s="107"/>
      <c r="C26" s="107"/>
      <c r="D26" s="107"/>
      <c r="E26" s="107"/>
      <c r="F26" s="107"/>
      <c r="G26" s="107"/>
      <c r="H26" s="107"/>
      <c r="I26" s="107"/>
      <c r="J26" s="106"/>
      <c r="L26" s="246" t="s">
        <v>375</v>
      </c>
      <c r="M26" s="258"/>
      <c r="N26" s="258"/>
      <c r="O26" s="258"/>
      <c r="P26" s="258"/>
      <c r="Q26" s="258"/>
      <c r="R26" s="258"/>
    </row>
    <row r="27" spans="1:18" x14ac:dyDescent="0.2">
      <c r="A27" s="211"/>
      <c r="B27" s="107"/>
      <c r="C27" s="107" t="s">
        <v>403</v>
      </c>
      <c r="D27" s="107"/>
      <c r="E27" s="107"/>
      <c r="F27" s="107"/>
      <c r="G27" s="107"/>
      <c r="H27" s="107"/>
      <c r="I27" s="107"/>
      <c r="J27" s="106"/>
      <c r="L27" s="258"/>
      <c r="M27" s="258"/>
      <c r="N27" s="258"/>
      <c r="O27" s="258"/>
      <c r="P27" s="258"/>
      <c r="Q27" s="258"/>
      <c r="R27" s="258"/>
    </row>
    <row r="28" spans="1:18" x14ac:dyDescent="0.2">
      <c r="A28" s="211"/>
      <c r="B28" s="107"/>
      <c r="C28" s="107" t="s">
        <v>402</v>
      </c>
      <c r="D28" s="107"/>
      <c r="E28" s="107"/>
      <c r="F28" s="107"/>
      <c r="G28" s="107"/>
      <c r="H28" s="107"/>
      <c r="I28" s="107"/>
      <c r="J28" s="106"/>
      <c r="L28" s="258"/>
      <c r="M28" s="258"/>
      <c r="N28" s="258"/>
      <c r="O28" s="258"/>
      <c r="P28" s="258"/>
      <c r="Q28" s="258"/>
      <c r="R28" s="258"/>
    </row>
    <row r="29" spans="1:18" ht="17" thickBot="1" x14ac:dyDescent="0.25">
      <c r="A29" s="211"/>
      <c r="B29" s="107"/>
      <c r="C29" s="115"/>
      <c r="D29" s="107"/>
      <c r="E29" s="107"/>
      <c r="F29" s="107"/>
      <c r="G29" s="107"/>
      <c r="H29" s="107"/>
      <c r="I29" s="107"/>
      <c r="J29" s="106"/>
      <c r="M29" s="244"/>
      <c r="N29" s="244"/>
      <c r="O29" s="244"/>
      <c r="P29" s="244"/>
      <c r="Q29" s="244"/>
      <c r="R29" s="244"/>
    </row>
    <row r="30" spans="1:18" ht="17" thickBot="1" x14ac:dyDescent="0.25">
      <c r="A30" s="209" t="s">
        <v>153</v>
      </c>
      <c r="B30" s="104"/>
      <c r="C30" s="223"/>
      <c r="D30" s="104"/>
      <c r="E30" s="104"/>
      <c r="F30" s="104"/>
      <c r="G30" s="104"/>
      <c r="H30" s="104"/>
      <c r="I30" s="104"/>
      <c r="J30" s="103"/>
      <c r="M30" s="244"/>
      <c r="N30" s="244"/>
      <c r="O30" s="244"/>
      <c r="P30" s="244"/>
      <c r="Q30" s="244"/>
      <c r="R30" s="244"/>
    </row>
    <row r="33" spans="13:18" x14ac:dyDescent="0.2">
      <c r="M33" s="245"/>
      <c r="N33" s="245"/>
      <c r="O33" s="245"/>
      <c r="P33" s="245"/>
      <c r="Q33" s="245"/>
      <c r="R33" s="245"/>
    </row>
  </sheetData>
  <mergeCells count="9">
    <mergeCell ref="L19:R23"/>
    <mergeCell ref="C6:H6"/>
    <mergeCell ref="L15:R16"/>
    <mergeCell ref="C7:C8"/>
    <mergeCell ref="D7:D8"/>
    <mergeCell ref="E7:E8"/>
    <mergeCell ref="F7:F8"/>
    <mergeCell ref="G7:G8"/>
    <mergeCell ref="H7:H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874EB-E8EF-8B42-B171-E79AE20BEC23}">
  <dimension ref="A1:S65"/>
  <sheetViews>
    <sheetView workbookViewId="0"/>
  </sheetViews>
  <sheetFormatPr baseColWidth="10" defaultColWidth="11" defaultRowHeight="16" outlineLevelCol="1" x14ac:dyDescent="0.2"/>
  <cols>
    <col min="1" max="1" width="4" style="102" customWidth="1"/>
    <col min="2" max="2" width="11.5" customWidth="1"/>
    <col min="12" max="17" width="11.5" hidden="1" customWidth="1" outlineLevel="1"/>
    <col min="18" max="18" width="10.83203125" hidden="1" customWidth="1" outlineLevel="1"/>
    <col min="19" max="19" width="11" collapsed="1"/>
  </cols>
  <sheetData>
    <row r="1" spans="1:14" x14ac:dyDescent="0.2">
      <c r="A1" s="243"/>
      <c r="B1" s="121" t="s">
        <v>374</v>
      </c>
      <c r="C1" s="120" t="s">
        <v>470</v>
      </c>
      <c r="D1" s="120" t="s">
        <v>372</v>
      </c>
      <c r="E1" s="120" t="s">
        <v>469</v>
      </c>
      <c r="F1" s="119"/>
      <c r="G1" s="119"/>
      <c r="H1" s="119"/>
      <c r="I1" s="119"/>
      <c r="J1" s="118"/>
      <c r="K1" s="96" t="s">
        <v>154</v>
      </c>
      <c r="L1" s="96"/>
    </row>
    <row r="2" spans="1:14" x14ac:dyDescent="0.2">
      <c r="A2" s="211"/>
      <c r="B2" s="242" t="s">
        <v>370</v>
      </c>
      <c r="C2" s="241">
        <v>3.5</v>
      </c>
      <c r="D2" s="107"/>
      <c r="E2" s="107"/>
      <c r="F2" s="107"/>
      <c r="G2" s="107"/>
      <c r="H2" s="107"/>
      <c r="I2" s="107"/>
      <c r="J2" s="106"/>
    </row>
    <row r="3" spans="1:14" x14ac:dyDescent="0.2">
      <c r="A3" s="211"/>
      <c r="B3" s="107"/>
      <c r="C3" s="107"/>
      <c r="D3" s="107"/>
      <c r="E3" s="107"/>
      <c r="F3" s="107"/>
      <c r="G3" s="107"/>
      <c r="H3" s="107"/>
      <c r="I3" s="107"/>
      <c r="J3" s="106"/>
      <c r="L3" s="96" t="s">
        <v>369</v>
      </c>
      <c r="M3" s="281"/>
    </row>
    <row r="4" spans="1:14" x14ac:dyDescent="0.2">
      <c r="A4" s="211"/>
      <c r="B4" s="107"/>
      <c r="C4" s="107" t="s">
        <v>468</v>
      </c>
      <c r="D4" s="107"/>
      <c r="E4" s="107"/>
      <c r="F4" s="107"/>
      <c r="G4" s="107"/>
      <c r="H4" s="107"/>
      <c r="I4" s="107"/>
      <c r="J4" s="106"/>
      <c r="L4" t="s">
        <v>399</v>
      </c>
      <c r="M4" s="281"/>
    </row>
    <row r="5" spans="1:14" x14ac:dyDescent="0.2">
      <c r="A5" s="211"/>
      <c r="B5" s="107"/>
      <c r="C5" s="107"/>
      <c r="D5" s="107"/>
      <c r="E5" s="107"/>
      <c r="F5" s="107"/>
      <c r="G5" s="107"/>
      <c r="H5" s="107"/>
      <c r="I5" s="107"/>
      <c r="J5" s="106"/>
    </row>
    <row r="6" spans="1:14" x14ac:dyDescent="0.2">
      <c r="A6" s="211"/>
      <c r="B6" s="107"/>
      <c r="C6" s="107"/>
      <c r="D6" s="416" t="s">
        <v>467</v>
      </c>
      <c r="E6" s="417"/>
      <c r="F6" s="417"/>
      <c r="G6" s="417"/>
      <c r="H6" s="418"/>
      <c r="I6" s="111"/>
      <c r="J6" s="106"/>
      <c r="L6" s="144" t="s">
        <v>364</v>
      </c>
      <c r="M6" s="142" t="s">
        <v>466</v>
      </c>
      <c r="N6" s="142" t="s">
        <v>465</v>
      </c>
    </row>
    <row r="7" spans="1:14" x14ac:dyDescent="0.2">
      <c r="A7" s="211"/>
      <c r="B7" s="107"/>
      <c r="C7" s="107"/>
      <c r="D7" s="149" t="s">
        <v>464</v>
      </c>
      <c r="E7" s="280" t="s">
        <v>463</v>
      </c>
      <c r="F7" s="279" t="s">
        <v>462</v>
      </c>
      <c r="G7" s="279" t="s">
        <v>461</v>
      </c>
      <c r="H7" s="262" t="s">
        <v>460</v>
      </c>
      <c r="I7" s="111"/>
      <c r="J7" s="106"/>
      <c r="L7" s="141">
        <v>2011</v>
      </c>
      <c r="M7" s="128">
        <f t="shared" ref="M7:N9" si="0">E9-1</f>
        <v>0.60000000000000009</v>
      </c>
      <c r="N7" s="128">
        <f t="shared" si="0"/>
        <v>0.375</v>
      </c>
    </row>
    <row r="8" spans="1:14" x14ac:dyDescent="0.2">
      <c r="A8" s="211"/>
      <c r="B8" s="107"/>
      <c r="C8" s="107"/>
      <c r="D8" s="148" t="s">
        <v>364</v>
      </c>
      <c r="E8" s="135" t="s">
        <v>459</v>
      </c>
      <c r="F8" s="188" t="s">
        <v>459</v>
      </c>
      <c r="G8" s="188" t="s">
        <v>459</v>
      </c>
      <c r="H8" s="187" t="s">
        <v>459</v>
      </c>
      <c r="I8" s="111"/>
      <c r="J8" s="106"/>
      <c r="L8" s="141">
        <v>2012</v>
      </c>
      <c r="M8" s="128">
        <f t="shared" si="0"/>
        <v>4</v>
      </c>
      <c r="N8" s="128">
        <f t="shared" si="0"/>
        <v>0.10000000000000009</v>
      </c>
    </row>
    <row r="9" spans="1:14" x14ac:dyDescent="0.2">
      <c r="A9" s="211"/>
      <c r="B9" s="107"/>
      <c r="C9" s="107"/>
      <c r="D9" s="171">
        <v>2011</v>
      </c>
      <c r="E9" s="229">
        <v>1.6</v>
      </c>
      <c r="F9" s="229">
        <v>1.375</v>
      </c>
      <c r="G9" s="229">
        <v>1.091</v>
      </c>
      <c r="H9" s="228">
        <v>1.125</v>
      </c>
      <c r="I9" s="229"/>
      <c r="J9" s="106"/>
      <c r="L9" s="141">
        <v>2013</v>
      </c>
      <c r="M9" s="128">
        <f t="shared" si="0"/>
        <v>1.8330000000000002</v>
      </c>
      <c r="N9" s="128">
        <f t="shared" si="0"/>
        <v>0.58800000000000008</v>
      </c>
    </row>
    <row r="10" spans="1:14" x14ac:dyDescent="0.2">
      <c r="A10" s="211"/>
      <c r="B10" s="107"/>
      <c r="C10" s="107"/>
      <c r="D10" s="171">
        <v>2012</v>
      </c>
      <c r="E10" s="229">
        <v>5</v>
      </c>
      <c r="F10" s="229">
        <v>1.1000000000000001</v>
      </c>
      <c r="G10" s="229">
        <v>2</v>
      </c>
      <c r="H10" s="228"/>
      <c r="I10" s="229"/>
      <c r="J10" s="106"/>
    </row>
    <row r="11" spans="1:14" x14ac:dyDescent="0.2">
      <c r="A11" s="211"/>
      <c r="B11" s="107"/>
      <c r="C11" s="107"/>
      <c r="D11" s="171">
        <v>2013</v>
      </c>
      <c r="E11" s="229">
        <v>2.8330000000000002</v>
      </c>
      <c r="F11" s="229">
        <v>1.5880000000000001</v>
      </c>
      <c r="G11" s="229"/>
      <c r="H11" s="228"/>
      <c r="I11" s="229"/>
      <c r="J11" s="106"/>
      <c r="L11" s="126" t="s">
        <v>414</v>
      </c>
      <c r="M11" s="128">
        <f>CORREL(M7:M9,N7:N9)</f>
        <v>-0.68464089804456141</v>
      </c>
      <c r="N11" t="s">
        <v>458</v>
      </c>
    </row>
    <row r="12" spans="1:14" x14ac:dyDescent="0.2">
      <c r="A12" s="211"/>
      <c r="B12" s="107"/>
      <c r="C12" s="107"/>
      <c r="D12" s="148">
        <v>2014</v>
      </c>
      <c r="E12" s="227">
        <v>2.0910000000000002</v>
      </c>
      <c r="F12" s="227"/>
      <c r="G12" s="227"/>
      <c r="H12" s="226"/>
      <c r="I12" s="229"/>
      <c r="J12" s="106"/>
      <c r="L12" s="126"/>
      <c r="M12" s="126"/>
    </row>
    <row r="13" spans="1:14" x14ac:dyDescent="0.2">
      <c r="A13" s="211"/>
      <c r="B13" s="111"/>
      <c r="C13" s="107"/>
      <c r="D13" s="107"/>
      <c r="E13" s="107"/>
      <c r="F13" s="107"/>
      <c r="G13" s="107"/>
      <c r="H13" s="107"/>
      <c r="I13" s="107"/>
      <c r="J13" s="106"/>
      <c r="L13" s="126" t="s">
        <v>222</v>
      </c>
      <c r="M13" s="128">
        <f>M11*((3-2)/(1-M11^2))^0.5</f>
        <v>-0.93930467481343016</v>
      </c>
    </row>
    <row r="14" spans="1:14" x14ac:dyDescent="0.2">
      <c r="A14" s="211"/>
      <c r="B14" s="111"/>
      <c r="C14" s="107" t="s">
        <v>457</v>
      </c>
      <c r="D14" s="107"/>
      <c r="E14" s="107"/>
      <c r="F14" s="107"/>
      <c r="G14" s="107"/>
      <c r="H14" s="107"/>
      <c r="I14" s="107"/>
      <c r="J14" s="106"/>
      <c r="L14" s="126"/>
      <c r="M14" s="126"/>
    </row>
    <row r="15" spans="1:14" x14ac:dyDescent="0.2">
      <c r="A15" s="211"/>
      <c r="B15" s="111"/>
      <c r="C15" s="107" t="s">
        <v>456</v>
      </c>
      <c r="D15" s="107"/>
      <c r="E15" s="107"/>
      <c r="F15" s="107"/>
      <c r="G15" s="107"/>
      <c r="H15" s="107"/>
      <c r="I15" s="107"/>
      <c r="J15" s="106"/>
      <c r="L15" s="126" t="s">
        <v>455</v>
      </c>
      <c r="M15" s="126">
        <f>3-2</f>
        <v>1</v>
      </c>
      <c r="N15" t="s">
        <v>454</v>
      </c>
    </row>
    <row r="16" spans="1:14" x14ac:dyDescent="0.2">
      <c r="A16" s="211"/>
      <c r="B16" s="111"/>
      <c r="C16" s="111"/>
      <c r="D16" s="107"/>
      <c r="E16" s="107"/>
      <c r="F16" s="107"/>
      <c r="G16" s="107"/>
      <c r="H16" s="107"/>
      <c r="I16" s="107"/>
      <c r="J16" s="106"/>
    </row>
    <row r="17" spans="1:18" x14ac:dyDescent="0.2">
      <c r="A17" s="211"/>
      <c r="B17" s="111"/>
      <c r="C17" s="278" t="s">
        <v>15</v>
      </c>
      <c r="D17" s="278"/>
      <c r="E17" s="146">
        <v>1</v>
      </c>
      <c r="F17" s="146">
        <v>2</v>
      </c>
      <c r="G17" s="145">
        <v>3</v>
      </c>
      <c r="H17" s="107"/>
      <c r="I17" s="107"/>
      <c r="J17" s="106"/>
      <c r="M17" s="276"/>
    </row>
    <row r="18" spans="1:18" x14ac:dyDescent="0.2">
      <c r="A18" s="211"/>
      <c r="B18" s="111"/>
      <c r="C18" s="165" t="s">
        <v>389</v>
      </c>
      <c r="D18" s="277"/>
      <c r="E18" s="188">
        <v>6.3140000000000001</v>
      </c>
      <c r="F18" s="188">
        <v>2.92</v>
      </c>
      <c r="G18" s="187">
        <v>2.3540000000000001</v>
      </c>
      <c r="H18" s="107"/>
      <c r="I18" s="107"/>
      <c r="J18" s="106"/>
      <c r="L18" s="455" t="s">
        <v>453</v>
      </c>
      <c r="M18" s="455"/>
      <c r="N18" s="455"/>
      <c r="O18" s="455"/>
      <c r="P18" s="455"/>
      <c r="Q18" s="455"/>
      <c r="R18" s="455"/>
    </row>
    <row r="19" spans="1:18" x14ac:dyDescent="0.2">
      <c r="A19" s="211"/>
      <c r="B19" s="111"/>
      <c r="C19" s="107"/>
      <c r="D19" s="107"/>
      <c r="E19" s="107"/>
      <c r="F19" s="107"/>
      <c r="G19" s="107"/>
      <c r="H19" s="107"/>
      <c r="I19" s="107"/>
      <c r="J19" s="106"/>
      <c r="L19" s="455"/>
      <c r="M19" s="455"/>
      <c r="N19" s="455"/>
      <c r="O19" s="455"/>
      <c r="P19" s="455"/>
      <c r="Q19" s="455"/>
      <c r="R19" s="455"/>
    </row>
    <row r="20" spans="1:18" x14ac:dyDescent="0.2">
      <c r="A20" s="211" t="s">
        <v>0</v>
      </c>
      <c r="B20" s="129" t="s">
        <v>452</v>
      </c>
      <c r="C20" s="107" t="s">
        <v>451</v>
      </c>
      <c r="D20" s="107"/>
      <c r="E20" s="107"/>
      <c r="F20" s="107"/>
      <c r="G20" s="107"/>
      <c r="H20" s="107"/>
      <c r="I20" s="107"/>
      <c r="J20" s="106"/>
      <c r="M20" s="276"/>
    </row>
    <row r="21" spans="1:18" ht="16" customHeight="1" x14ac:dyDescent="0.2">
      <c r="A21" s="211"/>
      <c r="B21" s="111"/>
      <c r="C21" s="107" t="s">
        <v>450</v>
      </c>
      <c r="D21" s="107"/>
      <c r="E21" s="107"/>
      <c r="F21" s="107"/>
      <c r="G21" s="107"/>
      <c r="H21" s="107"/>
      <c r="I21" s="107"/>
      <c r="J21" s="106"/>
      <c r="L21" s="413" t="s">
        <v>449</v>
      </c>
      <c r="M21" s="413"/>
      <c r="N21" s="413"/>
      <c r="O21" s="413"/>
      <c r="P21" s="413"/>
      <c r="Q21" s="413"/>
      <c r="R21" s="413"/>
    </row>
    <row r="22" spans="1:18" ht="15.5" customHeight="1" x14ac:dyDescent="0.2">
      <c r="A22" s="211"/>
      <c r="B22" s="107"/>
      <c r="C22" s="107" t="s">
        <v>448</v>
      </c>
      <c r="D22" s="107"/>
      <c r="E22" s="107"/>
      <c r="F22" s="107"/>
      <c r="G22" s="107"/>
      <c r="H22" s="107"/>
      <c r="I22" s="107"/>
      <c r="J22" s="106"/>
      <c r="L22" s="413"/>
      <c r="M22" s="413"/>
      <c r="N22" s="413"/>
      <c r="O22" s="413"/>
      <c r="P22" s="413"/>
      <c r="Q22" s="413"/>
      <c r="R22" s="413"/>
    </row>
    <row r="23" spans="1:18" x14ac:dyDescent="0.2">
      <c r="A23" s="211"/>
      <c r="B23" s="107"/>
      <c r="C23" s="107"/>
      <c r="D23" s="107"/>
      <c r="E23" s="107"/>
      <c r="F23" s="107"/>
      <c r="G23" s="107"/>
      <c r="H23" s="107"/>
      <c r="I23" s="107"/>
      <c r="J23" s="106"/>
      <c r="L23" s="413"/>
      <c r="M23" s="413"/>
      <c r="N23" s="413"/>
      <c r="O23" s="413"/>
      <c r="P23" s="413"/>
      <c r="Q23" s="413"/>
      <c r="R23" s="413"/>
    </row>
    <row r="24" spans="1:18" x14ac:dyDescent="0.2">
      <c r="A24" s="211" t="s">
        <v>1</v>
      </c>
      <c r="B24" s="107" t="s">
        <v>350</v>
      </c>
      <c r="C24" s="107" t="s">
        <v>586</v>
      </c>
      <c r="D24" s="107"/>
      <c r="E24" s="107"/>
      <c r="F24" s="107"/>
      <c r="G24" s="107"/>
      <c r="H24" s="107"/>
      <c r="I24" s="107"/>
      <c r="J24" s="106"/>
      <c r="L24" s="413"/>
      <c r="M24" s="413"/>
      <c r="N24" s="413"/>
      <c r="O24" s="413"/>
      <c r="P24" s="413"/>
      <c r="Q24" s="413"/>
      <c r="R24" s="413"/>
    </row>
    <row r="25" spans="1:18" x14ac:dyDescent="0.2">
      <c r="A25" s="211"/>
      <c r="B25" s="107"/>
      <c r="C25" s="107"/>
      <c r="D25" s="107"/>
      <c r="E25" s="107"/>
      <c r="F25" s="107"/>
      <c r="G25" s="107"/>
      <c r="H25" s="107"/>
      <c r="I25" s="107"/>
      <c r="J25" s="106"/>
      <c r="L25" s="413"/>
      <c r="M25" s="413"/>
      <c r="N25" s="413"/>
      <c r="O25" s="413"/>
      <c r="P25" s="413"/>
      <c r="Q25" s="413"/>
      <c r="R25" s="413"/>
    </row>
    <row r="26" spans="1:18" x14ac:dyDescent="0.2">
      <c r="A26" s="211" t="s">
        <v>2</v>
      </c>
      <c r="B26" s="107" t="s">
        <v>380</v>
      </c>
      <c r="C26" s="115" t="s">
        <v>447</v>
      </c>
      <c r="D26" s="107"/>
      <c r="E26" s="107"/>
      <c r="F26" s="107"/>
      <c r="G26" s="107"/>
      <c r="H26" s="107"/>
      <c r="I26" s="107"/>
      <c r="J26" s="106"/>
      <c r="L26" s="222"/>
      <c r="M26" s="222"/>
      <c r="N26" s="222"/>
      <c r="O26" s="222"/>
      <c r="P26" s="222"/>
      <c r="Q26" s="222"/>
      <c r="R26" s="222"/>
    </row>
    <row r="27" spans="1:18" x14ac:dyDescent="0.2">
      <c r="A27" s="211"/>
      <c r="B27" s="107"/>
      <c r="C27" s="115" t="s">
        <v>446</v>
      </c>
      <c r="D27" s="107"/>
      <c r="E27" s="107"/>
      <c r="F27" s="107"/>
      <c r="G27" s="107"/>
      <c r="H27" s="107"/>
      <c r="I27" s="107"/>
      <c r="J27" s="106"/>
      <c r="L27" s="96" t="s">
        <v>361</v>
      </c>
    </row>
    <row r="28" spans="1:18" x14ac:dyDescent="0.2">
      <c r="A28" s="211"/>
      <c r="B28" s="107"/>
      <c r="C28" s="107" t="s">
        <v>445</v>
      </c>
      <c r="D28" s="107"/>
      <c r="E28" s="107"/>
      <c r="F28" s="107"/>
      <c r="G28" s="107"/>
      <c r="H28" s="107"/>
      <c r="I28" s="107"/>
      <c r="J28" s="106"/>
    </row>
    <row r="29" spans="1:18" ht="17" thickBot="1" x14ac:dyDescent="0.25">
      <c r="A29" s="251"/>
      <c r="B29" s="249"/>
      <c r="C29" s="250"/>
      <c r="D29" s="249"/>
      <c r="E29" s="249"/>
      <c r="F29" s="249"/>
      <c r="G29" s="249"/>
      <c r="H29" s="249"/>
      <c r="I29" s="249"/>
      <c r="J29" s="248"/>
      <c r="L29" s="261" t="s">
        <v>444</v>
      </c>
      <c r="M29" s="261"/>
      <c r="N29" s="261"/>
      <c r="O29" s="261"/>
      <c r="P29" s="261" t="s">
        <v>443</v>
      </c>
      <c r="Q29" s="261"/>
      <c r="R29" s="261"/>
    </row>
    <row r="30" spans="1:18" ht="17" thickBot="1" x14ac:dyDescent="0.25">
      <c r="A30" s="209" t="s">
        <v>153</v>
      </c>
      <c r="B30" s="104"/>
      <c r="C30" s="223"/>
      <c r="D30" s="104"/>
      <c r="E30" s="104"/>
      <c r="F30" s="104"/>
      <c r="G30" s="104"/>
      <c r="H30" s="104"/>
      <c r="I30" s="104"/>
      <c r="J30" s="103"/>
      <c r="L30" s="261"/>
      <c r="M30" s="261"/>
      <c r="N30" s="261"/>
      <c r="O30" s="261"/>
      <c r="P30" s="261"/>
      <c r="Q30" s="261"/>
      <c r="R30" s="261"/>
    </row>
    <row r="31" spans="1:18" ht="20" x14ac:dyDescent="0.2">
      <c r="L31" s="16" t="s">
        <v>441</v>
      </c>
      <c r="M31" s="17" t="s">
        <v>442</v>
      </c>
      <c r="N31" s="16" t="s">
        <v>439</v>
      </c>
      <c r="O31" s="261"/>
      <c r="P31" s="16" t="s">
        <v>441</v>
      </c>
      <c r="Q31" s="17" t="s">
        <v>440</v>
      </c>
      <c r="R31" s="16" t="s">
        <v>439</v>
      </c>
    </row>
    <row r="32" spans="1:18" x14ac:dyDescent="0.2">
      <c r="L32" s="6">
        <f t="shared" ref="L32:M34" si="1">RANK(E9,E$9:E$11,1)</f>
        <v>1</v>
      </c>
      <c r="M32" s="18">
        <f t="shared" si="1"/>
        <v>2</v>
      </c>
      <c r="N32" s="6">
        <f>(L32-M32)^2</f>
        <v>1</v>
      </c>
      <c r="O32" s="261"/>
      <c r="P32" s="6">
        <f>RANK(F9,F$9:F$10,1)</f>
        <v>2</v>
      </c>
      <c r="Q32" s="18">
        <f>RANK(G9,G$9:G$10,1)</f>
        <v>1</v>
      </c>
      <c r="R32" s="6">
        <f>(P32-Q32)^2</f>
        <v>1</v>
      </c>
    </row>
    <row r="33" spans="12:18" x14ac:dyDescent="0.2">
      <c r="L33" s="6">
        <f t="shared" si="1"/>
        <v>3</v>
      </c>
      <c r="M33" s="18">
        <f t="shared" si="1"/>
        <v>1</v>
      </c>
      <c r="N33" s="6">
        <f>(L33-M33)^2</f>
        <v>4</v>
      </c>
      <c r="O33" s="261"/>
      <c r="P33" s="16">
        <f>RANK(F10,F$9:F$10,1)</f>
        <v>1</v>
      </c>
      <c r="Q33" s="17">
        <f>RANK(G10,G$9:G$10,1)</f>
        <v>2</v>
      </c>
      <c r="R33" s="16">
        <f>(P33-Q33)^2</f>
        <v>1</v>
      </c>
    </row>
    <row r="34" spans="12:18" x14ac:dyDescent="0.2">
      <c r="L34" s="16">
        <f t="shared" si="1"/>
        <v>2</v>
      </c>
      <c r="M34" s="17">
        <f t="shared" si="1"/>
        <v>3</v>
      </c>
      <c r="N34" s="16">
        <f>(L34-M34)^2</f>
        <v>1</v>
      </c>
      <c r="O34" s="261"/>
      <c r="P34" s="6"/>
      <c r="Q34" s="275"/>
      <c r="R34" s="6">
        <f>SUM(R32:R33)</f>
        <v>2</v>
      </c>
    </row>
    <row r="35" spans="12:18" x14ac:dyDescent="0.2">
      <c r="L35" s="6"/>
      <c r="M35" s="275"/>
      <c r="N35" s="6">
        <f>SUM(N32:N34)</f>
        <v>6</v>
      </c>
      <c r="O35" s="261"/>
      <c r="P35" s="274"/>
      <c r="Q35" s="274"/>
      <c r="R35" s="274"/>
    </row>
    <row r="36" spans="12:18" x14ac:dyDescent="0.2">
      <c r="L36" s="274"/>
      <c r="M36" s="274"/>
      <c r="N36" s="274"/>
      <c r="O36" s="261"/>
      <c r="P36" s="261"/>
      <c r="Q36" s="261"/>
      <c r="R36" s="261"/>
    </row>
    <row r="37" spans="12:18" x14ac:dyDescent="0.2">
      <c r="L37" s="13" t="s">
        <v>438</v>
      </c>
      <c r="M37" s="261"/>
      <c r="N37" s="261"/>
      <c r="O37" s="261"/>
      <c r="P37" s="261"/>
      <c r="Q37" s="261"/>
      <c r="R37" s="261"/>
    </row>
    <row r="38" spans="12:18" x14ac:dyDescent="0.2">
      <c r="L38" s="261"/>
      <c r="M38" s="261"/>
      <c r="N38" s="261"/>
      <c r="O38" s="261"/>
      <c r="P38" s="261"/>
      <c r="Q38" s="261"/>
      <c r="R38" s="261"/>
    </row>
    <row r="39" spans="12:18" x14ac:dyDescent="0.2">
      <c r="L39" s="261" t="s">
        <v>437</v>
      </c>
      <c r="M39" s="273"/>
      <c r="N39" s="261"/>
      <c r="O39" s="261"/>
      <c r="P39" s="261"/>
      <c r="Q39" s="261"/>
      <c r="R39" s="261"/>
    </row>
    <row r="40" spans="12:18" x14ac:dyDescent="0.2">
      <c r="L40" s="261"/>
      <c r="M40" s="261"/>
      <c r="N40" s="261"/>
      <c r="O40" s="261"/>
      <c r="P40" s="261"/>
      <c r="Q40" s="261"/>
      <c r="R40" s="261"/>
    </row>
    <row r="41" spans="12:18" ht="18" x14ac:dyDescent="0.25">
      <c r="L41" s="268" t="s">
        <v>292</v>
      </c>
      <c r="M41" s="267" t="s">
        <v>436</v>
      </c>
      <c r="N41" s="267" t="s">
        <v>435</v>
      </c>
      <c r="O41" s="267" t="s">
        <v>434</v>
      </c>
      <c r="P41" s="267" t="s">
        <v>433</v>
      </c>
      <c r="Q41" s="261"/>
      <c r="R41" s="261"/>
    </row>
    <row r="42" spans="12:18" x14ac:dyDescent="0.2">
      <c r="L42" s="272">
        <v>2</v>
      </c>
      <c r="M42" s="125">
        <v>3</v>
      </c>
      <c r="N42" s="125">
        <f>N35</f>
        <v>6</v>
      </c>
      <c r="O42" s="125">
        <f>1-N42/(M42*(M42^2-1)/6)</f>
        <v>-0.5</v>
      </c>
      <c r="P42" s="125">
        <v>2</v>
      </c>
      <c r="Q42" s="261"/>
      <c r="R42" s="261"/>
    </row>
    <row r="43" spans="12:18" x14ac:dyDescent="0.2">
      <c r="L43" s="272">
        <v>3</v>
      </c>
      <c r="M43" s="125">
        <v>2</v>
      </c>
      <c r="N43" s="125">
        <f>R34</f>
        <v>2</v>
      </c>
      <c r="O43" s="125">
        <f>1-N43/(M43*(M43^2-1)/6)</f>
        <v>-1</v>
      </c>
      <c r="P43" s="125">
        <v>1</v>
      </c>
      <c r="Q43" s="261"/>
      <c r="R43" s="261"/>
    </row>
    <row r="44" spans="12:18" ht="17" thickBot="1" x14ac:dyDescent="0.25">
      <c r="L44" s="261"/>
      <c r="M44" s="261"/>
      <c r="N44" s="261"/>
      <c r="O44" s="261"/>
      <c r="P44" s="261"/>
      <c r="Q44" s="261"/>
      <c r="R44" s="261"/>
    </row>
    <row r="45" spans="12:18" ht="17" thickBot="1" x14ac:dyDescent="0.25">
      <c r="L45" s="271" t="s">
        <v>222</v>
      </c>
      <c r="M45" s="270">
        <f>SUMPRODUCT(O42:O43,P42:P43)/SUM(P42:P43)</f>
        <v>-0.66666666666666663</v>
      </c>
      <c r="O45" s="261"/>
      <c r="P45" s="261"/>
      <c r="Q45" s="261"/>
      <c r="R45" s="261"/>
    </row>
    <row r="48" spans="12:18" x14ac:dyDescent="0.2">
      <c r="L48" s="96" t="s">
        <v>432</v>
      </c>
    </row>
    <row r="49" spans="4:18" x14ac:dyDescent="0.2">
      <c r="L49" s="269" t="s">
        <v>431</v>
      </c>
    </row>
    <row r="50" spans="4:18" x14ac:dyDescent="0.2">
      <c r="L50" t="s">
        <v>430</v>
      </c>
    </row>
    <row r="51" spans="4:18" x14ac:dyDescent="0.2">
      <c r="L51" s="413" t="s">
        <v>429</v>
      </c>
      <c r="M51" s="413"/>
      <c r="N51" s="413"/>
      <c r="O51" s="413"/>
      <c r="P51" s="413"/>
      <c r="Q51" s="413"/>
      <c r="R51" s="413"/>
    </row>
    <row r="52" spans="4:18" x14ac:dyDescent="0.2">
      <c r="L52" s="413"/>
      <c r="M52" s="413"/>
      <c r="N52" s="413"/>
      <c r="O52" s="413"/>
      <c r="P52" s="413"/>
      <c r="Q52" s="413"/>
      <c r="R52" s="413"/>
    </row>
    <row r="53" spans="4:18" x14ac:dyDescent="0.2">
      <c r="D53" s="261"/>
      <c r="E53" s="261"/>
      <c r="F53" s="261"/>
      <c r="G53" s="261"/>
      <c r="H53" s="261"/>
      <c r="I53" s="261"/>
      <c r="J53" s="261"/>
      <c r="L53" s="413" t="s">
        <v>428</v>
      </c>
      <c r="M53" s="413"/>
      <c r="N53" s="413"/>
      <c r="O53" s="413"/>
      <c r="P53" s="413"/>
      <c r="Q53" s="413"/>
      <c r="R53" s="413"/>
    </row>
    <row r="54" spans="4:18" x14ac:dyDescent="0.2">
      <c r="D54" s="261"/>
      <c r="E54" s="261"/>
      <c r="F54" s="261"/>
      <c r="G54" s="261"/>
      <c r="H54" s="261"/>
      <c r="I54" s="261"/>
      <c r="J54" s="261"/>
      <c r="L54" s="413"/>
      <c r="M54" s="413"/>
      <c r="N54" s="413"/>
      <c r="O54" s="413"/>
      <c r="P54" s="413"/>
      <c r="Q54" s="413"/>
      <c r="R54" s="413"/>
    </row>
    <row r="55" spans="4:18" x14ac:dyDescent="0.2">
      <c r="D55" s="261"/>
      <c r="E55" s="261"/>
      <c r="F55" s="261"/>
      <c r="G55" s="261"/>
      <c r="H55" s="261"/>
      <c r="I55" s="261"/>
      <c r="J55" s="261"/>
      <c r="L55" s="413"/>
      <c r="M55" s="413"/>
      <c r="N55" s="413"/>
      <c r="O55" s="413"/>
      <c r="P55" s="413"/>
      <c r="Q55" s="413"/>
      <c r="R55" s="413"/>
    </row>
    <row r="56" spans="4:18" x14ac:dyDescent="0.2">
      <c r="D56" s="261"/>
      <c r="E56" s="261"/>
      <c r="F56" s="261"/>
      <c r="G56" s="261"/>
      <c r="H56" s="261"/>
      <c r="I56" s="261"/>
      <c r="J56" s="261"/>
    </row>
    <row r="57" spans="4:18" x14ac:dyDescent="0.2">
      <c r="D57" s="261"/>
      <c r="E57" s="261"/>
      <c r="F57" s="261"/>
      <c r="G57" s="261"/>
      <c r="H57" s="261"/>
      <c r="I57" s="261"/>
      <c r="J57" s="261"/>
    </row>
    <row r="58" spans="4:18" ht="19" x14ac:dyDescent="0.25">
      <c r="D58" s="261"/>
      <c r="E58" s="261"/>
      <c r="F58" s="261"/>
      <c r="G58" s="261"/>
      <c r="H58" s="261"/>
      <c r="I58" s="261"/>
      <c r="J58" s="261"/>
      <c r="L58" s="117" t="s">
        <v>146</v>
      </c>
      <c r="M58" s="99"/>
    </row>
    <row r="59" spans="4:18" x14ac:dyDescent="0.2">
      <c r="D59" s="261"/>
      <c r="E59" s="261"/>
      <c r="F59" s="261"/>
      <c r="G59" s="261"/>
      <c r="H59" s="261"/>
      <c r="I59" s="261"/>
      <c r="J59" s="261"/>
      <c r="L59" s="415" t="s">
        <v>427</v>
      </c>
      <c r="M59" s="415"/>
      <c r="N59" s="415"/>
      <c r="O59" s="415"/>
      <c r="P59" s="415"/>
      <c r="Q59" s="415"/>
      <c r="R59" s="415"/>
    </row>
    <row r="60" spans="4:18" x14ac:dyDescent="0.2">
      <c r="D60" s="261"/>
      <c r="E60" s="261"/>
      <c r="F60" s="261"/>
      <c r="G60" s="261"/>
      <c r="H60" s="261"/>
      <c r="I60" s="261"/>
      <c r="J60" s="261"/>
      <c r="L60" s="415"/>
      <c r="M60" s="415"/>
      <c r="N60" s="415"/>
      <c r="O60" s="415"/>
      <c r="P60" s="415"/>
      <c r="Q60" s="415"/>
      <c r="R60" s="415"/>
    </row>
    <row r="61" spans="4:18" x14ac:dyDescent="0.2">
      <c r="D61" s="261"/>
      <c r="E61" s="261"/>
      <c r="F61" s="261"/>
      <c r="G61" s="261"/>
      <c r="H61" s="261"/>
      <c r="I61" s="261"/>
      <c r="J61" s="261"/>
      <c r="L61" s="415"/>
      <c r="M61" s="415"/>
      <c r="N61" s="415"/>
      <c r="O61" s="415"/>
      <c r="P61" s="415"/>
      <c r="Q61" s="415"/>
      <c r="R61" s="415"/>
    </row>
    <row r="62" spans="4:18" x14ac:dyDescent="0.2">
      <c r="D62" s="261"/>
      <c r="E62" s="261"/>
      <c r="F62" s="261"/>
      <c r="G62" s="261"/>
      <c r="H62" s="261"/>
      <c r="I62" s="261"/>
      <c r="J62" s="261"/>
    </row>
    <row r="63" spans="4:18" ht="19" x14ac:dyDescent="0.25">
      <c r="D63" s="261"/>
      <c r="E63" s="261"/>
      <c r="F63" s="261"/>
      <c r="G63" s="261"/>
      <c r="H63" s="261"/>
      <c r="I63" s="261"/>
      <c r="J63" s="261"/>
      <c r="L63" s="117" t="s">
        <v>177</v>
      </c>
    </row>
    <row r="64" spans="4:18" x14ac:dyDescent="0.2">
      <c r="D64" s="261"/>
      <c r="E64" s="261"/>
      <c r="F64" s="261"/>
      <c r="G64" s="261"/>
      <c r="H64" s="261"/>
      <c r="I64" s="261"/>
      <c r="J64" s="261"/>
      <c r="L64" t="s">
        <v>426</v>
      </c>
    </row>
    <row r="65" spans="12:12" x14ac:dyDescent="0.2">
      <c r="L65" t="s">
        <v>425</v>
      </c>
    </row>
  </sheetData>
  <mergeCells count="6">
    <mergeCell ref="L59:R61"/>
    <mergeCell ref="L53:R55"/>
    <mergeCell ref="D6:H6"/>
    <mergeCell ref="L18:R19"/>
    <mergeCell ref="L51:R52"/>
    <mergeCell ref="L21:R2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18A4-D94B-E448-8EDF-E37C01F6E5FD}">
  <dimension ref="A1:S30"/>
  <sheetViews>
    <sheetView workbookViewId="0">
      <selection activeCell="B1" sqref="B1"/>
    </sheetView>
  </sheetViews>
  <sheetFormatPr baseColWidth="10" defaultColWidth="11" defaultRowHeight="16" outlineLevelCol="1" x14ac:dyDescent="0.2"/>
  <cols>
    <col min="1" max="1" width="4" style="102" customWidth="1"/>
    <col min="2" max="2" width="11.5" customWidth="1"/>
    <col min="12" max="18" width="10.83203125" hidden="1" customWidth="1" outlineLevel="1"/>
    <col min="19" max="19" width="11" collapsed="1"/>
  </cols>
  <sheetData>
    <row r="1" spans="1:18" x14ac:dyDescent="0.2">
      <c r="A1" s="243"/>
      <c r="B1" s="121" t="s">
        <v>374</v>
      </c>
      <c r="C1" s="120" t="s">
        <v>484</v>
      </c>
      <c r="D1" s="120" t="s">
        <v>372</v>
      </c>
      <c r="E1" s="120" t="s">
        <v>483</v>
      </c>
      <c r="F1" s="119"/>
      <c r="G1" s="119"/>
      <c r="H1" s="119"/>
      <c r="I1" s="119"/>
      <c r="J1" s="118"/>
      <c r="K1" s="96" t="s">
        <v>154</v>
      </c>
      <c r="L1" s="96"/>
    </row>
    <row r="2" spans="1:18" x14ac:dyDescent="0.2">
      <c r="A2" s="211"/>
      <c r="B2" s="242" t="s">
        <v>370</v>
      </c>
      <c r="C2" s="241">
        <v>1.25</v>
      </c>
      <c r="D2" s="107"/>
      <c r="E2" s="107"/>
      <c r="F2" s="107"/>
      <c r="G2" s="107"/>
      <c r="H2" s="107"/>
      <c r="I2" s="107"/>
      <c r="J2" s="106"/>
    </row>
    <row r="3" spans="1:18" x14ac:dyDescent="0.2">
      <c r="A3" s="211"/>
      <c r="B3" s="107"/>
      <c r="C3" s="107"/>
      <c r="D3" s="107"/>
      <c r="E3" s="107"/>
      <c r="F3" s="107"/>
      <c r="G3" s="107"/>
      <c r="H3" s="107"/>
      <c r="I3" s="107"/>
      <c r="J3" s="106"/>
      <c r="L3" s="96" t="s">
        <v>369</v>
      </c>
      <c r="M3" s="281"/>
    </row>
    <row r="4" spans="1:18" x14ac:dyDescent="0.2">
      <c r="A4" s="211"/>
      <c r="B4" s="107"/>
      <c r="C4" s="107" t="s">
        <v>6</v>
      </c>
      <c r="D4" s="107"/>
      <c r="E4" s="107"/>
      <c r="F4" s="107"/>
      <c r="G4" s="107"/>
      <c r="H4" s="107"/>
      <c r="I4" s="107"/>
      <c r="J4" s="106"/>
      <c r="L4" t="s">
        <v>482</v>
      </c>
      <c r="M4" s="281"/>
    </row>
    <row r="5" spans="1:18" x14ac:dyDescent="0.2">
      <c r="A5" s="211"/>
      <c r="B5" s="107"/>
      <c r="C5" s="107"/>
      <c r="D5" s="107"/>
      <c r="E5" s="107"/>
      <c r="F5" s="107"/>
      <c r="G5" s="107"/>
      <c r="H5" s="107"/>
      <c r="I5" s="107"/>
      <c r="J5" s="106"/>
    </row>
    <row r="6" spans="1:18" x14ac:dyDescent="0.2">
      <c r="A6" s="211"/>
      <c r="B6" s="107"/>
      <c r="C6" s="107"/>
      <c r="D6" s="107"/>
      <c r="E6" s="107"/>
      <c r="F6" s="107"/>
      <c r="G6" s="107"/>
      <c r="H6" s="107"/>
      <c r="I6" s="107"/>
      <c r="J6" s="106"/>
      <c r="L6" t="s">
        <v>481</v>
      </c>
      <c r="M6" s="283"/>
    </row>
    <row r="7" spans="1:18" x14ac:dyDescent="0.2">
      <c r="A7" s="211"/>
      <c r="B7" s="107"/>
      <c r="C7" s="107"/>
      <c r="D7" s="107"/>
      <c r="E7" s="107"/>
      <c r="F7" s="107"/>
      <c r="G7" s="107"/>
      <c r="H7" s="107"/>
      <c r="I7" s="107"/>
      <c r="J7" s="106"/>
      <c r="M7" s="282"/>
    </row>
    <row r="8" spans="1:18" x14ac:dyDescent="0.2">
      <c r="A8" s="211"/>
      <c r="B8" s="107"/>
      <c r="C8" s="107"/>
      <c r="D8" s="107"/>
      <c r="E8" s="107"/>
      <c r="F8" s="107"/>
      <c r="G8" s="107"/>
      <c r="H8" s="107"/>
      <c r="I8" s="107"/>
      <c r="J8" s="106"/>
      <c r="L8" t="s">
        <v>480</v>
      </c>
    </row>
    <row r="9" spans="1:18" x14ac:dyDescent="0.2">
      <c r="A9" s="211"/>
      <c r="B9" s="107"/>
      <c r="C9" s="107"/>
      <c r="D9" s="107"/>
      <c r="E9" s="107"/>
      <c r="F9" s="107"/>
      <c r="G9" s="107"/>
      <c r="H9" s="107"/>
      <c r="I9" s="107"/>
      <c r="J9" s="106"/>
      <c r="L9" t="s">
        <v>479</v>
      </c>
      <c r="M9" s="247"/>
    </row>
    <row r="10" spans="1:18" x14ac:dyDescent="0.2">
      <c r="A10" s="211"/>
      <c r="B10" s="107"/>
      <c r="C10" s="107"/>
      <c r="D10" s="107"/>
      <c r="E10" s="107"/>
      <c r="F10" s="107"/>
      <c r="G10" s="107"/>
      <c r="H10" s="107"/>
      <c r="I10" s="107"/>
      <c r="J10" s="106"/>
    </row>
    <row r="11" spans="1:18" x14ac:dyDescent="0.2">
      <c r="A11" s="211"/>
      <c r="B11" s="107"/>
      <c r="C11" s="107"/>
      <c r="D11" s="107"/>
      <c r="E11" s="107"/>
      <c r="F11" s="107"/>
      <c r="G11" s="107"/>
      <c r="H11" s="107"/>
      <c r="I11" s="107"/>
      <c r="J11" s="106"/>
      <c r="L11" s="96" t="s">
        <v>361</v>
      </c>
    </row>
    <row r="12" spans="1:18" x14ac:dyDescent="0.2">
      <c r="A12" s="211"/>
      <c r="B12" s="107"/>
      <c r="C12" s="107"/>
      <c r="D12" s="107"/>
      <c r="E12" s="107"/>
      <c r="F12" s="107"/>
      <c r="G12" s="107"/>
      <c r="H12" s="107"/>
      <c r="I12" s="107"/>
      <c r="J12" s="106"/>
      <c r="L12" s="413" t="s">
        <v>478</v>
      </c>
      <c r="M12" s="413"/>
      <c r="N12" s="413"/>
      <c r="O12" s="413"/>
      <c r="P12" s="413"/>
      <c r="Q12" s="413"/>
      <c r="R12" s="413"/>
    </row>
    <row r="13" spans="1:18" x14ac:dyDescent="0.2">
      <c r="A13" s="211"/>
      <c r="B13" s="111"/>
      <c r="C13" s="107"/>
      <c r="D13" s="107"/>
      <c r="E13" s="107"/>
      <c r="F13" s="107"/>
      <c r="G13" s="107"/>
      <c r="H13" s="107"/>
      <c r="I13" s="107"/>
      <c r="J13" s="106"/>
      <c r="L13" s="413"/>
      <c r="M13" s="413"/>
      <c r="N13" s="413"/>
      <c r="O13" s="413"/>
      <c r="P13" s="413"/>
      <c r="Q13" s="413"/>
      <c r="R13" s="413"/>
    </row>
    <row r="14" spans="1:18" x14ac:dyDescent="0.2">
      <c r="A14" s="211"/>
      <c r="B14" s="111"/>
      <c r="C14" s="107"/>
      <c r="D14" s="107"/>
      <c r="E14" s="107"/>
      <c r="F14" s="107"/>
      <c r="G14" s="107"/>
      <c r="H14" s="107"/>
      <c r="I14" s="107"/>
      <c r="J14" s="106"/>
    </row>
    <row r="15" spans="1:18" x14ac:dyDescent="0.2">
      <c r="A15" s="211"/>
      <c r="B15" s="111"/>
      <c r="C15" s="107"/>
      <c r="D15" s="107"/>
      <c r="E15" s="107"/>
      <c r="F15" s="107"/>
      <c r="G15" s="107"/>
      <c r="H15" s="107"/>
      <c r="I15" s="107"/>
      <c r="J15" s="106"/>
      <c r="L15" s="96"/>
    </row>
    <row r="16" spans="1:18" x14ac:dyDescent="0.2">
      <c r="A16" s="211"/>
      <c r="B16" s="111"/>
      <c r="C16" s="107"/>
      <c r="D16" s="107"/>
      <c r="E16" s="107"/>
      <c r="F16" s="107"/>
      <c r="G16" s="107"/>
      <c r="H16" s="107"/>
      <c r="I16" s="107"/>
      <c r="J16" s="106"/>
    </row>
    <row r="17" spans="1:13" x14ac:dyDescent="0.2">
      <c r="A17" s="211"/>
      <c r="B17" s="111"/>
      <c r="C17" s="107"/>
      <c r="D17" s="107"/>
      <c r="E17" s="107"/>
      <c r="F17" s="107"/>
      <c r="G17" s="107"/>
      <c r="H17" s="107"/>
      <c r="I17" s="107"/>
      <c r="J17" s="106"/>
      <c r="M17" s="276"/>
    </row>
    <row r="18" spans="1:13" x14ac:dyDescent="0.2">
      <c r="A18" s="211"/>
      <c r="B18" s="111"/>
      <c r="C18" s="107"/>
      <c r="D18" s="107"/>
      <c r="E18" s="107"/>
      <c r="F18" s="107"/>
      <c r="G18" s="107"/>
      <c r="H18" s="107"/>
      <c r="I18" s="107"/>
      <c r="J18" s="106"/>
      <c r="M18" s="276"/>
    </row>
    <row r="19" spans="1:13" x14ac:dyDescent="0.2">
      <c r="A19" s="211"/>
      <c r="B19" s="111"/>
      <c r="C19" s="107"/>
      <c r="D19" s="107"/>
      <c r="E19" s="107"/>
      <c r="F19" s="107"/>
      <c r="G19" s="107"/>
      <c r="H19" s="107"/>
      <c r="I19" s="107"/>
      <c r="J19" s="106"/>
      <c r="M19" s="276"/>
    </row>
    <row r="20" spans="1:13" x14ac:dyDescent="0.2">
      <c r="A20" s="211"/>
      <c r="B20" s="111"/>
      <c r="C20" s="107"/>
      <c r="D20" s="107"/>
      <c r="E20" s="107"/>
      <c r="F20" s="107"/>
      <c r="G20" s="107"/>
      <c r="H20" s="107"/>
      <c r="I20" s="107"/>
      <c r="J20" s="106"/>
      <c r="M20" s="276"/>
    </row>
    <row r="21" spans="1:13" x14ac:dyDescent="0.2">
      <c r="A21" s="211"/>
      <c r="B21" s="111"/>
      <c r="C21" s="107" t="s">
        <v>477</v>
      </c>
      <c r="D21" s="107"/>
      <c r="E21" s="107"/>
      <c r="F21" s="107"/>
      <c r="G21" s="107"/>
      <c r="H21" s="107"/>
      <c r="I21" s="107"/>
      <c r="J21" s="106"/>
    </row>
    <row r="22" spans="1:13" x14ac:dyDescent="0.2">
      <c r="A22" s="211"/>
      <c r="B22" s="111"/>
      <c r="C22" s="107" t="s">
        <v>476</v>
      </c>
      <c r="D22" s="107"/>
      <c r="E22" s="107"/>
      <c r="F22" s="107"/>
      <c r="G22" s="107"/>
      <c r="H22" s="107"/>
      <c r="I22" s="107"/>
      <c r="J22" s="106"/>
      <c r="M22" s="99"/>
    </row>
    <row r="23" spans="1:13" x14ac:dyDescent="0.2">
      <c r="A23" s="211"/>
      <c r="B23" s="107"/>
      <c r="C23" s="107"/>
      <c r="D23" s="107"/>
      <c r="E23" s="107"/>
      <c r="F23" s="107"/>
      <c r="G23" s="107"/>
      <c r="H23" s="107"/>
      <c r="I23" s="107"/>
      <c r="J23" s="106"/>
    </row>
    <row r="24" spans="1:13" x14ac:dyDescent="0.2">
      <c r="A24" s="211" t="s">
        <v>0</v>
      </c>
      <c r="B24" s="107" t="s">
        <v>475</v>
      </c>
      <c r="C24" s="115" t="s">
        <v>474</v>
      </c>
      <c r="D24" s="107"/>
      <c r="E24" s="107"/>
      <c r="F24" s="107"/>
      <c r="G24" s="107"/>
      <c r="H24" s="107"/>
      <c r="I24" s="107"/>
      <c r="J24" s="106"/>
    </row>
    <row r="25" spans="1:13" x14ac:dyDescent="0.2">
      <c r="A25" s="211"/>
      <c r="B25" s="107"/>
      <c r="C25" s="115" t="s">
        <v>473</v>
      </c>
      <c r="D25" s="107"/>
      <c r="E25" s="107"/>
      <c r="F25" s="107"/>
      <c r="G25" s="107"/>
      <c r="H25" s="107"/>
      <c r="I25" s="107"/>
      <c r="J25" s="106"/>
    </row>
    <row r="26" spans="1:13" x14ac:dyDescent="0.2">
      <c r="A26" s="211"/>
      <c r="B26" s="107"/>
      <c r="C26" s="115"/>
      <c r="D26" s="107"/>
      <c r="E26" s="107"/>
      <c r="F26" s="107"/>
      <c r="G26" s="107"/>
      <c r="H26" s="107"/>
      <c r="I26" s="107"/>
      <c r="J26" s="106"/>
    </row>
    <row r="27" spans="1:13" x14ac:dyDescent="0.2">
      <c r="A27" s="211" t="s">
        <v>1</v>
      </c>
      <c r="B27" s="107" t="s">
        <v>380</v>
      </c>
      <c r="C27" s="115" t="s">
        <v>472</v>
      </c>
      <c r="D27" s="107"/>
      <c r="E27" s="107"/>
      <c r="F27" s="107"/>
      <c r="G27" s="107"/>
      <c r="H27" s="107"/>
      <c r="I27" s="107"/>
      <c r="J27" s="106"/>
    </row>
    <row r="28" spans="1:13" x14ac:dyDescent="0.2">
      <c r="A28" s="211"/>
      <c r="B28" s="107"/>
      <c r="C28" s="107" t="s">
        <v>471</v>
      </c>
      <c r="D28" s="107"/>
      <c r="E28" s="107"/>
      <c r="F28" s="107"/>
      <c r="G28" s="107"/>
      <c r="H28" s="107"/>
      <c r="I28" s="107"/>
      <c r="J28" s="106"/>
    </row>
    <row r="29" spans="1:13" ht="17" thickBot="1" x14ac:dyDescent="0.25">
      <c r="A29" s="251"/>
      <c r="B29" s="249"/>
      <c r="C29" s="250"/>
      <c r="D29" s="249"/>
      <c r="E29" s="249"/>
      <c r="F29" s="249"/>
      <c r="G29" s="249"/>
      <c r="H29" s="249"/>
      <c r="I29" s="249"/>
      <c r="J29" s="248"/>
      <c r="L29" s="96"/>
      <c r="M29" s="247"/>
    </row>
    <row r="30" spans="1:13" ht="17" thickBot="1" x14ac:dyDescent="0.25">
      <c r="A30" s="209" t="s">
        <v>153</v>
      </c>
      <c r="B30" s="104"/>
      <c r="C30" s="223"/>
      <c r="D30" s="104"/>
      <c r="E30" s="104"/>
      <c r="F30" s="104"/>
      <c r="G30" s="104"/>
      <c r="H30" s="104"/>
      <c r="I30" s="104"/>
      <c r="J30" s="103"/>
    </row>
  </sheetData>
  <mergeCells count="1">
    <mergeCell ref="L12:R1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B583-5C15-4149-A636-8B0B332D973D}">
  <dimension ref="A1:S52"/>
  <sheetViews>
    <sheetView workbookViewId="0">
      <selection activeCell="B1" sqref="B1"/>
    </sheetView>
  </sheetViews>
  <sheetFormatPr baseColWidth="10" defaultColWidth="11" defaultRowHeight="16" outlineLevelCol="1" x14ac:dyDescent="0.2"/>
  <cols>
    <col min="1" max="1" width="4" style="102" customWidth="1"/>
    <col min="2" max="2" width="11.5" customWidth="1"/>
    <col min="12" max="12" width="16" hidden="1" customWidth="1" outlineLevel="1"/>
    <col min="13" max="18" width="10.83203125" hidden="1" customWidth="1" outlineLevel="1"/>
    <col min="19" max="19" width="11" collapsed="1"/>
  </cols>
  <sheetData>
    <row r="1" spans="1:15" x14ac:dyDescent="0.2">
      <c r="A1" s="243"/>
      <c r="B1" s="121" t="s">
        <v>374</v>
      </c>
      <c r="C1" s="120" t="s">
        <v>484</v>
      </c>
      <c r="D1" s="120" t="s">
        <v>372</v>
      </c>
      <c r="E1" s="120" t="s">
        <v>525</v>
      </c>
      <c r="F1" s="119"/>
      <c r="G1" s="119"/>
      <c r="H1" s="119"/>
      <c r="I1" s="119"/>
      <c r="J1" s="118"/>
      <c r="K1" s="96" t="s">
        <v>154</v>
      </c>
      <c r="L1" s="96"/>
    </row>
    <row r="2" spans="1:15" x14ac:dyDescent="0.2">
      <c r="A2" s="211"/>
      <c r="B2" s="242" t="s">
        <v>370</v>
      </c>
      <c r="C2" s="241">
        <v>2.5</v>
      </c>
      <c r="D2" s="107"/>
      <c r="E2" s="107"/>
      <c r="F2" s="107"/>
      <c r="G2" s="107"/>
      <c r="H2" s="107"/>
      <c r="I2" s="107"/>
      <c r="J2" s="106"/>
    </row>
    <row r="3" spans="1:15" x14ac:dyDescent="0.2">
      <c r="A3" s="211"/>
      <c r="B3" s="107"/>
      <c r="C3" s="107"/>
      <c r="D3" s="107"/>
      <c r="E3" s="107"/>
      <c r="F3" s="107"/>
      <c r="G3" s="107"/>
      <c r="H3" s="107"/>
      <c r="I3" s="107"/>
      <c r="J3" s="106"/>
      <c r="L3" s="96" t="s">
        <v>369</v>
      </c>
      <c r="M3" s="281"/>
    </row>
    <row r="4" spans="1:15" x14ac:dyDescent="0.2">
      <c r="A4" s="211"/>
      <c r="B4" s="107"/>
      <c r="C4" s="107" t="s">
        <v>524</v>
      </c>
      <c r="D4" s="107"/>
      <c r="E4" s="107"/>
      <c r="F4" s="107"/>
      <c r="G4" s="107"/>
      <c r="H4" s="107"/>
      <c r="I4" s="107"/>
      <c r="J4" s="106"/>
      <c r="L4" t="s">
        <v>523</v>
      </c>
      <c r="M4" s="281"/>
    </row>
    <row r="5" spans="1:15" x14ac:dyDescent="0.2">
      <c r="A5" s="211"/>
      <c r="B5" s="107"/>
      <c r="C5" s="107"/>
      <c r="D5" s="107"/>
      <c r="E5" s="107"/>
      <c r="F5" s="107"/>
      <c r="G5" s="107"/>
      <c r="H5" s="107"/>
      <c r="I5" s="107"/>
      <c r="J5" s="106"/>
    </row>
    <row r="6" spans="1:15" ht="15.75" customHeight="1" x14ac:dyDescent="0.25">
      <c r="A6" s="211"/>
      <c r="B6" s="107"/>
      <c r="C6" s="107"/>
      <c r="D6" s="454" t="s">
        <v>7</v>
      </c>
      <c r="E6" s="450" t="s">
        <v>522</v>
      </c>
      <c r="F6" s="452"/>
      <c r="G6" s="107"/>
      <c r="H6" s="107"/>
      <c r="I6" s="107"/>
      <c r="J6" s="106"/>
      <c r="L6" s="144" t="s">
        <v>45</v>
      </c>
      <c r="M6" s="142" t="s">
        <v>521</v>
      </c>
      <c r="N6" s="142" t="s">
        <v>520</v>
      </c>
      <c r="O6" s="126" t="s">
        <v>519</v>
      </c>
    </row>
    <row r="7" spans="1:15" ht="16.5" customHeight="1" x14ac:dyDescent="0.2">
      <c r="A7" s="211"/>
      <c r="B7" s="107"/>
      <c r="C7" s="107"/>
      <c r="D7" s="458"/>
      <c r="E7" s="456"/>
      <c r="F7" s="457"/>
      <c r="G7" s="107"/>
      <c r="H7" s="107"/>
      <c r="I7" s="107"/>
      <c r="J7" s="106"/>
      <c r="L7" s="141">
        <v>2013</v>
      </c>
      <c r="M7" s="152">
        <f>$D$19+$D$20*E9</f>
        <v>1375</v>
      </c>
      <c r="N7" s="152">
        <f>F9-M7</f>
        <v>-75</v>
      </c>
    </row>
    <row r="8" spans="1:15" x14ac:dyDescent="0.2">
      <c r="A8" s="211"/>
      <c r="B8" s="107"/>
      <c r="C8" s="107"/>
      <c r="D8" s="459"/>
      <c r="E8" s="188">
        <v>12</v>
      </c>
      <c r="F8" s="187">
        <v>24</v>
      </c>
      <c r="G8" s="107"/>
      <c r="H8" s="107"/>
      <c r="I8" s="107"/>
      <c r="J8" s="106"/>
      <c r="L8" s="141">
        <v>2014</v>
      </c>
      <c r="M8" s="152">
        <f>$D$19+$D$20*E10</f>
        <v>1400</v>
      </c>
      <c r="N8" s="152">
        <f>F10-M8</f>
        <v>0</v>
      </c>
    </row>
    <row r="9" spans="1:15" x14ac:dyDescent="0.2">
      <c r="A9" s="211"/>
      <c r="B9" s="107"/>
      <c r="C9" s="107"/>
      <c r="D9" s="171">
        <v>2013</v>
      </c>
      <c r="E9" s="183">
        <v>600</v>
      </c>
      <c r="F9" s="195">
        <v>1300</v>
      </c>
      <c r="G9" s="107"/>
      <c r="H9" s="107"/>
      <c r="I9" s="107"/>
      <c r="J9" s="106"/>
      <c r="L9" s="141">
        <v>2015</v>
      </c>
      <c r="M9" s="152">
        <f>$D$19+$D$20*E11</f>
        <v>1350</v>
      </c>
      <c r="N9" s="152">
        <f>F11-M9</f>
        <v>50</v>
      </c>
    </row>
    <row r="10" spans="1:15" x14ac:dyDescent="0.2">
      <c r="A10" s="211"/>
      <c r="B10" s="107"/>
      <c r="C10" s="107"/>
      <c r="D10" s="171">
        <v>2014</v>
      </c>
      <c r="E10" s="183">
        <v>650</v>
      </c>
      <c r="F10" s="195">
        <v>1400</v>
      </c>
      <c r="G10" s="107"/>
      <c r="H10" s="107"/>
      <c r="I10" s="107"/>
      <c r="J10" s="106"/>
      <c r="L10" s="141">
        <v>2016</v>
      </c>
      <c r="M10" s="152">
        <f>$D$19+$D$20*E12</f>
        <v>1425</v>
      </c>
      <c r="N10" s="152">
        <f>F12-M10</f>
        <v>25</v>
      </c>
    </row>
    <row r="11" spans="1:15" x14ac:dyDescent="0.2">
      <c r="A11" s="211"/>
      <c r="B11" s="107"/>
      <c r="C11" s="107"/>
      <c r="D11" s="171">
        <v>2015</v>
      </c>
      <c r="E11" s="183">
        <v>550</v>
      </c>
      <c r="F11" s="195">
        <v>1400</v>
      </c>
      <c r="G11" s="107"/>
      <c r="H11" s="107"/>
      <c r="I11" s="107"/>
      <c r="J11" s="106"/>
      <c r="L11" s="96"/>
    </row>
    <row r="12" spans="1:15" ht="18" x14ac:dyDescent="0.25">
      <c r="A12" s="211"/>
      <c r="B12" s="107"/>
      <c r="C12" s="107"/>
      <c r="D12" s="171">
        <v>2016</v>
      </c>
      <c r="E12" s="183">
        <v>700</v>
      </c>
      <c r="F12" s="195">
        <v>1450</v>
      </c>
      <c r="G12" s="107"/>
      <c r="H12" s="107"/>
      <c r="I12" s="107"/>
      <c r="J12" s="106"/>
      <c r="L12" s="126" t="s">
        <v>518</v>
      </c>
      <c r="M12" s="152">
        <f>AVERAGE(E9:E12)</f>
        <v>625</v>
      </c>
    </row>
    <row r="13" spans="1:15" x14ac:dyDescent="0.2">
      <c r="A13" s="211"/>
      <c r="B13" s="111"/>
      <c r="C13" s="107"/>
      <c r="D13" s="148">
        <v>2017</v>
      </c>
      <c r="E13" s="189">
        <v>700</v>
      </c>
      <c r="F13" s="204"/>
      <c r="G13" s="107"/>
      <c r="H13" s="107"/>
      <c r="I13" s="107"/>
      <c r="J13" s="106"/>
      <c r="M13" s="126"/>
    </row>
    <row r="14" spans="1:15" ht="18" x14ac:dyDescent="0.25">
      <c r="A14" s="211"/>
      <c r="B14" s="111"/>
      <c r="C14" s="107"/>
      <c r="D14" s="107"/>
      <c r="E14" s="107"/>
      <c r="F14" s="107"/>
      <c r="G14" s="107"/>
      <c r="H14" s="107"/>
      <c r="I14" s="107"/>
      <c r="J14" s="106"/>
      <c r="L14" s="126" t="s">
        <v>517</v>
      </c>
      <c r="M14" cm="1">
        <f t="array" ref="M14">SUMSQ(E9:E12-M12)</f>
        <v>12500</v>
      </c>
      <c r="O14" s="152"/>
    </row>
    <row r="15" spans="1:15" x14ac:dyDescent="0.2">
      <c r="A15" s="211"/>
      <c r="B15" s="111"/>
      <c r="C15" s="107" t="s">
        <v>516</v>
      </c>
      <c r="D15" s="107"/>
      <c r="E15" s="107"/>
      <c r="F15" s="107"/>
      <c r="G15" s="107"/>
      <c r="H15" s="107"/>
      <c r="I15" s="107"/>
      <c r="J15" s="106"/>
      <c r="L15" s="126" t="s">
        <v>515</v>
      </c>
      <c r="M15" s="126">
        <f>4-2</f>
        <v>2</v>
      </c>
      <c r="O15" s="122" t="s">
        <v>514</v>
      </c>
    </row>
    <row r="16" spans="1:15" ht="18" x14ac:dyDescent="0.25">
      <c r="A16" s="211"/>
      <c r="B16" s="111"/>
      <c r="C16" s="107" t="s">
        <v>513</v>
      </c>
      <c r="D16" s="107"/>
      <c r="E16" s="107"/>
      <c r="F16" s="107"/>
      <c r="G16" s="107"/>
      <c r="H16" s="107"/>
      <c r="I16" s="107"/>
      <c r="J16" s="106"/>
      <c r="L16" s="126" t="s">
        <v>512</v>
      </c>
      <c r="M16" s="128" cm="1">
        <f t="array" ref="M16">SQRT(SUM(N7:N10^2/(M15*M14)))</f>
        <v>0.59160797830996159</v>
      </c>
      <c r="O16" s="128">
        <f>SQRT(N7^2/(M15*M14)+N8^2/(M15*M14)+N9^2/(M15*M14)+N10^2/(M15*M14))</f>
        <v>0.59160797830996159</v>
      </c>
    </row>
    <row r="17" spans="1:18" ht="18" x14ac:dyDescent="0.25">
      <c r="A17" s="211"/>
      <c r="B17" s="111"/>
      <c r="C17" s="107" t="s">
        <v>511</v>
      </c>
      <c r="D17" s="107"/>
      <c r="E17" s="107"/>
      <c r="F17" s="107"/>
      <c r="G17" s="107"/>
      <c r="H17" s="107"/>
      <c r="I17" s="107"/>
      <c r="J17" s="106"/>
      <c r="L17" s="126" t="s">
        <v>510</v>
      </c>
      <c r="M17" s="234">
        <f>M16*SQRT(1/4*(SUMPRODUCT(E9:E12,E9:E12)))</f>
        <v>371.23106012293749</v>
      </c>
    </row>
    <row r="18" spans="1:18" x14ac:dyDescent="0.2">
      <c r="A18" s="211"/>
      <c r="B18" s="111"/>
      <c r="C18" s="107" t="s">
        <v>509</v>
      </c>
      <c r="D18" s="107"/>
      <c r="E18" s="107"/>
      <c r="F18" s="107"/>
      <c r="G18" s="107"/>
      <c r="H18" s="107"/>
      <c r="I18" s="107"/>
      <c r="J18" s="106"/>
      <c r="M18" s="276"/>
    </row>
    <row r="19" spans="1:18" ht="18" x14ac:dyDescent="0.25">
      <c r="A19" s="211"/>
      <c r="B19" s="111"/>
      <c r="C19" s="107" t="s">
        <v>508</v>
      </c>
      <c r="D19" s="296">
        <v>1075</v>
      </c>
      <c r="E19" s="107"/>
      <c r="F19" s="107"/>
      <c r="G19" s="107"/>
      <c r="H19" s="107"/>
      <c r="I19" s="107"/>
      <c r="J19" s="106"/>
      <c r="L19" s="126" t="s">
        <v>507</v>
      </c>
      <c r="M19" s="276" t="s">
        <v>506</v>
      </c>
    </row>
    <row r="20" spans="1:18" ht="18" x14ac:dyDescent="0.25">
      <c r="A20" s="211"/>
      <c r="B20" s="111"/>
      <c r="C20" s="107" t="s">
        <v>505</v>
      </c>
      <c r="D20" s="129">
        <v>0.5</v>
      </c>
      <c r="E20" s="107"/>
      <c r="F20" s="107"/>
      <c r="G20" s="107"/>
      <c r="H20" s="107"/>
      <c r="I20" s="107"/>
      <c r="J20" s="106"/>
      <c r="L20" s="126" t="s">
        <v>504</v>
      </c>
      <c r="M20" s="276" t="s">
        <v>503</v>
      </c>
    </row>
    <row r="21" spans="1:18" x14ac:dyDescent="0.2">
      <c r="A21" s="211"/>
      <c r="B21" s="111"/>
      <c r="C21" s="107"/>
      <c r="D21" s="129"/>
      <c r="E21" s="107"/>
      <c r="F21" s="107"/>
      <c r="G21" s="107"/>
      <c r="H21" s="107"/>
      <c r="I21" s="107"/>
      <c r="J21" s="106"/>
      <c r="M21" s="276"/>
    </row>
    <row r="22" spans="1:18" x14ac:dyDescent="0.2">
      <c r="A22" s="211"/>
      <c r="B22" s="111"/>
      <c r="C22" s="107" t="s">
        <v>502</v>
      </c>
      <c r="D22" s="107"/>
      <c r="E22" s="107"/>
      <c r="F22" s="107"/>
      <c r="G22" s="107"/>
      <c r="H22" s="107"/>
      <c r="I22" s="107"/>
      <c r="J22" s="106"/>
      <c r="L22" s="413" t="s">
        <v>501</v>
      </c>
      <c r="M22" s="413"/>
      <c r="N22" s="413"/>
      <c r="O22" s="413"/>
      <c r="P22" s="413"/>
      <c r="Q22" s="413"/>
      <c r="R22" s="413"/>
    </row>
    <row r="23" spans="1:18" x14ac:dyDescent="0.2">
      <c r="A23" s="211"/>
      <c r="B23" s="111"/>
      <c r="C23" s="107" t="s">
        <v>500</v>
      </c>
      <c r="D23" s="107"/>
      <c r="E23" s="107"/>
      <c r="F23" s="107"/>
      <c r="G23" s="107"/>
      <c r="H23" s="107"/>
      <c r="I23" s="107"/>
      <c r="J23" s="106"/>
      <c r="L23" s="413"/>
      <c r="M23" s="413"/>
      <c r="N23" s="413"/>
      <c r="O23" s="413"/>
      <c r="P23" s="413"/>
      <c r="Q23" s="413"/>
      <c r="R23" s="413"/>
    </row>
    <row r="24" spans="1:18" x14ac:dyDescent="0.2">
      <c r="A24" s="211"/>
      <c r="B24" s="107"/>
      <c r="C24" s="107"/>
      <c r="D24" s="107"/>
      <c r="E24" s="107"/>
      <c r="F24" s="107"/>
      <c r="G24" s="107"/>
      <c r="H24" s="107"/>
      <c r="I24" s="107"/>
      <c r="J24" s="106"/>
    </row>
    <row r="25" spans="1:18" x14ac:dyDescent="0.2">
      <c r="A25" s="211"/>
      <c r="B25" s="107"/>
      <c r="C25" s="107"/>
      <c r="D25" s="107"/>
      <c r="E25" s="107"/>
      <c r="F25" s="107"/>
      <c r="G25" s="107"/>
      <c r="H25" s="107"/>
      <c r="I25" s="107"/>
      <c r="J25" s="106"/>
      <c r="L25" s="96" t="s">
        <v>361</v>
      </c>
    </row>
    <row r="26" spans="1:18" x14ac:dyDescent="0.2">
      <c r="A26" s="211"/>
      <c r="B26" s="107"/>
      <c r="C26" s="107"/>
      <c r="D26" s="107"/>
      <c r="E26" s="107"/>
      <c r="F26" s="107"/>
      <c r="G26" s="107"/>
      <c r="H26" s="107"/>
      <c r="I26" s="107"/>
      <c r="J26" s="106"/>
      <c r="L26" s="413" t="s">
        <v>499</v>
      </c>
      <c r="M26" s="413"/>
      <c r="N26" s="413"/>
      <c r="O26" s="413"/>
      <c r="P26" s="413"/>
      <c r="Q26" s="413"/>
      <c r="R26" s="413"/>
    </row>
    <row r="27" spans="1:18" ht="15.5" customHeight="1" x14ac:dyDescent="0.2">
      <c r="A27" s="211"/>
      <c r="B27" s="107"/>
      <c r="C27" s="107"/>
      <c r="D27" s="107"/>
      <c r="E27" s="107"/>
      <c r="F27" s="107"/>
      <c r="G27" s="107"/>
      <c r="H27" s="107"/>
      <c r="I27" s="107"/>
      <c r="J27" s="106"/>
      <c r="L27" s="413"/>
      <c r="M27" s="413"/>
      <c r="N27" s="413"/>
      <c r="O27" s="413"/>
      <c r="P27" s="413"/>
      <c r="Q27" s="413"/>
      <c r="R27" s="413"/>
    </row>
    <row r="28" spans="1:18" x14ac:dyDescent="0.2">
      <c r="A28" s="211"/>
      <c r="B28" s="107"/>
      <c r="C28" s="107"/>
      <c r="D28" s="107"/>
      <c r="E28" s="107"/>
      <c r="F28" s="107"/>
      <c r="G28" s="107"/>
      <c r="H28" s="107"/>
      <c r="I28" s="107"/>
      <c r="J28" s="106"/>
      <c r="L28" s="413"/>
      <c r="M28" s="413"/>
      <c r="N28" s="413"/>
      <c r="O28" s="413"/>
      <c r="P28" s="413"/>
      <c r="Q28" s="413"/>
      <c r="R28" s="413"/>
    </row>
    <row r="29" spans="1:18" x14ac:dyDescent="0.2">
      <c r="A29" s="211"/>
      <c r="B29" s="107"/>
      <c r="C29" s="107"/>
      <c r="D29" s="107"/>
      <c r="E29" s="107"/>
      <c r="F29" s="107"/>
      <c r="G29" s="107"/>
      <c r="H29" s="107"/>
      <c r="I29" s="107"/>
      <c r="J29" s="106"/>
      <c r="L29" s="413"/>
      <c r="M29" s="413"/>
      <c r="N29" s="413"/>
      <c r="O29" s="413"/>
      <c r="P29" s="413"/>
      <c r="Q29" s="413"/>
      <c r="R29" s="413"/>
    </row>
    <row r="30" spans="1:18" x14ac:dyDescent="0.2">
      <c r="A30" s="211"/>
      <c r="B30" s="107"/>
      <c r="C30" s="107"/>
      <c r="D30" s="107"/>
      <c r="E30" s="107"/>
      <c r="F30" s="107"/>
      <c r="G30" s="107"/>
      <c r="H30" s="107"/>
      <c r="I30" s="107"/>
      <c r="J30" s="106"/>
    </row>
    <row r="31" spans="1:18" ht="18" x14ac:dyDescent="0.25">
      <c r="A31" s="211"/>
      <c r="B31" s="107"/>
      <c r="C31" s="107" t="s">
        <v>498</v>
      </c>
      <c r="D31" s="107"/>
      <c r="E31" s="107"/>
      <c r="F31" s="107"/>
      <c r="G31" s="107"/>
      <c r="H31" s="107"/>
      <c r="I31" s="107"/>
      <c r="J31" s="106"/>
    </row>
    <row r="32" spans="1:18" ht="16" customHeight="1" x14ac:dyDescent="0.25">
      <c r="A32" s="211"/>
      <c r="B32" s="107"/>
      <c r="C32" s="107"/>
      <c r="D32" s="107"/>
      <c r="E32" s="107"/>
      <c r="F32" s="107"/>
      <c r="G32" s="107"/>
      <c r="H32" s="107"/>
      <c r="I32" s="107"/>
      <c r="J32" s="106"/>
      <c r="L32" s="117" t="s">
        <v>146</v>
      </c>
    </row>
    <row r="33" spans="1:18" ht="16" customHeight="1" x14ac:dyDescent="0.2">
      <c r="A33" s="211" t="s">
        <v>0</v>
      </c>
      <c r="B33" s="107" t="s">
        <v>452</v>
      </c>
      <c r="C33" s="107" t="s">
        <v>497</v>
      </c>
      <c r="D33" s="107"/>
      <c r="E33" s="107"/>
      <c r="F33" s="107"/>
      <c r="G33" s="107"/>
      <c r="H33" s="107"/>
      <c r="I33" s="107"/>
      <c r="J33" s="106"/>
      <c r="L33" s="413" t="s">
        <v>496</v>
      </c>
      <c r="M33" s="413"/>
      <c r="N33" s="413"/>
      <c r="O33" s="413"/>
      <c r="P33" s="413"/>
      <c r="Q33" s="413"/>
      <c r="R33" s="413"/>
    </row>
    <row r="34" spans="1:18" x14ac:dyDescent="0.2">
      <c r="A34" s="211"/>
      <c r="B34" s="107"/>
      <c r="C34" s="107" t="s">
        <v>495</v>
      </c>
      <c r="D34" s="107"/>
      <c r="E34" s="107"/>
      <c r="F34" s="107"/>
      <c r="G34" s="107"/>
      <c r="H34" s="107"/>
      <c r="I34" s="107"/>
      <c r="J34" s="106"/>
      <c r="L34" s="413"/>
      <c r="M34" s="413"/>
      <c r="N34" s="413"/>
      <c r="O34" s="413"/>
      <c r="P34" s="413"/>
      <c r="Q34" s="413"/>
      <c r="R34" s="413"/>
    </row>
    <row r="35" spans="1:18" x14ac:dyDescent="0.2">
      <c r="A35" s="211"/>
      <c r="B35" s="107"/>
      <c r="C35" s="115"/>
      <c r="D35" s="107"/>
      <c r="E35" s="107"/>
      <c r="F35" s="107"/>
      <c r="G35" s="107"/>
      <c r="H35" s="107"/>
      <c r="I35" s="107"/>
      <c r="J35" s="106"/>
      <c r="L35" s="413"/>
      <c r="M35" s="413"/>
      <c r="N35" s="413"/>
      <c r="O35" s="413"/>
      <c r="P35" s="413"/>
      <c r="Q35" s="413"/>
      <c r="R35" s="413"/>
    </row>
    <row r="36" spans="1:18" x14ac:dyDescent="0.2">
      <c r="A36" s="211" t="s">
        <v>1</v>
      </c>
      <c r="B36" s="107" t="s">
        <v>380</v>
      </c>
      <c r="C36" s="115" t="s">
        <v>494</v>
      </c>
      <c r="D36" s="107"/>
      <c r="E36" s="107"/>
      <c r="F36" s="107"/>
      <c r="G36" s="107"/>
      <c r="H36" s="107"/>
      <c r="I36" s="107"/>
      <c r="J36" s="106"/>
      <c r="L36" s="413"/>
      <c r="M36" s="413"/>
      <c r="N36" s="413"/>
      <c r="O36" s="413"/>
      <c r="P36" s="413"/>
      <c r="Q36" s="413"/>
      <c r="R36" s="413"/>
    </row>
    <row r="37" spans="1:18" x14ac:dyDescent="0.2">
      <c r="A37" s="211"/>
      <c r="B37" s="107"/>
      <c r="C37" s="107" t="s">
        <v>493</v>
      </c>
      <c r="D37" s="107"/>
      <c r="E37" s="107"/>
      <c r="F37" s="107"/>
      <c r="G37" s="107"/>
      <c r="H37" s="107"/>
      <c r="I37" s="107"/>
      <c r="J37" s="106"/>
      <c r="L37" s="413"/>
      <c r="M37" s="413"/>
      <c r="N37" s="413"/>
      <c r="O37" s="413"/>
      <c r="P37" s="413"/>
      <c r="Q37" s="413"/>
      <c r="R37" s="413"/>
    </row>
    <row r="38" spans="1:18" ht="17" thickBot="1" x14ac:dyDescent="0.25">
      <c r="A38" s="251"/>
      <c r="B38" s="249"/>
      <c r="C38" s="250"/>
      <c r="D38" s="249"/>
      <c r="E38" s="249"/>
      <c r="F38" s="249"/>
      <c r="G38" s="249"/>
      <c r="H38" s="249"/>
      <c r="I38" s="249"/>
      <c r="J38" s="248"/>
      <c r="L38" s="413"/>
      <c r="M38" s="413"/>
      <c r="N38" s="413"/>
      <c r="O38" s="413"/>
      <c r="P38" s="413"/>
      <c r="Q38" s="413"/>
      <c r="R38" s="413"/>
    </row>
    <row r="39" spans="1:18" ht="17" thickBot="1" x14ac:dyDescent="0.25">
      <c r="A39" s="209" t="s">
        <v>153</v>
      </c>
      <c r="B39" s="104"/>
      <c r="C39" s="223"/>
      <c r="D39" s="104"/>
      <c r="E39" s="104"/>
      <c r="F39" s="104"/>
      <c r="G39" s="104"/>
      <c r="H39" s="104"/>
      <c r="I39" s="104"/>
      <c r="J39" s="103"/>
      <c r="L39" s="294"/>
      <c r="M39" s="295" t="s">
        <v>492</v>
      </c>
      <c r="N39" s="294"/>
      <c r="O39" s="294"/>
      <c r="P39" s="294"/>
      <c r="Q39" s="294"/>
      <c r="R39" s="294"/>
    </row>
    <row r="41" spans="1:18" x14ac:dyDescent="0.2">
      <c r="L41" t="s">
        <v>491</v>
      </c>
    </row>
    <row r="43" spans="1:18" ht="17" thickBot="1" x14ac:dyDescent="0.25">
      <c r="N43" s="126" t="s">
        <v>256</v>
      </c>
      <c r="O43" s="126" t="s">
        <v>258</v>
      </c>
    </row>
    <row r="44" spans="1:18" x14ac:dyDescent="0.2">
      <c r="M44" s="286" t="s">
        <v>490</v>
      </c>
      <c r="N44" s="293" cm="1">
        <f t="array" ref="N44:O48">LINEST(F9:F12,E9:E12,TRUE,TRUE)</f>
        <v>0.49999999999999989</v>
      </c>
      <c r="O44" s="292">
        <v>1075</v>
      </c>
    </row>
    <row r="45" spans="1:18" ht="18" x14ac:dyDescent="0.25">
      <c r="M45" s="286" t="s">
        <v>489</v>
      </c>
      <c r="N45" s="291">
        <v>0.5916079783099617</v>
      </c>
      <c r="O45" s="290">
        <v>371.23106012293749</v>
      </c>
      <c r="P45" t="s">
        <v>488</v>
      </c>
    </row>
    <row r="46" spans="1:18" ht="19" x14ac:dyDescent="0.2">
      <c r="M46" s="286" t="s">
        <v>487</v>
      </c>
      <c r="N46" s="288">
        <v>0.26315789473684198</v>
      </c>
      <c r="O46" s="289">
        <v>66.143782776614771</v>
      </c>
    </row>
    <row r="47" spans="1:18" x14ac:dyDescent="0.2">
      <c r="M47" s="286" t="s">
        <v>486</v>
      </c>
      <c r="N47" s="288">
        <v>0.71428571428571375</v>
      </c>
      <c r="O47" s="287">
        <v>2</v>
      </c>
    </row>
    <row r="48" spans="1:18" ht="19" thickBot="1" x14ac:dyDescent="0.3">
      <c r="M48" s="286" t="s">
        <v>485</v>
      </c>
      <c r="N48" s="285">
        <v>3124.9999999999982</v>
      </c>
      <c r="O48" s="284">
        <v>8750.0000000000018</v>
      </c>
    </row>
    <row r="51" spans="12:12" ht="19" x14ac:dyDescent="0.25">
      <c r="L51" s="117" t="s">
        <v>346</v>
      </c>
    </row>
    <row r="52" spans="12:12" x14ac:dyDescent="0.2">
      <c r="L52" t="s">
        <v>582</v>
      </c>
    </row>
  </sheetData>
  <mergeCells count="5">
    <mergeCell ref="L22:R23"/>
    <mergeCell ref="L26:R29"/>
    <mergeCell ref="E6:F7"/>
    <mergeCell ref="D6:D8"/>
    <mergeCell ref="L33:R38"/>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lpstr>Q #16</vt:lpstr>
      <vt:lpstr>Essay Problems</vt:lpstr>
      <vt:lpstr>2011 #4</vt:lpstr>
      <vt:lpstr>2014 #4</vt:lpstr>
      <vt:lpstr>2015 #5</vt:lpstr>
      <vt:lpstr>2016 #6</vt:lpstr>
      <vt:lpstr>2018 #9</vt:lpstr>
      <vt:lpstr>2018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2026-03-19T20:03:24Z</dcterms:modified>
</cp:coreProperties>
</file>