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Problem Bank/Exam 7 Problem Bank - Original &amp; Past CAS/"/>
    </mc:Choice>
  </mc:AlternateContent>
  <xr:revisionPtr revIDLastSave="0" documentId="13_ncr:1_{4FC3B0B7-C5AF-7744-AFA5-25E25DD80BE6}" xr6:coauthVersionLast="47" xr6:coauthVersionMax="47" xr10:uidLastSave="{00000000-0000-0000-0000-000000000000}"/>
  <bookViews>
    <workbookView xWindow="-35100" yWindow="500" windowWidth="35680" windowHeight="20640" activeTab="1" xr2:uid="{B2F629C4-F532-0048-94B5-6129BC4B4200}"/>
  </bookViews>
  <sheets>
    <sheet name="Overview" sheetId="11" r:id="rId1"/>
    <sheet name="Q #1" sheetId="1" r:id="rId2"/>
    <sheet name="Q #2" sheetId="2" r:id="rId3"/>
    <sheet name="Q #3" sheetId="3" r:id="rId4"/>
    <sheet name="Q #4" sheetId="4" r:id="rId5"/>
    <sheet name="Q #5" sheetId="5" r:id="rId6"/>
    <sheet name="Q #6" sheetId="6" r:id="rId7"/>
    <sheet name="Q #7" sheetId="8" r:id="rId8"/>
    <sheet name="Q #8" sheetId="7" r:id="rId9"/>
    <sheet name="Q #9" sheetId="9" r:id="rId10"/>
    <sheet name="Q #10" sheetId="10" r:id="rId11"/>
    <sheet name="Q #11" sheetId="12" r:id="rId12"/>
    <sheet name="Q #12" sheetId="13" r:id="rId13"/>
    <sheet name="Q #13" sheetId="14" r:id="rId14"/>
    <sheet name="Q #14" sheetId="15" r:id="rId15"/>
    <sheet name="Q #15" sheetId="16" r:id="rId16"/>
    <sheet name="2011 #1" sheetId="18" r:id="rId17"/>
    <sheet name="2012 #4" sheetId="19" r:id="rId18"/>
    <sheet name="2014 #1" sheetId="20" r:id="rId19"/>
    <sheet name="2016 #2" sheetId="21" r:id="rId20"/>
    <sheet name="2017 #2" sheetId="22" r:id="rId21"/>
    <sheet name="2018 #4" sheetId="23" r:id="rId22"/>
    <sheet name="Essay Problems" sheetId="17"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33" i="10" l="1"/>
  <c r="N15" i="10"/>
  <c r="N39" i="13"/>
  <c r="M5" i="23"/>
  <c r="M15" i="23" s="1"/>
  <c r="M18" i="23" s="1"/>
  <c r="M20" i="23" s="1"/>
  <c r="M7" i="23"/>
  <c r="M17" i="23"/>
  <c r="L6" i="22"/>
  <c r="M6" i="22"/>
  <c r="N6" i="22"/>
  <c r="O6" i="22"/>
  <c r="P6" i="22"/>
  <c r="M22" i="22" s="1"/>
  <c r="M24" i="22" s="1"/>
  <c r="P9" i="22" s="1"/>
  <c r="M17" i="22" s="1" a="1"/>
  <c r="L7" i="22"/>
  <c r="M7" i="22"/>
  <c r="N7" i="22"/>
  <c r="M16" i="22" s="1" a="1"/>
  <c r="M16" i="22" s="1"/>
  <c r="O7" i="22"/>
  <c r="P7" i="22"/>
  <c r="L8" i="22"/>
  <c r="M8" i="22"/>
  <c r="N8" i="22"/>
  <c r="O8" i="22"/>
  <c r="P8" i="22"/>
  <c r="L9" i="22"/>
  <c r="M9" i="22"/>
  <c r="N9" i="22"/>
  <c r="L10" i="22"/>
  <c r="M10" i="22"/>
  <c r="Q6" i="21"/>
  <c r="Q7" i="21"/>
  <c r="L8" i="21" a="1"/>
  <c r="L8" i="21" s="1"/>
  <c r="M11" i="21" s="1"/>
  <c r="Q8" i="21"/>
  <c r="Q9" i="21"/>
  <c r="Q11" i="21" s="1"/>
  <c r="M23" i="21"/>
  <c r="M24" i="21"/>
  <c r="M27" i="21"/>
  <c r="M5" i="20"/>
  <c r="M6" i="20" s="1"/>
  <c r="M13" i="20" s="1"/>
  <c r="M15" i="20" s="1"/>
  <c r="M17" i="20" s="1"/>
  <c r="M12" i="20"/>
  <c r="L11" i="19" a="1"/>
  <c r="L11" i="19" s="1"/>
  <c r="M23" i="19" s="1"/>
  <c r="M21" i="19"/>
  <c r="N7" i="18"/>
  <c r="O7" i="18"/>
  <c r="P7" i="18"/>
  <c r="N8" i="18"/>
  <c r="O8" i="18"/>
  <c r="P8" i="18"/>
  <c r="N9" i="18"/>
  <c r="L15" i="18" a="1"/>
  <c r="L15" i="18" s="1"/>
  <c r="M17" i="22" l="1"/>
  <c r="M28" i="22"/>
  <c r="Q12" i="21"/>
  <c r="M22" i="21"/>
  <c r="M28" i="21" s="1"/>
  <c r="M30" i="21" s="1"/>
  <c r="M32" i="21" s="1"/>
  <c r="M13" i="19"/>
  <c r="M17" i="18"/>
  <c r="M19" i="18" s="1"/>
  <c r="N9" i="16" l="1"/>
  <c r="N13" i="16" s="1"/>
  <c r="N10" i="16"/>
  <c r="N24" i="16" s="1"/>
  <c r="N11" i="16"/>
  <c r="N12" i="16"/>
  <c r="N32" i="16"/>
  <c r="N33" i="16" s="1"/>
  <c r="N7" i="15"/>
  <c r="N9" i="15"/>
  <c r="N3" i="14"/>
  <c r="N4" i="14"/>
  <c r="N5" i="14"/>
  <c r="N6" i="14"/>
  <c r="N8" i="14"/>
  <c r="N9" i="14"/>
  <c r="N11" i="14"/>
  <c r="N13" i="14"/>
  <c r="N8" i="13"/>
  <c r="N17" i="13" s="1"/>
  <c r="O8" i="13"/>
  <c r="O17" i="13" s="1"/>
  <c r="P8" i="13"/>
  <c r="Q8" i="13"/>
  <c r="Q17" i="13" s="1"/>
  <c r="N9" i="13"/>
  <c r="N18" i="13" s="1"/>
  <c r="O9" i="13"/>
  <c r="O18" i="13" s="1"/>
  <c r="P9" i="13"/>
  <c r="P18" i="13" s="1"/>
  <c r="Q9" i="13"/>
  <c r="Q18" i="13" s="1"/>
  <c r="N10" i="13"/>
  <c r="N19" i="13" s="1"/>
  <c r="O10" i="13"/>
  <c r="P10" i="13"/>
  <c r="N11" i="13"/>
  <c r="O11" i="13"/>
  <c r="O20" i="13" s="1"/>
  <c r="N12" i="13"/>
  <c r="N21" i="13" s="1"/>
  <c r="P17" i="13"/>
  <c r="O19" i="13"/>
  <c r="P19" i="13"/>
  <c r="N20" i="13"/>
  <c r="N5" i="12"/>
  <c r="N7" i="12" s="1"/>
  <c r="N9" i="12" s="1"/>
  <c r="N6" i="12"/>
  <c r="M15" i="12"/>
  <c r="N15" i="12"/>
  <c r="O15" i="12"/>
  <c r="P15" i="12"/>
  <c r="Q15" i="12" s="1"/>
  <c r="M16" i="12"/>
  <c r="N16" i="12"/>
  <c r="O16" i="12"/>
  <c r="P16" i="12"/>
  <c r="Q16" i="12"/>
  <c r="M17" i="12"/>
  <c r="N17" i="12"/>
  <c r="O17" i="12"/>
  <c r="M18" i="12"/>
  <c r="N18" i="12"/>
  <c r="R9" i="13" l="1"/>
  <c r="R18" i="13" s="1"/>
  <c r="N65" i="13"/>
  <c r="N19" i="16"/>
  <c r="N26" i="16" s="1"/>
  <c r="N27" i="16" s="1"/>
  <c r="R8" i="13"/>
  <c r="R17" i="13" s="1"/>
  <c r="N25" i="13"/>
  <c r="N21" i="12"/>
  <c r="N23" i="12" s="1"/>
  <c r="N28" i="12"/>
  <c r="N29" i="12"/>
  <c r="N66" i="13" l="1"/>
  <c r="N26" i="13"/>
  <c r="N28" i="13" s="1"/>
  <c r="N51" i="13"/>
  <c r="N52" i="13" s="1"/>
  <c r="N53" i="13"/>
  <c r="N31" i="12"/>
  <c r="N33" i="12" s="1"/>
  <c r="N29" i="13" l="1"/>
  <c r="R19" i="13"/>
  <c r="N55" i="13"/>
  <c r="N57" i="13" s="1"/>
  <c r="O57" i="13" s="1"/>
  <c r="N36" i="13" l="1"/>
  <c r="N37" i="13"/>
  <c r="N43" i="13"/>
  <c r="N44" i="13" s="1"/>
  <c r="N45" i="13" s="1"/>
  <c r="O8" i="7"/>
  <c r="O9" i="7"/>
  <c r="O7" i="7"/>
  <c r="O7" i="5"/>
  <c r="O6" i="5"/>
  <c r="O5" i="5"/>
  <c r="O4" i="10"/>
  <c r="N17" i="10" s="1"/>
  <c r="N9" i="7" l="1"/>
  <c r="N8" i="7"/>
  <c r="N7" i="7"/>
  <c r="M7" i="7"/>
  <c r="N3" i="8"/>
  <c r="N5" i="8"/>
  <c r="N4" i="8"/>
  <c r="N2" i="6"/>
  <c r="N3" i="6" s="1"/>
  <c r="N6" i="5"/>
  <c r="N7" i="5"/>
  <c r="N5" i="5"/>
  <c r="N13" i="7" l="1"/>
  <c r="N14" i="7"/>
  <c r="N37" i="7"/>
  <c r="N36" i="7"/>
  <c r="N26" i="5"/>
  <c r="N28" i="5" s="1"/>
  <c r="N12" i="5"/>
  <c r="N11" i="5"/>
  <c r="N10" i="8"/>
  <c r="N12" i="8" s="1"/>
  <c r="N22" i="8"/>
  <c r="N25" i="8" s="1"/>
  <c r="O3" i="4"/>
  <c r="N11" i="4" s="1"/>
  <c r="N10" i="4"/>
  <c r="O10" i="3"/>
  <c r="P10" i="3" s="1"/>
  <c r="O11" i="3"/>
  <c r="P11" i="3" s="1"/>
  <c r="O12" i="3"/>
  <c r="P12" i="3" s="1"/>
  <c r="N10" i="3"/>
  <c r="N11" i="3"/>
  <c r="N12" i="3"/>
  <c r="N13" i="3"/>
  <c r="O9" i="3"/>
  <c r="P9" i="3" s="1"/>
  <c r="N9" i="3"/>
  <c r="N18" i="7" l="1"/>
  <c r="N15" i="5"/>
  <c r="N17" i="5" s="1"/>
  <c r="O40" i="3"/>
  <c r="N25" i="3"/>
  <c r="O39" i="3" s="1"/>
  <c r="N18" i="3"/>
  <c r="N17" i="3"/>
  <c r="N14" i="4"/>
  <c r="N16" i="4" s="1"/>
  <c r="N18" i="4" s="1"/>
  <c r="N3" i="2"/>
  <c r="N2" i="2"/>
  <c r="M9" i="1"/>
  <c r="M10" i="1"/>
  <c r="M11" i="1"/>
  <c r="M12" i="1"/>
  <c r="N9" i="1"/>
  <c r="N10" i="1"/>
  <c r="N11" i="1"/>
  <c r="O9" i="1"/>
  <c r="P9" i="1" s="1"/>
  <c r="O10" i="1"/>
  <c r="P10" i="1" s="1"/>
  <c r="O8" i="1"/>
  <c r="P8" i="1" s="1"/>
  <c r="N8" i="1"/>
  <c r="M8" i="1"/>
  <c r="P13" i="3" l="1"/>
  <c r="N21" i="3" s="1"/>
  <c r="N17" i="1"/>
  <c r="N18" i="1"/>
  <c r="N20" i="7"/>
  <c r="M10" i="2"/>
  <c r="M9" i="2"/>
  <c r="N27" i="3"/>
  <c r="O41" i="3" s="1"/>
  <c r="P11" i="1" l="1"/>
  <c r="M18" i="1" s="1"/>
  <c r="M17" i="1"/>
  <c r="M13" i="2"/>
  <c r="M15" i="2" s="1"/>
  <c r="M17" i="2" s="1"/>
  <c r="P12" i="1" l="1"/>
  <c r="M2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<sst xmlns="http://schemas.openxmlformats.org/spreadsheetml/2006/main" count="841" uniqueCount="572">
  <si>
    <t>a.</t>
  </si>
  <si>
    <t>b.</t>
  </si>
  <si>
    <t>Part a</t>
  </si>
  <si>
    <t>Part b</t>
  </si>
  <si>
    <t>Given the following information for insurer ABC:</t>
  </si>
  <si>
    <t>Accident Year</t>
  </si>
  <si>
    <t>48 Months</t>
  </si>
  <si>
    <t>60 Months</t>
  </si>
  <si>
    <t>72 Months</t>
  </si>
  <si>
    <t>Earned Premium</t>
  </si>
  <si>
    <t>Calculate the estimated ultimate losses for accident year 2013 using the Least Squares method.</t>
  </si>
  <si>
    <t>b</t>
  </si>
  <si>
    <t>a</t>
  </si>
  <si>
    <t>Ult Loss Ratio</t>
  </si>
  <si>
    <t>AY</t>
  </si>
  <si>
    <t>Given the following information:</t>
  </si>
  <si>
    <t>Prior to 2016, the following estimates were used for a small book of personal auto insurance in State X:</t>
  </si>
  <si>
    <t>A legislative change in the state is estimated to impact expected losses and development patterns going</t>
  </si>
  <si>
    <t>forward. The actuary estimates the following beginning in 2016:</t>
  </si>
  <si>
    <t>As of December 31, 2016, accident year 2016 reported losses were $36 Million.</t>
  </si>
  <si>
    <t>Calculate the estimated accident year 2016 unreported losses using Bayesian Credibility.</t>
  </si>
  <si>
    <t xml:space="preserve">Expected Ult Loss E[Y] ($M) = </t>
  </si>
  <si>
    <t>Std Dev of Ult Loss sigma_Y =</t>
  </si>
  <si>
    <t xml:space="preserve">Expected % Reported E[X/Y] = </t>
  </si>
  <si>
    <t xml:space="preserve">Std Dev % Reported sigma(X/Y) = </t>
  </si>
  <si>
    <t>Calculate VHM and EVPV:</t>
  </si>
  <si>
    <t xml:space="preserve">EVPV = </t>
  </si>
  <si>
    <t>VHM =</t>
  </si>
  <si>
    <t>Calculate Z:</t>
  </si>
  <si>
    <t xml:space="preserve">Z = </t>
  </si>
  <si>
    <t xml:space="preserve">Ult = </t>
  </si>
  <si>
    <t>($M)</t>
  </si>
  <si>
    <t xml:space="preserve">2016 Unreported = </t>
  </si>
  <si>
    <t>Company ABC writes a small book of business in state AA. Below is the reported loss data for the book as</t>
  </si>
  <si>
    <t>of December 31, 2015:</t>
  </si>
  <si>
    <t>12 Months</t>
  </si>
  <si>
    <t>24 Months</t>
  </si>
  <si>
    <t>Earned Premium ($000)</t>
  </si>
  <si>
    <t>Cumulative Reported Losses ($000)</t>
  </si>
  <si>
    <t>The cumulative development factor from 24 months to ultimate is 1.15.</t>
  </si>
  <si>
    <t>Calculate the IBNR for accident year 2015 using the Least Squares method.</t>
  </si>
  <si>
    <t>Calculate the credibility assigned to the link ratio estimate.</t>
  </si>
  <si>
    <t>Ult L/R</t>
  </si>
  <si>
    <t>($000)</t>
  </si>
  <si>
    <t xml:space="preserve">c = </t>
  </si>
  <si>
    <t>= y_bar / x_bar</t>
  </si>
  <si>
    <t>= b / c</t>
  </si>
  <si>
    <t>z =</t>
  </si>
  <si>
    <t xml:space="preserve">2015 IBNR = </t>
  </si>
  <si>
    <t>An insurance carrier writes personal auto coverage in state X. State X recently passed legislation that will</t>
  </si>
  <si>
    <t>impact covered losses for auto insurance beginning in 2015.</t>
  </si>
  <si>
    <t>Prior to 2015, the expected loss ratio was 85% for the $40M book of business and 65% of losses were paid</t>
  </si>
  <si>
    <t xml:space="preserve">by 12 months of development. </t>
  </si>
  <si>
    <t>Beginning in 2015, it is estimated that the expected loss ratio will fall to 70%. Also, loss payment by 12</t>
  </si>
  <si>
    <t>months of development is expected to speed up to 75% of ultimate losses with a standard deviation assumed</t>
  </si>
  <si>
    <t>to be 10%. The standard deviation for ultimate losses in 2015 is assumed to be $4M.</t>
  </si>
  <si>
    <t>As of Dec 31, 2015, paid losses for accident year 2015 were $18M.</t>
  </si>
  <si>
    <t>Calculate the unpaid claims estimate using Bayesian credibility.</t>
  </si>
  <si>
    <t>Identify the direction in which the unpaid claims estimate would change if the assumed standard</t>
  </si>
  <si>
    <t>deviation for ultimate losses increased and briefly explain the reason why it would change in this</t>
  </si>
  <si>
    <t>direction.</t>
  </si>
  <si>
    <t xml:space="preserve">Unpaid Claims Est = </t>
  </si>
  <si>
    <t>The unpaid claims estimate will decrease.</t>
  </si>
  <si>
    <t>36 Months</t>
  </si>
  <si>
    <t>Reported Losses</t>
  </si>
  <si>
    <t>Calculate the estimated IBNR for accident year 2014 using the least squares method.</t>
  </si>
  <si>
    <t xml:space="preserve">Assess the estimate in part a for reasonableness and make a final selection for the IBNR estimate, </t>
  </si>
  <si>
    <t>providing justification.</t>
  </si>
  <si>
    <t>x (24 mo)</t>
  </si>
  <si>
    <t>I select $8,034 as the final selection for IBNR 2014.</t>
  </si>
  <si>
    <t>An actuary is estimating the reserve for the Bodily Injury coverage on a Commercial Auto book of business:</t>
  </si>
  <si>
    <t>For the past five years, the reporting pattern has been stable with 30% of expected ultimate losses reported</t>
  </si>
  <si>
    <t>as of 12 months for the current accident year.</t>
  </si>
  <si>
    <t>For the current accident year, you are given the following information:</t>
  </si>
  <si>
    <t>Discuss three ways the actuary might adjust the loss reserve estimate to reflect the higher-than-expected</t>
  </si>
  <si>
    <t>reported losses as of 12 months and briefly describe a rationale for why each approach could be reasonable.</t>
  </si>
  <si>
    <t xml:space="preserve">Expected Loss = </t>
  </si>
  <si>
    <t xml:space="preserve">% Expected Loss Rept (12mo)= </t>
  </si>
  <si>
    <t>Reported losses at 12 months are 10% higher than expected (40% - 30), = .1 * 17M = 1.7M higher than expected.</t>
  </si>
  <si>
    <t>1 - Reduce the loss reserve a corresponding amount (1.7M). This is the budgeted loss method.</t>
  </si>
  <si>
    <t>-&gt;  This is reasonable if the actuary believes the reporting pattern has accelerated.</t>
  </si>
  <si>
    <t>-&gt; This is reasonable if there was a random large loss that drove the higher-than-expected reported losses.</t>
  </si>
  <si>
    <t>-&gt; This is reasonable if the actuary isn’t too confident in the expected loss estimate.</t>
  </si>
  <si>
    <t>2 - Leave the loss reserve at the same percent of expected future loss. This is the BF method.</t>
  </si>
  <si>
    <t>3 - Increase the loss reserve in proportion to the unexpected increase in reported loss. This is the chain ladder method.</t>
  </si>
  <si>
    <t>A small book of business is modeled with a simple loss model:</t>
  </si>
  <si>
    <t>For the most recent accident year, $24,800 of losses were reported as of 12 months.</t>
  </si>
  <si>
    <t>Calculate the estimated loss reserve using the best linear approximation to the Bayesian estimate.</t>
  </si>
  <si>
    <t>Discuss how the estimated reserve would change if the amount reported as of 12 months was larger.</t>
  </si>
  <si>
    <t>Let L(x) be the best linear approximation to the Bayesian estimate of ultimate losses:</t>
  </si>
  <si>
    <t>Cov (X,Y) =</t>
  </si>
  <si>
    <t>Var (X) =</t>
  </si>
  <si>
    <t xml:space="preserve">Var (Y) = </t>
  </si>
  <si>
    <t>E (Y) =</t>
  </si>
  <si>
    <t xml:space="preserve">E (X) = </t>
  </si>
  <si>
    <t>L(24,800) =</t>
  </si>
  <si>
    <t xml:space="preserve">Reserve = </t>
  </si>
  <si>
    <t>Given the following information as of December 31, 2015:</t>
  </si>
  <si>
    <t>Reported Losses ($000)</t>
  </si>
  <si>
    <t>Calculate the estimated unreported losses for accident year 2012 using the least squares method.</t>
  </si>
  <si>
    <t>Assume the reported loss for accident year 2012 was $2,500,000 instead of $1,950,000 as of 48 months</t>
  </si>
  <si>
    <t>development. Using the relationship between the estimates of Cov(X,Y) and Var(X), evaluate whether</t>
  </si>
  <si>
    <t>the loss reserve from part a will increase, decrease or remain the same.</t>
  </si>
  <si>
    <t>x (48 mo)</t>
  </si>
  <si>
    <t xml:space="preserve">Ultimate = </t>
  </si>
  <si>
    <t xml:space="preserve">Loss Reserve = </t>
  </si>
  <si>
    <t>The Least Squares method assumes ultimate losses are a linear function of losses reported at 12 months.</t>
  </si>
  <si>
    <t>For some insurers, if ultimate losses are significantly higher than normal due to an abnormal number of</t>
  </si>
  <si>
    <t>Discuss whether the Least Squares method is still appropriate in this situation.</t>
  </si>
  <si>
    <r>
      <t xml:space="preserve">Instead of E[X/Y | Y = y] = d, we use </t>
    </r>
    <r>
      <rPr>
        <b/>
        <sz val="12"/>
        <color theme="1"/>
        <rFont val="Calibri"/>
        <family val="2"/>
      </rPr>
      <t>E[X/Y | Y = y] = d + x_0 / y</t>
    </r>
  </si>
  <si>
    <t>The linear approximation of the Bayesian estimate of ultimate losses can be written as:</t>
  </si>
  <si>
    <t>Therefore, the least squares method, with a small modification, can be used if there is  a caseload effect.</t>
  </si>
  <si>
    <t>L(x) = Z * (x - x_0) / d + (1 - Z) * E[Y]</t>
  </si>
  <si>
    <t>where Z = VHM / (VHM + EVPV)</t>
  </si>
  <si>
    <t>As the ultimate losses (y) increases, the expected percent reported as of 12 months (E[X/Y]) decreases.</t>
  </si>
  <si>
    <t>Because of resource constraints, if ultimate losses are 25% higher than expected, the actuary assumes the</t>
  </si>
  <si>
    <t>percent reported as of 12 months will fall to 56%.</t>
  </si>
  <si>
    <t>As of December 31, 2017, accident year 2017 losses are $37M.</t>
  </si>
  <si>
    <t>Calculate the estimated ultimate loss for accident year 2017 using Bayesian credibility.</t>
  </si>
  <si>
    <t>Discuss whether the answer in part a would increase or decrease if there was no caseload effect.</t>
  </si>
  <si>
    <t>Calculate x_0 and d for the caseload effect:</t>
  </si>
  <si>
    <t>.6 * 50M = d * 50M + x_0</t>
  </si>
  <si>
    <t>.56 * 62.5M = d * 62.5M + x_0</t>
  </si>
  <si>
    <t>-5M             = d * (-12.5M)</t>
  </si>
  <si>
    <t>-&gt; d =</t>
  </si>
  <si>
    <t>.60 * 50M  = 0.4 * 50M + x_0</t>
  </si>
  <si>
    <t xml:space="preserve">-&gt; x_0 = </t>
  </si>
  <si>
    <t>(M)</t>
  </si>
  <si>
    <t>Discussion</t>
  </si>
  <si>
    <t>Below is the ultimate loss estimate without the caseload effect:</t>
  </si>
  <si>
    <t xml:space="preserve">Ult' = </t>
  </si>
  <si>
    <t xml:space="preserve">Var(X) = </t>
  </si>
  <si>
    <t xml:space="preserve">Cov(X,Y) = </t>
  </si>
  <si>
    <t>The best linear approximation to the Bayesian estimation of ultimate losses is:</t>
  </si>
  <si>
    <t>L(x) = (x - E[X]) * Cov(X,Y) / Var(X) + E[Y]</t>
  </si>
  <si>
    <t>You can also test part b directly. If x = 30,000, then:</t>
  </si>
  <si>
    <t xml:space="preserve">L(x) = </t>
  </si>
  <si>
    <t xml:space="preserve">The new reserve would be: </t>
  </si>
  <si>
    <t xml:space="preserve">Reserve' = </t>
  </si>
  <si>
    <t>This aligns with answer 1 to Hugh White’s question. The appropriate model is closer to the budgeted loss model than the BF or chain ladder models, but none of those models can recreate the model above. The least squares model is identical to the model above, with Cov(X,Y) and Var(X) estimated from the data.</t>
  </si>
  <si>
    <t>SHOW ALL WORK.</t>
  </si>
  <si>
    <t>Solution -&gt;</t>
  </si>
  <si>
    <t>If sigma_Y increases, Z will increase and place higher credibility on the link ratio method. Since the ultimate claims under the link ratio method ( Ult = 18 / .75 = 24M ) is less than the expected losses (28M), the credibility-weighted estimate will decrease.</t>
  </si>
  <si>
    <t>Since Cov(X,Y) &lt; Var(X), an increase in the reported loss at 12 months would lead to a decrease in the reserve. This is because the estimated ultimate, L(X), will increase less than the increase in reported losses, x.</t>
  </si>
  <si>
    <t>•  Expected losses were $48 Million for accident year 2016</t>
  </si>
  <si>
    <t>•  Expected percent of losses reported through 12 months was 65%</t>
  </si>
  <si>
    <t>•  Expected losses are estimated to increase by 15%</t>
  </si>
  <si>
    <t>•  Percent of losses reported through 12 months is expected to speed up to 70%</t>
  </si>
  <si>
    <t>•  The actuary selects the standard deviation of losses to be $4 Million</t>
  </si>
  <si>
    <t>•  The actuary selects the standard deviation of the percent reported at 12 months to be 8%</t>
  </si>
  <si>
    <t>• Expected Loss Ratio</t>
  </si>
  <si>
    <t>• Premium</t>
  </si>
  <si>
    <t>• Reported Loss at 12 months</t>
  </si>
  <si>
    <t>• The ultimate losses for each year is a random variable Y with a mean of 26,500 and variance of 3.14 x 10^8.</t>
  </si>
  <si>
    <t>• Losses reported at 12 months is a random variable X with a mean of 21,100 and variance of 2.82 x 10^8.</t>
  </si>
  <si>
    <t>• The covariance between X and Y is 2.73 x 10^8</t>
  </si>
  <si>
    <t>From the least squares method, b is the ratio of the estimates of Cov(X,Y) and Var(X) from the data. Since b&lt;1, the estimated Cov(X,Y) is less than the estimated Var(X) from the data.</t>
  </si>
  <si>
    <r>
      <t xml:space="preserve">This means a larger reported loss at 48 months will result in a </t>
    </r>
    <r>
      <rPr>
        <i/>
        <u/>
        <sz val="11"/>
        <color theme="1"/>
        <rFont val="Calibri"/>
        <family val="2"/>
      </rPr>
      <t>lower</t>
    </r>
    <r>
      <rPr>
        <sz val="11"/>
        <color theme="1"/>
        <rFont val="Calibri"/>
        <family val="2"/>
      </rPr>
      <t xml:space="preserve"> reserve estimate, since the ultimate loss</t>
    </r>
    <r>
      <rPr>
        <sz val="12"/>
        <color theme="1"/>
        <rFont val="Calibri"/>
        <family val="2"/>
      </rPr>
      <t xml:space="preserve"> increases at a slower pace than the increase in reported losses.</t>
    </r>
  </si>
  <si>
    <t>• Tail factor of additional development from 60 months to ultimate is 10%</t>
  </si>
  <si>
    <t>• Let X represent reported losses as of 48 months and Y represent ultimate losses.</t>
  </si>
  <si>
    <t>Not including the caseload effect would result in a lower estimate. This is because losses at 12 months came in higher than expected. We expected 30M at 12 months ( = .6 * 50M ) and 37M was reported.</t>
  </si>
  <si>
    <t>RF Brosius - 1</t>
  </si>
  <si>
    <t>RF Brosius - 2</t>
  </si>
  <si>
    <t>RF Brosius - 3</t>
  </si>
  <si>
    <t>RF Brosius - 4</t>
  </si>
  <si>
    <t>RF Brosius - 5</t>
  </si>
  <si>
    <t>RF Brosius - 6</t>
  </si>
  <si>
    <t>RF Brosius - 7</t>
  </si>
  <si>
    <t>RF Brosius - 8</t>
  </si>
  <si>
    <t>RF Brosius - 9</t>
  </si>
  <si>
    <t>RF Brosius - 10</t>
  </si>
  <si>
    <t>48 - Ult</t>
  </si>
  <si>
    <t>60 - Ult</t>
  </si>
  <si>
    <t>Calculate a and b for 48mo and 60mo using the SLOPE() and INTERCEPT() formulas:</t>
  </si>
  <si>
    <t>•  Tail factor for 72 months-to-Ultimate =</t>
  </si>
  <si>
    <t>There is significant premium growth over the five years, so we should convert to a loss ratio triangle first. Also, apply the tail factor to calcuate the utlimate loss ratio.</t>
  </si>
  <si>
    <t>First, start with the 60-Ult development in order to get an extra data point to develop 48-Ult losses.
Brosius recommends using loss ratios if there is significant premium growth. If premium increases normally, then using loss ratios is unnecessary. Using loss ratios puts the accident years on a more equal basis for the least squares method.​​</t>
  </si>
  <si>
    <t>Ult Loss 2013 =</t>
  </si>
  <si>
    <t>Estimated ultimate losses for AY 2013 is 8,969,000.</t>
  </si>
  <si>
    <t>Cumulative Paid Losses (000)</t>
  </si>
  <si>
    <t>12 - Ult</t>
  </si>
  <si>
    <t>Since the premium is growing a decent amount and we’re given earned premium, I will use loss ratios.</t>
  </si>
  <si>
    <t>Link Ratio Method</t>
  </si>
  <si>
    <t>Credibility-Weighted</t>
  </si>
  <si>
    <t>Budgeted Loss Method</t>
  </si>
  <si>
    <t>2015 Ult L/R</t>
  </si>
  <si>
    <t>Estimate</t>
  </si>
  <si>
    <r>
      <rPr>
        <b/>
        <sz val="12"/>
        <color theme="1"/>
        <rFont val="Calibri"/>
        <family val="2"/>
      </rPr>
      <t xml:space="preserve">Part a </t>
    </r>
    <r>
      <rPr>
        <sz val="12"/>
        <color theme="1"/>
        <rFont val="Calibri"/>
        <family val="2"/>
      </rPr>
      <t xml:space="preserve">–  The premium growth isn’t too significant here, so I think you’d be fine solving the problem without converting to loss ratios first. As always, make sure to state your assumption on the exam.
</t>
    </r>
    <r>
      <rPr>
        <b/>
        <sz val="12"/>
        <color theme="1"/>
        <rFont val="Calibri"/>
        <family val="2"/>
      </rPr>
      <t>Part b</t>
    </r>
    <r>
      <rPr>
        <sz val="12"/>
        <color theme="1"/>
        <rFont val="Calibri"/>
        <family val="2"/>
      </rPr>
      <t xml:space="preserve"> – Least Squares can be viewed as a credibility-weighted method between the link ratio and budget loss methods. See below:</t>
    </r>
  </si>
  <si>
    <t>This is the same answer as part a.</t>
  </si>
  <si>
    <t>Tail Factor =</t>
  </si>
  <si>
    <t xml:space="preserve">• Cumulative development factor from 36 months to ultimate = </t>
  </si>
  <si>
    <t>y (Ultimate)</t>
  </si>
  <si>
    <t>24 - Ult</t>
  </si>
  <si>
    <t>For AY 2014:</t>
  </si>
  <si>
    <t>Ult Loss =</t>
  </si>
  <si>
    <t xml:space="preserve">IBNR = </t>
  </si>
  <si>
    <t>The estimate is not reasonable because a &lt; 0. This means that for a sufficiently small reported loss amount at 24 months, a negative ultimate loss will be indicated. Instead, we should use the link ratio (chain ladder) method to make a better selection:</t>
  </si>
  <si>
    <t xml:space="preserve">CDF = </t>
  </si>
  <si>
    <t xml:space="preserve">AY 2014 IBNR = </t>
  </si>
  <si>
    <t>According to Brosius (see pg. 4), two potential problems for Least Squares are when a &lt; 0 or b &lt; 0:
• When a &lt; 0, use the link ratio (chain ladder) method instead
• When b &lt; 0, use the budgeted loss (expected loss) method</t>
  </si>
  <si>
    <t>For AY 2012:</t>
  </si>
  <si>
    <t>y (Ult Loss)</t>
  </si>
  <si>
    <t>Tail factor =</t>
  </si>
  <si>
    <t>Recipe</t>
  </si>
  <si>
    <t>Brosius - Least Squares Method</t>
  </si>
  <si>
    <t>Brosius - Bayesian Credibility in a Changing System</t>
  </si>
  <si>
    <t>Brosius - Caseload Effect</t>
  </si>
  <si>
    <t>This problem is different than a "Caseload Effects" problem because the legislative change means the information prior to 2015 is not relevant anymore. We need to calculate the VHM and EVPV based on the current, best estimates that account for the legislative change. 
Take a look at pg. 13 in the paper for more context on this. 
For part b, a higher stdDev(Y) means that we have less confidence in the a priori budget loss estimate. This is because stdDev(Y) is a much larger driver of VHM (variance of hypothetical mean) than EVPV. Therefore, more credibility is placed on the link ratio method. This concept pops up again in Verrall.</t>
  </si>
  <si>
    <t>Beginning in 2016, the situation systematically changed due to the legislative change. For this reason, the old estimates (prior to 2015), are no longer relevant for estimating AY 2016 losses. Because of this, we need to use the Bayesian Credibility method with our updated information from the actuary's current estimates of E[Y], E[X/Y], etc.</t>
  </si>
  <si>
    <r>
      <t xml:space="preserve">This is a Hugh White’s question. Based on the info above, we expect 5.1M (=17M * .3) losses to be reported at 12 months and our expected loss reserve at 12 months would be 11.9M (=17M - 5.1M).
Since losses came in 1.7M higher than expected, different loss reserve methods will result in a higher or lower estimate compared to the a priori expected loss reserve. These are the three answers to Hugh Whites’s question.
•   Using the </t>
    </r>
    <r>
      <rPr>
        <b/>
        <sz val="12"/>
        <color theme="1"/>
        <rFont val="Calibri"/>
        <family val="2"/>
      </rPr>
      <t>budgeted loss method</t>
    </r>
    <r>
      <rPr>
        <sz val="12"/>
        <color theme="1"/>
        <rFont val="Calibri"/>
        <family val="2"/>
      </rPr>
      <t xml:space="preserve">, the ultimate loss estimate will stay at 17M, causing the loss reserve estimate to decrease to 10.2M (=17M - 6.8M).
•   Using the </t>
    </r>
    <r>
      <rPr>
        <b/>
        <sz val="12"/>
        <color theme="1"/>
        <rFont val="Calibri"/>
        <family val="2"/>
      </rPr>
      <t>BF method</t>
    </r>
    <r>
      <rPr>
        <sz val="12"/>
        <color theme="1"/>
        <rFont val="Calibri"/>
        <family val="2"/>
      </rPr>
      <t xml:space="preserve">, we ignore the actual loss experience and use the expected unreported loss. This leaves the reserve at 11.9M (=17M * (1-.3)).
•   Using the </t>
    </r>
    <r>
      <rPr>
        <b/>
        <sz val="12"/>
        <color theme="1"/>
        <rFont val="Calibri"/>
        <family val="2"/>
      </rPr>
      <t>Chain Ladder method</t>
    </r>
    <r>
      <rPr>
        <sz val="12"/>
        <color theme="1"/>
        <rFont val="Calibri"/>
        <family val="2"/>
      </rPr>
      <t>, the higher loss experience is bulked up to a higher loss reserve estimate of 15.9M (=6.8M * (1/0.3 - 1)).</t>
    </r>
  </si>
  <si>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</si>
  <si>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</si>
  <si>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</si>
  <si>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</si>
  <si>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</si>
  <si>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</si>
  <si>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</si>
  <si>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</si>
  <si>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</si>
  <si>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2012 Reserves =</t>
  </si>
  <si>
    <t>&lt;- L(700) = a + b*700</t>
  </si>
  <si>
    <t>2012 Ult Losses =</t>
  </si>
  <si>
    <t>a =</t>
  </si>
  <si>
    <t>b =</t>
  </si>
  <si>
    <t>Use the SLOPE() and INTERCEPT() formulas to calculate b and a:</t>
  </si>
  <si>
    <t>Least Squares Method</t>
  </si>
  <si>
    <t>&lt;-Budgeted loss method uses average of prior years</t>
  </si>
  <si>
    <t>Ult</t>
  </si>
  <si>
    <t>Estimate the accident year 2012 reserves using the link ratio, budgeted loss, and least squares methods.</t>
  </si>
  <si>
    <t>• The tail factor from 36 months to ultimate is:</t>
  </si>
  <si>
    <t>24-Ult LDF =</t>
  </si>
  <si>
    <t>36-Ult LDF =</t>
  </si>
  <si>
    <t>36 mo.</t>
  </si>
  <si>
    <t>24 mo.</t>
  </si>
  <si>
    <t>12 mo.</t>
  </si>
  <si>
    <t xml:space="preserve">24-36 LDF = </t>
  </si>
  <si>
    <t>Cumulative Reported Losses ($)</t>
  </si>
  <si>
    <t>Given the following for an insurer as of December 31, 2013:</t>
  </si>
  <si>
    <t>RF Brosius - 11</t>
  </si>
  <si>
    <t>For part c, the ultimate loss ratio from the budgeted loss method is always y_bar. For the link ratio, the ultimate loss ratio is c * x.</t>
  </si>
  <si>
    <t>The link ratio and budgeted loss estimates intersect at (xbar, ybar).</t>
  </si>
  <si>
    <t>y_bar =</t>
  </si>
  <si>
    <t xml:space="preserve">x_bar = </t>
  </si>
  <si>
    <t>For the AY 2010 estimate:</t>
  </si>
  <si>
    <t>Part c:</t>
  </si>
  <si>
    <t>Notice that this credibility weighted version exactly matches the direct approach from part a</t>
  </si>
  <si>
    <t>Least Squares =</t>
  </si>
  <si>
    <t>&lt;- Z = b/c</t>
  </si>
  <si>
    <t>Z =</t>
  </si>
  <si>
    <t>Budgeted Loss Est =</t>
  </si>
  <si>
    <t>&lt;- c*x = x/d</t>
  </si>
  <si>
    <t>Link Ratio Est =</t>
  </si>
  <si>
    <t>Link ratio = c</t>
  </si>
  <si>
    <t>For estimating AY 2010 (based on 2008 and 2009 data):</t>
  </si>
  <si>
    <t>Part b:</t>
  </si>
  <si>
    <t>&lt;- Losses = Loss Ratio * EP</t>
  </si>
  <si>
    <t>2011 Ult Losses =</t>
  </si>
  <si>
    <t>&lt;- L(0.17) = c*0.17</t>
  </si>
  <si>
    <t>2011 Ult Loss Ratio =</t>
  </si>
  <si>
    <t>Estimate the ultimate losses for 2011:</t>
  </si>
  <si>
    <t>Add 0.241 for AY 2010 to the triangle as an additional data point for extimating 2011 (highlighted above).</t>
  </si>
  <si>
    <t>Restate triangle with 2010 loss ratio:</t>
  </si>
  <si>
    <t>2010 Ult Losses =</t>
  </si>
  <si>
    <t>&lt;- L(0.217) = a + b*0.217</t>
  </si>
  <si>
    <t>2010 Ult Loss Ratio =</t>
  </si>
  <si>
    <t>&lt;-a = ybar - b*xbar</t>
  </si>
  <si>
    <t>&lt;-b = (xybar - xbar*ybar)/(x^2bar - xbar^2)</t>
  </si>
  <si>
    <t>Estimate the ultimate losses for 2010:</t>
  </si>
  <si>
    <t>Identify the point at which each method mentioned in part b. above intersect on a graph where the x-axis is the loss ratio at 36 months and the y-axis is the ultimate loss ratio.</t>
  </si>
  <si>
    <t>c.</t>
  </si>
  <si>
    <t>Display the accident year 2010 least squares estimate in the form of a credibility weighted average of the link ratio estimate and the budgeted loss estimate.</t>
  </si>
  <si>
    <t>Convert to loss ratios to account for rapid growth:</t>
  </si>
  <si>
    <t>• The tail factor from 48 months to ultimate is:</t>
  </si>
  <si>
    <t>48 mo.</t>
  </si>
  <si>
    <t>Premium ($)</t>
  </si>
  <si>
    <t>Account for the tail factor:</t>
  </si>
  <si>
    <t>Cumulative Paid Losses ($)</t>
  </si>
  <si>
    <t>Earned</t>
  </si>
  <si>
    <t>Part a:</t>
  </si>
  <si>
    <t>Given the following information for an insurer as of December 31, 2012:</t>
  </si>
  <si>
    <t>RF Brosius - 12</t>
  </si>
  <si>
    <t>SHOW ALL WORK</t>
  </si>
  <si>
    <t>Estimate the accident year 2013 ultimate losses using a credibility approach.</t>
  </si>
  <si>
    <t>&lt;-Z*x/d + (1-Z)*E(Y)</t>
  </si>
  <si>
    <t>L(12) =</t>
  </si>
  <si>
    <t>•Reported accident year 2013 losses at 12 months of development:</t>
  </si>
  <si>
    <t>&lt;-VHM/(VHM+EVPV)</t>
  </si>
  <si>
    <t>• Standard deviation of the ratio of reported loss to ultimate loss at 12 months of  development after raising the cap:</t>
  </si>
  <si>
    <t>&lt;-Var(X/Y)*(Var(Y)+E(Y)^2)</t>
  </si>
  <si>
    <t>EVPV =</t>
  </si>
  <si>
    <t>• Standard deviation of ultimate losses after raising the cap:</t>
  </si>
  <si>
    <t>&lt;-E(X/Y)^2*Var(Y)</t>
  </si>
  <si>
    <t>• Percentage of losses expected to be reported by year end under the new law:</t>
  </si>
  <si>
    <t>• Expected increase in accident year 2013 losses from raising the cap:</t>
  </si>
  <si>
    <t>SD(X/Y) =</t>
  </si>
  <si>
    <t>• Expected accident year 2013 losses if the cap was still in effect:</t>
  </si>
  <si>
    <t>SD(Y) =</t>
  </si>
  <si>
    <t>E(X/Y) =</t>
  </si>
  <si>
    <t>Given the following:</t>
  </si>
  <si>
    <t>E(Y) =</t>
  </si>
  <si>
    <t>Effective January 1, 2013, a $250,000 cap on Auto PIP losses was raised to $500,000 in state X.</t>
  </si>
  <si>
    <t>RF Brosius - 13</t>
  </si>
  <si>
    <t>Calculate the ultimate losses based on the Benktander method.</t>
  </si>
  <si>
    <t>U_GB =</t>
  </si>
  <si>
    <t xml:space="preserve">• d = </t>
  </si>
  <si>
    <t>• b = 1</t>
  </si>
  <si>
    <t>U_BF =</t>
  </si>
  <si>
    <t>• a &gt; 0</t>
  </si>
  <si>
    <t>Since a &gt; 0 and b = 1, the least squares method corresponds to the BF method</t>
  </si>
  <si>
    <t>• The ultimate losses based on the least squares method are:</t>
  </si>
  <si>
    <t>Since d = p_k = 1 - q_k, we only need to determine U_BF</t>
  </si>
  <si>
    <t>• The ultimate losses based on the chain-ladder method are:</t>
  </si>
  <si>
    <t>From Mack, U_GB = (1-q_k)U_CL + q_kU_BF</t>
  </si>
  <si>
    <t>RF Brosius - 14</t>
  </si>
  <si>
    <r>
      <t xml:space="preserve">On page 8 of the Brosius text, we see that the expected number of outstanding claims under the Poisson-Binomial case does NOT depend on the number of claims already reported. We also know that the variance of a Poisson distribution equals the expected value. So, if we had used a Poisson distribution, Var(Y) would have been 2. But the distribution we actually used resulted in Var(Y) = 2/3, which is less than the Poisson's variance. 
A </t>
    </r>
    <r>
      <rPr>
        <i/>
        <u/>
        <sz val="12"/>
        <color theme="1"/>
        <rFont val="Calibri (Body)"/>
      </rPr>
      <t>lower variance means we have more confidence in our prior estimate of expected losses</t>
    </r>
    <r>
      <rPr>
        <sz val="12"/>
        <color theme="1"/>
        <rFont val="Calibri"/>
        <family val="2"/>
        <scheme val="minor"/>
      </rPr>
      <t>. So, if the Poisson assumption leads to "no change in R(x) as x increases," then a distribution with a lower variance must lead to a "decrease in R(x) as x increases" since we have more trust in our prior estimate of expected losses.
In terms of where this comes from, this is very similar to the wording around the negative binomial distribution as described on page 9 of the text. Take a look at the paragraph that begins with "How can we make intuitive sense of this result?" The negative binomial distribution actually results in the opposite (R(x) increases as x increases).</t>
    </r>
  </si>
  <si>
    <t>Since Var(Y) = 0.67 is less than the variance of a Poisson distribution with a mean of 2 (variance is also 2), we have more confidence in our prior estimate of expected losses, and are less willing to revise our estimated ultimate claim count as reported claims increase.</t>
  </si>
  <si>
    <t>Var(Y) =</t>
  </si>
  <si>
    <t>E(Y^2) =</t>
  </si>
  <si>
    <t>&lt;-Since two claims reported by year-end</t>
  </si>
  <si>
    <t>R(2) =</t>
  </si>
  <si>
    <t>Q(2) =</t>
  </si>
  <si>
    <t>P(Y = 3|X = 2) =</t>
  </si>
  <si>
    <t>P(Y = 3|X = 2) = P(Y = 3 and X = 2)/P(X = 2) = [P(3 = 2)*(P(X = 2|Y = 3)]/P(X = 2)</t>
  </si>
  <si>
    <t>Find P(Y = 3|X = 2):</t>
  </si>
  <si>
    <t>P(Y=2|X=2) =</t>
  </si>
  <si>
    <t>P(Y = 2|X = 2) = P(Y = 2 and X = 2)/P(X = 2) = [P(Y = 2)*(P(X = 2|Y = 2)]/P(X = 2)</t>
  </si>
  <si>
    <t>Find P(Y = 2|X = 2):</t>
  </si>
  <si>
    <t>&lt;-P(X = 2) = P(X=2|Y=2)*P(Y=2) + P(X = 2) = P(X=2|Y=3)*P(Y=3)</t>
  </si>
  <si>
    <t>P(X = 2) =</t>
  </si>
  <si>
    <t>P(Y = 3) =</t>
  </si>
  <si>
    <t>In general, R(x) decreases as x increases. Explain why this makes sense.</t>
  </si>
  <si>
    <t>P(Y = 2) =</t>
  </si>
  <si>
    <t>&lt;-Since X|Y is binomial (y, 0.40)</t>
  </si>
  <si>
    <t>P(X = 2| Y = 3) =</t>
  </si>
  <si>
    <t>P(X = 2| Y = 2) =</t>
  </si>
  <si>
    <t>Find the expected number of claims outstanding, given that two claims are reported by year-end.</t>
  </si>
  <si>
    <t>Find P(X = 2)</t>
  </si>
  <si>
    <t>• Each claim has a 40% chance of being reported by year-end</t>
  </si>
  <si>
    <t>We want to find R(2) = Q(2) - 2, where Q(2) = E(Y|X=2)</t>
  </si>
  <si>
    <t>• The number of claims Y is uniformly distributed on {1,2,3}</t>
  </si>
  <si>
    <t>RF Brosius - 15</t>
  </si>
  <si>
    <t>Use E[X/Y|Y not e qual to 0] for d.  Thus, c = 1/d</t>
  </si>
  <si>
    <t>Option 4: Salzmann's iceberg technique</t>
  </si>
  <si>
    <t>Option 3: Use E[Y/X|X not equal to 0] for c</t>
  </si>
  <si>
    <t>Minimize E[((c-1)X -m)^2]</t>
  </si>
  <si>
    <t>Option 2: Minimize the mean squared error</t>
  </si>
  <si>
    <t>If an actuary decided to use the link ratio method, provide four options for determining the link ratio c.</t>
  </si>
  <si>
    <t>Since R(x) = E(Y - X|X=x) = m, we must set E[(c-1)X] = m in order to obtain an unbiased estimate</t>
  </si>
  <si>
    <t>Option 1: Unbiased estimate</t>
  </si>
  <si>
    <t>Briefly explain why the Bornhuetter/Ferguson method is the most appropriate reserving method to use in this situation.</t>
  </si>
  <si>
    <r>
      <t xml:space="preserve">• μ(1-d) is a constant </t>
    </r>
    <r>
      <rPr>
        <i/>
        <sz val="12"/>
        <color rgb="FF000000"/>
        <rFont val="Calibri"/>
        <family val="2"/>
        <scheme val="minor"/>
      </rPr>
      <t>m</t>
    </r>
  </si>
  <si>
    <t>• d = probability of a claim being reported by year end</t>
  </si>
  <si>
    <t>• X = number of claims reported by year-end</t>
  </si>
  <si>
    <t>• Y = number of claims incurred each year is a Poisson random variable with mean μ</t>
  </si>
  <si>
    <t>In the situation described above, X is a binomial random variable with parameters (y,d). Since Y is Poisson distributed, we have a Poisson-binomial mixed process.  Thus, R(x) = mu*(1-d).  Since R(x) does not depend on the number of claims already reported, the Bornhuetter/Ferguson method is the optimal method to use</t>
  </si>
  <si>
    <t>Question #5</t>
  </si>
  <si>
    <t>• Less dependent upon the underlying distribution</t>
  </si>
  <si>
    <t>Give three advantages of using the best linear approximation to Q as a replacement for the pure Bayesian estimate.</t>
  </si>
  <si>
    <t>• Easier to understand and explain</t>
  </si>
  <si>
    <t>• Simpler to compute</t>
  </si>
  <si>
    <t>Briefly explain why it is difficult to compute Q.</t>
  </si>
  <si>
    <t>It requires knowledge of the loss and loss reporting processes</t>
  </si>
  <si>
    <t>• Q(x) = E[Y|X = x]</t>
  </si>
  <si>
    <t>• Y = number of claims incurred each year</t>
  </si>
  <si>
    <t>Question #4</t>
  </si>
  <si>
    <t>• Since the book is growing, she can divide each year's losses by an exposure base to  eliminate the distortion</t>
  </si>
  <si>
    <t>• Since she is reviewing incurred loss data, she can correct for inflation by putting  the years on constant-dollar basis</t>
  </si>
  <si>
    <t>An actuary is reviewing the incurred loss experience for a business with a growing book. In addition to the standard reserving methods, she would like to apply the least squares method. Briefly describe two adjustments that should be made to the data before applying the least squares method.</t>
  </si>
  <si>
    <t>Question #3</t>
  </si>
  <si>
    <t>• Increase the bulk reserve in proportion to the increase of actual reported  over expected reported (link ratio method)</t>
  </si>
  <si>
    <t>• Leave the bulk reserve at the same percentage level of expected losses  (Bornhuetter/Ferguson method)</t>
  </si>
  <si>
    <t>An actuary is trying to establish the reserve for commercial auto bodily injury, and the reported proportion of expected losses as of the statement date for the current accident year period is 8% more than it should be.  Give three possible solutions for managing the bulk reserves. For each solution, identify a corresponding loss development method.</t>
  </si>
  <si>
    <t>• Reduce the bulk reserve by a corresponding amount (budgeted loss method)</t>
  </si>
  <si>
    <t>Question #2</t>
  </si>
  <si>
    <t>• Least squares method</t>
  </si>
  <si>
    <t>• Budgeted loss method</t>
  </si>
  <si>
    <t>• Use when random year to year fluctuations in loss experience are significant</t>
  </si>
  <si>
    <t>• Link ratio method</t>
  </si>
  <si>
    <t>• Budgeted loss method: Use the when past data is not available</t>
  </si>
  <si>
    <t>• Link ratio method: Use for older accident years where loss development is stable</t>
  </si>
  <si>
    <t>Briefly describe a situation in which it would be appropriate to use the following methods:</t>
  </si>
  <si>
    <t>Question #1</t>
  </si>
  <si>
    <t>Solutions -&gt;</t>
  </si>
  <si>
    <t>RF Brosius - Essay Problems</t>
  </si>
  <si>
    <t>Brosius – Least Squares Method</t>
  </si>
  <si>
    <r>
      <t xml:space="preserve">Not testable in PearsonVue since it requires drawing a graph, but you should understand this. Note how the least squares line intercepts the y-axis </t>
    </r>
    <r>
      <rPr>
        <u/>
        <sz val="12"/>
        <color theme="1"/>
        <rFont val="Calibri (Body)"/>
      </rPr>
      <t>below</t>
    </r>
    <r>
      <rPr>
        <i/>
        <sz val="12"/>
        <color theme="1"/>
        <rFont val="Calibri (Body)"/>
      </rPr>
      <t xml:space="preserve"> zero.</t>
    </r>
  </si>
  <si>
    <t>Part c.</t>
  </si>
  <si>
    <t>Since the intercept is negative (a &lt; 0), the ultimate loss ratio estimate will be negative for a sufficiently small loss ratio at 24 months (x), which is unreasonable. The link ratio method is more appropriate when a &lt; 0 because the intercept is the origin and it will still estimate a positive number for small values of x.</t>
  </si>
  <si>
    <t>Part b.</t>
  </si>
  <si>
    <t>method and least squares method in modelling the loss development process.</t>
  </si>
  <si>
    <t>Illustrate graphically the relationships between the link ratio method, budgeted loss</t>
  </si>
  <si>
    <t>1.5 points</t>
  </si>
  <si>
    <r>
      <t>Ult Loss</t>
    </r>
    <r>
      <rPr>
        <vertAlign val="subscript"/>
        <sz val="12"/>
        <color theme="1"/>
        <rFont val="Calibri"/>
        <family val="2"/>
      </rPr>
      <t>2009</t>
    </r>
    <r>
      <rPr>
        <sz val="12"/>
        <color theme="1"/>
        <rFont val="Calibri"/>
        <family val="2"/>
      </rPr>
      <t xml:space="preserve"> =</t>
    </r>
  </si>
  <si>
    <t>that would be produced by the link ratio method.</t>
  </si>
  <si>
    <r>
      <t>y</t>
    </r>
    <r>
      <rPr>
        <sz val="12"/>
        <color theme="1"/>
        <rFont val="Calibri"/>
        <family val="2"/>
      </rPr>
      <t>̂</t>
    </r>
    <r>
      <rPr>
        <vertAlign val="subscript"/>
        <sz val="12"/>
        <color theme="1"/>
        <rFont val="Calibri"/>
        <family val="2"/>
      </rPr>
      <t>2009</t>
    </r>
    <r>
      <rPr>
        <sz val="12"/>
        <color theme="1"/>
        <rFont val="Calibri"/>
        <family val="2"/>
      </rPr>
      <t xml:space="preserve"> =</t>
    </r>
  </si>
  <si>
    <t>Discuss the reasonability of the estimate derived in part a. above, relative to the estimate</t>
  </si>
  <si>
    <t>0.5 point</t>
  </si>
  <si>
    <t>Use the least squares method to estimate ultimate losses for the 2009 accident year.</t>
  </si>
  <si>
    <t>1 point</t>
  </si>
  <si>
    <r>
      <t>y</t>
    </r>
    <r>
      <rPr>
        <sz val="12"/>
        <color rgb="FF000000"/>
        <rFont val="Calibri"/>
        <family val="2"/>
      </rPr>
      <t xml:space="preserve"> – Ult loss ratio</t>
    </r>
  </si>
  <si>
    <t>•  The tail factor from 36 months to ultimate is:</t>
  </si>
  <si>
    <r>
      <t>x</t>
    </r>
    <r>
      <rPr>
        <sz val="12"/>
        <color rgb="FF000000"/>
        <rFont val="Calibri"/>
        <family val="2"/>
      </rPr>
      <t xml:space="preserve"> – 24 month loss ratio</t>
    </r>
  </si>
  <si>
    <t>From LINEST( known ys, known xs ):</t>
  </si>
  <si>
    <t xml:space="preserve">36 Months </t>
  </si>
  <si>
    <t xml:space="preserve">12 Months </t>
  </si>
  <si>
    <t xml:space="preserve">Premium </t>
  </si>
  <si>
    <t xml:space="preserve"> Premium </t>
  </si>
  <si>
    <t>Year</t>
  </si>
  <si>
    <t>Cumulative Reported Losses</t>
  </si>
  <si>
    <t xml:space="preserve">Earned </t>
  </si>
  <si>
    <t xml:space="preserve">Written </t>
  </si>
  <si>
    <t xml:space="preserve">Accident </t>
  </si>
  <si>
    <r>
      <t xml:space="preserve">First, restate the triangle with loss ratios based on </t>
    </r>
    <r>
      <rPr>
        <i/>
        <u/>
        <sz val="12"/>
        <color theme="1"/>
        <rFont val="Calibri"/>
        <family val="2"/>
      </rPr>
      <t>earned premium</t>
    </r>
    <r>
      <rPr>
        <sz val="12"/>
        <color theme="1"/>
        <rFont val="Calibri"/>
        <family val="2"/>
      </rPr>
      <t xml:space="preserve"> and including the tail factor:</t>
    </r>
  </si>
  <si>
    <t>Given the following information ($000) for a line of business:</t>
  </si>
  <si>
    <t>Part a.</t>
  </si>
  <si>
    <t>Points:</t>
  </si>
  <si>
    <t>Q #1</t>
  </si>
  <si>
    <t>Exam 7</t>
  </si>
  <si>
    <t>Spring 2011</t>
  </si>
  <si>
    <t>Source:</t>
  </si>
  <si>
    <t>Below are the key formulas for calculating the credibility on the link ratio method. The factor c is just the LDF for the link ratio method. The credibility is the ratio of b to the LDF. The closer b is to the LDF, the higher the credibility weighting the least squares method places on the link ratio method.</t>
  </si>
  <si>
    <t>For part b, remember that the least squares method can be viewed as a credibility-weighting of the link ratio and budgeted loss ratio methods. Also, the least squares method is the best linear approximation to a pure Bayesian approach, so it has the optimal credibility weighting.</t>
  </si>
  <si>
    <t>Averaging the link ratio and budgeted loss ratio methods assumes 50% credibility on both methods. This is NOT optimal and underweights the link ratio method.</t>
  </si>
  <si>
    <t>c =</t>
  </si>
  <si>
    <t>optimal.</t>
  </si>
  <si>
    <t>Using the answer from part a. above, demonstrate whether this averaging approach is</t>
  </si>
  <si>
    <t>The least squares method can be expressed as a credibility weighting of the link ratio and budget loss ratio methods. Credibility on link ratio method:</t>
  </si>
  <si>
    <t>to use the arithmetic average of the link ratio method and the budgeted loss ratio method.</t>
  </si>
  <si>
    <t>An alternate approach to estimating the accident year 2009 loss ratio as of 48 months is</t>
  </si>
  <si>
    <t>method.</t>
  </si>
  <si>
    <t xml:space="preserve"> Months</t>
  </si>
  <si>
    <t>Months</t>
  </si>
  <si>
    <t xml:space="preserve">Year </t>
  </si>
  <si>
    <t xml:space="preserve"> As of 48</t>
  </si>
  <si>
    <t>As of 36</t>
  </si>
  <si>
    <r>
      <t>y</t>
    </r>
    <r>
      <rPr>
        <sz val="12"/>
        <color rgb="FF000000"/>
        <rFont val="Calibri"/>
        <family val="2"/>
      </rPr>
      <t xml:space="preserve"> – 48 month loss ratio</t>
    </r>
  </si>
  <si>
    <t>Incurred Loss Ratio</t>
  </si>
  <si>
    <r>
      <t>x</t>
    </r>
    <r>
      <rPr>
        <sz val="12"/>
        <color rgb="FF000000"/>
        <rFont val="Calibri"/>
        <family val="2"/>
      </rPr>
      <t xml:space="preserve"> – 36 month loss ratio</t>
    </r>
  </si>
  <si>
    <t>Given the following in formation:</t>
  </si>
  <si>
    <t>Q #4</t>
  </si>
  <si>
    <t>Spring 2012</t>
  </si>
  <si>
    <t xml:space="preserve">Brosius – Bayesian Credibility in a Changing System </t>
  </si>
  <si>
    <t>2012 ultimate loss.</t>
  </si>
  <si>
    <t>Explain why the least squares method is not appropriate for calculating the accident year</t>
  </si>
  <si>
    <r>
      <t xml:space="preserve">This is a straight-forward Bayesian Credibility problem from Brosius. The tricky part is to identify the correct inputs for the formulas. 
</t>
    </r>
    <r>
      <rPr>
        <b/>
        <sz val="12"/>
        <color theme="1"/>
        <rFont val="Calibri"/>
        <family val="2"/>
        <scheme val="minor"/>
      </rPr>
      <t>Part a:</t>
    </r>
    <r>
      <rPr>
        <sz val="12"/>
        <color theme="1"/>
        <rFont val="Calibri"/>
        <family val="2"/>
        <scheme val="minor"/>
      </rPr>
      <t xml:space="preserve">
For the link ratio estimate portion of the ultimate loss calculation (= 21 / 0.75), we use E(x/y) to develop losses </t>
    </r>
    <r>
      <rPr>
        <i/>
        <u/>
        <sz val="12"/>
        <color theme="1"/>
        <rFont val="Calibri (Body)"/>
      </rPr>
      <t>because there has been a systematic change in the book</t>
    </r>
    <r>
      <rPr>
        <sz val="12"/>
        <color theme="1"/>
        <rFont val="Calibri"/>
        <family val="2"/>
        <scheme val="minor"/>
      </rPr>
      <t xml:space="preserve"> and we can no longer rely on historical data/least squares method (as explained in the solution to part b) or the historical development pattern (1/LDF).
</t>
    </r>
    <r>
      <rPr>
        <b/>
        <sz val="12"/>
        <color theme="1"/>
        <rFont val="Calibri"/>
        <family val="2"/>
        <scheme val="minor"/>
      </rPr>
      <t>Part b:</t>
    </r>
    <r>
      <rPr>
        <sz val="12"/>
        <color theme="1"/>
        <rFont val="Calibri"/>
        <family val="2"/>
        <scheme val="minor"/>
      </rPr>
      <t xml:space="preserve">
According to the Examiners’ Report, to get full credit for part b you needed to mention the following two things:
• Least squares relies on stable patterns
• The major change in coverage distorts the stable pattern</t>
    </r>
  </si>
  <si>
    <t>methods.</t>
  </si>
  <si>
    <t>Calculate the projected accident year 2012 ultimate loss using Bayesian credibility</t>
  </si>
  <si>
    <t>• Standard deviation of accident year 2012 ultimate loss will be $3 million.</t>
  </si>
  <si>
    <t>The least squares method is appropriate if the loss distributions for X and Y are stable year-over-year. The systematic shift in the book of business distorts the stable pattern, so least squares is not appropriate.</t>
  </si>
  <si>
    <t>deviation of 8% of estimated ultimate loss.</t>
  </si>
  <si>
    <t>• 75% of ultimate losses are expected to be reported by 24 months, with a standard</t>
  </si>
  <si>
    <t>• Loss amounts will increase by 25% due to the expanded coverage.</t>
  </si>
  <si>
    <t>Ult (2012) =</t>
  </si>
  <si>
    <t>and pricing actuaries estimated the following:</t>
  </si>
  <si>
    <t>were constant for 2008 through 2011. On January 1, 2012, policy coverage was expanded</t>
  </si>
  <si>
    <t xml:space="preserve"> = VHM/(VHM + EVPV)</t>
  </si>
  <si>
    <t>An insurer writes annual policies that incept on January 1. Exposure and coverage levels</t>
  </si>
  <si>
    <t xml:space="preserve"> = Var(X/Y)*(Var(Y)+E(Y)^2)</t>
  </si>
  <si>
    <t xml:space="preserve"> = E(X/Y)^2*Var(Y)</t>
  </si>
  <si>
    <r>
      <rPr>
        <sz val="12"/>
        <color theme="1"/>
        <rFont val="Symbol"/>
        <family val="1"/>
        <charset val="2"/>
      </rPr>
      <t>s</t>
    </r>
    <r>
      <rPr>
        <sz val="12"/>
        <color theme="1"/>
        <rFont val="Calibri"/>
        <family val="2"/>
      </rPr>
      <t>(X/Y) =</t>
    </r>
  </si>
  <si>
    <t>⇽ d = 1/LDF</t>
  </si>
  <si>
    <t>E[X/Y] =</t>
  </si>
  <si>
    <t xml:space="preserve"> Loss</t>
  </si>
  <si>
    <r>
      <rPr>
        <sz val="12"/>
        <color theme="1"/>
        <rFont val="Symbol"/>
        <family val="1"/>
        <charset val="2"/>
      </rPr>
      <t>s</t>
    </r>
    <r>
      <rPr>
        <sz val="12"/>
        <color theme="1"/>
        <rFont val="Calibri"/>
        <family val="2"/>
      </rPr>
      <t>(Y) =</t>
    </r>
  </si>
  <si>
    <t xml:space="preserve"> Ultimate</t>
  </si>
  <si>
    <t>Reported at</t>
  </si>
  <si>
    <t>E[Y] =</t>
  </si>
  <si>
    <t>Cumulative Losses ($000,000)</t>
  </si>
  <si>
    <r>
      <t>E[Y</t>
    </r>
    <r>
      <rPr>
        <vertAlign val="subscript"/>
        <sz val="12"/>
        <color theme="1"/>
        <rFont val="Calibri"/>
        <family val="2"/>
        <scheme val="minor"/>
      </rPr>
      <t>prior</t>
    </r>
    <r>
      <rPr>
        <sz val="12"/>
        <color theme="1"/>
        <rFont val="Calibri"/>
        <family val="2"/>
        <scheme val="minor"/>
      </rPr>
      <t>] =</t>
    </r>
  </si>
  <si>
    <t>Spring 2014</t>
  </si>
  <si>
    <t xml:space="preserve">Part b is discussed at the top of pg. 4 in Brosius. 
For part c, see the footnote on page 15 of the paper. We assume that the SD of X/Y does not depend on Y. </t>
  </si>
  <si>
    <t>Ult(2014) =</t>
  </si>
  <si>
    <t>&lt;-VHM/(VHM + EVPV)</t>
  </si>
  <si>
    <t>Z</t>
  </si>
  <si>
    <t>Using the Bayesian credibility method, estimate the revised ultimate loss for accident 
year 2014.</t>
  </si>
  <si>
    <t>EVPV</t>
  </si>
  <si>
    <t>•  Standard deviation of accident year 2014 ultimate loss is expected to be</t>
  </si>
  <si>
    <t>VHM</t>
  </si>
  <si>
    <t xml:space="preserve">•  Expected ultimate loss for accident year 2014 will decrease </t>
  </si>
  <si>
    <t xml:space="preserve">    ultimate loss.</t>
  </si>
  <si>
    <t>&lt;-since SD(X) = 0.10*Y</t>
  </si>
  <si>
    <t>SD(X/Y)</t>
  </si>
  <si>
    <t>•  Standard deviation of reported loss as of 24 months will be 10% of estimated</t>
  </si>
  <si>
    <t>&lt;-d = 1/LDF</t>
  </si>
  <si>
    <t>E(X/Y)</t>
  </si>
  <si>
    <t>•  No change in the reporting pattern.</t>
  </si>
  <si>
    <t>SD(Y)</t>
  </si>
  <si>
    <t>&lt;-0.8*ybar</t>
  </si>
  <si>
    <t>E(Y)</t>
  </si>
  <si>
    <t>Due to a regulatory change, the following is anticipated:</t>
  </si>
  <si>
    <t>ii. The intercept parameter is negative.</t>
  </si>
  <si>
    <t>i. The slope parameter is negative.</t>
  </si>
  <si>
    <t>ii.   If a&lt;0, for sufficiently small reported loss (x), the ultimate loss (y) will be negative.</t>
  </si>
  <si>
    <t>i.   If b&lt;0, as reported loss (x) increases, the ultimate loss (y) decreases.</t>
  </si>
  <si>
    <t>of the least-squares method:</t>
  </si>
  <si>
    <t>For each of the following scenarios, briefly describe a potential problem with the output</t>
  </si>
  <si>
    <t>Using the least squares method, estimate ultimate loss for accident year 2014.</t>
  </si>
  <si>
    <t>1.25 points</t>
  </si>
  <si>
    <t>&lt;-ybar - b*xbar</t>
  </si>
  <si>
    <t>&lt;-(xybar - xbar*ybar)/(x^2bar - xbar^2)</t>
  </si>
  <si>
    <t>&lt;-a + b*25</t>
  </si>
  <si>
    <t>xybar</t>
  </si>
  <si>
    <t>x^2bar</t>
  </si>
  <si>
    <t>Loss</t>
  </si>
  <si>
    <t>@ 24Months</t>
  </si>
  <si>
    <t>ybar</t>
  </si>
  <si>
    <t>Ultimate</t>
  </si>
  <si>
    <t>Reported Loss</t>
  </si>
  <si>
    <t>Accident</t>
  </si>
  <si>
    <t>xbar</t>
  </si>
  <si>
    <t>Cumulative</t>
  </si>
  <si>
    <t>Alternatively:</t>
  </si>
  <si>
    <t>Given the following information ($000,000):</t>
  </si>
  <si>
    <t>Q #2</t>
  </si>
  <si>
    <t>Spring 2016</t>
  </si>
  <si>
    <r>
      <t xml:space="preserve">Sample solution #2 calculated with the 2013 ultimate loss ratio with the negative a. This was also accepted because the candidate stated their assumption (below) and understanding of the issue with using a &lt; 0 and that the link ratio method would be better. 
</t>
    </r>
    <r>
      <rPr>
        <i/>
        <sz val="12"/>
        <color theme="1"/>
        <rFont val="Calibri"/>
        <family val="2"/>
        <scheme val="minor"/>
      </rPr>
      <t>Even though a negative "a" value could lead to impractical y values, I will use Least Squares since the problem says to, even though CL maybe more appropriate.</t>
    </r>
  </si>
  <si>
    <t>From the Examiner's Report</t>
  </si>
  <si>
    <t>This is a two-step least squares method problem. We first need to solve for the ultimate loss ratio for accident year 2013, then we use that as an additional data point for solving the accident year 2014 ultimate loss ratio.
One twist in this problem is that the intercept a is less than zero for the 2013 calculation. According to Brosius, if a &lt; 0, we should use the link ratio method instead. If b &lt; 0, we should use the budgeted loss method and the estimate would be  .</t>
  </si>
  <si>
    <t>⇽ = a + b*x</t>
  </si>
  <si>
    <t xml:space="preserve">Ult L/R 2014 = </t>
  </si>
  <si>
    <t>Calculate the 2014 ultimate loss ratio, using the 2013 data ult loss ratio:</t>
  </si>
  <si>
    <t xml:space="preserve">Ult L/R 2013 = </t>
  </si>
  <si>
    <t xml:space="preserve">48-Ult CDF = </t>
  </si>
  <si>
    <t>Since a &lt; 0, calculate the 2013 ultimate loss ratio using the 48-Ult link ratio:</t>
  </si>
  <si>
    <t>Calculate the accident year 2014 ultimate loss ratio using the least squares method.</t>
  </si>
  <si>
    <t>2014: 36mo - Ult</t>
  </si>
  <si>
    <t>•  Assume a tail factor from 60 months to ultimate that equals:</t>
  </si>
  <si>
    <t>⇽ Since a &lt; 0, use the link ratio estimate for 2013 (below)</t>
  </si>
  <si>
    <t>2013: 48mo - Ult</t>
  </si>
  <si>
    <t>Use them to calculate the ultimate loss ratio estimates for AY 2013 and then 2014.</t>
  </si>
  <si>
    <r>
      <t xml:space="preserve">Calculate the least squares </t>
    </r>
    <r>
      <rPr>
        <i/>
        <sz val="12"/>
        <color theme="1"/>
        <rFont val="Calibri"/>
        <family val="2"/>
      </rPr>
      <t>a</t>
    </r>
    <r>
      <rPr>
        <sz val="12"/>
        <color theme="1"/>
        <rFont val="Calibri"/>
        <family val="2"/>
      </rPr>
      <t xml:space="preserve"> and </t>
    </r>
    <r>
      <rPr>
        <i/>
        <sz val="12"/>
        <color theme="1"/>
        <rFont val="Calibri"/>
        <family val="2"/>
      </rPr>
      <t>b</t>
    </r>
    <r>
      <rPr>
        <sz val="12"/>
        <color theme="1"/>
        <rFont val="Calibri"/>
        <family val="2"/>
      </rPr>
      <t xml:space="preserve"> parameters for each development period iteratively. </t>
    </r>
  </si>
  <si>
    <t>Cumulative Reported Loss Ratios</t>
  </si>
  <si>
    <t>Ult.</t>
  </si>
  <si>
    <t>60 mo.</t>
  </si>
  <si>
    <t>Given the following loss ratio triangle:</t>
  </si>
  <si>
    <t>Restate the triangle by applying the tail factor:</t>
  </si>
  <si>
    <t>Spring 2017</t>
  </si>
  <si>
    <t>Calculate the ultimate loss for accident year 2017 using the least squares method.</t>
  </si>
  <si>
    <t>• Assume there is no further development after 24 months.</t>
  </si>
  <si>
    <t>• Earned premium for accident year 2017 is:</t>
  </si>
  <si>
    <t>• Cumulative incurred loss for accident year 2017 at 12 months is:</t>
  </si>
  <si>
    <t xml:space="preserve">• </t>
  </si>
  <si>
    <t>• The equation for the line in the graph above is y = 0.1126 + bx.</t>
  </si>
  <si>
    <t>Ultimate Loss =</t>
  </si>
  <si>
    <t>&lt;-L(6/8) = 0.1126 + b*(6/8)</t>
  </si>
  <si>
    <t xml:space="preserve">Ult Loss Ratio = </t>
  </si>
  <si>
    <t>Loss Ratio at 12 =</t>
  </si>
  <si>
    <t>b = (0.5979 - 0.653*(0.1126+0.653b))/(0.428 - 0.653^2);  solve for b</t>
  </si>
  <si>
    <t>We can plug in ybar = 0.1126 + b*xbar = 0.1126 + 0.653b into the equation above</t>
  </si>
  <si>
    <t>b = (xybar - xbar*ybar)/(x^2bar - xbar^2)</t>
  </si>
  <si>
    <t>x^2bar =</t>
  </si>
  <si>
    <t>&lt;-Using the points in the graph</t>
  </si>
  <si>
    <t>xbar =</t>
  </si>
  <si>
    <t>&lt;-since y = 0.1126 + x</t>
  </si>
  <si>
    <t>Spring 2018</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</si>
  <si>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</si>
  <si>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claims, a claims backlog can result in the percent of claims reported as of 12 months to be lower than expected.</t>
  </si>
  <si>
    <t>Estimate the ultimate losses for accident years 2010 and 2011 using the least squares method. Select a final ultimate loss using actuarial judgment.</t>
  </si>
  <si>
    <t xml:space="preserve">2011 Ult Loss = </t>
  </si>
  <si>
    <t>&lt;- Ultimate loss using the least squares method directly</t>
  </si>
  <si>
    <t>Because a is negative, I will judgmentally use the link ratio method instead:</t>
  </si>
  <si>
    <t>Estimate the loss ratio for accident year 2009 as of 48 months using the least squares</t>
  </si>
  <si>
    <t>You are given the following assumptions for losses reported at 12 months (X) given ultimate loss (Y):</t>
  </si>
  <si>
    <t>• Variance of the hypothetical mean =</t>
  </si>
  <si>
    <t xml:space="preserve">• Expected value of the process variance = </t>
  </si>
  <si>
    <t>The insurer plans to write $62.5M of premium for 2017 with an expected loss ratio of 80%. The actuary</t>
  </si>
  <si>
    <t>expects 60% of losses will be reported as of 12 months.</t>
  </si>
  <si>
    <t>Calculate the credibility, Z, based on VHM and EVPV:</t>
  </si>
  <si>
    <t>Given the following for a Homeowners line of business:</t>
  </si>
  <si>
    <t>The caseload effect reflects a lower %Reported given a higher ultimate loss. This means that the chain ladder ultimate in the credibility formula will be higher ( = (37M - 10M) / 0.4 = 67.5M ) than if we ignored the caseload effect ( = 37M / 0.6 = 61.7M ).</t>
  </si>
  <si>
    <t xml:space="preserve">When Cov(X,Y) &lt; Var(X), a large reported amount should lead to a decrease in the reserve.
</t>
  </si>
  <si>
    <t>Estimate of Cov(X,Y) and Var(X):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</si>
</sst>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8" formatCode="&quot;$&quot;#,##0.00_);[Red]\(&quot;$&quot;#,##0.00\)"/>
    <numFmt numFmtId="44" formatCode="_(&quot;$&quot;* #,##0.00_);_(&quot;$&quot;* \(#,##0.00\);_(&quot;$&quot;* &quot;-&quot;??_);_(@_)"/>
    <numFmt numFmtId="43" formatCode="_(* #,##0.00_);_(* \(#,##0.00\);_(* &quot;-&quot;??_);_(@_)"/>
    <numFmt numFmtId="164" formatCode="0.000"/>
    <numFmt numFmtId="165" formatCode="_(* #,##0.0_);_(* \(#,##0.0\);_(* &quot;-&quot;??_);_(@_)"/>
    <numFmt numFmtId="166" formatCode="_(* #,##0_);_(* \(#,##0\);_(* &quot;-&quot;??_);_(@_)"/>
    <numFmt numFmtId="167" formatCode="0.0%"/>
    <numFmt numFmtId="168" formatCode="_-* #,##0.0000_-;\-* #,##0.0000_-;_-* &quot;-&quot;??_-;_-@_-"/>
    <numFmt numFmtId="169" formatCode="_-* #,##0.000_-;\-* #,##0.000_-;_-* &quot;-&quot;??_-;_-@_-"/>
    <numFmt numFmtId="170" formatCode="_-* #,##0_-;\-* #,##0_-;_-* &quot;-&quot;??_-;_-@_-"/>
    <numFmt numFmtId="171" formatCode="0.0"/>
    <numFmt numFmtId="172" formatCode="0.0000"/>
    <numFmt numFmtId="173" formatCode="_(&quot;$&quot;* #,##0_);_(&quot;$&quot;* \(#,##0\);_(&quot;$&quot;* &quot;-&quot;??_);_(@_)"/>
    <numFmt numFmtId="174" formatCode="#,##0.000"/>
    <numFmt numFmtId="175" formatCode="_(* #,##0.000_);_(* \(#,##0.000\);_(* &quot;-&quot;??_);_(@_)"/>
    <numFmt numFmtId="176" formatCode="0.00&quot; M&quot;"/>
    <numFmt numFmtId="177" formatCode="0.0&quot; M&quot;"/>
    <numFmt numFmtId="178" formatCode="0&quot; M&quot;"/>
    <numFmt numFmtId="179" formatCode="[$$-409]#,##0"/>
    <numFmt numFmtId="180" formatCode="0.000E+00"/>
  </numFmts>
  <fonts count="43"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2"/>
      <color rgb="FFFF0000"/>
      <name val="Calibri"/>
      <family val="2"/>
    </font>
    <font>
      <b/>
      <u/>
      <sz val="12"/>
      <color theme="1"/>
      <name val="Calibri"/>
      <family val="2"/>
    </font>
    <font>
      <sz val="11"/>
      <color theme="1"/>
      <name val="Calibri"/>
      <family val="2"/>
    </font>
    <font>
      <u/>
      <sz val="12"/>
      <color theme="1"/>
      <name val="Calibri"/>
      <family val="2"/>
    </font>
    <font>
      <b/>
      <sz val="12"/>
      <color theme="1"/>
      <name val="Calibri"/>
      <family val="2"/>
    </font>
    <font>
      <i/>
      <u/>
      <sz val="11"/>
      <color theme="1"/>
      <name val="Calibri"/>
      <family val="2"/>
    </font>
    <font>
      <i/>
      <sz val="12"/>
      <color theme="1"/>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b/>
      <sz val="14"/>
      <color theme="1"/>
      <name val="Calibri"/>
      <family val="2"/>
      <scheme val="minor"/>
    </font>
    <font>
      <u/>
      <sz val="12"/>
      <color theme="1"/>
      <name val="Calibri"/>
      <family val="2"/>
      <scheme val="minor"/>
    </font>
    <font>
      <b/>
      <sz val="12"/>
      <color theme="1"/>
      <name val="Calibri"/>
      <family val="2"/>
      <scheme val="minor"/>
    </font>
    <font>
      <b/>
      <u/>
      <sz val="12"/>
      <color theme="1"/>
      <name val="Calibri (Body)"/>
    </font>
    <font>
      <sz val="12"/>
      <color theme="1"/>
      <name val="Calibri (Body)"/>
    </font>
    <font>
      <i/>
      <u/>
      <sz val="12"/>
      <color theme="1"/>
      <name val="Calibri (Body)"/>
    </font>
    <font>
      <sz val="12"/>
      <color rgb="FF000000"/>
      <name val="Calibri"/>
      <family val="2"/>
      <scheme val="minor"/>
    </font>
    <font>
      <i/>
      <sz val="12"/>
      <color rgb="FF000000"/>
      <name val="Calibri"/>
      <family val="2"/>
      <scheme val="minor"/>
    </font>
    <font>
      <i/>
      <sz val="12"/>
      <color theme="1"/>
      <name val="Calibri"/>
      <family val="2"/>
      <scheme val="minor"/>
    </font>
    <font>
      <u/>
      <sz val="12"/>
      <color theme="1"/>
      <name val="Calibri (Body)"/>
    </font>
    <font>
      <i/>
      <sz val="12"/>
      <color theme="1"/>
      <name val="Calibri (Body)"/>
    </font>
    <font>
      <sz val="12"/>
      <color rgb="FF000000"/>
      <name val="Calibri"/>
      <family val="2"/>
    </font>
    <font>
      <vertAlign val="subscript"/>
      <sz val="12"/>
      <color theme="1"/>
      <name val="Calibri"/>
      <family val="2"/>
    </font>
    <font>
      <i/>
      <sz val="12"/>
      <color rgb="FF000000"/>
      <name val="Calibri"/>
      <family val="2"/>
    </font>
    <font>
      <u/>
      <sz val="12"/>
      <color rgb="FF000000"/>
      <name val="Calibri"/>
      <family val="2"/>
    </font>
    <font>
      <i/>
      <u/>
      <sz val="12"/>
      <color theme="1"/>
      <name val="Calibri"/>
      <family val="2"/>
    </font>
    <font>
      <sz val="12"/>
      <color theme="1"/>
      <name val="Calibri"/>
      <family val="1"/>
      <charset val="2"/>
    </font>
    <font>
      <sz val="12"/>
      <color theme="1"/>
      <name val="Symbol"/>
      <family val="1"/>
      <charset val="2"/>
    </font>
    <font>
      <vertAlign val="subscript"/>
      <sz val="12"/>
      <color theme="1"/>
      <name val="Calibri"/>
      <family val="2"/>
      <scheme val="minor"/>
    </font>
    <font>
      <u/>
      <sz val="14"/>
      <color theme="1"/>
      <name val="Calibri"/>
      <family val="2"/>
      <scheme val="minor"/>
    </font>
    <font>
      <sz val="12"/>
      <color theme="1"/>
      <name val="Arial"/>
      <family val="2"/>
    </font>
    <font>
      <i/>
      <u/>
      <sz val="12"/>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s>
  <borders count="27">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8">
    <xf numFmtId="0" fontId="0" fillId="0" borderId="0"/>
    <xf numFmtId="43" fontId="8" fillId="0" borderId="0" applyFont="0" applyFill="0" applyBorder="0" applyAlignment="0" applyProtection="0"/>
    <xf numFmtId="9" fontId="8" fillId="0" borderId="0" applyFont="0" applyFill="0" applyBorder="0" applyAlignment="0" applyProtection="0"/>
    <xf numFmtId="0" fontId="17" fillId="0" borderId="0"/>
    <xf numFmtId="0" fontId="5" fillId="0" borderId="0"/>
    <xf numFmtId="0" fontId="18" fillId="0" borderId="0" applyNumberFormat="0" applyFill="0" applyBorder="0" applyAlignment="0" applyProtection="0"/>
    <xf numFmtId="44" fontId="8" fillId="0" borderId="0" applyFont="0" applyFill="0" applyBorder="0" applyAlignment="0" applyProtection="0"/>
    <xf numFmtId="9" fontId="8" fillId="0" borderId="0" applyFont="0" applyFill="0" applyBorder="0" applyAlignment="0" applyProtection="0"/>
  </cellStyleXfs>
  <cellXfs count="332">
    <xf numFmtId="0" fontId="0" fillId="0" borderId="0" xfId="0"/>
    <xf numFmtId="0" fontId="9" fillId="2" borderId="1" xfId="0" applyFont="1" applyFill="1" applyBorder="1"/>
    <xf numFmtId="2" fontId="10" fillId="2" borderId="1" xfId="0" applyNumberFormat="1" applyFont="1" applyFill="1" applyBorder="1" applyAlignment="1">
      <alignment horizontal="left"/>
    </xf>
    <xf numFmtId="0" fontId="9" fillId="0" borderId="0" xfId="0" applyFont="1"/>
    <xf numFmtId="0" fontId="11" fillId="0" borderId="0" xfId="0" applyFont="1"/>
    <xf numFmtId="0" fontId="12" fillId="0" borderId="0" xfId="0" applyFont="1"/>
    <xf numFmtId="0" fontId="14" fillId="0" borderId="0" xfId="0" applyFont="1"/>
    <xf numFmtId="165" fontId="14" fillId="0" borderId="0" xfId="1" applyNumberFormat="1" applyFont="1"/>
    <xf numFmtId="0" fontId="13" fillId="0" borderId="0" xfId="0" applyFont="1"/>
    <xf numFmtId="0" fontId="14" fillId="2" borderId="7" xfId="0" applyFont="1" applyFill="1" applyBorder="1" applyAlignment="1">
      <alignment horizontal="center" vertical="center"/>
    </xf>
    <xf numFmtId="0" fontId="14" fillId="2" borderId="0" xfId="0" applyFont="1" applyFill="1" applyAlignment="1">
      <alignment horizontal="center" vertical="center"/>
    </xf>
    <xf numFmtId="6" fontId="14" fillId="0" borderId="0" xfId="0" quotePrefix="1" applyNumberFormat="1" applyFont="1"/>
    <xf numFmtId="0" fontId="13" fillId="2" borderId="0" xfId="0" applyFont="1" applyFill="1" applyAlignment="1">
      <alignment horizontal="center"/>
    </xf>
    <xf numFmtId="167" fontId="16" fillId="3" borderId="0" xfId="2" applyNumberFormat="1" applyFont="1" applyFill="1" applyAlignment="1">
      <alignment horizontal="center"/>
    </xf>
    <xf numFmtId="0" fontId="13" fillId="2" borderId="0" xfId="0" applyFont="1" applyFill="1"/>
    <xf numFmtId="2" fontId="10" fillId="2" borderId="0" xfId="0" applyNumberFormat="1" applyFont="1" applyFill="1" applyAlignment="1">
      <alignment horizontal="left"/>
    </xf>
    <xf numFmtId="0" fontId="7" fillId="2" borderId="7" xfId="0" applyFont="1" applyFill="1" applyBorder="1" applyAlignment="1">
      <alignment horizontal="center" vertical="center"/>
    </xf>
    <xf numFmtId="0" fontId="7" fillId="2" borderId="0" xfId="0" applyFont="1" applyFill="1"/>
    <xf numFmtId="0" fontId="7" fillId="2" borderId="2" xfId="0" applyFont="1" applyFill="1" applyBorder="1"/>
    <xf numFmtId="0" fontId="7" fillId="0" borderId="0" xfId="0" applyFont="1"/>
    <xf numFmtId="164" fontId="7" fillId="0" borderId="0" xfId="0" applyNumberFormat="1" applyFont="1"/>
    <xf numFmtId="0" fontId="7" fillId="2" borderId="0" xfId="0" quotePrefix="1" applyFont="1" applyFill="1"/>
    <xf numFmtId="9" fontId="7" fillId="2" borderId="0" xfId="0" applyNumberFormat="1" applyFont="1" applyFill="1"/>
    <xf numFmtId="0" fontId="7" fillId="0" borderId="0" xfId="0" quotePrefix="1" applyFont="1"/>
    <xf numFmtId="165" fontId="7" fillId="0" borderId="0" xfId="1" applyNumberFormat="1" applyFont="1"/>
    <xf numFmtId="0" fontId="7" fillId="0" borderId="0" xfId="0" applyFont="1" applyAlignment="1">
      <alignment horizontal="left" wrapText="1"/>
    </xf>
    <xf numFmtId="164" fontId="7" fillId="0" borderId="0" xfId="0" applyNumberFormat="1" applyFont="1" applyAlignment="1">
      <alignment horizontal="center"/>
    </xf>
    <xf numFmtId="0" fontId="7" fillId="0" borderId="5" xfId="0" applyFont="1" applyBorder="1" applyAlignment="1">
      <alignment horizontal="center"/>
    </xf>
    <xf numFmtId="0" fontId="7" fillId="0" borderId="3" xfId="0" applyFont="1" applyBorder="1" applyAlignment="1">
      <alignment horizontal="center"/>
    </xf>
    <xf numFmtId="0" fontId="7" fillId="2" borderId="3" xfId="0" applyFont="1" applyFill="1" applyBorder="1" applyAlignment="1">
      <alignment horizontal="center"/>
    </xf>
    <xf numFmtId="0" fontId="7" fillId="0" borderId="4" xfId="0" applyFont="1" applyBorder="1" applyAlignment="1">
      <alignment horizontal="center"/>
    </xf>
    <xf numFmtId="166" fontId="7" fillId="0" borderId="0" xfId="1" applyNumberFormat="1" applyFont="1" applyAlignment="1">
      <alignment horizontal="center"/>
    </xf>
    <xf numFmtId="10" fontId="7" fillId="0" borderId="0" xfId="1" applyNumberFormat="1" applyFont="1"/>
    <xf numFmtId="0" fontId="7" fillId="2" borderId="4" xfId="0" applyFont="1" applyFill="1" applyBorder="1" applyAlignment="1">
      <alignment horizontal="center"/>
    </xf>
    <xf numFmtId="0" fontId="7" fillId="2" borderId="0" xfId="0" applyFont="1" applyFill="1" applyAlignment="1">
      <alignment horizontal="center"/>
    </xf>
    <xf numFmtId="0" fontId="7" fillId="0" borderId="5" xfId="0" applyFont="1" applyBorder="1"/>
    <xf numFmtId="0" fontId="7" fillId="0" borderId="6" xfId="0" applyFont="1" applyBorder="1" applyAlignment="1">
      <alignment horizontal="center"/>
    </xf>
    <xf numFmtId="0" fontId="7" fillId="0" borderId="4" xfId="0" applyFont="1" applyBorder="1"/>
    <xf numFmtId="2" fontId="7" fillId="0" borderId="0" xfId="1" applyNumberFormat="1" applyFont="1" applyAlignment="1">
      <alignment horizontal="center"/>
    </xf>
    <xf numFmtId="169" fontId="7" fillId="0" borderId="0" xfId="0" applyNumberFormat="1" applyFont="1"/>
    <xf numFmtId="170" fontId="7" fillId="0" borderId="0" xfId="1" applyNumberFormat="1" applyFont="1"/>
    <xf numFmtId="0" fontId="7" fillId="0" borderId="8" xfId="0" applyFont="1" applyBorder="1"/>
    <xf numFmtId="170" fontId="7" fillId="0" borderId="10" xfId="1" applyNumberFormat="1" applyFont="1" applyBorder="1"/>
    <xf numFmtId="6" fontId="7" fillId="0" borderId="0" xfId="0" quotePrefix="1" applyNumberFormat="1" applyFont="1"/>
    <xf numFmtId="166" fontId="7" fillId="0" borderId="0" xfId="1" applyNumberFormat="1" applyFont="1"/>
    <xf numFmtId="3" fontId="7" fillId="0" borderId="0" xfId="0" applyNumberFormat="1" applyFont="1"/>
    <xf numFmtId="0" fontId="7" fillId="0" borderId="0" xfId="0" applyFont="1" applyAlignment="1">
      <alignment horizontal="left" vertical="center"/>
    </xf>
    <xf numFmtId="0" fontId="7" fillId="0" borderId="0" xfId="0" applyFont="1" applyAlignment="1">
      <alignment wrapText="1"/>
    </xf>
    <xf numFmtId="166" fontId="7" fillId="0" borderId="0" xfId="0" applyNumberFormat="1" applyFont="1"/>
    <xf numFmtId="0" fontId="7" fillId="2" borderId="0" xfId="0" applyFont="1" applyFill="1" applyAlignment="1">
      <alignment horizontal="center" vertical="center"/>
    </xf>
    <xf numFmtId="6" fontId="7" fillId="0" borderId="0" xfId="0" applyNumberFormat="1" applyFont="1"/>
    <xf numFmtId="9" fontId="7" fillId="0" borderId="0" xfId="2" applyFont="1"/>
    <xf numFmtId="6" fontId="7" fillId="2" borderId="0" xfId="0" applyNumberFormat="1" applyFont="1" applyFill="1"/>
    <xf numFmtId="0" fontId="7" fillId="2" borderId="3" xfId="0" applyFont="1" applyFill="1" applyBorder="1" applyAlignment="1">
      <alignment horizontal="center" wrapText="1"/>
    </xf>
    <xf numFmtId="166" fontId="7" fillId="2" borderId="0" xfId="1" applyNumberFormat="1" applyFont="1" applyFill="1" applyAlignment="1">
      <alignment horizontal="center"/>
    </xf>
    <xf numFmtId="0" fontId="7" fillId="0" borderId="8" xfId="0" applyFont="1" applyBorder="1" applyAlignment="1">
      <alignment horizontal="center"/>
    </xf>
    <xf numFmtId="0" fontId="7" fillId="0" borderId="0" xfId="0" applyFont="1" applyAlignment="1">
      <alignment horizontal="center"/>
    </xf>
    <xf numFmtId="37" fontId="7" fillId="0" borderId="10" xfId="0" applyNumberFormat="1" applyFont="1" applyBorder="1" applyAlignment="1">
      <alignment horizontal="center"/>
    </xf>
    <xf numFmtId="0" fontId="7" fillId="2" borderId="7" xfId="0" applyFont="1" applyFill="1" applyBorder="1"/>
    <xf numFmtId="0" fontId="7" fillId="2" borderId="11" xfId="0" applyFont="1" applyFill="1" applyBorder="1"/>
    <xf numFmtId="0" fontId="7" fillId="0" borderId="0" xfId="0" applyFont="1" applyAlignment="1">
      <alignment horizontal="right"/>
    </xf>
    <xf numFmtId="0" fontId="7" fillId="0" borderId="5" xfId="0" applyFont="1" applyBorder="1" applyAlignment="1">
      <alignment horizontal="center" vertical="center"/>
    </xf>
    <xf numFmtId="0" fontId="7" fillId="0" borderId="3" xfId="0" applyFont="1" applyBorder="1" applyAlignment="1">
      <alignment horizontal="center" vertical="center"/>
    </xf>
    <xf numFmtId="0" fontId="7" fillId="0" borderId="0" xfId="0" applyFont="1" applyAlignment="1">
      <alignment horizontal="center" vertical="center"/>
    </xf>
    <xf numFmtId="3" fontId="7" fillId="2" borderId="0" xfId="0" applyNumberFormat="1" applyFont="1" applyFill="1" applyAlignment="1">
      <alignment horizontal="center"/>
    </xf>
    <xf numFmtId="167" fontId="7" fillId="0" borderId="0" xfId="2" applyNumberFormat="1" applyFont="1" applyAlignment="1">
      <alignment horizontal="center"/>
    </xf>
    <xf numFmtId="167" fontId="7" fillId="0" borderId="4" xfId="2" applyNumberFormat="1" applyFont="1" applyBorder="1" applyAlignment="1">
      <alignment horizontal="center"/>
    </xf>
    <xf numFmtId="10" fontId="7" fillId="0" borderId="0" xfId="0" applyNumberFormat="1" applyFont="1"/>
    <xf numFmtId="168" fontId="7" fillId="0" borderId="0" xfId="1" applyNumberFormat="1" applyFont="1"/>
    <xf numFmtId="168" fontId="7" fillId="0" borderId="0" xfId="0" applyNumberFormat="1" applyFont="1"/>
    <xf numFmtId="172" fontId="7" fillId="0" borderId="0" xfId="0" applyNumberFormat="1" applyFont="1" applyAlignment="1">
      <alignment horizontal="center"/>
    </xf>
    <xf numFmtId="37" fontId="7" fillId="0" borderId="10" xfId="1" applyNumberFormat="1" applyFont="1" applyBorder="1" applyAlignment="1">
      <alignment horizontal="center"/>
    </xf>
    <xf numFmtId="2" fontId="7" fillId="0" borderId="0" xfId="0" applyNumberFormat="1" applyFont="1" applyAlignment="1">
      <alignment horizontal="center"/>
    </xf>
    <xf numFmtId="0" fontId="7" fillId="0" borderId="0" xfId="0" quotePrefix="1" applyFont="1" applyAlignment="1">
      <alignment horizontal="left" indent="1"/>
    </xf>
    <xf numFmtId="167" fontId="7" fillId="0" borderId="10" xfId="2" applyNumberFormat="1" applyFont="1" applyBorder="1" applyAlignment="1">
      <alignment horizontal="center"/>
    </xf>
    <xf numFmtId="164" fontId="7" fillId="0" borderId="4" xfId="0" applyNumberFormat="1" applyFont="1" applyBorder="1"/>
    <xf numFmtId="0" fontId="7" fillId="0" borderId="3" xfId="0" applyFont="1" applyBorder="1"/>
    <xf numFmtId="167" fontId="7" fillId="0" borderId="0" xfId="0" applyNumberFormat="1" applyFont="1" applyAlignment="1">
      <alignment horizontal="center"/>
    </xf>
    <xf numFmtId="167" fontId="7" fillId="0" borderId="3" xfId="0" applyNumberFormat="1" applyFont="1" applyBorder="1" applyAlignment="1">
      <alignment horizontal="center"/>
    </xf>
    <xf numFmtId="167" fontId="7" fillId="3" borderId="0" xfId="0" applyNumberFormat="1" applyFont="1" applyFill="1" applyAlignment="1">
      <alignment horizontal="center"/>
    </xf>
    <xf numFmtId="0" fontId="7" fillId="0" borderId="0" xfId="0" applyFont="1" applyAlignment="1">
      <alignment vertical="top" wrapText="1"/>
    </xf>
    <xf numFmtId="166" fontId="7" fillId="2" borderId="0" xfId="1" applyNumberFormat="1" applyFont="1" applyFill="1" applyAlignment="1"/>
    <xf numFmtId="167" fontId="7" fillId="3" borderId="0" xfId="2" applyNumberFormat="1" applyFont="1" applyFill="1" applyAlignment="1">
      <alignment horizontal="center"/>
    </xf>
    <xf numFmtId="166" fontId="7" fillId="0" borderId="10" xfId="1" applyNumberFormat="1" applyFont="1" applyBorder="1" applyAlignment="1">
      <alignment horizontal="center"/>
    </xf>
    <xf numFmtId="0" fontId="6" fillId="0" borderId="0" xfId="0" applyFont="1"/>
    <xf numFmtId="0" fontId="14" fillId="2" borderId="0" xfId="0" applyFont="1" applyFill="1" applyAlignment="1">
      <alignment horizontal="left"/>
    </xf>
    <xf numFmtId="165" fontId="7" fillId="0" borderId="0" xfId="1" applyNumberFormat="1" applyFont="1" applyAlignment="1">
      <alignment horizontal="center"/>
    </xf>
    <xf numFmtId="0" fontId="6" fillId="0" borderId="8" xfId="0" applyFont="1" applyBorder="1" applyAlignment="1">
      <alignment horizontal="center"/>
    </xf>
    <xf numFmtId="2" fontId="6" fillId="0" borderId="10" xfId="0" applyNumberFormat="1" applyFont="1" applyBorder="1" applyAlignment="1">
      <alignment horizontal="center"/>
    </xf>
    <xf numFmtId="2" fontId="7" fillId="0" borderId="10" xfId="0" applyNumberFormat="1" applyFont="1" applyBorder="1" applyAlignment="1">
      <alignment horizontal="center"/>
    </xf>
    <xf numFmtId="0" fontId="6" fillId="0" borderId="8" xfId="0" applyFont="1" applyBorder="1"/>
    <xf numFmtId="3" fontId="6" fillId="0" borderId="10" xfId="0" applyNumberFormat="1" applyFont="1" applyBorder="1" applyAlignment="1">
      <alignment horizontal="center"/>
    </xf>
    <xf numFmtId="3" fontId="7" fillId="0" borderId="0" xfId="0" applyNumberFormat="1" applyFont="1" applyAlignment="1">
      <alignment horizontal="center"/>
    </xf>
    <xf numFmtId="0" fontId="7" fillId="0" borderId="0" xfId="0" quotePrefix="1" applyFont="1" applyAlignment="1">
      <alignment horizontal="left" indent="2"/>
    </xf>
    <xf numFmtId="171" fontId="7" fillId="0" borderId="0" xfId="0" applyNumberFormat="1" applyFont="1" applyAlignment="1">
      <alignment horizontal="center"/>
    </xf>
    <xf numFmtId="165" fontId="6" fillId="0" borderId="10" xfId="1" applyNumberFormat="1" applyFont="1" applyBorder="1" applyAlignment="1">
      <alignment horizontal="center"/>
    </xf>
    <xf numFmtId="0" fontId="5" fillId="0" borderId="12" xfId="3" applyFont="1" applyBorder="1" applyAlignment="1">
      <alignment horizontal="center" vertical="center"/>
    </xf>
    <xf numFmtId="0" fontId="5" fillId="0" borderId="7" xfId="3" applyFont="1" applyBorder="1" applyAlignment="1">
      <alignment vertical="center" wrapText="1"/>
    </xf>
    <xf numFmtId="0" fontId="14" fillId="0" borderId="7" xfId="3" applyFont="1" applyBorder="1" applyAlignment="1">
      <alignment horizontal="center" vertical="center"/>
    </xf>
    <xf numFmtId="0" fontId="5" fillId="0" borderId="11" xfId="3" applyFont="1" applyBorder="1" applyAlignment="1">
      <alignment horizontal="center" vertical="center"/>
    </xf>
    <xf numFmtId="0" fontId="5" fillId="0" borderId="0" xfId="3" applyFont="1" applyAlignment="1">
      <alignment horizontal="center" vertical="center"/>
    </xf>
    <xf numFmtId="0" fontId="5" fillId="0" borderId="1" xfId="4" applyBorder="1"/>
    <xf numFmtId="0" fontId="5" fillId="0" borderId="0" xfId="4"/>
    <xf numFmtId="0" fontId="5" fillId="0" borderId="2" xfId="4" applyBorder="1"/>
    <xf numFmtId="0" fontId="18" fillId="0" borderId="0" xfId="5" applyBorder="1"/>
    <xf numFmtId="0" fontId="19" fillId="0" borderId="0" xfId="4" applyFont="1"/>
    <xf numFmtId="0" fontId="5" fillId="0" borderId="0" xfId="4" applyAlignment="1">
      <alignment horizontal="left" vertical="top"/>
    </xf>
    <xf numFmtId="0" fontId="20" fillId="0" borderId="0" xfId="4" applyFont="1"/>
    <xf numFmtId="0" fontId="10" fillId="0" borderId="0" xfId="4" applyFont="1" applyAlignment="1">
      <alignment horizontal="left" vertical="top"/>
    </xf>
    <xf numFmtId="0" fontId="5" fillId="0" borderId="13" xfId="3" applyFont="1" applyBorder="1" applyAlignment="1">
      <alignment horizontal="center" vertical="center"/>
    </xf>
    <xf numFmtId="0" fontId="5" fillId="0" borderId="14" xfId="3" applyFont="1" applyBorder="1" applyAlignment="1">
      <alignment horizontal="center" vertical="center"/>
    </xf>
    <xf numFmtId="0" fontId="5" fillId="0" borderId="15" xfId="3" applyFont="1" applyBorder="1" applyAlignment="1">
      <alignment horizontal="center" vertical="center"/>
    </xf>
    <xf numFmtId="0" fontId="21" fillId="0" borderId="0" xfId="0" applyFont="1"/>
    <xf numFmtId="3" fontId="0" fillId="0" borderId="10" xfId="0" applyNumberFormat="1" applyBorder="1" applyAlignment="1">
      <alignment horizontal="center"/>
    </xf>
    <xf numFmtId="0" fontId="0" fillId="0" borderId="8" xfId="0" applyBorder="1"/>
    <xf numFmtId="3" fontId="0" fillId="0" borderId="0" xfId="0" applyNumberFormat="1" applyAlignment="1">
      <alignment horizontal="center"/>
    </xf>
    <xf numFmtId="3" fontId="0" fillId="0" borderId="0" xfId="0" applyNumberFormat="1"/>
    <xf numFmtId="0" fontId="0" fillId="0" borderId="0" xfId="0" applyAlignment="1">
      <alignment horizontal="center"/>
    </xf>
    <xf numFmtId="0" fontId="22" fillId="0" borderId="0" xfId="0" applyFont="1"/>
    <xf numFmtId="0" fontId="0" fillId="0" borderId="4" xfId="0" applyBorder="1" applyAlignment="1">
      <alignment horizontal="center"/>
    </xf>
    <xf numFmtId="0" fontId="4" fillId="2" borderId="10" xfId="0" applyFont="1" applyFill="1" applyBorder="1"/>
    <xf numFmtId="0" fontId="4" fillId="2" borderId="9" xfId="0" applyFont="1" applyFill="1" applyBorder="1"/>
    <xf numFmtId="173" fontId="4" fillId="2" borderId="9" xfId="6" applyNumberFormat="1" applyFont="1" applyFill="1" applyBorder="1"/>
    <xf numFmtId="0" fontId="4" fillId="2" borderId="8" xfId="0" applyFont="1" applyFill="1" applyBorder="1"/>
    <xf numFmtId="0" fontId="0" fillId="2" borderId="2" xfId="0" applyFill="1" applyBorder="1"/>
    <xf numFmtId="0" fontId="0" fillId="2" borderId="0" xfId="0" quotePrefix="1" applyFill="1" applyAlignment="1">
      <alignment horizontal="left" vertical="top" wrapText="1"/>
    </xf>
    <xf numFmtId="0" fontId="0" fillId="2" borderId="0" xfId="0" quotePrefix="1" applyFill="1" applyAlignment="1">
      <alignment horizontal="left" vertical="top"/>
    </xf>
    <xf numFmtId="0" fontId="0" fillId="2" borderId="1" xfId="0" applyFill="1" applyBorder="1"/>
    <xf numFmtId="0" fontId="0" fillId="0" borderId="3" xfId="0" applyBorder="1" applyAlignment="1">
      <alignment horizontal="center"/>
    </xf>
    <xf numFmtId="0" fontId="0" fillId="0" borderId="5" xfId="0" applyBorder="1" applyAlignment="1">
      <alignment horizontal="center"/>
    </xf>
    <xf numFmtId="0" fontId="0" fillId="2" borderId="0" xfId="0" applyFill="1"/>
    <xf numFmtId="6" fontId="0" fillId="2" borderId="0" xfId="0" applyNumberFormat="1" applyFill="1"/>
    <xf numFmtId="0" fontId="0" fillId="2" borderId="0" xfId="0" quotePrefix="1" applyFill="1"/>
    <xf numFmtId="2" fontId="0" fillId="2" borderId="0" xfId="0" applyNumberFormat="1" applyFill="1" applyAlignment="1">
      <alignment horizontal="center"/>
    </xf>
    <xf numFmtId="0" fontId="0" fillId="2" borderId="0" xfId="0" applyFill="1" applyAlignment="1">
      <alignment horizontal="center"/>
    </xf>
    <xf numFmtId="3" fontId="0" fillId="2" borderId="0" xfId="0" applyNumberFormat="1" applyFill="1" applyAlignment="1">
      <alignment horizontal="center"/>
    </xf>
    <xf numFmtId="3" fontId="0" fillId="2" borderId="5" xfId="0" applyNumberFormat="1" applyFill="1" applyBorder="1" applyAlignment="1">
      <alignment horizontal="center"/>
    </xf>
    <xf numFmtId="3" fontId="0" fillId="2" borderId="3" xfId="0" applyNumberFormat="1" applyFill="1" applyBorder="1" applyAlignment="1">
      <alignment horizontal="center"/>
    </xf>
    <xf numFmtId="3" fontId="0" fillId="2" borderId="6" xfId="0" applyNumberFormat="1" applyFill="1" applyBorder="1" applyAlignment="1">
      <alignment horizontal="center"/>
    </xf>
    <xf numFmtId="0" fontId="0" fillId="2" borderId="16" xfId="0" applyFill="1" applyBorder="1" applyAlignment="1">
      <alignment horizontal="center"/>
    </xf>
    <xf numFmtId="2" fontId="0" fillId="0" borderId="10" xfId="0" applyNumberFormat="1" applyBorder="1" applyAlignment="1">
      <alignment horizontal="center"/>
    </xf>
    <xf numFmtId="3" fontId="0" fillId="2" borderId="4" xfId="0" applyNumberFormat="1" applyFill="1" applyBorder="1" applyAlignment="1">
      <alignment horizontal="center"/>
    </xf>
    <xf numFmtId="3" fontId="0" fillId="2" borderId="17" xfId="0" applyNumberFormat="1" applyFill="1" applyBorder="1" applyAlignment="1">
      <alignment horizontal="center"/>
    </xf>
    <xf numFmtId="0" fontId="0" fillId="2" borderId="18" xfId="0" applyFill="1" applyBorder="1" applyAlignment="1">
      <alignment horizontal="center"/>
    </xf>
    <xf numFmtId="164" fontId="0" fillId="0" borderId="0" xfId="0" applyNumberFormat="1"/>
    <xf numFmtId="0" fontId="0" fillId="2" borderId="19" xfId="0" applyFill="1" applyBorder="1" applyAlignment="1">
      <alignment horizontal="center"/>
    </xf>
    <xf numFmtId="0" fontId="0" fillId="2" borderId="5" xfId="0" applyFill="1" applyBorder="1" applyAlignment="1">
      <alignment horizontal="center"/>
    </xf>
    <xf numFmtId="0" fontId="0" fillId="2" borderId="3" xfId="0" applyFill="1" applyBorder="1" applyAlignment="1">
      <alignment horizontal="center"/>
    </xf>
    <xf numFmtId="0" fontId="0" fillId="2" borderId="6"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2" borderId="22" xfId="0" applyFill="1" applyBorder="1" applyAlignment="1">
      <alignment horizontal="center"/>
    </xf>
    <xf numFmtId="6" fontId="0" fillId="0" borderId="0" xfId="0" applyNumberFormat="1"/>
    <xf numFmtId="0" fontId="0" fillId="2" borderId="11" xfId="0" applyFill="1" applyBorder="1"/>
    <xf numFmtId="0" fontId="0" fillId="2" borderId="7" xfId="0" applyFill="1" applyBorder="1"/>
    <xf numFmtId="0" fontId="0" fillId="2" borderId="7" xfId="0" applyFill="1" applyBorder="1" applyAlignment="1">
      <alignment horizontal="center"/>
    </xf>
    <xf numFmtId="0" fontId="23" fillId="2" borderId="7" xfId="0" applyFont="1" applyFill="1" applyBorder="1"/>
    <xf numFmtId="0" fontId="21" fillId="2" borderId="12" xfId="0" applyFont="1" applyFill="1" applyBorder="1"/>
    <xf numFmtId="174" fontId="0" fillId="0" borderId="0" xfId="0" applyNumberFormat="1"/>
    <xf numFmtId="0" fontId="23" fillId="0" borderId="0" xfId="0" applyFont="1"/>
    <xf numFmtId="175" fontId="0" fillId="0" borderId="0" xfId="0" applyNumberFormat="1"/>
    <xf numFmtId="3" fontId="0" fillId="0" borderId="10" xfId="0" applyNumberFormat="1" applyBorder="1"/>
    <xf numFmtId="175" fontId="0" fillId="0" borderId="0" xfId="1" applyNumberFormat="1" applyFont="1"/>
    <xf numFmtId="0" fontId="0" fillId="2" borderId="10" xfId="0" applyFill="1" applyBorder="1"/>
    <xf numFmtId="0" fontId="0" fillId="2" borderId="9" xfId="0" applyFill="1" applyBorder="1"/>
    <xf numFmtId="0" fontId="24" fillId="2" borderId="9" xfId="0" applyFont="1" applyFill="1" applyBorder="1"/>
    <xf numFmtId="0" fontId="0" fillId="2" borderId="8" xfId="0" applyFill="1" applyBorder="1"/>
    <xf numFmtId="0" fontId="0" fillId="2" borderId="0" xfId="0" quotePrefix="1" applyFill="1" applyAlignment="1">
      <alignment horizontal="left"/>
    </xf>
    <xf numFmtId="175" fontId="0" fillId="0" borderId="0" xfId="1" applyNumberFormat="1" applyFont="1" applyAlignment="1">
      <alignment horizontal="center" vertical="center"/>
    </xf>
    <xf numFmtId="0" fontId="0" fillId="2" borderId="0" xfId="0" quotePrefix="1" applyFill="1" applyAlignment="1">
      <alignment horizontal="center"/>
    </xf>
    <xf numFmtId="0" fontId="0" fillId="2" borderId="2" xfId="0" applyFill="1" applyBorder="1" applyAlignment="1">
      <alignment horizontal="left" wrapText="1"/>
    </xf>
    <xf numFmtId="175" fontId="0" fillId="3" borderId="0" xfId="1" applyNumberFormat="1" applyFont="1" applyFill="1" applyAlignment="1">
      <alignment horizontal="center" vertical="center"/>
    </xf>
    <xf numFmtId="0" fontId="0" fillId="0" borderId="0" xfId="0" applyAlignment="1">
      <alignment horizontal="left" wrapText="1"/>
    </xf>
    <xf numFmtId="0" fontId="0" fillId="2" borderId="0" xfId="0" applyFill="1" applyAlignment="1">
      <alignment wrapText="1"/>
    </xf>
    <xf numFmtId="8" fontId="0" fillId="0" borderId="0" xfId="0" applyNumberFormat="1"/>
    <xf numFmtId="6" fontId="0" fillId="2" borderId="0" xfId="0" applyNumberFormat="1" applyFill="1" applyAlignment="1">
      <alignment horizontal="center"/>
    </xf>
    <xf numFmtId="1" fontId="0" fillId="0" borderId="0" xfId="0" applyNumberFormat="1" applyAlignment="1">
      <alignment horizontal="center"/>
    </xf>
    <xf numFmtId="3" fontId="0" fillId="2" borderId="16" xfId="0" applyNumberFormat="1" applyFill="1" applyBorder="1" applyAlignment="1">
      <alignment horizontal="center"/>
    </xf>
    <xf numFmtId="3" fontId="0" fillId="2" borderId="18" xfId="0" applyNumberFormat="1" applyFill="1" applyBorder="1" applyAlignment="1">
      <alignment horizontal="center"/>
    </xf>
    <xf numFmtId="3" fontId="0" fillId="2" borderId="19" xfId="0" applyNumberFormat="1" applyFill="1" applyBorder="1" applyAlignment="1">
      <alignment horizontal="center"/>
    </xf>
    <xf numFmtId="0" fontId="0" fillId="2" borderId="23" xfId="0" applyFill="1" applyBorder="1" applyAlignment="1">
      <alignment horizontal="center"/>
    </xf>
    <xf numFmtId="3" fontId="23" fillId="0" borderId="0" xfId="0" applyNumberFormat="1" applyFont="1"/>
    <xf numFmtId="6" fontId="0" fillId="2" borderId="2" xfId="0" applyNumberFormat="1" applyFill="1" applyBorder="1" applyAlignment="1">
      <alignment horizontal="center"/>
    </xf>
    <xf numFmtId="0" fontId="0" fillId="2" borderId="2" xfId="0" applyFill="1" applyBorder="1" applyAlignment="1">
      <alignment horizontal="center"/>
    </xf>
    <xf numFmtId="9" fontId="0" fillId="2" borderId="2" xfId="0" applyNumberFormat="1" applyFill="1" applyBorder="1" applyAlignment="1">
      <alignment horizontal="center"/>
    </xf>
    <xf numFmtId="9" fontId="0" fillId="2" borderId="0" xfId="0" applyNumberFormat="1" applyFill="1" applyAlignment="1">
      <alignment horizontal="center"/>
    </xf>
    <xf numFmtId="4" fontId="0" fillId="0" borderId="0" xfId="0" applyNumberFormat="1"/>
    <xf numFmtId="9" fontId="0" fillId="0" borderId="0" xfId="0" applyNumberFormat="1"/>
    <xf numFmtId="43" fontId="0" fillId="0" borderId="0" xfId="0" applyNumberFormat="1"/>
    <xf numFmtId="175" fontId="8" fillId="0" borderId="0" xfId="1" applyNumberFormat="1" applyFont="1"/>
    <xf numFmtId="175" fontId="8" fillId="0" borderId="0" xfId="1" applyNumberFormat="1" applyFont="1" applyAlignment="1">
      <alignment horizontal="center"/>
    </xf>
    <xf numFmtId="6" fontId="0" fillId="0" borderId="10" xfId="0" applyNumberFormat="1" applyBorder="1"/>
    <xf numFmtId="0" fontId="25" fillId="0" borderId="0" xfId="0" applyFont="1"/>
    <xf numFmtId="43" fontId="0" fillId="0" borderId="10" xfId="0" applyNumberFormat="1" applyBorder="1" applyAlignment="1">
      <alignment horizontal="center"/>
    </xf>
    <xf numFmtId="0" fontId="0" fillId="0" borderId="8" xfId="0" applyBorder="1" applyAlignment="1">
      <alignment horizontal="center"/>
    </xf>
    <xf numFmtId="43" fontId="0" fillId="0" borderId="0" xfId="0" applyNumberFormat="1" applyAlignment="1">
      <alignment horizontal="center"/>
    </xf>
    <xf numFmtId="0" fontId="0" fillId="0" borderId="0" xfId="0" applyAlignment="1">
      <alignment horizontal="left"/>
    </xf>
    <xf numFmtId="0" fontId="24" fillId="2" borderId="0" xfId="0" applyFont="1" applyFill="1"/>
    <xf numFmtId="0" fontId="0" fillId="2" borderId="0" xfId="0" applyFill="1" applyAlignment="1">
      <alignment horizontal="left"/>
    </xf>
    <xf numFmtId="0" fontId="27" fillId="0" borderId="0" xfId="0" applyFont="1"/>
    <xf numFmtId="0" fontId="0" fillId="2" borderId="15" xfId="0" applyFill="1" applyBorder="1" applyAlignment="1">
      <alignment horizontal="left"/>
    </xf>
    <xf numFmtId="0" fontId="0" fillId="2" borderId="14" xfId="0" applyFill="1" applyBorder="1" applyAlignment="1">
      <alignment horizontal="left"/>
    </xf>
    <xf numFmtId="0" fontId="0" fillId="2" borderId="13" xfId="0" applyFill="1" applyBorder="1" applyAlignment="1">
      <alignment horizontal="left"/>
    </xf>
    <xf numFmtId="0" fontId="0" fillId="2" borderId="2" xfId="0" applyFill="1" applyBorder="1" applyAlignment="1">
      <alignment horizontal="left"/>
    </xf>
    <xf numFmtId="0" fontId="27" fillId="2" borderId="0" xfId="0" applyFont="1" applyFill="1"/>
    <xf numFmtId="0" fontId="0" fillId="2" borderId="1" xfId="0" applyFill="1" applyBorder="1" applyAlignment="1">
      <alignment horizontal="left"/>
    </xf>
    <xf numFmtId="0" fontId="22" fillId="0" borderId="0" xfId="0" applyFont="1" applyAlignment="1">
      <alignment horizontal="left"/>
    </xf>
    <xf numFmtId="0" fontId="27" fillId="2" borderId="0" xfId="0" quotePrefix="1" applyFont="1" applyFill="1"/>
    <xf numFmtId="0" fontId="23" fillId="2" borderId="0" xfId="0" applyFont="1" applyFill="1" applyAlignment="1">
      <alignment horizontal="left"/>
    </xf>
    <xf numFmtId="0" fontId="23" fillId="0" borderId="0" xfId="0" quotePrefix="1" applyFont="1" applyAlignment="1">
      <alignment horizontal="left"/>
    </xf>
    <xf numFmtId="0" fontId="0" fillId="0" borderId="0" xfId="0" quotePrefix="1" applyAlignment="1">
      <alignment horizontal="left"/>
    </xf>
    <xf numFmtId="2" fontId="0" fillId="2" borderId="0" xfId="0" applyNumberFormat="1" applyFill="1" applyAlignment="1">
      <alignment horizontal="left"/>
    </xf>
    <xf numFmtId="6" fontId="0" fillId="2" borderId="0" xfId="0" applyNumberFormat="1" applyFill="1" applyAlignment="1">
      <alignment horizontal="left"/>
    </xf>
    <xf numFmtId="0" fontId="27" fillId="0" borderId="0" xfId="0" quotePrefix="1" applyFont="1"/>
    <xf numFmtId="0" fontId="27" fillId="2" borderId="0" xfId="0" applyFont="1" applyFill="1" applyAlignment="1">
      <alignment horizontal="left"/>
    </xf>
    <xf numFmtId="0" fontId="0" fillId="2" borderId="11" xfId="0" applyFill="1" applyBorder="1" applyAlignment="1">
      <alignment horizontal="left"/>
    </xf>
    <xf numFmtId="0" fontId="0" fillId="2" borderId="7" xfId="0" applyFill="1" applyBorder="1" applyAlignment="1">
      <alignment horizontal="left"/>
    </xf>
    <xf numFmtId="0" fontId="0" fillId="0" borderId="0" xfId="0" applyAlignment="1">
      <alignment vertical="center"/>
    </xf>
    <xf numFmtId="0" fontId="0" fillId="2" borderId="9" xfId="0" quotePrefix="1" applyFill="1" applyBorder="1"/>
    <xf numFmtId="0" fontId="0" fillId="2" borderId="8" xfId="0" applyFill="1" applyBorder="1" applyAlignment="1">
      <alignment horizontal="left"/>
    </xf>
    <xf numFmtId="0" fontId="4" fillId="0" borderId="0" xfId="0" applyFont="1"/>
    <xf numFmtId="3" fontId="4" fillId="0" borderId="10" xfId="0" applyNumberFormat="1" applyFont="1" applyBorder="1" applyAlignment="1">
      <alignment horizontal="center"/>
    </xf>
    <xf numFmtId="0" fontId="4" fillId="0" borderId="8" xfId="0" applyFont="1" applyBorder="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0" fillId="0" borderId="0" xfId="0" applyAlignment="1">
      <alignment horizontal="center" vertical="center"/>
    </xf>
    <xf numFmtId="164" fontId="0" fillId="0" borderId="0" xfId="0" applyNumberFormat="1" applyAlignment="1">
      <alignment horizontal="center"/>
    </xf>
    <xf numFmtId="0" fontId="34" fillId="0" borderId="0" xfId="0" applyFont="1" applyAlignment="1">
      <alignment horizontal="left" vertical="center"/>
    </xf>
    <xf numFmtId="0" fontId="4" fillId="0" borderId="4" xfId="0" applyFont="1" applyBorder="1" applyAlignment="1">
      <alignment horizontal="center"/>
    </xf>
    <xf numFmtId="3" fontId="0" fillId="2" borderId="23" xfId="0" applyNumberFormat="1" applyFill="1" applyBorder="1" applyAlignment="1">
      <alignment horizontal="center"/>
    </xf>
    <xf numFmtId="3" fontId="0" fillId="2" borderId="24" xfId="0" applyNumberFormat="1" applyFill="1" applyBorder="1" applyAlignment="1">
      <alignment horizontal="center"/>
    </xf>
    <xf numFmtId="3" fontId="0" fillId="2" borderId="25" xfId="0" applyNumberFormat="1" applyFill="1" applyBorder="1" applyAlignment="1">
      <alignment horizontal="center"/>
    </xf>
    <xf numFmtId="0" fontId="4" fillId="0" borderId="3" xfId="0" applyFont="1" applyBorder="1" applyAlignment="1">
      <alignment horizontal="center"/>
    </xf>
    <xf numFmtId="0" fontId="4" fillId="0" borderId="5" xfId="0" applyFont="1" applyBorder="1" applyAlignment="1">
      <alignment horizontal="center"/>
    </xf>
    <xf numFmtId="0" fontId="0" fillId="2" borderId="25" xfId="0" applyFill="1" applyBorder="1" applyAlignment="1">
      <alignment horizontal="center"/>
    </xf>
    <xf numFmtId="0" fontId="35" fillId="0" borderId="0" xfId="0" applyFont="1" applyAlignment="1">
      <alignment horizontal="justify" vertical="center"/>
    </xf>
    <xf numFmtId="2" fontId="23" fillId="2" borderId="0" xfId="0" applyNumberFormat="1" applyFont="1" applyFill="1" applyAlignment="1">
      <alignment horizontal="center"/>
    </xf>
    <xf numFmtId="0" fontId="23" fillId="2" borderId="0" xfId="0" applyFont="1" applyFill="1"/>
    <xf numFmtId="0" fontId="0" fillId="2" borderId="12" xfId="0" applyFill="1" applyBorder="1" applyAlignment="1">
      <alignment horizontal="left"/>
    </xf>
    <xf numFmtId="0" fontId="0" fillId="0" borderId="0" xfId="0" applyAlignment="1">
      <alignment horizontal="left" vertical="center" wrapText="1"/>
    </xf>
    <xf numFmtId="0" fontId="21" fillId="0" borderId="0" xfId="0" applyFont="1" applyAlignment="1">
      <alignment vertical="center"/>
    </xf>
    <xf numFmtId="167" fontId="0" fillId="0" borderId="0" xfId="2" applyNumberFormat="1" applyFont="1" applyAlignment="1">
      <alignment horizontal="center" vertical="center"/>
    </xf>
    <xf numFmtId="164" fontId="0" fillId="0" borderId="0" xfId="0" applyNumberFormat="1" applyAlignment="1">
      <alignment horizontal="center" vertical="center"/>
    </xf>
    <xf numFmtId="164" fontId="4" fillId="0" borderId="10" xfId="0" applyNumberFormat="1" applyFont="1" applyBorder="1" applyAlignment="1">
      <alignment horizontal="center"/>
    </xf>
    <xf numFmtId="0" fontId="0" fillId="0" borderId="8" xfId="0" applyBorder="1" applyAlignment="1">
      <alignment horizontal="center" vertical="center"/>
    </xf>
    <xf numFmtId="0" fontId="0" fillId="2" borderId="4" xfId="0" applyFill="1" applyBorder="1" applyAlignment="1">
      <alignment horizontal="center"/>
    </xf>
    <xf numFmtId="0" fontId="0" fillId="2" borderId="24" xfId="0" applyFill="1" applyBorder="1" applyAlignment="1">
      <alignment horizontal="center"/>
    </xf>
    <xf numFmtId="0" fontId="0" fillId="2" borderId="15" xfId="0" applyFill="1" applyBorder="1"/>
    <xf numFmtId="0" fontId="0" fillId="2" borderId="14" xfId="0" applyFill="1" applyBorder="1"/>
    <xf numFmtId="0" fontId="0" fillId="2" borderId="14" xfId="0" quotePrefix="1" applyFill="1" applyBorder="1"/>
    <xf numFmtId="176" fontId="0" fillId="0" borderId="10" xfId="0" applyNumberFormat="1" applyBorder="1" applyAlignment="1">
      <alignment horizontal="center" vertical="center"/>
    </xf>
    <xf numFmtId="0" fontId="0" fillId="0" borderId="0" xfId="0" quotePrefix="1"/>
    <xf numFmtId="2" fontId="0" fillId="0" borderId="0" xfId="0" applyNumberFormat="1" applyAlignment="1">
      <alignment horizontal="center" vertical="center"/>
    </xf>
    <xf numFmtId="0" fontId="37" fillId="0" borderId="0" xfId="0" applyFont="1" applyAlignment="1">
      <alignment horizontal="center"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43" fontId="0" fillId="0" borderId="10" xfId="0" applyNumberFormat="1" applyBorder="1"/>
    <xf numFmtId="9" fontId="0" fillId="2" borderId="0" xfId="0" applyNumberFormat="1" applyFill="1" applyAlignment="1">
      <alignment horizontal="left"/>
    </xf>
    <xf numFmtId="2" fontId="0" fillId="0" borderId="0" xfId="0" applyNumberFormat="1"/>
    <xf numFmtId="43" fontId="0" fillId="0" borderId="0" xfId="1" applyFont="1"/>
    <xf numFmtId="166" fontId="0" fillId="0" borderId="0" xfId="1" applyNumberFormat="1" applyFont="1"/>
    <xf numFmtId="2" fontId="0" fillId="0" borderId="0" xfId="0" applyNumberFormat="1" applyAlignment="1">
      <alignment horizontal="center"/>
    </xf>
    <xf numFmtId="0" fontId="0" fillId="2" borderId="17" xfId="0" applyFill="1" applyBorder="1" applyAlignment="1">
      <alignment horizontal="center"/>
    </xf>
    <xf numFmtId="0" fontId="0" fillId="2" borderId="23" xfId="0" applyFill="1" applyBorder="1"/>
    <xf numFmtId="0" fontId="0" fillId="2" borderId="25" xfId="0" applyFill="1" applyBorder="1"/>
    <xf numFmtId="0" fontId="40" fillId="0" borderId="0" xfId="0" applyFont="1"/>
    <xf numFmtId="167" fontId="0" fillId="0" borderId="10" xfId="7" applyNumberFormat="1" applyFont="1" applyBorder="1" applyAlignment="1">
      <alignment horizontal="center"/>
    </xf>
    <xf numFmtId="167" fontId="0" fillId="0" borderId="0" xfId="7" applyNumberFormat="1" applyFont="1" applyAlignment="1">
      <alignment horizontal="center"/>
    </xf>
    <xf numFmtId="175" fontId="0" fillId="0" borderId="0" xfId="1" applyNumberFormat="1" applyFont="1" applyAlignment="1">
      <alignment horizontal="center"/>
    </xf>
    <xf numFmtId="0" fontId="4" fillId="0" borderId="4" xfId="0" applyFont="1" applyBorder="1" applyAlignment="1">
      <alignment horizontal="right"/>
    </xf>
    <xf numFmtId="0" fontId="41" fillId="0" borderId="5" xfId="0" applyFont="1" applyBorder="1"/>
    <xf numFmtId="167" fontId="0" fillId="2" borderId="5" xfId="0" applyNumberFormat="1" applyFill="1" applyBorder="1" applyAlignment="1">
      <alignment horizontal="center"/>
    </xf>
    <xf numFmtId="167" fontId="0" fillId="2" borderId="3" xfId="0" applyNumberFormat="1" applyFill="1" applyBorder="1" applyAlignment="1">
      <alignment horizontal="center"/>
    </xf>
    <xf numFmtId="167" fontId="0" fillId="2" borderId="4" xfId="0" applyNumberFormat="1" applyFill="1" applyBorder="1" applyAlignment="1">
      <alignment horizontal="center"/>
    </xf>
    <xf numFmtId="167" fontId="0" fillId="2" borderId="0" xfId="0" applyNumberFormat="1" applyFill="1" applyAlignment="1">
      <alignment horizontal="center"/>
    </xf>
    <xf numFmtId="167" fontId="0" fillId="0" borderId="0" xfId="0" applyNumberFormat="1" applyAlignment="1">
      <alignment horizontal="center"/>
    </xf>
    <xf numFmtId="167" fontId="29" fillId="3" borderId="0" xfId="0" applyNumberFormat="1" applyFont="1" applyFill="1" applyAlignment="1">
      <alignment horizontal="center"/>
    </xf>
    <xf numFmtId="43" fontId="23" fillId="0" borderId="0" xfId="0" applyNumberFormat="1" applyFont="1"/>
    <xf numFmtId="179" fontId="0" fillId="2" borderId="0" xfId="0" applyNumberFormat="1" applyFill="1"/>
    <xf numFmtId="167" fontId="0" fillId="0" borderId="0" xfId="7" applyNumberFormat="1" applyFont="1"/>
    <xf numFmtId="0" fontId="0" fillId="0" borderId="0" xfId="0" applyAlignment="1">
      <alignment horizontal="right"/>
    </xf>
    <xf numFmtId="172" fontId="0" fillId="0" borderId="0" xfId="0" applyNumberFormat="1"/>
    <xf numFmtId="0" fontId="2" fillId="2" borderId="0" xfId="0" applyFont="1" applyFill="1"/>
    <xf numFmtId="37" fontId="0" fillId="0" borderId="0" xfId="0" applyNumberFormat="1"/>
    <xf numFmtId="0" fontId="42" fillId="0" borderId="0" xfId="0" applyFont="1"/>
    <xf numFmtId="0" fontId="1" fillId="2" borderId="0" xfId="0" applyFont="1" applyFill="1"/>
    <xf numFmtId="0" fontId="1" fillId="2" borderId="0" xfId="0" quotePrefix="1" applyFont="1" applyFill="1"/>
    <xf numFmtId="180" fontId="1" fillId="2" borderId="0" xfId="0" applyNumberFormat="1" applyFont="1" applyFill="1" applyAlignment="1">
      <alignment horizontal="center"/>
    </xf>
    <xf numFmtId="165" fontId="14" fillId="0" borderId="0" xfId="1" applyNumberFormat="1" applyFont="1" applyAlignment="1"/>
    <xf numFmtId="9" fontId="7" fillId="0" borderId="0" xfId="0" applyNumberFormat="1" applyFont="1" applyAlignment="1">
      <alignment horizontal="center"/>
    </xf>
    <xf numFmtId="0" fontId="1" fillId="0" borderId="0" xfId="0" applyFont="1" applyAlignment="1">
      <alignment horizontal="left" wrapText="1"/>
    </xf>
    <xf numFmtId="0" fontId="5" fillId="0" borderId="0" xfId="4" applyAlignment="1">
      <alignment horizontal="left" vertical="top" wrapText="1"/>
    </xf>
    <xf numFmtId="0" fontId="5" fillId="0" borderId="0" xfId="4" applyAlignment="1">
      <alignment horizontal="left" vertical="top"/>
    </xf>
    <xf numFmtId="0" fontId="3" fillId="0" borderId="0" xfId="4" applyFont="1" applyAlignment="1">
      <alignment horizontal="left" vertical="top" wrapText="1"/>
    </xf>
    <xf numFmtId="0" fontId="7" fillId="0" borderId="0" xfId="0" applyFont="1" applyAlignment="1">
      <alignment horizontal="left" vertical="top" wrapText="1"/>
    </xf>
    <xf numFmtId="0" fontId="13" fillId="2" borderId="0" xfId="0" applyFont="1" applyFill="1" applyAlignment="1">
      <alignment horizontal="center"/>
    </xf>
    <xf numFmtId="0" fontId="14" fillId="2" borderId="8" xfId="0" applyFont="1" applyFill="1" applyBorder="1" applyAlignment="1">
      <alignment horizontal="left"/>
    </xf>
    <xf numFmtId="0" fontId="14" fillId="2" borderId="9" xfId="0" applyFont="1" applyFill="1" applyBorder="1" applyAlignment="1">
      <alignment horizontal="left"/>
    </xf>
    <xf numFmtId="0" fontId="14" fillId="2" borderId="10" xfId="0" applyFont="1" applyFill="1" applyBorder="1" applyAlignment="1">
      <alignment horizontal="left"/>
    </xf>
    <xf numFmtId="0" fontId="7" fillId="0" borderId="0" xfId="0" applyFont="1" applyAlignment="1">
      <alignment horizontal="center" wrapText="1"/>
    </xf>
    <xf numFmtId="0" fontId="7" fillId="0" borderId="3" xfId="0" applyFont="1" applyBorder="1" applyAlignment="1">
      <alignment horizontal="center" wrapText="1"/>
    </xf>
    <xf numFmtId="0" fontId="7" fillId="2" borderId="0" xfId="0" applyFont="1" applyFill="1" applyAlignment="1">
      <alignment horizontal="center" wrapText="1"/>
    </xf>
    <xf numFmtId="0" fontId="7" fillId="2" borderId="3" xfId="0" applyFont="1" applyFill="1" applyBorder="1" applyAlignment="1">
      <alignment horizontal="center" wrapText="1"/>
    </xf>
    <xf numFmtId="0" fontId="7" fillId="2" borderId="4" xfId="0" applyFont="1" applyFill="1" applyBorder="1" applyAlignment="1">
      <alignment horizontal="center" wrapText="1"/>
    </xf>
    <xf numFmtId="0" fontId="7" fillId="2" borderId="5" xfId="0" applyFont="1" applyFill="1" applyBorder="1" applyAlignment="1">
      <alignment horizontal="center" wrapText="1"/>
    </xf>
    <xf numFmtId="0" fontId="6" fillId="0" borderId="0" xfId="0" applyFont="1" applyAlignment="1">
      <alignment horizontal="left" vertical="top" wrapText="1"/>
    </xf>
    <xf numFmtId="0" fontId="7" fillId="0" borderId="0" xfId="0" applyFont="1" applyAlignment="1">
      <alignment horizontal="left" wrapText="1"/>
    </xf>
    <xf numFmtId="0" fontId="6" fillId="0" borderId="0" xfId="0" applyFont="1" applyAlignment="1">
      <alignment horizontal="left" wrapText="1"/>
    </xf>
    <xf numFmtId="0" fontId="7" fillId="0" borderId="0" xfId="0" applyFont="1" applyAlignment="1">
      <alignment horizontal="left" vertical="center" wrapText="1"/>
    </xf>
    <xf numFmtId="0" fontId="1" fillId="0" borderId="0" xfId="0" applyFont="1" applyAlignment="1">
      <alignment horizontal="left" wrapText="1"/>
    </xf>
    <xf numFmtId="0" fontId="0" fillId="2" borderId="22" xfId="0" applyFill="1" applyBorder="1" applyAlignment="1">
      <alignment horizontal="center"/>
    </xf>
    <xf numFmtId="0" fontId="0" fillId="2" borderId="21" xfId="0" applyFill="1" applyBorder="1" applyAlignment="1">
      <alignment horizontal="center"/>
    </xf>
    <xf numFmtId="0" fontId="0" fillId="2" borderId="20" xfId="0" applyFill="1" applyBorder="1" applyAlignment="1">
      <alignment horizontal="center"/>
    </xf>
    <xf numFmtId="0" fontId="0" fillId="2" borderId="19" xfId="0" applyFill="1" applyBorder="1" applyAlignment="1">
      <alignment horizontal="center"/>
    </xf>
    <xf numFmtId="0" fontId="0" fillId="2" borderId="16" xfId="0" applyFill="1" applyBorder="1" applyAlignment="1">
      <alignment horizontal="center"/>
    </xf>
    <xf numFmtId="0" fontId="0" fillId="2" borderId="0" xfId="0" quotePrefix="1" applyFill="1" applyAlignment="1">
      <alignment horizontal="left" wrapText="1"/>
    </xf>
    <xf numFmtId="0" fontId="0" fillId="2" borderId="0" xfId="0" quotePrefix="1" applyFill="1" applyAlignment="1">
      <alignment horizontal="left" vertical="top" wrapText="1"/>
    </xf>
    <xf numFmtId="0" fontId="0" fillId="0" borderId="0" xfId="0" applyAlignment="1">
      <alignment horizontal="left" vertical="top" wrapText="1"/>
    </xf>
    <xf numFmtId="0" fontId="0" fillId="2" borderId="0" xfId="0" applyFill="1" applyAlignment="1">
      <alignment horizontal="left" vertical="top" wrapText="1"/>
    </xf>
    <xf numFmtId="0" fontId="0" fillId="0" borderId="0" xfId="0" applyAlignment="1">
      <alignment horizontal="left" wrapText="1"/>
    </xf>
    <xf numFmtId="0" fontId="32" fillId="0" borderId="0" xfId="0" applyFont="1" applyAlignment="1">
      <alignment horizontal="left" vertical="center" wrapText="1"/>
    </xf>
    <xf numFmtId="0" fontId="29" fillId="0" borderId="0" xfId="0" applyFont="1" applyAlignment="1">
      <alignment horizontal="left" vertical="top" wrapText="1"/>
    </xf>
    <xf numFmtId="0" fontId="0" fillId="0" borderId="0" xfId="0" applyAlignment="1">
      <alignment horizontal="left" vertical="center" wrapText="1"/>
    </xf>
    <xf numFmtId="0" fontId="0" fillId="0" borderId="0" xfId="0" applyAlignment="1">
      <alignment horizontal="left" vertical="center"/>
    </xf>
    <xf numFmtId="0" fontId="0" fillId="2" borderId="26" xfId="0" applyFill="1" applyBorder="1" applyAlignment="1">
      <alignment horizontal="center"/>
    </xf>
    <xf numFmtId="0" fontId="27" fillId="2" borderId="0" xfId="0" applyFont="1" applyFill="1" applyAlignment="1">
      <alignment horizontal="left" vertical="top" wrapText="1"/>
    </xf>
    <xf numFmtId="0" fontId="27" fillId="2" borderId="0" xfId="0" applyFont="1" applyFill="1" applyAlignment="1">
      <alignment horizontal="left" wrapText="1"/>
    </xf>
    <xf numFmtId="0" fontId="0" fillId="2" borderId="0" xfId="0" applyFill="1" applyAlignment="1">
      <alignment horizontal="left" wrapText="1"/>
    </xf>
    <xf numFmtId="0" fontId="27" fillId="0" borderId="0" xfId="0" applyFont="1" applyAlignment="1">
      <alignment horizontal="left" wrapText="1"/>
    </xf>
    <xf numFmtId="0" fontId="27" fillId="0" borderId="0" xfId="0" quotePrefix="1" applyFont="1" applyAlignment="1">
      <alignment horizontal="left" wrapText="1"/>
    </xf>
    <xf numFmtId="0" fontId="0" fillId="0" borderId="0" xfId="0" quotePrefix="1" applyAlignment="1">
      <alignment horizontal="left" wrapText="1"/>
    </xf>
    <xf numFmtId="0" fontId="1" fillId="0" borderId="0" xfId="0" applyFont="1" applyAlignment="1">
      <alignment horizontal="left"/>
    </xf>
  </cellXfs>
  <cellStyles count="8">
    <cellStyle name="Comma" xfId="1" builtinId="3"/>
    <cellStyle name="Currency" xfId="6" builtinId="4"/>
    <cellStyle name="Hyperlink 2" xfId="5" xr:uid="{710A8CBE-1F17-E148-A820-EFFB1DE830C9}"/>
    <cellStyle name="Normal" xfId="0" builtinId="0"/>
    <cellStyle name="Normal 2 2" xfId="3" xr:uid="{1C85E34A-DEAF-1D44-A2A5-D02742474C93}"/>
    <cellStyle name="Normal 4" xfId="4" xr:uid="{65895787-5081-6A43-904B-32F3B665FE72}"/>
    <cellStyle name="Percent" xfId="2" builtinId="5"/>
    <cellStyle name="Percent 2" xfId="7" xr:uid="{B2A84C32-5BC1-C04F-B186-736302FC9A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5808462E-506D-1E4D-9575-596BFB93F491}"/>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317500</xdr:colOff>
      <xdr:row>29</xdr:row>
      <xdr:rowOff>177800</xdr:rowOff>
    </xdr:from>
    <xdr:to>
      <xdr:col>16</xdr:col>
      <xdr:colOff>596900</xdr:colOff>
      <xdr:row>41</xdr:row>
      <xdr:rowOff>190500</xdr:rowOff>
    </xdr:to>
    <xdr:grpSp>
      <xdr:nvGrpSpPr>
        <xdr:cNvPr id="6" name="Group 5">
          <a:extLst>
            <a:ext uri="{FF2B5EF4-FFF2-40B4-BE49-F238E27FC236}">
              <a16:creationId xmlns:a16="http://schemas.microsoft.com/office/drawing/2014/main" id="{4ED5168E-9201-616B-6422-D57649CF3DDA}"/>
            </a:ext>
          </a:extLst>
        </xdr:cNvPr>
        <xdr:cNvGrpSpPr/>
      </xdr:nvGrpSpPr>
      <xdr:grpSpPr>
        <a:xfrm>
          <a:off x="8724900" y="6172200"/>
          <a:ext cx="0" cy="2451100"/>
          <a:chOff x="9042400" y="6172200"/>
          <a:chExt cx="4495800" cy="2451100"/>
        </a:xfrm>
      </xdr:grpSpPr>
      <xdr:pic>
        <xdr:nvPicPr>
          <xdr:cNvPr id="2" name="Picture 1">
            <a:extLst>
              <a:ext uri="{FF2B5EF4-FFF2-40B4-BE49-F238E27FC236}">
                <a16:creationId xmlns:a16="http://schemas.microsoft.com/office/drawing/2014/main" id="{55DFFDFA-524B-9949-A058-2AD0CABA5EB0}"/>
              </a:ext>
            </a:extLst>
          </xdr:cNvPr>
          <xdr:cNvPicPr>
            <a:picLocks noChangeAspect="1"/>
          </xdr:cNvPicPr>
        </xdr:nvPicPr>
        <xdr:blipFill>
          <a:blip xmlns:r="http://schemas.openxmlformats.org/officeDocument/2006/relationships" r:embed="rId1"/>
          <a:stretch>
            <a:fillRect/>
          </a:stretch>
        </xdr:blipFill>
        <xdr:spPr>
          <a:xfrm>
            <a:off x="9042400" y="6172200"/>
            <a:ext cx="4495800" cy="2451100"/>
          </a:xfrm>
          <a:prstGeom prst="rect">
            <a:avLst/>
          </a:prstGeom>
        </xdr:spPr>
      </xdr:pic>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67E5473-58FF-FABF-098A-FB4FE198E31B}"/>
                  </a:ext>
                </a:extLst>
              </xdr:cNvPr>
              <xdr:cNvSpPr txBox="1"/>
            </xdr:nvSpPr>
            <xdr:spPr>
              <a:xfrm>
                <a:off x="12255500" y="6629400"/>
                <a:ext cx="1219200" cy="660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kern="1200"/>
                  <a:t>Link Ratio:</a:t>
                </a:r>
              </a:p>
              <a:p>
                <a:pPr/>
                <a14:m>
                  <m:oMathPara xmlns:m="http://schemas.openxmlformats.org/officeDocument/2006/math">
                    <m:oMathParaPr>
                      <m:jc m:val="centerGroup"/>
                    </m:oMathParaPr>
                    <m:oMath xmlns:m="http://schemas.openxmlformats.org/officeDocument/2006/math">
                      <m:acc>
                        <m:accPr>
                          <m:chr m:val="̂"/>
                          <m:ctrlPr>
                            <a:rPr lang="en-US" sz="1400" b="0" i="1" kern="1200">
                              <a:latin typeface="Cambria Math" panose="02040503050406030204" pitchFamily="18" charset="0"/>
                            </a:rPr>
                          </m:ctrlPr>
                        </m:accPr>
                        <m:e>
                          <m:r>
                            <a:rPr lang="en-US" sz="1400" b="0" i="1" kern="1200">
                              <a:latin typeface="Cambria Math" panose="02040503050406030204" pitchFamily="18" charset="0"/>
                            </a:rPr>
                            <m:t>𝑦</m:t>
                          </m:r>
                        </m:e>
                      </m:acc>
                      <m:r>
                        <a:rPr lang="en-US" sz="1400" b="0" i="1" kern="1200">
                          <a:latin typeface="Cambria Math" panose="02040503050406030204" pitchFamily="18" charset="0"/>
                        </a:rPr>
                        <m:t>=</m:t>
                      </m:r>
                      <m:r>
                        <a:rPr lang="en-US" sz="1400" b="0" i="1" kern="1200">
                          <a:latin typeface="Cambria Math" panose="02040503050406030204" pitchFamily="18" charset="0"/>
                        </a:rPr>
                        <m:t>𝐿𝐷𝐹</m:t>
                      </m:r>
                      <m:r>
                        <a:rPr lang="en-US" sz="1400" b="0" i="1" kern="1200">
                          <a:latin typeface="Cambria Math" panose="02040503050406030204" pitchFamily="18" charset="0"/>
                          <a:ea typeface="Cambria Math" panose="02040503050406030204" pitchFamily="18" charset="0"/>
                        </a:rPr>
                        <m:t>×</m:t>
                      </m:r>
                      <m:r>
                        <a:rPr lang="en-US" sz="1400" b="0" i="1" kern="1200">
                          <a:latin typeface="Cambria Math" panose="02040503050406030204" pitchFamily="18" charset="0"/>
                        </a:rPr>
                        <m:t>𝑥</m:t>
                      </m:r>
                    </m:oMath>
                  </m:oMathPara>
                </a14:m>
                <a:endParaRPr lang="en-US" sz="1400" kern="1200"/>
              </a:p>
            </xdr:txBody>
          </xdr:sp>
        </mc:Choice>
        <mc:Fallback xmlns="">
          <xdr:sp macro="" textlink="">
            <xdr:nvSpPr>
              <xdr:cNvPr id="3" name="TextBox 2">
                <a:extLst>
                  <a:ext uri="{FF2B5EF4-FFF2-40B4-BE49-F238E27FC236}">
                    <a16:creationId xmlns:a16="http://schemas.microsoft.com/office/drawing/2014/main" id="{A67E5473-58FF-FABF-098A-FB4FE198E31B}"/>
                  </a:ext>
                </a:extLst>
              </xdr:cNvPr>
              <xdr:cNvSpPr txBox="1"/>
            </xdr:nvSpPr>
            <xdr:spPr>
              <a:xfrm>
                <a:off x="12255500" y="6629400"/>
                <a:ext cx="1219200" cy="660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kern="1200"/>
                  <a:t>Link Ratio:</a:t>
                </a:r>
              </a:p>
              <a:p>
                <a:r>
                  <a:rPr lang="en-US" sz="1400" b="0" i="0" kern="1200">
                    <a:latin typeface="Cambria Math" panose="02040503050406030204" pitchFamily="18" charset="0"/>
                  </a:rPr>
                  <a:t>𝑦 ̂=𝐿𝐷𝐹</a:t>
                </a:r>
                <a:r>
                  <a:rPr lang="en-US" sz="1400" b="0" i="0" kern="1200">
                    <a:latin typeface="Cambria Math" panose="02040503050406030204" pitchFamily="18" charset="0"/>
                    <a:ea typeface="Cambria Math" panose="02040503050406030204" pitchFamily="18" charset="0"/>
                  </a:rPr>
                  <a:t>×</a:t>
                </a:r>
                <a:r>
                  <a:rPr lang="en-US" sz="1400" b="0" i="0" kern="1200">
                    <a:latin typeface="Cambria Math" panose="02040503050406030204" pitchFamily="18" charset="0"/>
                  </a:rPr>
                  <a:t>𝑥</a:t>
                </a:r>
                <a:endParaRPr lang="en-US" sz="1400" kern="1200"/>
              </a:p>
            </xdr:txBody>
          </xdr:sp>
        </mc:Fallback>
      </mc:AlternateContent>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BED9A44-5530-644E-A461-60D07AF560A9}"/>
                  </a:ext>
                </a:extLst>
              </xdr:cNvPr>
              <xdr:cNvSpPr txBox="1"/>
            </xdr:nvSpPr>
            <xdr:spPr>
              <a:xfrm>
                <a:off x="10591800" y="6197600"/>
                <a:ext cx="11557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500" kern="1200"/>
                  <a:t>Least Squares:</a:t>
                </a:r>
              </a:p>
              <a:p>
                <a:pPr/>
                <a14:m>
                  <m:oMathPara xmlns:m="http://schemas.openxmlformats.org/officeDocument/2006/math">
                    <m:oMathParaPr>
                      <m:jc m:val="centerGroup"/>
                    </m:oMathParaPr>
                    <m:oMath xmlns:m="http://schemas.openxmlformats.org/officeDocument/2006/math">
                      <m:acc>
                        <m:accPr>
                          <m:chr m:val="̂"/>
                          <m:ctrlPr>
                            <a:rPr lang="en-US" sz="1400" b="0" i="1" kern="1200">
                              <a:latin typeface="Cambria Math" panose="02040503050406030204" pitchFamily="18" charset="0"/>
                            </a:rPr>
                          </m:ctrlPr>
                        </m:accPr>
                        <m:e>
                          <m:r>
                            <a:rPr lang="en-US" sz="1400" b="0" i="1" kern="1200">
                              <a:latin typeface="Cambria Math" panose="02040503050406030204" pitchFamily="18" charset="0"/>
                            </a:rPr>
                            <m:t>𝑦</m:t>
                          </m:r>
                        </m:e>
                      </m:acc>
                      <m:r>
                        <a:rPr lang="en-US" sz="1400" b="0" i="1" kern="1200">
                          <a:latin typeface="Cambria Math" panose="02040503050406030204" pitchFamily="18" charset="0"/>
                        </a:rPr>
                        <m:t>=</m:t>
                      </m:r>
                      <m:r>
                        <a:rPr lang="en-US" sz="1400" b="0" i="1" kern="1200">
                          <a:latin typeface="Cambria Math" panose="02040503050406030204" pitchFamily="18" charset="0"/>
                        </a:rPr>
                        <m:t>𝑎</m:t>
                      </m:r>
                      <m:r>
                        <a:rPr lang="en-US" sz="1400" b="0" i="1" kern="1200">
                          <a:latin typeface="Cambria Math" panose="02040503050406030204" pitchFamily="18" charset="0"/>
                        </a:rPr>
                        <m:t>+</m:t>
                      </m:r>
                      <m:r>
                        <a:rPr lang="en-US" sz="1400" b="0" i="1" kern="1200">
                          <a:latin typeface="Cambria Math" panose="02040503050406030204" pitchFamily="18" charset="0"/>
                        </a:rPr>
                        <m:t>𝑏𝑥</m:t>
                      </m:r>
                    </m:oMath>
                  </m:oMathPara>
                </a14:m>
                <a:endParaRPr lang="en-US" sz="1400" kern="1200"/>
              </a:p>
            </xdr:txBody>
          </xdr:sp>
        </mc:Choice>
        <mc:Fallback xmlns="">
          <xdr:sp macro="" textlink="">
            <xdr:nvSpPr>
              <xdr:cNvPr id="4" name="TextBox 3">
                <a:extLst>
                  <a:ext uri="{FF2B5EF4-FFF2-40B4-BE49-F238E27FC236}">
                    <a16:creationId xmlns:a16="http://schemas.microsoft.com/office/drawing/2014/main" id="{CBED9A44-5530-644E-A461-60D07AF560A9}"/>
                  </a:ext>
                </a:extLst>
              </xdr:cNvPr>
              <xdr:cNvSpPr txBox="1"/>
            </xdr:nvSpPr>
            <xdr:spPr>
              <a:xfrm>
                <a:off x="10591800" y="6197600"/>
                <a:ext cx="11557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500" kern="1200"/>
                  <a:t>Least Squares:</a:t>
                </a:r>
              </a:p>
              <a:p>
                <a:r>
                  <a:rPr lang="en-US" sz="1400" b="0" i="0" kern="1200">
                    <a:latin typeface="Cambria Math" panose="02040503050406030204" pitchFamily="18" charset="0"/>
                  </a:rPr>
                  <a:t>𝑦 ̂=𝑎+𝑏𝑥</a:t>
                </a:r>
                <a:endParaRPr lang="en-US" sz="1400" kern="1200"/>
              </a:p>
            </xdr:txBody>
          </xdr:sp>
        </mc:Fallback>
      </mc:AlternateContent>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B61B499-C693-E146-BB3F-F978A96F8F5C}"/>
                  </a:ext>
                </a:extLst>
              </xdr:cNvPr>
              <xdr:cNvSpPr txBox="1"/>
            </xdr:nvSpPr>
            <xdr:spPr>
              <a:xfrm>
                <a:off x="12103100" y="7251700"/>
                <a:ext cx="13589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kern="1200"/>
                  <a:t>Budgeted Loss:</a:t>
                </a:r>
              </a:p>
              <a:p>
                <a:pPr/>
                <a14:m>
                  <m:oMathPara xmlns:m="http://schemas.openxmlformats.org/officeDocument/2006/math">
                    <m:oMathParaPr>
                      <m:jc m:val="centerGroup"/>
                    </m:oMathParaPr>
                    <m:oMath xmlns:m="http://schemas.openxmlformats.org/officeDocument/2006/math">
                      <m:acc>
                        <m:accPr>
                          <m:chr m:val="̂"/>
                          <m:ctrlPr>
                            <a:rPr lang="en-US" sz="1400" b="0" i="1" kern="1200">
                              <a:latin typeface="Cambria Math" panose="02040503050406030204" pitchFamily="18" charset="0"/>
                            </a:rPr>
                          </m:ctrlPr>
                        </m:accPr>
                        <m:e>
                          <m:r>
                            <a:rPr lang="en-US" sz="1400" b="0" i="1" kern="1200">
                              <a:latin typeface="Cambria Math" panose="02040503050406030204" pitchFamily="18" charset="0"/>
                            </a:rPr>
                            <m:t>𝑦</m:t>
                          </m:r>
                        </m:e>
                      </m:acc>
                      <m:r>
                        <a:rPr lang="en-US" sz="1400" b="0" i="1" kern="1200">
                          <a:latin typeface="Cambria Math" panose="02040503050406030204" pitchFamily="18" charset="0"/>
                        </a:rPr>
                        <m:t>=</m:t>
                      </m:r>
                      <m:acc>
                        <m:accPr>
                          <m:chr m:val="̅"/>
                          <m:ctrlPr>
                            <a:rPr lang="en-US" sz="1400" b="0" i="1" kern="1200">
                              <a:latin typeface="Cambria Math" panose="02040503050406030204" pitchFamily="18" charset="0"/>
                            </a:rPr>
                          </m:ctrlPr>
                        </m:accPr>
                        <m:e>
                          <m:r>
                            <a:rPr lang="en-US" sz="1400" b="0" i="1" kern="1200">
                              <a:latin typeface="Cambria Math" panose="02040503050406030204" pitchFamily="18" charset="0"/>
                            </a:rPr>
                            <m:t>𝑦</m:t>
                          </m:r>
                        </m:e>
                      </m:acc>
                    </m:oMath>
                  </m:oMathPara>
                </a14:m>
                <a:endParaRPr lang="en-US" sz="1400" kern="1200"/>
              </a:p>
            </xdr:txBody>
          </xdr:sp>
        </mc:Choice>
        <mc:Fallback xmlns="">
          <xdr:sp macro="" textlink="">
            <xdr:nvSpPr>
              <xdr:cNvPr id="5" name="TextBox 4">
                <a:extLst>
                  <a:ext uri="{FF2B5EF4-FFF2-40B4-BE49-F238E27FC236}">
                    <a16:creationId xmlns:a16="http://schemas.microsoft.com/office/drawing/2014/main" id="{8B61B499-C693-E146-BB3F-F978A96F8F5C}"/>
                  </a:ext>
                </a:extLst>
              </xdr:cNvPr>
              <xdr:cNvSpPr txBox="1"/>
            </xdr:nvSpPr>
            <xdr:spPr>
              <a:xfrm>
                <a:off x="12103100" y="7251700"/>
                <a:ext cx="13589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kern="1200"/>
                  <a:t>Budgeted Loss:</a:t>
                </a:r>
              </a:p>
              <a:p>
                <a:r>
                  <a:rPr lang="en-US" sz="1400" b="0" i="0" kern="1200">
                    <a:latin typeface="Cambria Math" panose="02040503050406030204" pitchFamily="18" charset="0"/>
                  </a:rPr>
                  <a:t>𝑦 ̂=𝑦 ̅</a:t>
                </a:r>
                <a:endParaRPr lang="en-US" sz="1400" kern="1200"/>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469900</xdr:colOff>
      <xdr:row>37</xdr:row>
      <xdr:rowOff>196850</xdr:rowOff>
    </xdr:from>
    <xdr:to>
      <xdr:col>12</xdr:col>
      <xdr:colOff>533041</xdr:colOff>
      <xdr:row>39</xdr:row>
      <xdr:rowOff>131505</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AE89065-04AE-864A-993E-A9EC6FC8DD1A}"/>
                </a:ext>
              </a:extLst>
            </xdr:cNvPr>
            <xdr:cNvSpPr txBox="1"/>
          </xdr:nvSpPr>
          <xdr:spPr>
            <a:xfrm>
              <a:off x="9690100" y="7715250"/>
              <a:ext cx="901341" cy="34105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𝑐</m:t>
                    </m:r>
                    <m:r>
                      <a:rPr lang="en-US" sz="1200" b="0" i="1">
                        <a:latin typeface="Cambria Math" panose="02040503050406030204" pitchFamily="18" charset="0"/>
                      </a:rPr>
                      <m:t>=</m:t>
                    </m:r>
                    <m:r>
                      <a:rPr lang="en-US" sz="1200" b="0" i="1">
                        <a:latin typeface="Cambria Math" panose="02040503050406030204" pitchFamily="18" charset="0"/>
                      </a:rPr>
                      <m:t>𝐿𝐷𝐹</m:t>
                    </m:r>
                    <m:r>
                      <a:rPr lang="en-US" sz="1200" b="0" i="1">
                        <a:latin typeface="Cambria Math" panose="02040503050406030204" pitchFamily="18" charset="0"/>
                      </a:rPr>
                      <m:t>=</m:t>
                    </m:r>
                    <m:f>
                      <m:fPr>
                        <m:ctrlPr>
                          <a:rPr lang="en-US" sz="1200" b="0" i="1">
                            <a:latin typeface="Cambria Math" panose="02040503050406030204" pitchFamily="18" charset="0"/>
                          </a:rPr>
                        </m:ctrlPr>
                      </m:fPr>
                      <m:num>
                        <m:acc>
                          <m:accPr>
                            <m:chr m:val="̅"/>
                            <m:ctrlPr>
                              <a:rPr lang="en-US" sz="1200" b="0" i="1">
                                <a:latin typeface="Cambria Math" panose="02040503050406030204" pitchFamily="18" charset="0"/>
                              </a:rPr>
                            </m:ctrlPr>
                          </m:accPr>
                          <m:e>
                            <m:r>
                              <a:rPr lang="en-US" sz="1200" b="0" i="1">
                                <a:latin typeface="Cambria Math" panose="02040503050406030204" pitchFamily="18" charset="0"/>
                              </a:rPr>
                              <m:t>𝑦</m:t>
                            </m:r>
                          </m:e>
                        </m:acc>
                      </m:num>
                      <m:den>
                        <m:acc>
                          <m:accPr>
                            <m:chr m:val="̅"/>
                            <m:ctrlPr>
                              <a:rPr lang="en-US" sz="1200" b="0" i="1">
                                <a:latin typeface="Cambria Math" panose="02040503050406030204" pitchFamily="18" charset="0"/>
                              </a:rPr>
                            </m:ctrlPr>
                          </m:accPr>
                          <m:e>
                            <m:r>
                              <a:rPr lang="en-US" sz="1200" b="0" i="1">
                                <a:latin typeface="Cambria Math" panose="02040503050406030204" pitchFamily="18" charset="0"/>
                              </a:rPr>
                              <m:t>𝑥</m:t>
                            </m:r>
                          </m:e>
                        </m:acc>
                      </m:den>
                    </m:f>
                  </m:oMath>
                </m:oMathPara>
              </a14:m>
              <a:endParaRPr lang="en-US" sz="1200"/>
            </a:p>
          </xdr:txBody>
        </xdr:sp>
      </mc:Choice>
      <mc:Fallback xmlns="">
        <xdr:sp macro="" textlink="">
          <xdr:nvSpPr>
            <xdr:cNvPr id="2" name="TextBox 1">
              <a:extLst>
                <a:ext uri="{FF2B5EF4-FFF2-40B4-BE49-F238E27FC236}">
                  <a16:creationId xmlns:a16="http://schemas.microsoft.com/office/drawing/2014/main" id="{AAE89065-04AE-864A-993E-A9EC6FC8DD1A}"/>
                </a:ext>
              </a:extLst>
            </xdr:cNvPr>
            <xdr:cNvSpPr txBox="1"/>
          </xdr:nvSpPr>
          <xdr:spPr>
            <a:xfrm>
              <a:off x="9690100" y="7715250"/>
              <a:ext cx="901341" cy="34105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latin typeface="Cambria Math" panose="02040503050406030204" pitchFamily="18" charset="0"/>
                </a:rPr>
                <a:t>𝑐=𝐿𝐷𝐹=𝑦 ̅/𝑥 ̅ </a:t>
              </a:r>
              <a:endParaRPr lang="en-US" sz="1200"/>
            </a:p>
          </xdr:txBody>
        </xdr:sp>
      </mc:Fallback>
    </mc:AlternateContent>
    <xdr:clientData/>
  </xdr:twoCellAnchor>
  <xdr:twoCellAnchor>
    <xdr:from>
      <xdr:col>13</xdr:col>
      <xdr:colOff>88900</xdr:colOff>
      <xdr:row>37</xdr:row>
      <xdr:rowOff>165101</xdr:rowOff>
    </xdr:from>
    <xdr:to>
      <xdr:col>13</xdr:col>
      <xdr:colOff>736600</xdr:colOff>
      <xdr:row>39</xdr:row>
      <xdr:rowOff>177801</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8BD155F-4EE7-A941-922C-0607987E5B83}"/>
                </a:ext>
              </a:extLst>
            </xdr:cNvPr>
            <xdr:cNvSpPr txBox="1"/>
          </xdr:nvSpPr>
          <xdr:spPr>
            <a:xfrm>
              <a:off x="10985500" y="7683501"/>
              <a:ext cx="647700" cy="4191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𝑍</m:t>
                    </m:r>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𝑏</m:t>
                        </m:r>
                      </m:num>
                      <m:den>
                        <m:r>
                          <a:rPr lang="en-US" sz="1200" b="0" i="1">
                            <a:latin typeface="Cambria Math" panose="02040503050406030204" pitchFamily="18" charset="0"/>
                          </a:rPr>
                          <m:t>𝑐</m:t>
                        </m:r>
                      </m:den>
                    </m:f>
                  </m:oMath>
                </m:oMathPara>
              </a14:m>
              <a:endParaRPr lang="en-US" sz="1200"/>
            </a:p>
          </xdr:txBody>
        </xdr:sp>
      </mc:Choice>
      <mc:Fallback xmlns="">
        <xdr:sp macro="" textlink="">
          <xdr:nvSpPr>
            <xdr:cNvPr id="3" name="TextBox 2">
              <a:extLst>
                <a:ext uri="{FF2B5EF4-FFF2-40B4-BE49-F238E27FC236}">
                  <a16:creationId xmlns:a16="http://schemas.microsoft.com/office/drawing/2014/main" id="{48BD155F-4EE7-A941-922C-0607987E5B83}"/>
                </a:ext>
              </a:extLst>
            </xdr:cNvPr>
            <xdr:cNvSpPr txBox="1"/>
          </xdr:nvSpPr>
          <xdr:spPr>
            <a:xfrm>
              <a:off x="10985500" y="7683501"/>
              <a:ext cx="647700" cy="4191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latin typeface="Cambria Math" panose="02040503050406030204" pitchFamily="18" charset="0"/>
                </a:rPr>
                <a:t>𝑍=𝑏/𝑐</a:t>
              </a:r>
              <a:endParaRPr lang="en-US" sz="12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2</xdr:col>
      <xdr:colOff>25400</xdr:colOff>
      <xdr:row>4</xdr:row>
      <xdr:rowOff>50800</xdr:rowOff>
    </xdr:from>
    <xdr:ext cx="6243259" cy="3086099"/>
    <xdr:pic>
      <xdr:nvPicPr>
        <xdr:cNvPr id="2" name="Picture 1">
          <a:extLst>
            <a:ext uri="{FF2B5EF4-FFF2-40B4-BE49-F238E27FC236}">
              <a16:creationId xmlns:a16="http://schemas.microsoft.com/office/drawing/2014/main" id="{45DDE5EF-54E2-EB46-A535-BE99D7FB4FF9}"/>
            </a:ext>
          </a:extLst>
        </xdr:cNvPr>
        <xdr:cNvPicPr>
          <a:picLocks noChangeAspect="1"/>
        </xdr:cNvPicPr>
      </xdr:nvPicPr>
      <xdr:blipFill>
        <a:blip xmlns:r="http://schemas.openxmlformats.org/officeDocument/2006/relationships" r:embed="rId1"/>
        <a:stretch>
          <a:fillRect/>
        </a:stretch>
      </xdr:blipFill>
      <xdr:spPr>
        <a:xfrm>
          <a:off x="1701800" y="863600"/>
          <a:ext cx="6243259" cy="3086099"/>
        </a:xfrm>
        <a:prstGeom prst="rect">
          <a:avLst/>
        </a:prstGeom>
      </xdr:spPr>
    </xdr:pic>
    <xdr:clientData/>
  </xdr:oneCellAnchor>
  <xdr:oneCellAnchor>
    <xdr:from>
      <xdr:col>2</xdr:col>
      <xdr:colOff>120650</xdr:colOff>
      <xdr:row>21</xdr:row>
      <xdr:rowOff>25400</xdr:rowOff>
    </xdr:from>
    <xdr:ext cx="476250" cy="17209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F5EC1DE-D0FC-CD4B-B89B-BE4F3E85EB3A}"/>
                </a:ext>
              </a:extLst>
            </xdr:cNvPr>
            <xdr:cNvSpPr txBox="1"/>
          </xdr:nvSpPr>
          <xdr:spPr>
            <a:xfrm>
              <a:off x="1797050" y="4292600"/>
              <a:ext cx="47625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latin typeface="Cambria Math" panose="02040503050406030204" pitchFamily="18" charset="0"/>
                          </a:rPr>
                        </m:ctrlPr>
                      </m:accPr>
                      <m:e>
                        <m:r>
                          <a:rPr lang="en-US" sz="1100" b="0" i="1">
                            <a:latin typeface="Cambria Math" panose="02040503050406030204" pitchFamily="18" charset="0"/>
                          </a:rPr>
                          <m:t>𝑥𝑦</m:t>
                        </m:r>
                      </m:e>
                    </m:acc>
                    <m:r>
                      <a:rPr lang="en-US" sz="1100" b="0" i="1">
                        <a:latin typeface="Cambria Math" panose="02040503050406030204" pitchFamily="18" charset="0"/>
                      </a:rPr>
                      <m:t>=</m:t>
                    </m:r>
                  </m:oMath>
                </m:oMathPara>
              </a14:m>
              <a:endParaRPr lang="en-US" sz="1100"/>
            </a:p>
          </xdr:txBody>
        </xdr:sp>
      </mc:Choice>
      <mc:Fallback xmlns="">
        <xdr:sp macro="" textlink="">
          <xdr:nvSpPr>
            <xdr:cNvPr id="3" name="TextBox 2">
              <a:extLst>
                <a:ext uri="{FF2B5EF4-FFF2-40B4-BE49-F238E27FC236}">
                  <a16:creationId xmlns:a16="http://schemas.microsoft.com/office/drawing/2014/main" id="{FF5EC1DE-D0FC-CD4B-B89B-BE4F3E85EB3A}"/>
                </a:ext>
              </a:extLst>
            </xdr:cNvPr>
            <xdr:cNvSpPr txBox="1"/>
          </xdr:nvSpPr>
          <xdr:spPr>
            <a:xfrm>
              <a:off x="1797050" y="4292600"/>
              <a:ext cx="47625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𝑥𝑦) ̅=</a:t>
              </a:r>
              <a:endParaRPr lang="en-US" sz="1100"/>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1D387-48CE-624D-8190-16C4BFBC337E}">
  <sheetPr>
    <tabColor theme="8" tint="0.59999389629810485"/>
  </sheetPr>
  <dimension ref="A1:M52"/>
  <sheetViews>
    <sheetView showGridLines="0" zoomScaleNormal="100" workbookViewId="0"/>
  </sheetViews>
  <sheetFormatPr baseColWidth="10" defaultColWidth="8.5" defaultRowHeight="16" x14ac:dyDescent="0.2"/>
  <cols>
    <col min="1" max="5" width="10.6640625" style="100" customWidth="1"/>
    <col min="6" max="12" width="10.83203125" style="100" customWidth="1"/>
    <col min="13" max="13" width="10.6640625" style="100" customWidth="1"/>
    <col min="14" max="16" width="10" style="100" customWidth="1"/>
    <col min="17" max="16384" width="8.5" style="100"/>
  </cols>
  <sheetData>
    <row r="1" spans="1:13" ht="14.5" customHeight="1" x14ac:dyDescent="0.2">
      <c r="A1" s="96"/>
      <c r="B1" s="97"/>
      <c r="C1" s="97"/>
      <c r="D1" s="97"/>
      <c r="E1" s="97"/>
      <c r="F1" s="97"/>
      <c r="G1" s="97"/>
      <c r="H1" s="97"/>
      <c r="I1" s="97"/>
      <c r="J1" s="97"/>
      <c r="K1" s="97"/>
      <c r="L1" s="98" t="s">
        <v>210</v>
      </c>
      <c r="M1" s="99"/>
    </row>
    <row r="2" spans="1:13" s="102" customFormat="1" x14ac:dyDescent="0.2">
      <c r="A2" s="101"/>
      <c r="M2" s="103"/>
    </row>
    <row r="3" spans="1:13" s="102" customFormat="1" ht="16" customHeight="1" x14ac:dyDescent="0.2">
      <c r="A3" s="101"/>
      <c r="M3" s="103"/>
    </row>
    <row r="4" spans="1:13" s="102" customFormat="1" ht="16" customHeight="1" x14ac:dyDescent="0.2">
      <c r="A4" s="101"/>
      <c r="M4" s="103"/>
    </row>
    <row r="5" spans="1:13" s="102" customFormat="1" ht="16" customHeight="1" x14ac:dyDescent="0.2">
      <c r="A5" s="101"/>
      <c r="M5" s="103"/>
    </row>
    <row r="6" spans="1:13" s="102" customFormat="1" ht="16" customHeight="1" x14ac:dyDescent="0.2">
      <c r="A6" s="101"/>
      <c r="B6" s="104" t="s">
        <v>211</v>
      </c>
      <c r="M6" s="103"/>
    </row>
    <row r="7" spans="1:13" s="102" customFormat="1" ht="16" customHeight="1" x14ac:dyDescent="0.2">
      <c r="A7" s="101"/>
      <c r="M7" s="103"/>
    </row>
    <row r="8" spans="1:13" s="102" customFormat="1" ht="16" customHeight="1" x14ac:dyDescent="0.25">
      <c r="A8" s="101"/>
      <c r="B8" s="105" t="s">
        <v>212</v>
      </c>
      <c r="M8" s="103"/>
    </row>
    <row r="9" spans="1:13" s="102" customFormat="1" ht="17" customHeight="1" x14ac:dyDescent="0.2">
      <c r="A9" s="101"/>
      <c r="C9" s="291" t="s">
        <v>213</v>
      </c>
      <c r="D9" s="292"/>
      <c r="E9" s="292"/>
      <c r="F9" s="292"/>
      <c r="G9" s="292"/>
      <c r="H9" s="292"/>
      <c r="I9" s="292"/>
      <c r="J9" s="292"/>
      <c r="K9" s="292"/>
      <c r="M9" s="103"/>
    </row>
    <row r="10" spans="1:13" s="102" customFormat="1" x14ac:dyDescent="0.2">
      <c r="A10" s="101"/>
      <c r="C10" s="292"/>
      <c r="D10" s="292"/>
      <c r="E10" s="292"/>
      <c r="F10" s="292"/>
      <c r="G10" s="292"/>
      <c r="H10" s="292"/>
      <c r="I10" s="292"/>
      <c r="J10" s="292"/>
      <c r="K10" s="292"/>
      <c r="M10" s="103"/>
    </row>
    <row r="11" spans="1:13" s="102" customFormat="1" ht="16" customHeight="1" x14ac:dyDescent="0.2">
      <c r="A11" s="101"/>
      <c r="C11" s="292"/>
      <c r="D11" s="292"/>
      <c r="E11" s="292"/>
      <c r="F11" s="292"/>
      <c r="G11" s="292"/>
      <c r="H11" s="292"/>
      <c r="I11" s="292"/>
      <c r="J11" s="292"/>
      <c r="K11" s="292"/>
      <c r="M11" s="103"/>
    </row>
    <row r="12" spans="1:13" s="102" customFormat="1" ht="16" customHeight="1" x14ac:dyDescent="0.2">
      <c r="A12" s="101"/>
      <c r="C12" s="292"/>
      <c r="D12" s="292"/>
      <c r="E12" s="292"/>
      <c r="F12" s="292"/>
      <c r="G12" s="292"/>
      <c r="H12" s="292"/>
      <c r="I12" s="292"/>
      <c r="J12" s="292"/>
      <c r="K12" s="292"/>
      <c r="M12" s="103"/>
    </row>
    <row r="13" spans="1:13" s="102" customFormat="1" ht="16" customHeight="1" x14ac:dyDescent="0.2">
      <c r="A13" s="101"/>
      <c r="C13" s="292"/>
      <c r="D13" s="292"/>
      <c r="E13" s="292"/>
      <c r="F13" s="292"/>
      <c r="G13" s="292"/>
      <c r="H13" s="292"/>
      <c r="I13" s="292"/>
      <c r="J13" s="292"/>
      <c r="K13" s="292"/>
      <c r="M13" s="103"/>
    </row>
    <row r="14" spans="1:13" s="102" customFormat="1" ht="16" customHeight="1" x14ac:dyDescent="0.2">
      <c r="A14" s="101"/>
      <c r="C14" s="292"/>
      <c r="D14" s="292"/>
      <c r="E14" s="292"/>
      <c r="F14" s="292"/>
      <c r="G14" s="292"/>
      <c r="H14" s="292"/>
      <c r="I14" s="292"/>
      <c r="J14" s="292"/>
      <c r="K14" s="292"/>
      <c r="M14" s="103"/>
    </row>
    <row r="15" spans="1:13" s="102" customFormat="1" ht="16" customHeight="1" x14ac:dyDescent="0.2">
      <c r="A15" s="101"/>
      <c r="C15" s="292"/>
      <c r="D15" s="292"/>
      <c r="E15" s="292"/>
      <c r="F15" s="292"/>
      <c r="G15" s="292"/>
      <c r="H15" s="292"/>
      <c r="I15" s="292"/>
      <c r="J15" s="292"/>
      <c r="K15" s="292"/>
      <c r="M15" s="103"/>
    </row>
    <row r="16" spans="1:13" s="102" customFormat="1" ht="16" customHeight="1" x14ac:dyDescent="0.2">
      <c r="A16" s="101"/>
      <c r="C16" s="292"/>
      <c r="D16" s="292"/>
      <c r="E16" s="292"/>
      <c r="F16" s="292"/>
      <c r="G16" s="292"/>
      <c r="H16" s="292"/>
      <c r="I16" s="292"/>
      <c r="J16" s="292"/>
      <c r="K16" s="292"/>
      <c r="M16" s="103"/>
    </row>
    <row r="17" spans="1:13" s="102" customFormat="1" ht="16" customHeight="1" x14ac:dyDescent="0.2">
      <c r="A17" s="101"/>
      <c r="M17" s="103"/>
    </row>
    <row r="18" spans="1:13" s="102" customFormat="1" ht="16" customHeight="1" x14ac:dyDescent="0.25">
      <c r="A18" s="101"/>
      <c r="B18" s="105" t="s">
        <v>214</v>
      </c>
      <c r="M18" s="103"/>
    </row>
    <row r="19" spans="1:13" s="102" customFormat="1" ht="17" customHeight="1" x14ac:dyDescent="0.2">
      <c r="A19" s="101"/>
      <c r="C19" s="291" t="s">
        <v>215</v>
      </c>
      <c r="D19" s="292"/>
      <c r="E19" s="292"/>
      <c r="F19" s="292"/>
      <c r="G19" s="292"/>
      <c r="H19" s="292"/>
      <c r="I19" s="292"/>
      <c r="J19" s="292"/>
      <c r="K19" s="292"/>
      <c r="M19" s="103"/>
    </row>
    <row r="20" spans="1:13" s="102" customFormat="1" x14ac:dyDescent="0.2">
      <c r="A20" s="101"/>
      <c r="C20" s="292"/>
      <c r="D20" s="292"/>
      <c r="E20" s="292"/>
      <c r="F20" s="292"/>
      <c r="G20" s="292"/>
      <c r="H20" s="292"/>
      <c r="I20" s="292"/>
      <c r="J20" s="292"/>
      <c r="K20" s="292"/>
      <c r="M20" s="103"/>
    </row>
    <row r="21" spans="1:13" s="102" customFormat="1" x14ac:dyDescent="0.2">
      <c r="A21" s="101"/>
      <c r="C21" s="292"/>
      <c r="D21" s="292"/>
      <c r="E21" s="292"/>
      <c r="F21" s="292"/>
      <c r="G21" s="292"/>
      <c r="H21" s="292"/>
      <c r="I21" s="292"/>
      <c r="J21" s="292"/>
      <c r="K21" s="292"/>
      <c r="M21" s="103"/>
    </row>
    <row r="22" spans="1:13" s="102" customFormat="1" x14ac:dyDescent="0.2">
      <c r="A22" s="101"/>
      <c r="C22" s="292"/>
      <c r="D22" s="292"/>
      <c r="E22" s="292"/>
      <c r="F22" s="292"/>
      <c r="G22" s="292"/>
      <c r="H22" s="292"/>
      <c r="I22" s="292"/>
      <c r="J22" s="292"/>
      <c r="K22" s="292"/>
      <c r="M22" s="103"/>
    </row>
    <row r="23" spans="1:13" s="102" customFormat="1" x14ac:dyDescent="0.2">
      <c r="A23" s="101"/>
      <c r="C23" s="292"/>
      <c r="D23" s="292"/>
      <c r="E23" s="292"/>
      <c r="F23" s="292"/>
      <c r="G23" s="292"/>
      <c r="H23" s="292"/>
      <c r="I23" s="292"/>
      <c r="J23" s="292"/>
      <c r="K23" s="292"/>
      <c r="M23" s="103"/>
    </row>
    <row r="24" spans="1:13" s="102" customFormat="1" x14ac:dyDescent="0.2">
      <c r="A24" s="101"/>
      <c r="C24" s="292"/>
      <c r="D24" s="292"/>
      <c r="E24" s="292"/>
      <c r="F24" s="292"/>
      <c r="G24" s="292"/>
      <c r="H24" s="292"/>
      <c r="I24" s="292"/>
      <c r="J24" s="292"/>
      <c r="K24" s="292"/>
      <c r="M24" s="103"/>
    </row>
    <row r="25" spans="1:13" s="102" customFormat="1" x14ac:dyDescent="0.2">
      <c r="A25" s="101"/>
      <c r="C25" s="292"/>
      <c r="D25" s="292"/>
      <c r="E25" s="292"/>
      <c r="F25" s="292"/>
      <c r="G25" s="292"/>
      <c r="H25" s="292"/>
      <c r="I25" s="292"/>
      <c r="J25" s="292"/>
      <c r="K25" s="292"/>
      <c r="M25" s="103"/>
    </row>
    <row r="26" spans="1:13" s="102" customFormat="1" x14ac:dyDescent="0.2">
      <c r="A26" s="101"/>
      <c r="C26" s="292"/>
      <c r="D26" s="292"/>
      <c r="E26" s="292"/>
      <c r="F26" s="292"/>
      <c r="G26" s="292"/>
      <c r="H26" s="292"/>
      <c r="I26" s="292"/>
      <c r="J26" s="292"/>
      <c r="K26" s="292"/>
      <c r="M26" s="103"/>
    </row>
    <row r="27" spans="1:13" s="102" customFormat="1" x14ac:dyDescent="0.2">
      <c r="A27" s="101"/>
      <c r="C27" s="292"/>
      <c r="D27" s="292"/>
      <c r="E27" s="292"/>
      <c r="F27" s="292"/>
      <c r="G27" s="292"/>
      <c r="H27" s="292"/>
      <c r="I27" s="292"/>
      <c r="J27" s="292"/>
      <c r="K27" s="292"/>
      <c r="M27" s="103"/>
    </row>
    <row r="28" spans="1:13" s="102" customFormat="1" x14ac:dyDescent="0.2">
      <c r="A28" s="101"/>
      <c r="C28" s="292"/>
      <c r="D28" s="292"/>
      <c r="E28" s="292"/>
      <c r="F28" s="292"/>
      <c r="G28" s="292"/>
      <c r="H28" s="292"/>
      <c r="I28" s="292"/>
      <c r="J28" s="292"/>
      <c r="K28" s="292"/>
      <c r="M28" s="103"/>
    </row>
    <row r="29" spans="1:13" s="102" customFormat="1" x14ac:dyDescent="0.2">
      <c r="A29" s="101"/>
      <c r="C29" s="106"/>
      <c r="D29" s="106"/>
      <c r="E29" s="106"/>
      <c r="F29" s="106"/>
      <c r="G29" s="106"/>
      <c r="H29" s="106"/>
      <c r="I29" s="106"/>
      <c r="J29" s="106"/>
      <c r="K29" s="106"/>
      <c r="M29" s="103"/>
    </row>
    <row r="30" spans="1:13" s="102" customFormat="1" ht="19" x14ac:dyDescent="0.25">
      <c r="A30" s="101"/>
      <c r="C30" s="107" t="s">
        <v>216</v>
      </c>
      <c r="D30" s="106"/>
      <c r="E30" s="106"/>
      <c r="F30" s="106"/>
      <c r="G30" s="106"/>
      <c r="H30" s="106"/>
      <c r="I30" s="106"/>
      <c r="J30" s="106"/>
      <c r="K30" s="106"/>
      <c r="M30" s="103"/>
    </row>
    <row r="31" spans="1:13" s="102" customFormat="1" x14ac:dyDescent="0.2">
      <c r="A31" s="101"/>
      <c r="C31" s="291" t="s">
        <v>217</v>
      </c>
      <c r="D31" s="291"/>
      <c r="E31" s="291"/>
      <c r="F31" s="291"/>
      <c r="G31" s="291"/>
      <c r="H31" s="291"/>
      <c r="I31" s="291"/>
      <c r="J31" s="291"/>
      <c r="K31" s="291"/>
      <c r="M31" s="103"/>
    </row>
    <row r="32" spans="1:13" s="102" customFormat="1" x14ac:dyDescent="0.2">
      <c r="A32" s="101"/>
      <c r="C32" s="291"/>
      <c r="D32" s="291"/>
      <c r="E32" s="291"/>
      <c r="F32" s="291"/>
      <c r="G32" s="291"/>
      <c r="H32" s="291"/>
      <c r="I32" s="291"/>
      <c r="J32" s="291"/>
      <c r="K32" s="291"/>
      <c r="M32" s="103"/>
    </row>
    <row r="33" spans="1:13" s="102" customFormat="1" x14ac:dyDescent="0.2">
      <c r="A33" s="101"/>
      <c r="C33" s="291"/>
      <c r="D33" s="291"/>
      <c r="E33" s="291"/>
      <c r="F33" s="291"/>
      <c r="G33" s="291"/>
      <c r="H33" s="291"/>
      <c r="I33" s="291"/>
      <c r="J33" s="291"/>
      <c r="K33" s="291"/>
      <c r="M33" s="103"/>
    </row>
    <row r="34" spans="1:13" s="102" customFormat="1" x14ac:dyDescent="0.2">
      <c r="A34" s="101"/>
      <c r="C34" s="291"/>
      <c r="D34" s="291"/>
      <c r="E34" s="291"/>
      <c r="F34" s="291"/>
      <c r="G34" s="291"/>
      <c r="H34" s="291"/>
      <c r="I34" s="291"/>
      <c r="J34" s="291"/>
      <c r="K34" s="291"/>
      <c r="M34" s="103"/>
    </row>
    <row r="35" spans="1:13" s="102" customFormat="1" x14ac:dyDescent="0.2">
      <c r="A35" s="101"/>
      <c r="C35" s="291"/>
      <c r="D35" s="291"/>
      <c r="E35" s="291"/>
      <c r="F35" s="291"/>
      <c r="G35" s="291"/>
      <c r="H35" s="291"/>
      <c r="I35" s="291"/>
      <c r="J35" s="291"/>
      <c r="K35" s="291"/>
      <c r="M35" s="103"/>
    </row>
    <row r="36" spans="1:13" s="102" customFormat="1" x14ac:dyDescent="0.2">
      <c r="A36" s="101"/>
      <c r="C36" s="291"/>
      <c r="D36" s="291"/>
      <c r="E36" s="291"/>
      <c r="F36" s="291"/>
      <c r="G36" s="291"/>
      <c r="H36" s="291"/>
      <c r="I36" s="291"/>
      <c r="J36" s="291"/>
      <c r="K36" s="291"/>
      <c r="M36" s="103"/>
    </row>
    <row r="37" spans="1:13" s="102" customFormat="1" x14ac:dyDescent="0.2">
      <c r="A37" s="101"/>
      <c r="C37" s="291"/>
      <c r="D37" s="291"/>
      <c r="E37" s="291"/>
      <c r="F37" s="291"/>
      <c r="G37" s="291"/>
      <c r="H37" s="291"/>
      <c r="I37" s="291"/>
      <c r="J37" s="291"/>
      <c r="K37" s="291"/>
      <c r="M37" s="103"/>
    </row>
    <row r="38" spans="1:13" s="102" customFormat="1" x14ac:dyDescent="0.2">
      <c r="A38" s="101"/>
      <c r="C38" s="291"/>
      <c r="D38" s="291"/>
      <c r="E38" s="291"/>
      <c r="F38" s="291"/>
      <c r="G38" s="291"/>
      <c r="H38" s="291"/>
      <c r="I38" s="291"/>
      <c r="J38" s="291"/>
      <c r="K38" s="291"/>
      <c r="M38" s="103"/>
    </row>
    <row r="39" spans="1:13" s="102" customFormat="1" x14ac:dyDescent="0.2">
      <c r="A39" s="101"/>
      <c r="C39" s="291"/>
      <c r="D39" s="291"/>
      <c r="E39" s="291"/>
      <c r="F39" s="291"/>
      <c r="G39" s="291"/>
      <c r="H39" s="291"/>
      <c r="I39" s="291"/>
      <c r="J39" s="291"/>
      <c r="K39" s="291"/>
      <c r="M39" s="103"/>
    </row>
    <row r="40" spans="1:13" s="102" customFormat="1" x14ac:dyDescent="0.2">
      <c r="A40" s="101"/>
      <c r="C40" s="108"/>
      <c r="D40" s="108"/>
      <c r="E40" s="108"/>
      <c r="F40" s="108"/>
      <c r="G40" s="108"/>
      <c r="H40" s="108"/>
      <c r="I40" s="108"/>
      <c r="J40" s="108"/>
      <c r="K40" s="108"/>
      <c r="M40" s="103"/>
    </row>
    <row r="41" spans="1:13" s="102" customFormat="1" ht="21" x14ac:dyDescent="0.25">
      <c r="A41" s="101"/>
      <c r="B41" s="105" t="s">
        <v>218</v>
      </c>
      <c r="M41" s="103"/>
    </row>
    <row r="42" spans="1:13" s="102" customFormat="1" x14ac:dyDescent="0.2">
      <c r="A42" s="101"/>
      <c r="C42" s="293" t="s">
        <v>555</v>
      </c>
      <c r="D42" s="292"/>
      <c r="E42" s="292"/>
      <c r="F42" s="292"/>
      <c r="G42" s="292"/>
      <c r="H42" s="292"/>
      <c r="I42" s="292"/>
      <c r="J42" s="292"/>
      <c r="K42" s="292"/>
      <c r="M42" s="103"/>
    </row>
    <row r="43" spans="1:13" s="102" customFormat="1" x14ac:dyDescent="0.2">
      <c r="A43" s="101"/>
      <c r="C43" s="292"/>
      <c r="D43" s="292"/>
      <c r="E43" s="292"/>
      <c r="F43" s="292"/>
      <c r="G43" s="292"/>
      <c r="H43" s="292"/>
      <c r="I43" s="292"/>
      <c r="J43" s="292"/>
      <c r="K43" s="292"/>
      <c r="M43" s="103"/>
    </row>
    <row r="44" spans="1:13" s="102" customFormat="1" x14ac:dyDescent="0.2">
      <c r="A44" s="101"/>
      <c r="C44" s="292"/>
      <c r="D44" s="292"/>
      <c r="E44" s="292"/>
      <c r="F44" s="292"/>
      <c r="G44" s="292"/>
      <c r="H44" s="292"/>
      <c r="I44" s="292"/>
      <c r="J44" s="292"/>
      <c r="K44" s="292"/>
      <c r="M44" s="103"/>
    </row>
    <row r="45" spans="1:13" s="102" customFormat="1" x14ac:dyDescent="0.2">
      <c r="A45" s="101"/>
      <c r="C45" s="292"/>
      <c r="D45" s="292"/>
      <c r="E45" s="292"/>
      <c r="F45" s="292"/>
      <c r="G45" s="292"/>
      <c r="H45" s="292"/>
      <c r="I45" s="292"/>
      <c r="J45" s="292"/>
      <c r="K45" s="292"/>
      <c r="M45" s="103"/>
    </row>
    <row r="46" spans="1:13" s="102" customFormat="1" x14ac:dyDescent="0.2">
      <c r="A46" s="101"/>
      <c r="C46" s="292"/>
      <c r="D46" s="292"/>
      <c r="E46" s="292"/>
      <c r="F46" s="292"/>
      <c r="G46" s="292"/>
      <c r="H46" s="292"/>
      <c r="I46" s="292"/>
      <c r="J46" s="292"/>
      <c r="K46" s="292"/>
      <c r="M46" s="103"/>
    </row>
    <row r="47" spans="1:13" s="102" customFormat="1" x14ac:dyDescent="0.2">
      <c r="A47" s="101"/>
      <c r="C47" s="292"/>
      <c r="D47" s="292"/>
      <c r="E47" s="292"/>
      <c r="F47" s="292"/>
      <c r="G47" s="292"/>
      <c r="H47" s="292"/>
      <c r="I47" s="292"/>
      <c r="J47" s="292"/>
      <c r="K47" s="292"/>
      <c r="M47" s="103"/>
    </row>
    <row r="48" spans="1:13" s="102" customFormat="1" x14ac:dyDescent="0.2">
      <c r="A48" s="101"/>
      <c r="C48" s="292"/>
      <c r="D48" s="292"/>
      <c r="E48" s="292"/>
      <c r="F48" s="292"/>
      <c r="G48" s="292"/>
      <c r="H48" s="292"/>
      <c r="I48" s="292"/>
      <c r="J48" s="292"/>
      <c r="K48" s="292"/>
      <c r="M48" s="103"/>
    </row>
    <row r="49" spans="1:13" s="102" customFormat="1" x14ac:dyDescent="0.2">
      <c r="A49" s="101"/>
      <c r="C49" s="292"/>
      <c r="D49" s="292"/>
      <c r="E49" s="292"/>
      <c r="F49" s="292"/>
      <c r="G49" s="292"/>
      <c r="H49" s="292"/>
      <c r="I49" s="292"/>
      <c r="J49" s="292"/>
      <c r="K49" s="292"/>
      <c r="M49" s="103"/>
    </row>
    <row r="50" spans="1:13" s="102" customFormat="1" x14ac:dyDescent="0.2">
      <c r="A50" s="101"/>
      <c r="C50" s="292"/>
      <c r="D50" s="292"/>
      <c r="E50" s="292"/>
      <c r="F50" s="292"/>
      <c r="G50" s="292"/>
      <c r="H50" s="292"/>
      <c r="I50" s="292"/>
      <c r="J50" s="292"/>
      <c r="K50" s="292"/>
      <c r="M50" s="103"/>
    </row>
    <row r="51" spans="1:13" s="102" customFormat="1" x14ac:dyDescent="0.2">
      <c r="A51" s="101"/>
      <c r="C51" s="108"/>
      <c r="D51" s="108"/>
      <c r="E51" s="108"/>
      <c r="F51" s="108"/>
      <c r="G51" s="108"/>
      <c r="H51" s="108"/>
      <c r="I51" s="108"/>
      <c r="J51" s="108"/>
      <c r="K51" s="108"/>
      <c r="M51" s="103"/>
    </row>
    <row r="52" spans="1:13" ht="17" thickBot="1" x14ac:dyDescent="0.25">
      <c r="A52" s="109"/>
      <c r="B52" s="110"/>
      <c r="C52" s="110"/>
      <c r="D52" s="110"/>
      <c r="E52" s="110"/>
      <c r="F52" s="110"/>
      <c r="G52" s="110"/>
      <c r="H52" s="110"/>
      <c r="I52" s="110"/>
      <c r="J52" s="110"/>
      <c r="K52" s="110"/>
      <c r="L52" s="110"/>
      <c r="M52" s="111"/>
    </row>
  </sheetData>
  <mergeCells count="4">
    <mergeCell ref="C9:K16"/>
    <mergeCell ref="C19:K28"/>
    <mergeCell ref="C31:K39"/>
    <mergeCell ref="C42:K50"/>
  </mergeCells>
  <hyperlinks>
    <hyperlink ref="B6" r:id="rId1" xr:uid="{CE9C7398-7383-334D-938C-ACF971A229A5}"/>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M191"/>
  <sheetViews>
    <sheetView tabSelected="1" zoomScaleNormal="100" workbookViewId="0"/>
  </sheetViews>
  <sheetFormatPr baseColWidth="10" defaultColWidth="10.83203125" defaultRowHeight="16" outlineLevelCol="1" x14ac:dyDescent="0.2"/>
  <cols>
    <col min="1" max="1" width="4.6640625" style="19" customWidth="1"/>
    <col min="2" max="2" width="10.83203125" style="19" customWidth="1"/>
    <col min="3" max="5" width="10.83203125" style="19"/>
    <col min="6" max="6" width="10.83203125" style="19" customWidth="1"/>
    <col min="7" max="10" width="10.83203125" style="19"/>
    <col min="11" max="11" width="11.5" style="19" bestFit="1" customWidth="1"/>
    <col min="12" max="12" width="12.33203125" style="19" hidden="1" customWidth="1" outlineLevel="1"/>
    <col min="13" max="22" width="10.83203125" style="19" hidden="1" customWidth="1" outlineLevel="1"/>
    <col min="23" max="23" width="10.83203125" style="19" collapsed="1"/>
    <col min="24" max="16384" width="10.83203125" style="19"/>
  </cols>
  <sheetData>
    <row r="1" spans="1:19" ht="19" x14ac:dyDescent="0.25">
      <c r="A1" s="1" t="s">
        <v>161</v>
      </c>
      <c r="B1" s="9"/>
      <c r="C1" s="16"/>
      <c r="D1" s="16"/>
      <c r="E1" s="16"/>
      <c r="F1" s="17"/>
      <c r="G1" s="17"/>
      <c r="H1" s="17"/>
      <c r="I1" s="17"/>
      <c r="J1" s="18"/>
      <c r="K1" s="3" t="s">
        <v>141</v>
      </c>
    </row>
    <row r="2" spans="1:19" ht="16" customHeight="1" x14ac:dyDescent="0.2">
      <c r="A2" s="2"/>
      <c r="B2" s="17"/>
      <c r="C2" s="17"/>
      <c r="D2" s="17"/>
      <c r="E2" s="17"/>
      <c r="F2" s="17"/>
      <c r="G2" s="17"/>
      <c r="H2" s="17"/>
      <c r="I2" s="17"/>
      <c r="J2" s="18"/>
      <c r="L2" s="294" t="s">
        <v>175</v>
      </c>
      <c r="M2" s="294"/>
      <c r="N2" s="294"/>
      <c r="O2" s="294"/>
      <c r="P2" s="294"/>
      <c r="Q2" s="294"/>
      <c r="R2" s="294"/>
      <c r="S2" s="294"/>
    </row>
    <row r="3" spans="1:19" x14ac:dyDescent="0.2">
      <c r="A3" s="2"/>
      <c r="B3" s="17" t="s">
        <v>4</v>
      </c>
      <c r="C3" s="17"/>
      <c r="D3" s="17"/>
      <c r="E3" s="17"/>
      <c r="F3" s="17"/>
      <c r="G3" s="17"/>
      <c r="H3" s="17"/>
      <c r="I3" s="17"/>
      <c r="J3" s="18"/>
      <c r="L3" s="294"/>
      <c r="M3" s="294"/>
      <c r="N3" s="294"/>
      <c r="O3" s="294"/>
      <c r="P3" s="294"/>
      <c r="Q3" s="294"/>
      <c r="R3" s="294"/>
      <c r="S3" s="294"/>
    </row>
    <row r="4" spans="1:19" x14ac:dyDescent="0.2">
      <c r="A4" s="2"/>
      <c r="B4" s="17"/>
      <c r="C4" s="17"/>
      <c r="D4" s="17"/>
      <c r="E4" s="17"/>
      <c r="F4" s="17"/>
      <c r="G4" s="17"/>
      <c r="H4" s="17"/>
      <c r="I4" s="17"/>
      <c r="J4" s="18"/>
      <c r="L4" s="80"/>
      <c r="M4" s="80"/>
      <c r="N4" s="80"/>
      <c r="O4" s="80"/>
      <c r="P4" s="80"/>
      <c r="Q4" s="80"/>
      <c r="R4" s="80"/>
      <c r="S4" s="80"/>
    </row>
    <row r="5" spans="1:19" x14ac:dyDescent="0.2">
      <c r="A5" s="2"/>
      <c r="B5" s="17"/>
      <c r="C5" s="295" t="s">
        <v>179</v>
      </c>
      <c r="D5" s="295"/>
      <c r="E5" s="295"/>
      <c r="F5" s="295"/>
      <c r="G5" s="17"/>
      <c r="H5" s="17"/>
      <c r="I5" s="17"/>
      <c r="J5" s="18"/>
    </row>
    <row r="6" spans="1:19" x14ac:dyDescent="0.2">
      <c r="A6" s="2"/>
      <c r="B6" s="303" t="s">
        <v>5</v>
      </c>
      <c r="C6" s="12"/>
      <c r="D6" s="12"/>
      <c r="E6" s="12"/>
      <c r="F6" s="301" t="s">
        <v>9</v>
      </c>
      <c r="G6" s="17"/>
      <c r="H6" s="17"/>
      <c r="I6" s="17"/>
      <c r="J6" s="18"/>
      <c r="P6" s="299" t="s">
        <v>13</v>
      </c>
    </row>
    <row r="7" spans="1:19" x14ac:dyDescent="0.2">
      <c r="A7" s="2"/>
      <c r="B7" s="304"/>
      <c r="C7" s="29" t="s">
        <v>6</v>
      </c>
      <c r="D7" s="29" t="s">
        <v>7</v>
      </c>
      <c r="E7" s="29" t="s">
        <v>8</v>
      </c>
      <c r="F7" s="302"/>
      <c r="G7" s="17"/>
      <c r="H7" s="17"/>
      <c r="I7" s="17"/>
      <c r="J7" s="18"/>
      <c r="L7" s="27" t="s">
        <v>14</v>
      </c>
      <c r="M7" s="28">
        <v>48</v>
      </c>
      <c r="N7" s="28">
        <v>60</v>
      </c>
      <c r="O7" s="27">
        <v>72</v>
      </c>
      <c r="P7" s="300"/>
    </row>
    <row r="8" spans="1:19" x14ac:dyDescent="0.2">
      <c r="A8" s="2"/>
      <c r="B8" s="33">
        <v>2009</v>
      </c>
      <c r="C8" s="81">
        <v>470</v>
      </c>
      <c r="D8" s="81">
        <v>910</v>
      </c>
      <c r="E8" s="81">
        <v>1450</v>
      </c>
      <c r="F8" s="81">
        <v>2890</v>
      </c>
      <c r="G8" s="17"/>
      <c r="H8" s="17"/>
      <c r="I8" s="17"/>
      <c r="J8" s="18"/>
      <c r="L8" s="30">
        <v>2009</v>
      </c>
      <c r="M8" s="65">
        <f t="shared" ref="M8:O10" si="0">C8/$F8</f>
        <v>0.16262975778546712</v>
      </c>
      <c r="N8" s="65">
        <f t="shared" si="0"/>
        <v>0.31487889273356401</v>
      </c>
      <c r="O8" s="66">
        <f t="shared" si="0"/>
        <v>0.5017301038062284</v>
      </c>
      <c r="P8" s="65">
        <f>O8*$E$14</f>
        <v>0.6622837370242215</v>
      </c>
      <c r="Q8" s="67"/>
    </row>
    <row r="9" spans="1:19" x14ac:dyDescent="0.2">
      <c r="A9" s="2"/>
      <c r="B9" s="33">
        <v>2010</v>
      </c>
      <c r="C9" s="81">
        <v>730</v>
      </c>
      <c r="D9" s="81">
        <v>2160</v>
      </c>
      <c r="E9" s="81">
        <v>3460</v>
      </c>
      <c r="F9" s="81">
        <v>3750</v>
      </c>
      <c r="G9" s="17"/>
      <c r="H9" s="17"/>
      <c r="I9" s="17"/>
      <c r="J9" s="18"/>
      <c r="L9" s="30">
        <v>2010</v>
      </c>
      <c r="M9" s="65">
        <f t="shared" si="0"/>
        <v>0.19466666666666665</v>
      </c>
      <c r="N9" s="65">
        <f t="shared" si="0"/>
        <v>0.57599999999999996</v>
      </c>
      <c r="O9" s="66">
        <f t="shared" si="0"/>
        <v>0.92266666666666663</v>
      </c>
      <c r="P9" s="65">
        <f>O9*$E$14</f>
        <v>1.2179200000000001</v>
      </c>
      <c r="Q9" s="67"/>
    </row>
    <row r="10" spans="1:19" x14ac:dyDescent="0.2">
      <c r="A10" s="2"/>
      <c r="B10" s="33">
        <v>2011</v>
      </c>
      <c r="C10" s="81">
        <v>970</v>
      </c>
      <c r="D10" s="81">
        <v>2490</v>
      </c>
      <c r="E10" s="81">
        <v>3290</v>
      </c>
      <c r="F10" s="81">
        <v>4130</v>
      </c>
      <c r="G10" s="17"/>
      <c r="H10" s="17"/>
      <c r="I10" s="17"/>
      <c r="J10" s="18"/>
      <c r="L10" s="30">
        <v>2011</v>
      </c>
      <c r="M10" s="65">
        <f t="shared" si="0"/>
        <v>0.23486682808716708</v>
      </c>
      <c r="N10" s="65">
        <f t="shared" si="0"/>
        <v>0.60290556900726389</v>
      </c>
      <c r="O10" s="66">
        <f t="shared" si="0"/>
        <v>0.79661016949152541</v>
      </c>
      <c r="P10" s="65">
        <f>O10*$E$14</f>
        <v>1.0515254237288136</v>
      </c>
      <c r="Q10" s="67"/>
    </row>
    <row r="11" spans="1:19" x14ac:dyDescent="0.2">
      <c r="A11" s="2"/>
      <c r="B11" s="33">
        <v>2012</v>
      </c>
      <c r="C11" s="81">
        <v>1480</v>
      </c>
      <c r="D11" s="81">
        <v>2630</v>
      </c>
      <c r="E11" s="81"/>
      <c r="F11" s="81">
        <v>6730</v>
      </c>
      <c r="G11" s="17"/>
      <c r="H11" s="17"/>
      <c r="I11" s="17"/>
      <c r="J11" s="18"/>
      <c r="L11" s="30">
        <v>2012</v>
      </c>
      <c r="M11" s="65">
        <f>C11/$F11</f>
        <v>0.21991084695393759</v>
      </c>
      <c r="N11" s="65">
        <f>D11/$F11</f>
        <v>0.39078751857355126</v>
      </c>
      <c r="O11" s="66"/>
      <c r="P11" s="82">
        <f>N18+N17*N11</f>
        <v>0.79894983991404367</v>
      </c>
      <c r="Q11" s="67"/>
    </row>
    <row r="12" spans="1:19" x14ac:dyDescent="0.2">
      <c r="A12" s="2"/>
      <c r="B12" s="33">
        <v>2013</v>
      </c>
      <c r="C12" s="81">
        <v>2130</v>
      </c>
      <c r="D12" s="81"/>
      <c r="E12" s="81"/>
      <c r="F12" s="81">
        <v>7250</v>
      </c>
      <c r="G12" s="17"/>
      <c r="H12" s="17"/>
      <c r="I12" s="17"/>
      <c r="J12" s="18"/>
      <c r="L12" s="30">
        <v>2013</v>
      </c>
      <c r="M12" s="65">
        <f>C12/$F12</f>
        <v>0.29379310344827586</v>
      </c>
      <c r="N12" s="65"/>
      <c r="O12" s="66"/>
      <c r="P12" s="82">
        <f>M18+M17*M12</f>
        <v>1.2371412773023058</v>
      </c>
      <c r="Q12" s="67"/>
    </row>
    <row r="13" spans="1:19" x14ac:dyDescent="0.2">
      <c r="A13" s="2"/>
      <c r="B13" s="17"/>
      <c r="C13" s="17"/>
      <c r="D13" s="17"/>
      <c r="E13" s="17"/>
      <c r="F13" s="17"/>
      <c r="G13" s="17"/>
      <c r="H13" s="17"/>
      <c r="I13" s="17"/>
      <c r="J13" s="18"/>
    </row>
    <row r="14" spans="1:19" x14ac:dyDescent="0.2">
      <c r="A14" s="2"/>
      <c r="B14" s="21" t="s">
        <v>174</v>
      </c>
      <c r="C14" s="17"/>
      <c r="D14" s="17"/>
      <c r="E14" s="34">
        <v>1.32</v>
      </c>
      <c r="F14" s="17"/>
      <c r="G14" s="17"/>
      <c r="H14" s="17"/>
      <c r="I14" s="17"/>
      <c r="J14" s="18"/>
      <c r="L14" s="19" t="s">
        <v>173</v>
      </c>
    </row>
    <row r="15" spans="1:19" x14ac:dyDescent="0.2">
      <c r="A15" s="2"/>
      <c r="B15" s="17"/>
      <c r="C15" s="17"/>
      <c r="D15" s="17"/>
      <c r="E15" s="17"/>
      <c r="F15" s="17"/>
      <c r="G15" s="17"/>
      <c r="H15" s="17"/>
      <c r="I15" s="17"/>
      <c r="J15" s="18"/>
      <c r="M15" s="69"/>
      <c r="N15" s="69"/>
    </row>
    <row r="16" spans="1:19" x14ac:dyDescent="0.2">
      <c r="A16" s="2"/>
      <c r="B16" s="17" t="s">
        <v>10</v>
      </c>
      <c r="C16" s="17"/>
      <c r="D16" s="17"/>
      <c r="E16" s="17"/>
      <c r="F16" s="17"/>
      <c r="G16" s="17"/>
      <c r="H16" s="17"/>
      <c r="I16" s="17"/>
      <c r="J16" s="18"/>
      <c r="L16" s="35"/>
      <c r="M16" s="36" t="s">
        <v>171</v>
      </c>
      <c r="N16" s="28" t="s">
        <v>172</v>
      </c>
    </row>
    <row r="17" spans="1:19" x14ac:dyDescent="0.2">
      <c r="A17" s="2"/>
      <c r="B17" s="17"/>
      <c r="C17" s="17"/>
      <c r="D17" s="17"/>
      <c r="E17" s="17"/>
      <c r="F17" s="17"/>
      <c r="G17" s="17"/>
      <c r="H17" s="17"/>
      <c r="I17" s="17"/>
      <c r="J17" s="18"/>
      <c r="L17" s="37" t="s">
        <v>11</v>
      </c>
      <c r="M17" s="26">
        <f>SLOPE(P8:P11,M8:M11)</f>
        <v>3.354149718074297</v>
      </c>
      <c r="N17" s="26">
        <f>SLOPE(P8:P10,N8:N10)</f>
        <v>1.6641045025018681</v>
      </c>
    </row>
    <row r="18" spans="1:19" ht="17" thickBot="1" x14ac:dyDescent="0.25">
      <c r="A18" s="2"/>
      <c r="B18" s="17"/>
      <c r="C18" s="17"/>
      <c r="D18" s="17"/>
      <c r="E18" s="17"/>
      <c r="F18" s="17"/>
      <c r="G18" s="17"/>
      <c r="H18" s="17"/>
      <c r="I18" s="17"/>
      <c r="J18" s="18"/>
      <c r="L18" s="37" t="s">
        <v>12</v>
      </c>
      <c r="M18" s="70">
        <f>INTERCEPT(P8:P11,M8:M11)</f>
        <v>0.2517152221990987</v>
      </c>
      <c r="N18" s="70">
        <f>INTERCEPT(P8:P10,N8:N10)</f>
        <v>0.14863857073426456</v>
      </c>
    </row>
    <row r="19" spans="1:19" ht="17" thickBot="1" x14ac:dyDescent="0.25">
      <c r="A19" s="296" t="s">
        <v>140</v>
      </c>
      <c r="B19" s="297"/>
      <c r="C19" s="297"/>
      <c r="D19" s="297"/>
      <c r="E19" s="297"/>
      <c r="F19" s="297"/>
      <c r="G19" s="297"/>
      <c r="H19" s="297"/>
      <c r="I19" s="297"/>
      <c r="J19" s="298"/>
    </row>
    <row r="20" spans="1:19" ht="17" thickBot="1" x14ac:dyDescent="0.25"/>
    <row r="21" spans="1:19" ht="20" thickBot="1" x14ac:dyDescent="0.3">
      <c r="A21" s="3"/>
      <c r="L21" s="41" t="s">
        <v>177</v>
      </c>
      <c r="M21" s="83">
        <f>P12*F12</f>
        <v>8969.2742604417181</v>
      </c>
    </row>
    <row r="23" spans="1:19" x14ac:dyDescent="0.2">
      <c r="L23" s="19" t="s">
        <v>178</v>
      </c>
    </row>
    <row r="26" spans="1:19" ht="19" x14ac:dyDescent="0.25">
      <c r="L26" s="3" t="s">
        <v>128</v>
      </c>
    </row>
    <row r="27" spans="1:19" x14ac:dyDescent="0.2">
      <c r="L27" s="294" t="s">
        <v>176</v>
      </c>
      <c r="M27" s="294"/>
      <c r="N27" s="294"/>
      <c r="O27" s="294"/>
      <c r="P27" s="294"/>
      <c r="Q27" s="294"/>
      <c r="R27" s="294"/>
      <c r="S27" s="294"/>
    </row>
    <row r="28" spans="1:19" x14ac:dyDescent="0.2">
      <c r="L28" s="294"/>
      <c r="M28" s="294"/>
      <c r="N28" s="294"/>
      <c r="O28" s="294"/>
      <c r="P28" s="294"/>
      <c r="Q28" s="294"/>
      <c r="R28" s="294"/>
      <c r="S28" s="294"/>
    </row>
    <row r="29" spans="1:19" x14ac:dyDescent="0.2">
      <c r="L29" s="294"/>
      <c r="M29" s="294"/>
      <c r="N29" s="294"/>
      <c r="O29" s="294"/>
      <c r="P29" s="294"/>
      <c r="Q29" s="294"/>
      <c r="R29" s="294"/>
      <c r="S29" s="294"/>
    </row>
    <row r="30" spans="1:19" x14ac:dyDescent="0.2">
      <c r="L30" s="294"/>
      <c r="M30" s="294"/>
      <c r="N30" s="294"/>
      <c r="O30" s="294"/>
      <c r="P30" s="294"/>
      <c r="Q30" s="294"/>
      <c r="R30" s="294"/>
      <c r="S30" s="294"/>
    </row>
    <row r="31" spans="1:19" x14ac:dyDescent="0.2">
      <c r="L31" s="294"/>
      <c r="M31" s="294"/>
      <c r="N31" s="294"/>
      <c r="O31" s="294"/>
      <c r="P31" s="294"/>
      <c r="Q31" s="294"/>
      <c r="R31" s="294"/>
      <c r="S31" s="294"/>
    </row>
    <row r="33" spans="1:20" ht="19" x14ac:dyDescent="0.25">
      <c r="L33" s="3" t="s">
        <v>203</v>
      </c>
    </row>
    <row r="34" spans="1:20" x14ac:dyDescent="0.2">
      <c r="L34" s="84" t="s">
        <v>204</v>
      </c>
      <c r="T34" s="80"/>
    </row>
    <row r="35" spans="1:20" x14ac:dyDescent="0.2">
      <c r="A35" s="4"/>
      <c r="T35" s="80"/>
    </row>
    <row r="36" spans="1:20" x14ac:dyDescent="0.2">
      <c r="T36" s="80"/>
    </row>
    <row r="37" spans="1:20" ht="16" customHeight="1" x14ac:dyDescent="0.2"/>
    <row r="42" spans="1:20" x14ac:dyDescent="0.2">
      <c r="N42" s="5"/>
    </row>
    <row r="43" spans="1:20" x14ac:dyDescent="0.2">
      <c r="N43" s="5"/>
    </row>
    <row r="44" spans="1:20" x14ac:dyDescent="0.2">
      <c r="N44" s="5"/>
    </row>
    <row r="45" spans="1:20" x14ac:dyDescent="0.2">
      <c r="N45" s="5"/>
    </row>
    <row r="46" spans="1:20" x14ac:dyDescent="0.2">
      <c r="L46" s="5"/>
      <c r="M46" s="5"/>
      <c r="N46" s="5"/>
    </row>
    <row r="47" spans="1:20" x14ac:dyDescent="0.2">
      <c r="A47" s="4"/>
      <c r="L47" s="5"/>
      <c r="M47" s="5"/>
      <c r="N47" s="5"/>
    </row>
    <row r="48" spans="1:20" x14ac:dyDescent="0.2">
      <c r="L48" s="5"/>
      <c r="M48" s="5"/>
      <c r="N48" s="5"/>
    </row>
    <row r="49" spans="12:14" x14ac:dyDescent="0.2">
      <c r="L49" s="5"/>
      <c r="M49" s="5"/>
      <c r="N49" s="5"/>
    </row>
    <row r="50" spans="12:14" x14ac:dyDescent="0.2">
      <c r="L50" s="5"/>
      <c r="M50" s="5"/>
      <c r="N50" s="5"/>
    </row>
    <row r="51" spans="12:14" x14ac:dyDescent="0.2">
      <c r="M51" s="20"/>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M61" s="20"/>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M71" s="20"/>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M81" s="20"/>
    </row>
    <row r="82" spans="1:65" x14ac:dyDescent="0.2">
      <c r="L82" s="5"/>
      <c r="M82" s="5"/>
      <c r="N82" s="5"/>
      <c r="O82" s="5"/>
      <c r="P82" s="5"/>
      <c r="Q82" s="5"/>
      <c r="R82" s="5"/>
      <c r="S82" s="5"/>
    </row>
    <row r="83" spans="1:65" x14ac:dyDescent="0.2">
      <c r="L83" s="5"/>
      <c r="M83" s="5"/>
      <c r="N83" s="5"/>
      <c r="O83" s="5"/>
      <c r="P83" s="5"/>
      <c r="Q83" s="5"/>
      <c r="R83" s="5"/>
      <c r="S83" s="5"/>
    </row>
    <row r="84" spans="1:65" x14ac:dyDescent="0.2">
      <c r="L84" s="5"/>
      <c r="M84" s="5"/>
      <c r="N84" s="5"/>
      <c r="O84" s="5"/>
      <c r="P84" s="5"/>
      <c r="Q84" s="5"/>
      <c r="R84" s="5"/>
      <c r="S84" s="5"/>
    </row>
    <row r="85" spans="1:65" x14ac:dyDescent="0.2">
      <c r="L85" s="5"/>
      <c r="M85" s="5"/>
      <c r="N85" s="5"/>
      <c r="O85" s="5"/>
      <c r="P85" s="5"/>
      <c r="Q85" s="5"/>
      <c r="R85" s="5"/>
      <c r="S85" s="5"/>
    </row>
    <row r="86" spans="1:65" x14ac:dyDescent="0.2">
      <c r="L86" s="5"/>
      <c r="M86" s="5"/>
      <c r="N86" s="5"/>
      <c r="O86" s="5"/>
      <c r="P86" s="5"/>
      <c r="Q86" s="5"/>
      <c r="R86" s="5"/>
      <c r="S86" s="5"/>
    </row>
    <row r="87" spans="1:65" x14ac:dyDescent="0.2">
      <c r="L87" s="5"/>
      <c r="M87" s="5"/>
      <c r="N87" s="5"/>
      <c r="O87" s="5"/>
      <c r="P87" s="5"/>
      <c r="Q87" s="5"/>
      <c r="R87" s="5"/>
      <c r="S87" s="5"/>
      <c r="T87" s="5"/>
      <c r="U87" s="5"/>
      <c r="V87" s="5"/>
      <c r="W87" s="5"/>
      <c r="X87" s="5"/>
      <c r="Y87" s="5"/>
      <c r="Z87" s="5"/>
      <c r="AA87" s="5"/>
      <c r="AB87" s="5"/>
      <c r="AC87" s="5"/>
      <c r="AD87" s="5"/>
      <c r="AE87" s="5"/>
    </row>
    <row r="88" spans="1:65" x14ac:dyDescent="0.2">
      <c r="L88" s="5"/>
      <c r="M88" s="5"/>
      <c r="N88" s="5"/>
      <c r="O88" s="5"/>
      <c r="P88" s="5"/>
      <c r="Q88" s="5"/>
      <c r="R88" s="5"/>
      <c r="S88" s="5"/>
      <c r="T88" s="5"/>
      <c r="U88" s="5"/>
      <c r="V88" s="5"/>
      <c r="W88" s="5"/>
      <c r="X88" s="5"/>
      <c r="Y88" s="5"/>
      <c r="Z88" s="5"/>
      <c r="AA88" s="5"/>
      <c r="AB88" s="5"/>
      <c r="AC88" s="5"/>
      <c r="AD88" s="5"/>
      <c r="AE88" s="5"/>
    </row>
    <row r="89" spans="1:65" x14ac:dyDescent="0.2">
      <c r="A89" s="5"/>
      <c r="B89" s="5"/>
      <c r="C89" s="5"/>
      <c r="D89" s="5"/>
      <c r="E89" s="5"/>
      <c r="F89" s="5"/>
      <c r="G89" s="5"/>
      <c r="H89" s="5"/>
      <c r="I89" s="5"/>
      <c r="J89" s="5"/>
      <c r="L89" s="5"/>
      <c r="M89" s="5"/>
      <c r="N89" s="5"/>
      <c r="O89" s="5"/>
      <c r="P89" s="5"/>
      <c r="Q89" s="5"/>
      <c r="R89" s="5"/>
      <c r="S89" s="5"/>
      <c r="T89" s="5"/>
      <c r="U89" s="5"/>
      <c r="V89" s="5"/>
      <c r="W89" s="5"/>
      <c r="X89" s="5"/>
      <c r="Y89" s="5"/>
      <c r="Z89" s="5"/>
      <c r="AA89" s="5"/>
      <c r="AB89" s="5"/>
      <c r="AC89" s="5"/>
      <c r="AD89" s="5"/>
      <c r="AE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K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sheetData>
  <mergeCells count="7">
    <mergeCell ref="L2:S3"/>
    <mergeCell ref="C5:F5"/>
    <mergeCell ref="A19:J19"/>
    <mergeCell ref="L27:S31"/>
    <mergeCell ref="P6:P7"/>
    <mergeCell ref="F6:F7"/>
    <mergeCell ref="B6:B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M163"/>
  <sheetViews>
    <sheetView zoomScaleNormal="100" workbookViewId="0"/>
  </sheetViews>
  <sheetFormatPr baseColWidth="10" defaultColWidth="10.83203125" defaultRowHeight="16" outlineLevelCol="1" x14ac:dyDescent="0.2"/>
  <cols>
    <col min="1" max="1" width="4.6640625" style="19" customWidth="1"/>
    <col min="2" max="10" width="11" style="19" customWidth="1"/>
    <col min="11" max="11" width="11.5" style="19" bestFit="1" customWidth="1"/>
    <col min="12" max="12" width="17.33203125" style="19" hidden="1" customWidth="1" outlineLevel="1"/>
    <col min="13" max="13" width="13.6640625" style="19" hidden="1" customWidth="1" outlineLevel="1"/>
    <col min="14" max="14" width="10.83203125" style="19" hidden="1" customWidth="1" outlineLevel="1"/>
    <col min="15" max="18" width="0" style="19" hidden="1" customWidth="1" outlineLevel="1"/>
    <col min="19" max="19" width="10.83203125" style="19" collapsed="1"/>
    <col min="20" max="16384" width="10.83203125" style="19"/>
  </cols>
  <sheetData>
    <row r="1" spans="1:14" ht="19" x14ac:dyDescent="0.25">
      <c r="A1" s="1" t="s">
        <v>162</v>
      </c>
      <c r="B1" s="9"/>
      <c r="C1" s="16"/>
      <c r="D1" s="16"/>
      <c r="E1" s="16"/>
      <c r="F1" s="17"/>
      <c r="G1" s="17"/>
      <c r="H1" s="17"/>
      <c r="I1" s="17"/>
      <c r="J1" s="18"/>
      <c r="K1" s="3" t="s">
        <v>141</v>
      </c>
    </row>
    <row r="2" spans="1:14" x14ac:dyDescent="0.2">
      <c r="A2" s="2"/>
      <c r="B2" s="17"/>
      <c r="C2" s="17"/>
      <c r="D2" s="17"/>
      <c r="E2" s="17"/>
      <c r="F2" s="17"/>
      <c r="G2" s="17"/>
      <c r="H2" s="17"/>
      <c r="I2" s="17"/>
      <c r="J2" s="18"/>
      <c r="L2" s="19" t="s">
        <v>21</v>
      </c>
      <c r="N2" s="19">
        <f>48*(1+0.15)</f>
        <v>55.199999999999996</v>
      </c>
    </row>
    <row r="3" spans="1:14" x14ac:dyDescent="0.2">
      <c r="A3" s="2"/>
      <c r="B3" s="17" t="s">
        <v>15</v>
      </c>
      <c r="C3" s="17"/>
      <c r="D3" s="17"/>
      <c r="E3" s="17"/>
      <c r="F3" s="17"/>
      <c r="G3" s="17"/>
      <c r="H3" s="17"/>
      <c r="I3" s="17"/>
      <c r="J3" s="18"/>
      <c r="L3" s="19" t="s">
        <v>22</v>
      </c>
      <c r="N3" s="19">
        <f>4</f>
        <v>4</v>
      </c>
    </row>
    <row r="4" spans="1:14" x14ac:dyDescent="0.2">
      <c r="A4" s="2"/>
      <c r="B4" s="17"/>
      <c r="C4" s="17"/>
      <c r="D4" s="17"/>
      <c r="E4" s="17"/>
      <c r="F4" s="17"/>
      <c r="G4" s="17"/>
      <c r="H4" s="17"/>
      <c r="I4" s="17"/>
      <c r="J4" s="18"/>
      <c r="L4" s="19" t="s">
        <v>23</v>
      </c>
      <c r="N4" s="19">
        <v>0.7</v>
      </c>
    </row>
    <row r="5" spans="1:14" x14ac:dyDescent="0.2">
      <c r="A5" s="2"/>
      <c r="B5" s="17" t="s">
        <v>16</v>
      </c>
      <c r="C5" s="17"/>
      <c r="D5" s="17"/>
      <c r="E5" s="17"/>
      <c r="F5" s="17"/>
      <c r="G5" s="17"/>
      <c r="H5" s="17"/>
      <c r="I5" s="17"/>
      <c r="J5" s="18"/>
      <c r="L5" s="19" t="s">
        <v>24</v>
      </c>
      <c r="N5" s="19">
        <v>0.08</v>
      </c>
    </row>
    <row r="6" spans="1:14" x14ac:dyDescent="0.2">
      <c r="A6" s="2"/>
      <c r="B6" s="21" t="s">
        <v>144</v>
      </c>
      <c r="C6" s="17"/>
      <c r="D6" s="17"/>
      <c r="E6" s="17"/>
      <c r="F6" s="17"/>
      <c r="G6" s="17"/>
      <c r="H6" s="17"/>
      <c r="I6" s="17"/>
      <c r="J6" s="18"/>
    </row>
    <row r="7" spans="1:14" x14ac:dyDescent="0.2">
      <c r="A7" s="2"/>
      <c r="B7" s="21" t="s">
        <v>145</v>
      </c>
      <c r="C7" s="17"/>
      <c r="D7" s="17"/>
      <c r="E7" s="17"/>
      <c r="F7" s="17"/>
      <c r="G7" s="17"/>
      <c r="H7" s="17"/>
      <c r="I7" s="17"/>
      <c r="J7" s="18"/>
      <c r="L7" s="19" t="s">
        <v>25</v>
      </c>
    </row>
    <row r="8" spans="1:14" x14ac:dyDescent="0.2">
      <c r="A8" s="2"/>
      <c r="B8" s="17"/>
      <c r="C8" s="17"/>
      <c r="D8" s="17"/>
      <c r="E8" s="17"/>
      <c r="F8" s="17"/>
      <c r="G8" s="17"/>
      <c r="H8" s="17"/>
      <c r="I8" s="17"/>
      <c r="J8" s="18"/>
    </row>
    <row r="9" spans="1:14" x14ac:dyDescent="0.2">
      <c r="A9" s="2"/>
      <c r="B9" s="17" t="s">
        <v>17</v>
      </c>
      <c r="C9" s="17"/>
      <c r="D9" s="17"/>
      <c r="E9" s="17"/>
      <c r="F9" s="17"/>
      <c r="G9" s="17"/>
      <c r="H9" s="17"/>
      <c r="I9" s="17"/>
      <c r="J9" s="18"/>
      <c r="L9" s="56" t="s">
        <v>27</v>
      </c>
      <c r="M9" s="56">
        <f>(N4*N3)^2</f>
        <v>7.839999999999999</v>
      </c>
    </row>
    <row r="10" spans="1:14" x14ac:dyDescent="0.2">
      <c r="A10" s="2"/>
      <c r="B10" s="17" t="s">
        <v>18</v>
      </c>
      <c r="C10" s="17"/>
      <c r="D10" s="17"/>
      <c r="E10" s="17"/>
      <c r="F10" s="17"/>
      <c r="G10" s="17"/>
      <c r="H10" s="17"/>
      <c r="I10" s="17"/>
      <c r="J10" s="18"/>
      <c r="L10" s="56" t="s">
        <v>26</v>
      </c>
      <c r="M10" s="72">
        <f>N5^2*(N3^2+N2^2)</f>
        <v>19.603455999999998</v>
      </c>
    </row>
    <row r="11" spans="1:14" x14ac:dyDescent="0.2">
      <c r="A11" s="2"/>
      <c r="B11" s="21" t="s">
        <v>146</v>
      </c>
      <c r="C11" s="17"/>
      <c r="D11" s="17"/>
      <c r="E11" s="17"/>
      <c r="F11" s="17"/>
      <c r="G11" s="17"/>
      <c r="H11" s="17"/>
      <c r="I11" s="17"/>
      <c r="J11" s="18"/>
    </row>
    <row r="12" spans="1:14" x14ac:dyDescent="0.2">
      <c r="A12" s="2"/>
      <c r="B12" s="21" t="s">
        <v>147</v>
      </c>
      <c r="C12" s="17"/>
      <c r="D12" s="17"/>
      <c r="E12" s="17"/>
      <c r="F12" s="17"/>
      <c r="G12" s="17"/>
      <c r="H12" s="17"/>
      <c r="I12" s="17"/>
      <c r="J12" s="18"/>
      <c r="L12" s="19" t="s">
        <v>28</v>
      </c>
    </row>
    <row r="13" spans="1:14" x14ac:dyDescent="0.2">
      <c r="A13" s="2"/>
      <c r="B13" s="21" t="s">
        <v>148</v>
      </c>
      <c r="C13" s="17"/>
      <c r="D13" s="17"/>
      <c r="E13" s="17"/>
      <c r="F13" s="17"/>
      <c r="G13" s="17"/>
      <c r="H13" s="17"/>
      <c r="I13" s="17"/>
      <c r="J13" s="18"/>
      <c r="L13" s="56" t="s">
        <v>29</v>
      </c>
      <c r="M13" s="65">
        <f>M9/SUM(M9:M10)</f>
        <v>0.2856783052396899</v>
      </c>
    </row>
    <row r="14" spans="1:14" x14ac:dyDescent="0.2">
      <c r="A14" s="2"/>
      <c r="B14" s="21" t="s">
        <v>149</v>
      </c>
      <c r="C14" s="17"/>
      <c r="D14" s="17"/>
      <c r="E14" s="17"/>
      <c r="F14" s="17"/>
      <c r="G14" s="17"/>
      <c r="H14" s="17"/>
      <c r="I14" s="17"/>
      <c r="J14" s="18"/>
      <c r="L14" s="56"/>
      <c r="M14" s="56"/>
    </row>
    <row r="15" spans="1:14" x14ac:dyDescent="0.2">
      <c r="A15" s="2"/>
      <c r="B15" s="17"/>
      <c r="C15" s="17"/>
      <c r="D15" s="17"/>
      <c r="E15" s="17"/>
      <c r="F15" s="17"/>
      <c r="G15" s="17"/>
      <c r="H15" s="17"/>
      <c r="I15" s="17"/>
      <c r="J15" s="18"/>
      <c r="L15" s="56" t="s">
        <v>30</v>
      </c>
      <c r="M15" s="72">
        <f>M13*36/N4+(1-M13)*N2</f>
        <v>54.122584677381738</v>
      </c>
    </row>
    <row r="16" spans="1:14" ht="17" thickBot="1" x14ac:dyDescent="0.25">
      <c r="A16" s="2"/>
      <c r="B16" s="17" t="s">
        <v>19</v>
      </c>
      <c r="C16" s="17"/>
      <c r="D16" s="17"/>
      <c r="E16" s="17"/>
      <c r="F16" s="17"/>
      <c r="G16" s="17"/>
      <c r="H16" s="17"/>
      <c r="I16" s="17"/>
      <c r="J16" s="18"/>
      <c r="L16" s="56"/>
      <c r="M16" s="72"/>
    </row>
    <row r="17" spans="1:18" ht="17" thickBot="1" x14ac:dyDescent="0.25">
      <c r="A17" s="2"/>
      <c r="B17" s="17"/>
      <c r="C17" s="17"/>
      <c r="D17" s="17"/>
      <c r="E17" s="17"/>
      <c r="F17" s="17"/>
      <c r="G17" s="17"/>
      <c r="H17" s="17"/>
      <c r="I17" s="17"/>
      <c r="J17" s="18"/>
      <c r="L17" s="87" t="s">
        <v>32</v>
      </c>
      <c r="M17" s="88">
        <f>M15-36</f>
        <v>18.122584677381738</v>
      </c>
      <c r="N17" s="84" t="s">
        <v>31</v>
      </c>
    </row>
    <row r="18" spans="1:18" x14ac:dyDescent="0.2">
      <c r="A18" s="2"/>
      <c r="B18" s="17"/>
      <c r="C18" s="17"/>
      <c r="D18" s="17"/>
      <c r="E18" s="17"/>
      <c r="F18" s="17"/>
      <c r="G18" s="17"/>
      <c r="H18" s="17"/>
      <c r="I18" s="17"/>
      <c r="J18" s="18"/>
    </row>
    <row r="19" spans="1:18" x14ac:dyDescent="0.2">
      <c r="A19" s="2"/>
      <c r="B19" s="17" t="s">
        <v>20</v>
      </c>
      <c r="C19" s="17"/>
      <c r="D19" s="17"/>
      <c r="E19" s="17"/>
      <c r="F19" s="17"/>
      <c r="G19" s="17"/>
      <c r="H19" s="17"/>
      <c r="I19" s="17"/>
      <c r="J19" s="18"/>
    </row>
    <row r="20" spans="1:18" ht="19" x14ac:dyDescent="0.25">
      <c r="A20" s="2"/>
      <c r="B20" s="17"/>
      <c r="C20" s="17"/>
      <c r="D20" s="17"/>
      <c r="E20" s="17"/>
      <c r="F20" s="17"/>
      <c r="G20" s="17"/>
      <c r="H20" s="17"/>
      <c r="I20" s="17"/>
      <c r="J20" s="18"/>
      <c r="L20" s="3" t="s">
        <v>128</v>
      </c>
    </row>
    <row r="21" spans="1:18" ht="17" thickBot="1" x14ac:dyDescent="0.25">
      <c r="A21" s="2"/>
      <c r="B21" s="17"/>
      <c r="C21" s="17"/>
      <c r="D21" s="17"/>
      <c r="E21" s="17"/>
      <c r="F21" s="17"/>
      <c r="G21" s="17"/>
      <c r="H21" s="17"/>
      <c r="I21" s="17"/>
      <c r="J21" s="18"/>
      <c r="L21" s="305" t="s">
        <v>208</v>
      </c>
      <c r="M21" s="294"/>
      <c r="N21" s="294"/>
      <c r="O21" s="294"/>
      <c r="P21" s="294"/>
      <c r="Q21" s="294"/>
      <c r="R21" s="294"/>
    </row>
    <row r="22" spans="1:18" ht="17" thickBot="1" x14ac:dyDescent="0.25">
      <c r="A22" s="296" t="s">
        <v>140</v>
      </c>
      <c r="B22" s="297"/>
      <c r="C22" s="297"/>
      <c r="D22" s="297"/>
      <c r="E22" s="297"/>
      <c r="F22" s="297"/>
      <c r="G22" s="297"/>
      <c r="H22" s="297"/>
      <c r="I22" s="297"/>
      <c r="J22" s="298"/>
      <c r="L22" s="294"/>
      <c r="M22" s="294"/>
      <c r="N22" s="294"/>
      <c r="O22" s="294"/>
      <c r="P22" s="294"/>
      <c r="Q22" s="294"/>
      <c r="R22" s="294"/>
    </row>
    <row r="23" spans="1:18" x14ac:dyDescent="0.2">
      <c r="L23" s="294"/>
      <c r="M23" s="294"/>
      <c r="N23" s="294"/>
      <c r="O23" s="294"/>
      <c r="P23" s="294"/>
      <c r="Q23" s="294"/>
      <c r="R23" s="294"/>
    </row>
    <row r="24" spans="1:18" ht="19" x14ac:dyDescent="0.25">
      <c r="A24" s="3"/>
      <c r="L24" s="294"/>
      <c r="M24" s="294"/>
      <c r="N24" s="294"/>
      <c r="O24" s="294"/>
      <c r="P24" s="294"/>
      <c r="Q24" s="294"/>
      <c r="R24" s="294"/>
    </row>
    <row r="26" spans="1:18" ht="19" x14ac:dyDescent="0.25">
      <c r="L26" s="3" t="s">
        <v>203</v>
      </c>
      <c r="M26" s="5"/>
      <c r="N26" s="5"/>
    </row>
    <row r="27" spans="1:18" x14ac:dyDescent="0.2">
      <c r="L27" s="84" t="s">
        <v>205</v>
      </c>
      <c r="M27" s="5"/>
      <c r="N27" s="5"/>
    </row>
    <row r="28" spans="1:18" x14ac:dyDescent="0.2">
      <c r="L28" s="5"/>
      <c r="M28" s="5"/>
      <c r="N28" s="5"/>
    </row>
    <row r="29" spans="1:18" x14ac:dyDescent="0.2">
      <c r="L29" s="5"/>
      <c r="M29" s="5"/>
      <c r="N29" s="5"/>
    </row>
    <row r="30" spans="1:18" x14ac:dyDescent="0.2">
      <c r="L30" s="5"/>
      <c r="M30" s="5"/>
      <c r="N30" s="5"/>
    </row>
    <row r="31" spans="1:18" x14ac:dyDescent="0.2">
      <c r="M31" s="20"/>
    </row>
    <row r="32" spans="1:18" x14ac:dyDescent="0.2">
      <c r="L32" s="5"/>
      <c r="M32" s="5"/>
      <c r="N32" s="5"/>
    </row>
    <row r="33" spans="12:14" x14ac:dyDescent="0.2">
      <c r="L33" s="5"/>
      <c r="M33" s="5"/>
      <c r="N33" s="5"/>
    </row>
    <row r="34" spans="12:14" x14ac:dyDescent="0.2">
      <c r="L34" s="5"/>
      <c r="M34" s="5"/>
      <c r="N34" s="5"/>
    </row>
    <row r="35" spans="12:14" x14ac:dyDescent="0.2">
      <c r="L35" s="5"/>
      <c r="M35" s="5"/>
      <c r="N35" s="5"/>
    </row>
    <row r="36" spans="12:14" x14ac:dyDescent="0.2">
      <c r="L36" s="5"/>
      <c r="M36" s="5"/>
      <c r="N36" s="5"/>
    </row>
    <row r="37" spans="12:14" x14ac:dyDescent="0.2">
      <c r="L37" s="5"/>
      <c r="M37" s="5"/>
      <c r="N37" s="5"/>
    </row>
    <row r="38" spans="12:14" x14ac:dyDescent="0.2">
      <c r="L38" s="5"/>
      <c r="M38" s="5"/>
      <c r="N38" s="5"/>
    </row>
    <row r="39" spans="12:14" x14ac:dyDescent="0.2">
      <c r="L39" s="5"/>
      <c r="M39" s="5"/>
      <c r="N39" s="5"/>
    </row>
    <row r="40" spans="12:14" x14ac:dyDescent="0.2">
      <c r="L40" s="5"/>
      <c r="M40" s="5"/>
      <c r="N40" s="5"/>
    </row>
    <row r="41" spans="12:14" x14ac:dyDescent="0.2">
      <c r="M41" s="20"/>
    </row>
    <row r="42" spans="12:14" x14ac:dyDescent="0.2">
      <c r="L42" s="5"/>
      <c r="M42" s="5"/>
      <c r="N42" s="5"/>
    </row>
    <row r="43" spans="12:14" x14ac:dyDescent="0.2">
      <c r="L43" s="5"/>
      <c r="M43" s="5"/>
      <c r="N43" s="5"/>
    </row>
    <row r="44" spans="12:14" x14ac:dyDescent="0.2">
      <c r="L44" s="5"/>
      <c r="M44" s="5"/>
      <c r="N44" s="5"/>
    </row>
    <row r="45" spans="12:14" x14ac:dyDescent="0.2">
      <c r="L45" s="5"/>
      <c r="M45" s="5"/>
      <c r="N45" s="5"/>
    </row>
    <row r="46" spans="12:14" x14ac:dyDescent="0.2">
      <c r="L46" s="5"/>
      <c r="M46" s="5"/>
      <c r="N46" s="5"/>
    </row>
    <row r="47" spans="12:14" x14ac:dyDescent="0.2">
      <c r="L47" s="5"/>
      <c r="M47" s="5"/>
      <c r="N47" s="5"/>
    </row>
    <row r="48" spans="12:14" x14ac:dyDescent="0.2">
      <c r="L48" s="5"/>
      <c r="M48" s="5"/>
      <c r="N48" s="5"/>
    </row>
    <row r="49" spans="1:65" x14ac:dyDescent="0.2">
      <c r="L49" s="5"/>
      <c r="M49" s="5"/>
      <c r="N49" s="5"/>
    </row>
    <row r="50" spans="1:65" x14ac:dyDescent="0.2">
      <c r="L50" s="5"/>
      <c r="M50" s="5"/>
      <c r="N50" s="5"/>
    </row>
    <row r="51" spans="1:65" x14ac:dyDescent="0.2">
      <c r="M51" s="20"/>
    </row>
    <row r="52" spans="1:65" x14ac:dyDescent="0.2">
      <c r="L52" s="5"/>
      <c r="M52" s="5"/>
      <c r="N52" s="5"/>
    </row>
    <row r="53" spans="1:65" x14ac:dyDescent="0.2">
      <c r="L53" s="5"/>
      <c r="M53" s="5"/>
      <c r="N53" s="5"/>
    </row>
    <row r="54" spans="1:65" x14ac:dyDescent="0.2">
      <c r="L54" s="5"/>
      <c r="M54" s="5"/>
      <c r="N54" s="5"/>
    </row>
    <row r="55" spans="1:65" x14ac:dyDescent="0.2">
      <c r="L55" s="5"/>
      <c r="M55" s="5"/>
      <c r="N55" s="5"/>
    </row>
    <row r="56" spans="1:65" x14ac:dyDescent="0.2">
      <c r="L56" s="5"/>
      <c r="M56" s="5"/>
      <c r="N56" s="5"/>
    </row>
    <row r="57" spans="1:65" x14ac:dyDescent="0.2">
      <c r="L57" s="5"/>
      <c r="M57" s="5"/>
      <c r="N57" s="5"/>
    </row>
    <row r="58" spans="1:65" x14ac:dyDescent="0.2">
      <c r="L58" s="5"/>
      <c r="M58" s="5"/>
      <c r="N58" s="5"/>
    </row>
    <row r="59" spans="1:65" x14ac:dyDescent="0.2">
      <c r="L59" s="5"/>
      <c r="M59" s="5"/>
      <c r="N59" s="5"/>
    </row>
    <row r="60" spans="1:65" x14ac:dyDescent="0.2">
      <c r="L60" s="5"/>
      <c r="M60" s="5"/>
      <c r="N60" s="5"/>
    </row>
    <row r="61" spans="1:65" x14ac:dyDescent="0.2">
      <c r="A61" s="5"/>
      <c r="B61" s="5"/>
      <c r="C61" s="5"/>
      <c r="D61" s="5"/>
      <c r="E61" s="5"/>
      <c r="F61" s="5"/>
      <c r="G61" s="5"/>
      <c r="H61" s="5"/>
      <c r="I61" s="5"/>
      <c r="J61" s="5"/>
      <c r="M61" s="20"/>
    </row>
    <row r="62" spans="1:65"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row>
    <row r="63" spans="1:65"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row>
    <row r="64" spans="1:65"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row>
    <row r="65" spans="1:65"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row>
    <row r="66" spans="1:65"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row>
    <row r="67" spans="1:65"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row>
    <row r="68" spans="1:65"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row>
    <row r="69" spans="1:65"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row>
    <row r="70" spans="1:65"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row>
    <row r="71" spans="1:65"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row>
    <row r="72" spans="1:65"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row>
    <row r="73" spans="1:65"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row>
    <row r="74" spans="1:65"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row>
    <row r="75" spans="1:65"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row>
    <row r="76" spans="1:65"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row>
    <row r="77" spans="1:65"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row>
    <row r="78" spans="1:6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sheetData>
  <mergeCells count="2">
    <mergeCell ref="A22:J22"/>
    <mergeCell ref="L21:R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189"/>
  <sheetViews>
    <sheetView zoomScaleNormal="100" workbookViewId="0"/>
  </sheetViews>
  <sheetFormatPr baseColWidth="10" defaultColWidth="10.83203125" defaultRowHeight="16" outlineLevelCol="1" x14ac:dyDescent="0.2"/>
  <cols>
    <col min="1" max="1" width="4.6640625" style="19" customWidth="1"/>
    <col min="2" max="5" width="10.83203125" style="19"/>
    <col min="6" max="7" width="10.83203125" style="19" customWidth="1"/>
    <col min="8" max="10" width="10.83203125" style="19"/>
    <col min="11" max="11" width="11.5" style="19" bestFit="1" customWidth="1"/>
    <col min="12" max="19" width="10.83203125" style="19" hidden="1" customWidth="1" outlineLevel="1"/>
    <col min="20" max="20" width="10.83203125" style="19" collapsed="1"/>
    <col min="21" max="16384" width="10.83203125" style="19"/>
  </cols>
  <sheetData>
    <row r="1" spans="1:17" ht="19" x14ac:dyDescent="0.25">
      <c r="A1" s="1" t="s">
        <v>163</v>
      </c>
      <c r="B1" s="9"/>
      <c r="C1" s="16"/>
      <c r="D1" s="16"/>
      <c r="E1" s="16"/>
      <c r="F1" s="58"/>
      <c r="G1" s="58"/>
      <c r="H1" s="58"/>
      <c r="I1" s="58"/>
      <c r="J1" s="59"/>
      <c r="K1" s="3" t="s">
        <v>141</v>
      </c>
    </row>
    <row r="2" spans="1:17" x14ac:dyDescent="0.2">
      <c r="A2" s="2"/>
      <c r="B2" s="17"/>
      <c r="C2" s="17"/>
      <c r="D2" s="17"/>
      <c r="E2" s="17"/>
      <c r="F2" s="17"/>
      <c r="G2" s="17"/>
      <c r="H2" s="17"/>
      <c r="I2" s="17"/>
      <c r="J2" s="18"/>
      <c r="L2" s="6" t="s">
        <v>2</v>
      </c>
      <c r="M2" s="20"/>
    </row>
    <row r="3" spans="1:17" x14ac:dyDescent="0.2">
      <c r="A3" s="2"/>
      <c r="B3" s="17" t="s">
        <v>33</v>
      </c>
      <c r="C3" s="17"/>
      <c r="D3" s="17"/>
      <c r="E3" s="17"/>
      <c r="F3" s="17"/>
      <c r="G3" s="17"/>
      <c r="H3" s="17"/>
      <c r="I3" s="17"/>
      <c r="J3" s="18"/>
    </row>
    <row r="4" spans="1:17" x14ac:dyDescent="0.2">
      <c r="A4" s="2"/>
      <c r="B4" s="17" t="s">
        <v>34</v>
      </c>
      <c r="C4" s="17"/>
      <c r="D4" s="17"/>
      <c r="E4" s="17"/>
      <c r="F4" s="17"/>
      <c r="G4" s="17"/>
      <c r="H4" s="17"/>
      <c r="I4" s="17"/>
      <c r="J4" s="18"/>
      <c r="M4" s="60" t="s">
        <v>189</v>
      </c>
      <c r="N4" s="19">
        <v>1.1499999999999999</v>
      </c>
    </row>
    <row r="5" spans="1:17" x14ac:dyDescent="0.2">
      <c r="A5" s="2"/>
      <c r="B5" s="17"/>
      <c r="C5" s="17"/>
      <c r="D5" s="17"/>
      <c r="E5" s="17"/>
      <c r="F5" s="17"/>
      <c r="G5" s="17"/>
      <c r="H5" s="17"/>
      <c r="I5" s="17"/>
      <c r="J5" s="18"/>
    </row>
    <row r="6" spans="1:17" x14ac:dyDescent="0.2">
      <c r="A6" s="2"/>
      <c r="B6" s="17"/>
      <c r="C6" s="295" t="s">
        <v>38</v>
      </c>
      <c r="D6" s="295"/>
      <c r="E6" s="295"/>
      <c r="F6" s="14"/>
      <c r="G6" s="14"/>
      <c r="H6" s="17"/>
      <c r="I6" s="17"/>
      <c r="J6" s="18"/>
      <c r="M6" s="19" t="s">
        <v>181</v>
      </c>
    </row>
    <row r="7" spans="1:17" x14ac:dyDescent="0.2">
      <c r="A7" s="2"/>
      <c r="B7" s="17"/>
      <c r="C7" s="12"/>
      <c r="D7" s="12"/>
      <c r="E7" s="12"/>
      <c r="F7" s="12"/>
      <c r="G7" s="301" t="s">
        <v>37</v>
      </c>
      <c r="H7" s="17"/>
      <c r="I7" s="17"/>
      <c r="J7" s="18"/>
    </row>
    <row r="8" spans="1:17" ht="16" customHeight="1" x14ac:dyDescent="0.2">
      <c r="A8" s="2"/>
      <c r="B8" s="17"/>
      <c r="C8" s="303" t="s">
        <v>5</v>
      </c>
      <c r="D8" s="12"/>
      <c r="E8" s="12"/>
      <c r="F8" s="12"/>
      <c r="G8" s="301"/>
      <c r="H8" s="17"/>
      <c r="I8" s="17"/>
      <c r="J8" s="18"/>
      <c r="M8" s="61"/>
      <c r="N8" s="62">
        <v>12</v>
      </c>
      <c r="O8" s="61">
        <v>24</v>
      </c>
      <c r="P8" s="62" t="s">
        <v>42</v>
      </c>
      <c r="Q8" s="63"/>
    </row>
    <row r="9" spans="1:17" ht="17" x14ac:dyDescent="0.2">
      <c r="A9" s="2"/>
      <c r="B9" s="17"/>
      <c r="C9" s="304"/>
      <c r="D9" s="53" t="s">
        <v>35</v>
      </c>
      <c r="E9" s="53" t="s">
        <v>36</v>
      </c>
      <c r="F9" s="64"/>
      <c r="G9" s="302"/>
      <c r="H9" s="17"/>
      <c r="I9" s="17"/>
      <c r="J9" s="18"/>
      <c r="M9" s="30">
        <v>2011</v>
      </c>
      <c r="N9" s="65">
        <f t="shared" ref="N9:O12" si="0">D10/$G10</f>
        <v>2.1999999999999999E-2</v>
      </c>
      <c r="O9" s="66">
        <f t="shared" si="0"/>
        <v>0.76800000000000002</v>
      </c>
      <c r="P9" s="65">
        <f>O9*$N$4</f>
        <v>0.88319999999999999</v>
      </c>
      <c r="Q9" s="67"/>
    </row>
    <row r="10" spans="1:17" x14ac:dyDescent="0.2">
      <c r="A10" s="2"/>
      <c r="B10" s="17"/>
      <c r="C10" s="33">
        <v>2011</v>
      </c>
      <c r="D10" s="34">
        <v>22</v>
      </c>
      <c r="E10" s="34">
        <v>768</v>
      </c>
      <c r="F10" s="64"/>
      <c r="G10" s="64">
        <v>1000</v>
      </c>
      <c r="H10" s="17"/>
      <c r="I10" s="17"/>
      <c r="J10" s="18"/>
      <c r="M10" s="30">
        <v>2012</v>
      </c>
      <c r="N10" s="65">
        <f t="shared" si="0"/>
        <v>0.17916666666666667</v>
      </c>
      <c r="O10" s="66">
        <f t="shared" si="0"/>
        <v>0.92249999999999999</v>
      </c>
      <c r="P10" s="65">
        <f>O10*$N$4</f>
        <v>1.060875</v>
      </c>
      <c r="Q10" s="67"/>
    </row>
    <row r="11" spans="1:17" x14ac:dyDescent="0.2">
      <c r="A11" s="2"/>
      <c r="B11" s="17"/>
      <c r="C11" s="33">
        <v>2012</v>
      </c>
      <c r="D11" s="34">
        <v>215</v>
      </c>
      <c r="E11" s="64">
        <v>1107</v>
      </c>
      <c r="F11" s="64"/>
      <c r="G11" s="64">
        <v>1200</v>
      </c>
      <c r="H11" s="17"/>
      <c r="I11" s="17"/>
      <c r="J11" s="18"/>
      <c r="M11" s="30">
        <v>2013</v>
      </c>
      <c r="N11" s="65">
        <f t="shared" si="0"/>
        <v>9.7142857142857142E-2</v>
      </c>
      <c r="O11" s="66">
        <f t="shared" si="0"/>
        <v>0.71714285714285719</v>
      </c>
      <c r="P11" s="65">
        <f>O11*$N$4</f>
        <v>0.82471428571428573</v>
      </c>
      <c r="Q11" s="67"/>
    </row>
    <row r="12" spans="1:17" x14ac:dyDescent="0.2">
      <c r="A12" s="2"/>
      <c r="B12" s="17"/>
      <c r="C12" s="33">
        <v>2013</v>
      </c>
      <c r="D12" s="34">
        <v>136</v>
      </c>
      <c r="E12" s="64">
        <v>1004</v>
      </c>
      <c r="F12" s="64"/>
      <c r="G12" s="64">
        <v>1400</v>
      </c>
      <c r="H12" s="17"/>
      <c r="I12" s="17"/>
      <c r="J12" s="18"/>
      <c r="M12" s="30">
        <v>2014</v>
      </c>
      <c r="N12" s="65">
        <f t="shared" si="0"/>
        <v>3.8666666666666669E-2</v>
      </c>
      <c r="O12" s="66">
        <f t="shared" si="0"/>
        <v>0.80533333333333335</v>
      </c>
      <c r="P12" s="65">
        <f>O12*$N$4</f>
        <v>0.92613333333333325</v>
      </c>
      <c r="Q12" s="67"/>
    </row>
    <row r="13" spans="1:17" x14ac:dyDescent="0.2">
      <c r="A13" s="2"/>
      <c r="B13" s="17"/>
      <c r="C13" s="33">
        <v>2014</v>
      </c>
      <c r="D13" s="34">
        <v>58</v>
      </c>
      <c r="E13" s="64">
        <v>1208</v>
      </c>
      <c r="F13" s="64"/>
      <c r="G13" s="64">
        <v>1500</v>
      </c>
      <c r="H13" s="17"/>
      <c r="I13" s="17"/>
      <c r="J13" s="18"/>
      <c r="M13" s="30">
        <v>2015</v>
      </c>
      <c r="N13" s="65">
        <f>D14/$G14</f>
        <v>0.24187500000000001</v>
      </c>
      <c r="O13" s="66"/>
      <c r="P13" s="13">
        <f>N18+N17*N13</f>
        <v>1.0712117575802451</v>
      </c>
      <c r="Q13" s="67"/>
    </row>
    <row r="14" spans="1:17" x14ac:dyDescent="0.2">
      <c r="A14" s="2"/>
      <c r="B14" s="17"/>
      <c r="C14" s="33">
        <v>2015</v>
      </c>
      <c r="D14" s="34">
        <v>387</v>
      </c>
      <c r="E14" s="34"/>
      <c r="F14" s="34"/>
      <c r="G14" s="64">
        <v>1600</v>
      </c>
      <c r="H14" s="17"/>
      <c r="I14" s="17"/>
      <c r="J14" s="18"/>
    </row>
    <row r="15" spans="1:17" x14ac:dyDescent="0.2">
      <c r="A15" s="2"/>
      <c r="B15" s="17"/>
      <c r="C15" s="34"/>
      <c r="D15" s="34"/>
      <c r="E15" s="34"/>
      <c r="F15" s="34"/>
      <c r="G15" s="64"/>
      <c r="H15" s="17"/>
      <c r="I15" s="17"/>
      <c r="J15" s="18"/>
      <c r="M15" s="68"/>
      <c r="O15" s="68"/>
    </row>
    <row r="16" spans="1:17" x14ac:dyDescent="0.2">
      <c r="A16" s="2"/>
      <c r="B16" s="17" t="s">
        <v>39</v>
      </c>
      <c r="C16" s="34"/>
      <c r="D16" s="34"/>
      <c r="E16" s="34"/>
      <c r="F16" s="34"/>
      <c r="G16" s="64"/>
      <c r="H16" s="17"/>
      <c r="I16" s="17"/>
      <c r="J16" s="18"/>
      <c r="M16" s="35"/>
      <c r="N16" s="36" t="s">
        <v>180</v>
      </c>
      <c r="O16" s="69"/>
    </row>
    <row r="17" spans="1:19" x14ac:dyDescent="0.2">
      <c r="A17" s="2"/>
      <c r="B17" s="17"/>
      <c r="C17" s="34"/>
      <c r="D17" s="34"/>
      <c r="E17" s="34"/>
      <c r="F17" s="34"/>
      <c r="G17" s="64"/>
      <c r="H17" s="17"/>
      <c r="I17" s="17"/>
      <c r="J17" s="18"/>
      <c r="M17" s="37" t="s">
        <v>11</v>
      </c>
      <c r="N17" s="26">
        <f>SLOPE(P9:P12,N9:N12)</f>
        <v>0.9356100473333262</v>
      </c>
      <c r="O17" s="39"/>
    </row>
    <row r="18" spans="1:19" x14ac:dyDescent="0.2">
      <c r="A18" s="17" t="s">
        <v>0</v>
      </c>
      <c r="B18" s="17" t="s">
        <v>40</v>
      </c>
      <c r="C18" s="17"/>
      <c r="D18" s="17"/>
      <c r="E18" s="17"/>
      <c r="F18" s="17"/>
      <c r="G18" s="17"/>
      <c r="H18" s="17"/>
      <c r="I18" s="17"/>
      <c r="J18" s="18"/>
      <c r="M18" s="37" t="s">
        <v>12</v>
      </c>
      <c r="N18" s="70">
        <f>INTERCEPT(P9:P12,N9:N12)</f>
        <v>0.84491107738149673</v>
      </c>
      <c r="O18" s="39"/>
    </row>
    <row r="19" spans="1:19" x14ac:dyDescent="0.2">
      <c r="A19" s="2"/>
      <c r="B19" s="17"/>
      <c r="C19" s="17"/>
      <c r="D19" s="17"/>
      <c r="E19" s="17"/>
      <c r="F19" s="17"/>
      <c r="G19" s="17"/>
      <c r="H19" s="17"/>
      <c r="I19" s="17"/>
      <c r="J19" s="18"/>
    </row>
    <row r="20" spans="1:19" ht="17" thickBot="1" x14ac:dyDescent="0.25">
      <c r="A20" s="17" t="s">
        <v>1</v>
      </c>
      <c r="B20" s="17" t="s">
        <v>41</v>
      </c>
      <c r="C20" s="17"/>
      <c r="D20" s="17"/>
      <c r="E20" s="17"/>
      <c r="F20" s="17"/>
      <c r="G20" s="17"/>
      <c r="H20" s="17"/>
      <c r="I20" s="17"/>
      <c r="J20" s="18"/>
    </row>
    <row r="21" spans="1:19" ht="17" thickBot="1" x14ac:dyDescent="0.25">
      <c r="A21" s="2"/>
      <c r="B21" s="17"/>
      <c r="C21" s="17"/>
      <c r="D21" s="17"/>
      <c r="E21" s="17"/>
      <c r="F21" s="17"/>
      <c r="G21" s="17"/>
      <c r="H21" s="17"/>
      <c r="I21" s="17"/>
      <c r="J21" s="18"/>
      <c r="M21" s="41" t="s">
        <v>48</v>
      </c>
      <c r="N21" s="71">
        <f>P13*G14-D14</f>
        <v>1326.9388121283921</v>
      </c>
      <c r="O21" s="43" t="s">
        <v>43</v>
      </c>
    </row>
    <row r="22" spans="1:19" ht="17" thickBot="1" x14ac:dyDescent="0.25">
      <c r="A22" s="2"/>
      <c r="B22" s="17"/>
      <c r="C22" s="17"/>
      <c r="D22" s="17"/>
      <c r="E22" s="17"/>
      <c r="F22" s="17"/>
      <c r="G22" s="17"/>
      <c r="H22" s="17"/>
      <c r="I22" s="17"/>
      <c r="J22" s="18"/>
    </row>
    <row r="23" spans="1:19" ht="17" thickBot="1" x14ac:dyDescent="0.25">
      <c r="A23" s="296" t="s">
        <v>140</v>
      </c>
      <c r="B23" s="297"/>
      <c r="C23" s="297"/>
      <c r="D23" s="297"/>
      <c r="E23" s="297"/>
      <c r="F23" s="297"/>
      <c r="G23" s="297"/>
      <c r="H23" s="297"/>
      <c r="I23" s="297"/>
      <c r="J23" s="298"/>
      <c r="L23" s="6" t="s">
        <v>3</v>
      </c>
    </row>
    <row r="25" spans="1:19" ht="19" x14ac:dyDescent="0.25">
      <c r="A25" s="3"/>
      <c r="M25" s="56" t="s">
        <v>44</v>
      </c>
      <c r="N25" s="72">
        <f>AVERAGE(P9:P12)/AVERAGE(N9:N12)</f>
        <v>10.964936762523847</v>
      </c>
      <c r="O25" s="73" t="s">
        <v>45</v>
      </c>
    </row>
    <row r="26" spans="1:19" ht="17" thickBot="1" x14ac:dyDescent="0.25">
      <c r="M26" s="56"/>
      <c r="N26" s="56"/>
    </row>
    <row r="27" spans="1:19" ht="17" thickBot="1" x14ac:dyDescent="0.25">
      <c r="M27" s="55" t="s">
        <v>47</v>
      </c>
      <c r="N27" s="74">
        <f>N17/N25</f>
        <v>8.5327445802612437E-2</v>
      </c>
      <c r="O27" s="73" t="s">
        <v>46</v>
      </c>
    </row>
    <row r="30" spans="1:19" ht="19" x14ac:dyDescent="0.25">
      <c r="L30" s="3" t="s">
        <v>128</v>
      </c>
    </row>
    <row r="31" spans="1:19" ht="16" customHeight="1" x14ac:dyDescent="0.2">
      <c r="L31" s="294" t="s">
        <v>187</v>
      </c>
      <c r="M31" s="294"/>
      <c r="N31" s="294"/>
      <c r="O31" s="294"/>
      <c r="P31" s="294"/>
      <c r="Q31" s="294"/>
      <c r="R31" s="294"/>
      <c r="S31" s="294"/>
    </row>
    <row r="32" spans="1:19" x14ac:dyDescent="0.2">
      <c r="L32" s="294"/>
      <c r="M32" s="294"/>
      <c r="N32" s="294"/>
      <c r="O32" s="294"/>
      <c r="P32" s="294"/>
      <c r="Q32" s="294"/>
      <c r="R32" s="294"/>
      <c r="S32" s="294"/>
    </row>
    <row r="33" spans="12:19" x14ac:dyDescent="0.2">
      <c r="L33" s="294"/>
      <c r="M33" s="294"/>
      <c r="N33" s="294"/>
      <c r="O33" s="294"/>
      <c r="P33" s="294"/>
      <c r="Q33" s="294"/>
      <c r="R33" s="294"/>
      <c r="S33" s="294"/>
    </row>
    <row r="34" spans="12:19" x14ac:dyDescent="0.2">
      <c r="L34" s="294"/>
      <c r="M34" s="294"/>
      <c r="N34" s="294"/>
      <c r="O34" s="294"/>
      <c r="P34" s="294"/>
      <c r="Q34" s="294"/>
      <c r="R34" s="294"/>
      <c r="S34" s="294"/>
    </row>
    <row r="35" spans="12:19" x14ac:dyDescent="0.2">
      <c r="L35" s="294"/>
      <c r="M35" s="294"/>
      <c r="N35" s="294"/>
      <c r="O35" s="294"/>
      <c r="P35" s="294"/>
      <c r="Q35" s="294"/>
      <c r="R35" s="294"/>
      <c r="S35" s="294"/>
    </row>
    <row r="37" spans="12:19" ht="16" customHeight="1" x14ac:dyDescent="0.2">
      <c r="N37" s="75"/>
      <c r="O37" s="56" t="s">
        <v>185</v>
      </c>
    </row>
    <row r="38" spans="12:19" ht="15" customHeight="1" x14ac:dyDescent="0.2">
      <c r="M38" s="76"/>
      <c r="N38" s="35"/>
      <c r="O38" s="28" t="s">
        <v>186</v>
      </c>
    </row>
    <row r="39" spans="12:19" ht="15" customHeight="1" x14ac:dyDescent="0.2">
      <c r="M39" s="19" t="s">
        <v>182</v>
      </c>
      <c r="N39" s="37"/>
      <c r="O39" s="77">
        <f>N13*N25</f>
        <v>2.6521440794354554</v>
      </c>
    </row>
    <row r="40" spans="12:19" ht="15" customHeight="1" x14ac:dyDescent="0.2">
      <c r="M40" s="76" t="s">
        <v>184</v>
      </c>
      <c r="N40" s="35"/>
      <c r="O40" s="78">
        <f>AVERAGE(P9:P12)</f>
        <v>0.92373065476190486</v>
      </c>
    </row>
    <row r="41" spans="12:19" ht="15" customHeight="1" x14ac:dyDescent="0.2">
      <c r="M41" s="19" t="s">
        <v>183</v>
      </c>
      <c r="N41" s="37"/>
      <c r="O41" s="79">
        <f>O39*N27+(1-N27)*O40</f>
        <v>1.0712117575802451</v>
      </c>
    </row>
    <row r="43" spans="12:19" x14ac:dyDescent="0.2">
      <c r="M43" s="19" t="s">
        <v>188</v>
      </c>
    </row>
    <row r="45" spans="12:19" ht="19" x14ac:dyDescent="0.25">
      <c r="L45" s="3" t="s">
        <v>203</v>
      </c>
    </row>
    <row r="46" spans="12:19" x14ac:dyDescent="0.2">
      <c r="L46" s="84" t="s">
        <v>204</v>
      </c>
    </row>
    <row r="47" spans="12:19" x14ac:dyDescent="0.2">
      <c r="M47" s="20"/>
    </row>
    <row r="57" spans="1:14" x14ac:dyDescent="0.2">
      <c r="M57" s="20"/>
    </row>
    <row r="61" spans="1:14" x14ac:dyDescent="0.2">
      <c r="A61" s="4"/>
    </row>
    <row r="63" spans="1:14" x14ac:dyDescent="0.2">
      <c r="L63" s="5"/>
      <c r="M63" s="5"/>
      <c r="N63" s="5"/>
    </row>
    <row r="64" spans="1:14" x14ac:dyDescent="0.2">
      <c r="L64" s="5"/>
      <c r="M64" s="5"/>
      <c r="N64" s="5"/>
    </row>
    <row r="65" spans="12:19" x14ac:dyDescent="0.2">
      <c r="L65" s="5"/>
      <c r="M65" s="5"/>
      <c r="N65" s="5"/>
    </row>
    <row r="66" spans="12:19" x14ac:dyDescent="0.2">
      <c r="L66" s="5"/>
      <c r="M66" s="5"/>
      <c r="N66" s="5"/>
    </row>
    <row r="67" spans="12:19" x14ac:dyDescent="0.2">
      <c r="M67" s="20"/>
    </row>
    <row r="68" spans="12:19" x14ac:dyDescent="0.2">
      <c r="L68" s="5"/>
      <c r="M68" s="5"/>
      <c r="N68" s="5"/>
    </row>
    <row r="69" spans="12:19" x14ac:dyDescent="0.2">
      <c r="L69" s="5"/>
      <c r="M69" s="5"/>
      <c r="N69" s="5"/>
    </row>
    <row r="70" spans="12:19" x14ac:dyDescent="0.2">
      <c r="L70" s="5"/>
      <c r="M70" s="5"/>
      <c r="N70" s="5"/>
    </row>
    <row r="71" spans="12:19" x14ac:dyDescent="0.2">
      <c r="L71" s="5"/>
      <c r="M71" s="5"/>
      <c r="N71" s="5"/>
    </row>
    <row r="72" spans="12:19" x14ac:dyDescent="0.2">
      <c r="L72" s="5"/>
      <c r="M72" s="5"/>
      <c r="N72" s="5"/>
    </row>
    <row r="73" spans="12:19" x14ac:dyDescent="0.2">
      <c r="L73" s="5"/>
      <c r="M73" s="5"/>
      <c r="N73" s="5"/>
    </row>
    <row r="74" spans="12:19" x14ac:dyDescent="0.2">
      <c r="L74" s="5"/>
      <c r="M74" s="5"/>
      <c r="N74" s="5"/>
    </row>
    <row r="75" spans="12:19" x14ac:dyDescent="0.2">
      <c r="L75" s="5"/>
      <c r="M75" s="5"/>
      <c r="N75" s="5"/>
    </row>
    <row r="76" spans="12:19" x14ac:dyDescent="0.2">
      <c r="L76" s="5"/>
      <c r="M76" s="5"/>
      <c r="N76" s="5"/>
    </row>
    <row r="77" spans="12:19" x14ac:dyDescent="0.2">
      <c r="M77" s="20"/>
    </row>
    <row r="78" spans="12:19" x14ac:dyDescent="0.2">
      <c r="L78" s="5"/>
      <c r="M78" s="5"/>
      <c r="N78" s="5"/>
      <c r="O78" s="5"/>
      <c r="P78" s="5"/>
      <c r="Q78" s="5"/>
      <c r="R78" s="5"/>
      <c r="S78" s="5"/>
    </row>
    <row r="79" spans="12:19" x14ac:dyDescent="0.2">
      <c r="L79" s="5"/>
      <c r="M79" s="5"/>
      <c r="N79" s="5"/>
      <c r="O79" s="5"/>
      <c r="P79" s="5"/>
      <c r="Q79" s="5"/>
      <c r="R79" s="5"/>
      <c r="S79" s="5"/>
    </row>
    <row r="80" spans="12:19" x14ac:dyDescent="0.2">
      <c r="L80" s="5"/>
      <c r="M80" s="5"/>
      <c r="N80" s="5"/>
      <c r="O80" s="5"/>
      <c r="P80" s="5"/>
      <c r="Q80" s="5"/>
      <c r="R80" s="5"/>
      <c r="S80" s="5"/>
    </row>
    <row r="81" spans="1:65" x14ac:dyDescent="0.2">
      <c r="L81" s="5"/>
      <c r="M81" s="5"/>
      <c r="N81" s="5"/>
      <c r="O81" s="5"/>
      <c r="P81" s="5"/>
      <c r="Q81" s="5"/>
      <c r="R81" s="5"/>
      <c r="S81" s="5"/>
    </row>
    <row r="82" spans="1:65" x14ac:dyDescent="0.2">
      <c r="L82" s="5"/>
      <c r="M82" s="5"/>
      <c r="N82" s="5"/>
      <c r="O82" s="5"/>
      <c r="P82" s="5"/>
      <c r="Q82" s="5"/>
      <c r="R82" s="5"/>
      <c r="S82" s="5"/>
    </row>
    <row r="83" spans="1:65" x14ac:dyDescent="0.2">
      <c r="L83" s="5"/>
      <c r="M83" s="5"/>
      <c r="N83" s="5"/>
      <c r="O83" s="5"/>
      <c r="P83" s="5"/>
      <c r="Q83" s="5"/>
      <c r="R83" s="5"/>
      <c r="S83" s="5"/>
    </row>
    <row r="84" spans="1:65" x14ac:dyDescent="0.2">
      <c r="L84" s="5"/>
      <c r="M84" s="5"/>
      <c r="N84" s="5"/>
      <c r="O84" s="5"/>
      <c r="P84" s="5"/>
      <c r="Q84" s="5"/>
      <c r="R84" s="5"/>
      <c r="S84" s="5"/>
      <c r="T84" s="5"/>
    </row>
    <row r="85" spans="1:65" x14ac:dyDescent="0.2">
      <c r="A85" s="5"/>
      <c r="B85" s="5"/>
      <c r="C85" s="5"/>
      <c r="D85" s="5"/>
      <c r="E85" s="5"/>
      <c r="F85" s="5"/>
      <c r="G85" s="5"/>
      <c r="H85" s="5"/>
      <c r="I85" s="5"/>
      <c r="J85" s="5"/>
      <c r="L85" s="5"/>
      <c r="M85" s="5"/>
      <c r="N85" s="5"/>
      <c r="O85" s="5"/>
      <c r="P85" s="5"/>
      <c r="Q85" s="5"/>
      <c r="R85" s="5"/>
      <c r="S85" s="5"/>
      <c r="T85" s="5"/>
    </row>
    <row r="86" spans="1:65" x14ac:dyDescent="0.2">
      <c r="A86" s="5"/>
      <c r="B86" s="5"/>
      <c r="C86" s="5"/>
      <c r="D86" s="5"/>
      <c r="E86" s="5"/>
      <c r="F86" s="5"/>
      <c r="G86" s="5"/>
      <c r="H86" s="5"/>
      <c r="I86" s="5"/>
      <c r="J86" s="5"/>
      <c r="L86" s="5"/>
      <c r="M86" s="5"/>
      <c r="N86" s="5"/>
      <c r="O86" s="5"/>
      <c r="P86" s="5"/>
      <c r="Q86" s="5"/>
      <c r="R86" s="5"/>
      <c r="S86" s="5"/>
      <c r="T86" s="5"/>
    </row>
    <row r="87" spans="1:65" x14ac:dyDescent="0.2">
      <c r="A87" s="5"/>
      <c r="B87" s="5"/>
      <c r="C87" s="5"/>
      <c r="D87" s="5"/>
      <c r="E87" s="5"/>
      <c r="F87" s="5"/>
      <c r="G87" s="5"/>
      <c r="H87" s="5"/>
      <c r="I87" s="5"/>
      <c r="J87" s="5"/>
      <c r="L87" s="5"/>
      <c r="M87" s="5"/>
      <c r="N87" s="5"/>
      <c r="O87" s="5"/>
      <c r="P87" s="5"/>
      <c r="Q87" s="5"/>
      <c r="R87" s="5"/>
      <c r="S87" s="5"/>
      <c r="T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K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K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K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sheetData>
  <mergeCells count="5">
    <mergeCell ref="A23:J23"/>
    <mergeCell ref="C8:C9"/>
    <mergeCell ref="G7:G9"/>
    <mergeCell ref="L31:S35"/>
    <mergeCell ref="C6:E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BM199"/>
  <sheetViews>
    <sheetView zoomScaleNormal="100" workbookViewId="0"/>
  </sheetViews>
  <sheetFormatPr baseColWidth="10" defaultColWidth="10.83203125" defaultRowHeight="16" outlineLevelCol="1" x14ac:dyDescent="0.2"/>
  <cols>
    <col min="1" max="1" width="4.6640625" style="19" customWidth="1"/>
    <col min="2" max="2" width="10.6640625" style="19" customWidth="1"/>
    <col min="3" max="10" width="10.83203125" style="19"/>
    <col min="11" max="11" width="11.5" style="19" bestFit="1" customWidth="1"/>
    <col min="12" max="12" width="10.83203125" style="19" hidden="1" customWidth="1" outlineLevel="1"/>
    <col min="13" max="13" width="18" style="19" hidden="1" customWidth="1" outlineLevel="1"/>
    <col min="14" max="20" width="10.83203125" style="19" hidden="1" customWidth="1" outlineLevel="1"/>
    <col min="21" max="21" width="10.83203125" style="19" collapsed="1"/>
    <col min="22" max="16384" width="10.83203125" style="19"/>
  </cols>
  <sheetData>
    <row r="1" spans="1:15" ht="19" x14ac:dyDescent="0.25">
      <c r="A1" s="1" t="s">
        <v>164</v>
      </c>
      <c r="B1" s="9"/>
      <c r="C1" s="16"/>
      <c r="D1" s="16"/>
      <c r="E1" s="16"/>
      <c r="F1" s="17"/>
      <c r="G1" s="17"/>
      <c r="H1" s="17"/>
      <c r="I1" s="17"/>
      <c r="J1" s="18"/>
      <c r="K1" s="3" t="s">
        <v>141</v>
      </c>
    </row>
    <row r="2" spans="1:15" x14ac:dyDescent="0.2">
      <c r="A2" s="2"/>
      <c r="B2" s="17"/>
      <c r="C2" s="17"/>
      <c r="D2" s="17"/>
      <c r="E2" s="17"/>
      <c r="F2" s="17"/>
      <c r="G2" s="17"/>
      <c r="H2" s="17"/>
      <c r="I2" s="17"/>
      <c r="J2" s="18"/>
      <c r="L2" s="6" t="s">
        <v>2</v>
      </c>
      <c r="N2" s="20"/>
    </row>
    <row r="3" spans="1:15" x14ac:dyDescent="0.2">
      <c r="A3" s="2"/>
      <c r="B3" s="17" t="s">
        <v>49</v>
      </c>
      <c r="C3" s="17"/>
      <c r="D3" s="17"/>
      <c r="E3" s="17"/>
      <c r="F3" s="17"/>
      <c r="G3" s="17"/>
      <c r="H3" s="17"/>
      <c r="I3" s="17"/>
      <c r="J3" s="18"/>
      <c r="M3" s="19" t="s">
        <v>21</v>
      </c>
      <c r="O3" s="19">
        <f>0.7*40</f>
        <v>28</v>
      </c>
    </row>
    <row r="4" spans="1:15" x14ac:dyDescent="0.2">
      <c r="A4" s="2"/>
      <c r="B4" s="17" t="s">
        <v>50</v>
      </c>
      <c r="C4" s="17"/>
      <c r="D4" s="17"/>
      <c r="E4" s="17"/>
      <c r="F4" s="17"/>
      <c r="G4" s="17"/>
      <c r="H4" s="17"/>
      <c r="I4" s="17"/>
      <c r="J4" s="18"/>
      <c r="M4" s="19" t="s">
        <v>22</v>
      </c>
      <c r="O4" s="19">
        <v>4</v>
      </c>
    </row>
    <row r="5" spans="1:15" x14ac:dyDescent="0.2">
      <c r="A5" s="2"/>
      <c r="B5" s="17"/>
      <c r="C5" s="17"/>
      <c r="D5" s="17"/>
      <c r="E5" s="17"/>
      <c r="F5" s="17"/>
      <c r="G5" s="17"/>
      <c r="H5" s="17"/>
      <c r="I5" s="17"/>
      <c r="J5" s="18"/>
      <c r="M5" s="19" t="s">
        <v>23</v>
      </c>
      <c r="O5" s="19">
        <v>0.75</v>
      </c>
    </row>
    <row r="6" spans="1:15" x14ac:dyDescent="0.2">
      <c r="A6" s="2"/>
      <c r="B6" s="17" t="s">
        <v>51</v>
      </c>
      <c r="C6" s="17"/>
      <c r="D6" s="17"/>
      <c r="E6" s="17"/>
      <c r="F6" s="17"/>
      <c r="G6" s="17"/>
      <c r="H6" s="17"/>
      <c r="I6" s="17"/>
      <c r="J6" s="18"/>
      <c r="M6" s="19" t="s">
        <v>24</v>
      </c>
      <c r="O6" s="19">
        <v>0.1</v>
      </c>
    </row>
    <row r="7" spans="1:15" x14ac:dyDescent="0.2">
      <c r="A7" s="2"/>
      <c r="B7" s="17" t="s">
        <v>52</v>
      </c>
      <c r="C7" s="17"/>
      <c r="D7" s="17"/>
      <c r="E7" s="17"/>
      <c r="F7" s="17"/>
      <c r="G7" s="17"/>
      <c r="H7" s="17"/>
      <c r="I7" s="17"/>
      <c r="J7" s="18"/>
    </row>
    <row r="8" spans="1:15" x14ac:dyDescent="0.2">
      <c r="A8" s="2"/>
      <c r="B8" s="17"/>
      <c r="C8" s="17"/>
      <c r="D8" s="17"/>
      <c r="E8" s="17"/>
      <c r="F8" s="17"/>
      <c r="G8" s="17"/>
      <c r="H8" s="17"/>
      <c r="I8" s="17"/>
      <c r="J8" s="18"/>
      <c r="M8" s="19" t="s">
        <v>25</v>
      </c>
    </row>
    <row r="9" spans="1:15" x14ac:dyDescent="0.2">
      <c r="A9" s="2"/>
      <c r="B9" s="17" t="s">
        <v>53</v>
      </c>
      <c r="C9" s="17"/>
      <c r="D9" s="17"/>
      <c r="E9" s="17"/>
      <c r="F9" s="17"/>
      <c r="G9" s="17"/>
      <c r="H9" s="17"/>
      <c r="I9" s="17"/>
      <c r="J9" s="18"/>
      <c r="N9" s="56"/>
    </row>
    <row r="10" spans="1:15" x14ac:dyDescent="0.2">
      <c r="A10" s="2"/>
      <c r="B10" s="17" t="s">
        <v>54</v>
      </c>
      <c r="C10" s="17"/>
      <c r="D10" s="17"/>
      <c r="E10" s="17"/>
      <c r="F10" s="17"/>
      <c r="G10" s="17"/>
      <c r="H10" s="17"/>
      <c r="I10" s="17"/>
      <c r="J10" s="18"/>
      <c r="M10" s="56" t="s">
        <v>27</v>
      </c>
      <c r="N10" s="94">
        <f>(O5*O4)^2</f>
        <v>9</v>
      </c>
    </row>
    <row r="11" spans="1:15" x14ac:dyDescent="0.2">
      <c r="A11" s="2"/>
      <c r="B11" s="17" t="s">
        <v>55</v>
      </c>
      <c r="C11" s="17"/>
      <c r="D11" s="17"/>
      <c r="E11" s="17"/>
      <c r="F11" s="17"/>
      <c r="G11" s="17"/>
      <c r="H11" s="17"/>
      <c r="I11" s="17"/>
      <c r="J11" s="18"/>
      <c r="M11" s="56" t="s">
        <v>26</v>
      </c>
      <c r="N11" s="94">
        <f>O6^2*(O4^2+O3^2)</f>
        <v>8.0000000000000018</v>
      </c>
    </row>
    <row r="12" spans="1:15" x14ac:dyDescent="0.2">
      <c r="A12" s="2"/>
      <c r="B12" s="17"/>
      <c r="C12" s="17"/>
      <c r="D12" s="17"/>
      <c r="E12" s="17"/>
      <c r="F12" s="17"/>
      <c r="G12" s="17"/>
      <c r="H12" s="17"/>
      <c r="I12" s="17"/>
      <c r="J12" s="18"/>
      <c r="N12" s="56"/>
    </row>
    <row r="13" spans="1:15" x14ac:dyDescent="0.2">
      <c r="A13" s="2"/>
      <c r="B13" s="17" t="s">
        <v>56</v>
      </c>
      <c r="C13" s="17"/>
      <c r="D13" s="17"/>
      <c r="E13" s="17"/>
      <c r="F13" s="17"/>
      <c r="G13" s="17"/>
      <c r="H13" s="17"/>
      <c r="I13" s="17"/>
      <c r="J13" s="18"/>
      <c r="M13" s="19" t="s">
        <v>28</v>
      </c>
      <c r="N13" s="56"/>
    </row>
    <row r="14" spans="1:15" x14ac:dyDescent="0.2">
      <c r="A14" s="2"/>
      <c r="B14" s="17"/>
      <c r="C14" s="17"/>
      <c r="D14" s="17"/>
      <c r="E14" s="17"/>
      <c r="F14" s="17"/>
      <c r="G14" s="17"/>
      <c r="H14" s="17"/>
      <c r="I14" s="17"/>
      <c r="J14" s="18"/>
      <c r="M14" s="56" t="s">
        <v>29</v>
      </c>
      <c r="N14" s="65">
        <f>N10/SUM(N10:N11)</f>
        <v>0.52941176470588236</v>
      </c>
    </row>
    <row r="15" spans="1:15" x14ac:dyDescent="0.2">
      <c r="A15" s="17" t="s">
        <v>0</v>
      </c>
      <c r="B15" s="17" t="s">
        <v>57</v>
      </c>
      <c r="C15" s="17"/>
      <c r="D15" s="17"/>
      <c r="E15" s="17"/>
      <c r="F15" s="17"/>
      <c r="G15" s="17"/>
      <c r="H15" s="17"/>
      <c r="I15" s="17"/>
      <c r="J15" s="18"/>
      <c r="M15" s="56"/>
      <c r="N15" s="56"/>
    </row>
    <row r="16" spans="1:15" x14ac:dyDescent="0.2">
      <c r="A16" s="2"/>
      <c r="B16" s="17"/>
      <c r="C16" s="17"/>
      <c r="D16" s="17"/>
      <c r="E16" s="17"/>
      <c r="F16" s="17"/>
      <c r="G16" s="17"/>
      <c r="H16" s="17"/>
      <c r="I16" s="17"/>
      <c r="J16" s="18"/>
      <c r="M16" s="56" t="s">
        <v>30</v>
      </c>
      <c r="N16" s="86">
        <f>N14*18/O5+(1-N14)*O3</f>
        <v>25.882352941176471</v>
      </c>
    </row>
    <row r="17" spans="1:20" ht="17" thickBot="1" x14ac:dyDescent="0.25">
      <c r="A17" s="17" t="s">
        <v>1</v>
      </c>
      <c r="B17" s="17" t="s">
        <v>58</v>
      </c>
      <c r="C17" s="17"/>
      <c r="D17" s="17"/>
      <c r="E17" s="17"/>
      <c r="F17" s="17"/>
      <c r="G17" s="17"/>
      <c r="H17" s="17"/>
      <c r="I17" s="17"/>
      <c r="J17" s="18"/>
      <c r="N17" s="86"/>
    </row>
    <row r="18" spans="1:20" ht="17" thickBot="1" x14ac:dyDescent="0.25">
      <c r="A18" s="2"/>
      <c r="B18" s="17" t="s">
        <v>59</v>
      </c>
      <c r="C18" s="17"/>
      <c r="D18" s="17"/>
      <c r="E18" s="17"/>
      <c r="F18" s="17"/>
      <c r="G18" s="17"/>
      <c r="H18" s="17"/>
      <c r="I18" s="17"/>
      <c r="J18" s="18"/>
      <c r="M18" s="90" t="s">
        <v>61</v>
      </c>
      <c r="N18" s="95">
        <f>N16-18</f>
        <v>7.882352941176471</v>
      </c>
      <c r="O18" s="6" t="s">
        <v>31</v>
      </c>
    </row>
    <row r="19" spans="1:20" x14ac:dyDescent="0.2">
      <c r="A19" s="2"/>
      <c r="B19" s="17" t="s">
        <v>60</v>
      </c>
      <c r="C19" s="17"/>
      <c r="D19" s="17"/>
      <c r="E19" s="17"/>
      <c r="F19" s="17"/>
      <c r="G19" s="17"/>
      <c r="H19" s="17"/>
      <c r="I19" s="17"/>
      <c r="J19" s="18"/>
    </row>
    <row r="20" spans="1:20" x14ac:dyDescent="0.2">
      <c r="A20" s="2"/>
      <c r="B20" s="17"/>
      <c r="C20" s="17"/>
      <c r="D20" s="17"/>
      <c r="E20" s="17"/>
      <c r="F20" s="17"/>
      <c r="G20" s="17"/>
      <c r="H20" s="17"/>
      <c r="I20" s="17"/>
      <c r="J20" s="18"/>
      <c r="L20" s="6" t="s">
        <v>3</v>
      </c>
    </row>
    <row r="21" spans="1:20" ht="17" thickBot="1" x14ac:dyDescent="0.25">
      <c r="A21" s="2"/>
      <c r="B21" s="17"/>
      <c r="C21" s="17"/>
      <c r="D21" s="17"/>
      <c r="E21" s="17"/>
      <c r="F21" s="17"/>
      <c r="G21" s="17"/>
      <c r="H21" s="17"/>
      <c r="I21" s="17"/>
      <c r="J21" s="18"/>
    </row>
    <row r="22" spans="1:20" ht="17" thickBot="1" x14ac:dyDescent="0.25">
      <c r="A22" s="296" t="s">
        <v>140</v>
      </c>
      <c r="B22" s="297"/>
      <c r="C22" s="297"/>
      <c r="D22" s="297"/>
      <c r="E22" s="297"/>
      <c r="F22" s="297"/>
      <c r="G22" s="297"/>
      <c r="H22" s="297"/>
      <c r="I22" s="297"/>
      <c r="J22" s="298"/>
      <c r="K22" s="85"/>
      <c r="M22" s="19" t="s">
        <v>62</v>
      </c>
    </row>
    <row r="24" spans="1:20" ht="19" x14ac:dyDescent="0.25">
      <c r="A24" s="3"/>
      <c r="M24" s="306" t="s">
        <v>142</v>
      </c>
      <c r="N24" s="306"/>
      <c r="O24" s="306"/>
      <c r="P24" s="306"/>
      <c r="Q24" s="306"/>
      <c r="R24" s="306"/>
      <c r="S24" s="306"/>
      <c r="T24" s="306"/>
    </row>
    <row r="25" spans="1:20" x14ac:dyDescent="0.2">
      <c r="M25" s="306"/>
      <c r="N25" s="306"/>
      <c r="O25" s="306"/>
      <c r="P25" s="306"/>
      <c r="Q25" s="306"/>
      <c r="R25" s="306"/>
      <c r="S25" s="306"/>
      <c r="T25" s="306"/>
    </row>
    <row r="26" spans="1:20" x14ac:dyDescent="0.2">
      <c r="M26" s="306"/>
      <c r="N26" s="306"/>
      <c r="O26" s="306"/>
      <c r="P26" s="306"/>
      <c r="Q26" s="306"/>
      <c r="R26" s="306"/>
      <c r="S26" s="306"/>
      <c r="T26" s="306"/>
    </row>
    <row r="29" spans="1:20" ht="19" x14ac:dyDescent="0.25">
      <c r="L29" s="3" t="s">
        <v>128</v>
      </c>
    </row>
    <row r="30" spans="1:20" ht="16" customHeight="1" x14ac:dyDescent="0.2">
      <c r="L30" s="307" t="s">
        <v>207</v>
      </c>
      <c r="M30" s="307"/>
      <c r="N30" s="307"/>
      <c r="O30" s="307"/>
      <c r="P30" s="307"/>
      <c r="Q30" s="307"/>
      <c r="R30" s="307"/>
      <c r="S30" s="307"/>
      <c r="T30" s="47"/>
    </row>
    <row r="31" spans="1:20" ht="16" customHeight="1" x14ac:dyDescent="0.2">
      <c r="L31" s="307"/>
      <c r="M31" s="307"/>
      <c r="N31" s="307"/>
      <c r="O31" s="307"/>
      <c r="P31" s="307"/>
      <c r="Q31" s="307"/>
      <c r="R31" s="307"/>
      <c r="S31" s="307"/>
      <c r="T31" s="47"/>
    </row>
    <row r="32" spans="1:20" ht="16" customHeight="1" x14ac:dyDescent="0.2">
      <c r="L32" s="307"/>
      <c r="M32" s="307"/>
      <c r="N32" s="307"/>
      <c r="O32" s="307"/>
      <c r="P32" s="307"/>
      <c r="Q32" s="307"/>
      <c r="R32" s="307"/>
      <c r="S32" s="307"/>
      <c r="T32" s="47"/>
    </row>
    <row r="33" spans="12:20" ht="16" customHeight="1" x14ac:dyDescent="0.2">
      <c r="L33" s="307"/>
      <c r="M33" s="307"/>
      <c r="N33" s="307"/>
      <c r="O33" s="307"/>
      <c r="P33" s="307"/>
      <c r="Q33" s="307"/>
      <c r="R33" s="307"/>
      <c r="S33" s="307"/>
      <c r="T33" s="47"/>
    </row>
    <row r="34" spans="12:20" ht="16" customHeight="1" x14ac:dyDescent="0.2">
      <c r="L34" s="307"/>
      <c r="M34" s="307"/>
      <c r="N34" s="307"/>
      <c r="O34" s="307"/>
      <c r="P34" s="307"/>
      <c r="Q34" s="307"/>
      <c r="R34" s="307"/>
      <c r="S34" s="307"/>
      <c r="T34" s="47"/>
    </row>
    <row r="35" spans="12:20" ht="16" customHeight="1" x14ac:dyDescent="0.2">
      <c r="L35" s="307"/>
      <c r="M35" s="307"/>
      <c r="N35" s="307"/>
      <c r="O35" s="307"/>
      <c r="P35" s="307"/>
      <c r="Q35" s="307"/>
      <c r="R35" s="307"/>
      <c r="S35" s="307"/>
      <c r="T35" s="47"/>
    </row>
    <row r="36" spans="12:20" ht="16" customHeight="1" x14ac:dyDescent="0.2">
      <c r="L36" s="307"/>
      <c r="M36" s="307"/>
      <c r="N36" s="307"/>
      <c r="O36" s="307"/>
      <c r="P36" s="307"/>
      <c r="Q36" s="307"/>
      <c r="R36" s="307"/>
      <c r="S36" s="307"/>
      <c r="T36" s="47"/>
    </row>
    <row r="37" spans="12:20" ht="15.5" customHeight="1" x14ac:dyDescent="0.2">
      <c r="L37" s="307"/>
      <c r="M37" s="307"/>
      <c r="N37" s="307"/>
      <c r="O37" s="307"/>
      <c r="P37" s="307"/>
      <c r="Q37" s="307"/>
      <c r="R37" s="307"/>
      <c r="S37" s="307"/>
    </row>
    <row r="38" spans="12:20" ht="15.5" customHeight="1" x14ac:dyDescent="0.2">
      <c r="L38" s="307"/>
      <c r="M38" s="307"/>
      <c r="N38" s="307"/>
      <c r="O38" s="307"/>
      <c r="P38" s="307"/>
      <c r="Q38" s="307"/>
      <c r="R38" s="307"/>
      <c r="S38" s="307"/>
      <c r="T38" s="47"/>
    </row>
    <row r="39" spans="12:20" x14ac:dyDescent="0.2">
      <c r="L39" s="5"/>
    </row>
    <row r="40" spans="12:20" ht="19" x14ac:dyDescent="0.25">
      <c r="L40" s="3" t="s">
        <v>203</v>
      </c>
    </row>
    <row r="41" spans="12:20" x14ac:dyDescent="0.2">
      <c r="L41" s="84" t="s">
        <v>205</v>
      </c>
    </row>
    <row r="42" spans="12:20" x14ac:dyDescent="0.2">
      <c r="L42" s="5"/>
    </row>
    <row r="43" spans="12:20" x14ac:dyDescent="0.2">
      <c r="L43" s="5"/>
    </row>
    <row r="44" spans="12:20" x14ac:dyDescent="0.2">
      <c r="L44" s="5"/>
    </row>
    <row r="57" spans="1:14" x14ac:dyDescent="0.2">
      <c r="M57" s="20"/>
    </row>
    <row r="58" spans="1:14" x14ac:dyDescent="0.2">
      <c r="L58" s="5"/>
      <c r="M58" s="5"/>
      <c r="N58" s="5"/>
    </row>
    <row r="59" spans="1:14" x14ac:dyDescent="0.2">
      <c r="L59" s="5"/>
      <c r="M59" s="5"/>
      <c r="N59" s="5"/>
    </row>
    <row r="60" spans="1:14" x14ac:dyDescent="0.2">
      <c r="A60" s="4"/>
      <c r="L60" s="5"/>
      <c r="M60" s="5"/>
      <c r="N60" s="5"/>
    </row>
    <row r="61" spans="1:14" x14ac:dyDescent="0.2">
      <c r="L61" s="5"/>
      <c r="M61" s="5"/>
      <c r="N61" s="5"/>
    </row>
    <row r="62" spans="1:14" ht="34" customHeight="1" x14ac:dyDescent="0.2">
      <c r="L62" s="5"/>
      <c r="M62" s="5"/>
      <c r="N62" s="5"/>
    </row>
    <row r="63" spans="1:14" x14ac:dyDescent="0.2">
      <c r="L63" s="5"/>
      <c r="M63" s="5"/>
      <c r="N63" s="5"/>
    </row>
    <row r="64" spans="1:14" x14ac:dyDescent="0.2">
      <c r="L64" s="5"/>
      <c r="M64" s="5"/>
      <c r="N64" s="5"/>
    </row>
    <row r="65" spans="12:14" x14ac:dyDescent="0.2">
      <c r="L65" s="5"/>
      <c r="M65" s="5"/>
      <c r="N65" s="5"/>
    </row>
    <row r="66" spans="12:14" x14ac:dyDescent="0.2">
      <c r="L66" s="5"/>
      <c r="M66" s="5"/>
      <c r="N66" s="5"/>
    </row>
    <row r="67" spans="12:14" x14ac:dyDescent="0.2">
      <c r="M67" s="20"/>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M77" s="20"/>
    </row>
    <row r="78" spans="12:14" x14ac:dyDescent="0.2">
      <c r="L78" s="5"/>
      <c r="M78" s="5"/>
      <c r="N78" s="5"/>
    </row>
    <row r="79" spans="12:14" x14ac:dyDescent="0.2">
      <c r="L79" s="5"/>
      <c r="M79" s="5"/>
      <c r="N79" s="5"/>
    </row>
    <row r="80" spans="12:14" x14ac:dyDescent="0.2">
      <c r="L80" s="5"/>
      <c r="M80" s="5"/>
      <c r="N80" s="5"/>
    </row>
    <row r="81" spans="1:14" x14ac:dyDescent="0.2">
      <c r="L81" s="5"/>
      <c r="M81" s="5"/>
      <c r="N81" s="5"/>
    </row>
    <row r="82" spans="1:14" x14ac:dyDescent="0.2">
      <c r="L82" s="5"/>
      <c r="M82" s="5"/>
      <c r="N82" s="5"/>
    </row>
    <row r="83" spans="1:14" x14ac:dyDescent="0.2">
      <c r="L83" s="5"/>
      <c r="M83" s="5"/>
      <c r="N83" s="5"/>
    </row>
    <row r="84" spans="1:14" x14ac:dyDescent="0.2">
      <c r="L84" s="5"/>
      <c r="M84" s="5"/>
      <c r="N84" s="5"/>
    </row>
    <row r="85" spans="1:14" x14ac:dyDescent="0.2">
      <c r="L85" s="5"/>
      <c r="M85" s="5"/>
      <c r="N85" s="5"/>
    </row>
    <row r="86" spans="1:14" x14ac:dyDescent="0.2">
      <c r="L86" s="5"/>
      <c r="M86" s="5"/>
      <c r="N86" s="5"/>
    </row>
    <row r="87" spans="1:14" x14ac:dyDescent="0.2">
      <c r="M87" s="20"/>
    </row>
    <row r="88" spans="1:14" x14ac:dyDescent="0.2">
      <c r="L88" s="5"/>
      <c r="M88" s="5"/>
      <c r="N88" s="5"/>
    </row>
    <row r="89" spans="1:14" x14ac:dyDescent="0.2">
      <c r="L89" s="5"/>
      <c r="M89" s="5"/>
      <c r="N89" s="5"/>
    </row>
    <row r="90" spans="1:14" x14ac:dyDescent="0.2">
      <c r="L90" s="5"/>
      <c r="M90" s="5"/>
      <c r="N90" s="5"/>
    </row>
    <row r="91" spans="1:14" x14ac:dyDescent="0.2">
      <c r="L91" s="5"/>
      <c r="M91" s="5"/>
      <c r="N91" s="5"/>
    </row>
    <row r="92" spans="1:14" x14ac:dyDescent="0.2">
      <c r="L92" s="5"/>
      <c r="M92" s="5"/>
      <c r="N92" s="5"/>
    </row>
    <row r="93" spans="1:14" x14ac:dyDescent="0.2">
      <c r="L93" s="5"/>
      <c r="M93" s="5"/>
      <c r="N93" s="5"/>
    </row>
    <row r="94" spans="1:14" x14ac:dyDescent="0.2">
      <c r="L94" s="5"/>
      <c r="M94" s="5"/>
      <c r="N94" s="5"/>
    </row>
    <row r="95" spans="1:14" x14ac:dyDescent="0.2">
      <c r="A95" s="5"/>
      <c r="B95" s="5"/>
      <c r="C95" s="5"/>
      <c r="D95" s="5"/>
      <c r="E95" s="5"/>
      <c r="F95" s="5"/>
      <c r="G95" s="5"/>
      <c r="H95" s="5"/>
      <c r="I95" s="5"/>
      <c r="J95" s="5"/>
      <c r="L95" s="5"/>
      <c r="M95" s="5"/>
      <c r="N95" s="5"/>
    </row>
    <row r="96" spans="1:14" x14ac:dyDescent="0.2">
      <c r="A96" s="5"/>
      <c r="B96" s="5"/>
      <c r="C96" s="5"/>
      <c r="D96" s="5"/>
      <c r="E96" s="5"/>
      <c r="F96" s="5"/>
      <c r="G96" s="5"/>
      <c r="H96" s="5"/>
      <c r="I96" s="5"/>
      <c r="J96" s="5"/>
      <c r="L96" s="5"/>
      <c r="M96" s="5"/>
      <c r="N96" s="5"/>
    </row>
    <row r="97" spans="1:65" x14ac:dyDescent="0.2">
      <c r="A97" s="5"/>
      <c r="B97" s="5"/>
      <c r="C97" s="5"/>
      <c r="D97" s="5"/>
      <c r="E97" s="5"/>
      <c r="F97" s="5"/>
      <c r="G97" s="5"/>
      <c r="H97" s="5"/>
      <c r="I97" s="5"/>
      <c r="J97" s="5"/>
      <c r="M97" s="20"/>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sheetData>
  <mergeCells count="3">
    <mergeCell ref="A22:J22"/>
    <mergeCell ref="M24:T26"/>
    <mergeCell ref="L30:S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dimension ref="A1:BL200"/>
  <sheetViews>
    <sheetView zoomScaleNormal="100" workbookViewId="0"/>
  </sheetViews>
  <sheetFormatPr baseColWidth="10" defaultColWidth="10.83203125" defaultRowHeight="16" outlineLevelCol="1" x14ac:dyDescent="0.2"/>
  <cols>
    <col min="1" max="1" width="4.6640625" style="19" customWidth="1"/>
    <col min="2" max="4" width="10.83203125" style="19" customWidth="1"/>
    <col min="5" max="5" width="10.83203125" style="19"/>
    <col min="6" max="7" width="10.83203125" style="19" customWidth="1"/>
    <col min="8" max="10" width="10.83203125" style="19"/>
    <col min="11" max="11" width="11.5" style="19" bestFit="1" customWidth="1"/>
    <col min="12" max="12" width="10.83203125" style="19" hidden="1" customWidth="1" outlineLevel="1"/>
    <col min="13" max="13" width="13.6640625" style="19" hidden="1" customWidth="1" outlineLevel="1"/>
    <col min="14" max="20" width="10.83203125" style="19" hidden="1" customWidth="1" outlineLevel="1"/>
    <col min="21" max="21" width="10.83203125" style="19" collapsed="1"/>
    <col min="22" max="16384" width="10.83203125" style="19"/>
  </cols>
  <sheetData>
    <row r="1" spans="1:15" ht="19" x14ac:dyDescent="0.25">
      <c r="A1" s="1" t="s">
        <v>165</v>
      </c>
      <c r="B1" s="9"/>
      <c r="C1" s="16"/>
      <c r="D1" s="16"/>
      <c r="E1" s="16"/>
      <c r="F1" s="17"/>
      <c r="G1" s="17"/>
      <c r="H1" s="17"/>
      <c r="I1" s="17"/>
      <c r="J1" s="18"/>
      <c r="K1" s="3" t="s">
        <v>141</v>
      </c>
    </row>
    <row r="2" spans="1:15" x14ac:dyDescent="0.2">
      <c r="A2" s="2"/>
      <c r="B2" s="17"/>
      <c r="C2" s="17"/>
      <c r="D2" s="17"/>
      <c r="E2" s="17"/>
      <c r="F2" s="17"/>
      <c r="G2" s="17"/>
      <c r="H2" s="17"/>
      <c r="I2" s="17"/>
      <c r="J2" s="18"/>
      <c r="L2" s="4" t="s">
        <v>2</v>
      </c>
      <c r="M2" s="20"/>
    </row>
    <row r="3" spans="1:15" x14ac:dyDescent="0.2">
      <c r="A3" s="2"/>
      <c r="B3" s="17" t="s">
        <v>15</v>
      </c>
      <c r="C3" s="17"/>
      <c r="D3" s="17"/>
      <c r="E3" s="17"/>
      <c r="F3" s="17"/>
      <c r="G3" s="17"/>
      <c r="H3" s="17"/>
      <c r="I3" s="17"/>
      <c r="J3" s="18"/>
      <c r="L3" s="6"/>
      <c r="M3" s="20"/>
    </row>
    <row r="4" spans="1:15" x14ac:dyDescent="0.2">
      <c r="A4" s="2"/>
      <c r="B4" s="17"/>
      <c r="C4" s="17"/>
      <c r="D4" s="17"/>
      <c r="E4" s="17"/>
      <c r="F4" s="17"/>
      <c r="G4" s="17"/>
      <c r="H4" s="17"/>
      <c r="I4" s="17"/>
      <c r="J4" s="18"/>
      <c r="M4" s="27" t="s">
        <v>14</v>
      </c>
      <c r="N4" s="28" t="s">
        <v>68</v>
      </c>
      <c r="O4" s="28" t="s">
        <v>191</v>
      </c>
    </row>
    <row r="5" spans="1:15" x14ac:dyDescent="0.2">
      <c r="A5" s="2"/>
      <c r="B5" s="17"/>
      <c r="C5" s="295" t="s">
        <v>64</v>
      </c>
      <c r="D5" s="295"/>
      <c r="E5" s="295"/>
      <c r="F5" s="17"/>
      <c r="G5" s="17"/>
      <c r="H5" s="17"/>
      <c r="I5" s="17"/>
      <c r="J5" s="18"/>
      <c r="M5" s="30">
        <v>2011</v>
      </c>
      <c r="N5" s="31">
        <f>D8</f>
        <v>34500</v>
      </c>
      <c r="O5" s="31">
        <f>E8*$G$13</f>
        <v>38586</v>
      </c>
    </row>
    <row r="6" spans="1:15" x14ac:dyDescent="0.2">
      <c r="A6" s="2"/>
      <c r="B6" s="17"/>
      <c r="C6" s="303" t="s">
        <v>5</v>
      </c>
      <c r="D6" s="12"/>
      <c r="E6" s="12"/>
      <c r="F6" s="17"/>
      <c r="G6" s="17"/>
      <c r="H6" s="17"/>
      <c r="I6" s="17"/>
      <c r="J6" s="18"/>
      <c r="M6" s="30">
        <v>2012</v>
      </c>
      <c r="N6" s="31">
        <f>D9</f>
        <v>43300</v>
      </c>
      <c r="O6" s="31">
        <f>E9*$G$13</f>
        <v>50685.000000000007</v>
      </c>
    </row>
    <row r="7" spans="1:15" ht="17" x14ac:dyDescent="0.2">
      <c r="A7" s="2"/>
      <c r="B7" s="17"/>
      <c r="C7" s="304"/>
      <c r="D7" s="53" t="s">
        <v>36</v>
      </c>
      <c r="E7" s="53" t="s">
        <v>63</v>
      </c>
      <c r="F7" s="17"/>
      <c r="G7" s="17"/>
      <c r="H7" s="17"/>
      <c r="I7" s="17"/>
      <c r="J7" s="18"/>
      <c r="M7" s="30">
        <v>2013</v>
      </c>
      <c r="N7" s="31">
        <f>D10</f>
        <v>42000</v>
      </c>
      <c r="O7" s="31">
        <f>E10*$G$13</f>
        <v>48287</v>
      </c>
    </row>
    <row r="8" spans="1:15" x14ac:dyDescent="0.2">
      <c r="A8" s="2"/>
      <c r="B8" s="17"/>
      <c r="C8" s="33">
        <v>2011</v>
      </c>
      <c r="D8" s="54">
        <v>34500</v>
      </c>
      <c r="E8" s="54">
        <v>35400</v>
      </c>
      <c r="F8" s="17"/>
      <c r="G8" s="17"/>
      <c r="H8" s="17"/>
      <c r="I8" s="17"/>
      <c r="J8" s="18"/>
    </row>
    <row r="9" spans="1:15" x14ac:dyDescent="0.2">
      <c r="A9" s="2"/>
      <c r="B9" s="17"/>
      <c r="C9" s="33">
        <v>2012</v>
      </c>
      <c r="D9" s="54">
        <v>43300</v>
      </c>
      <c r="E9" s="54">
        <v>46500</v>
      </c>
      <c r="F9" s="17"/>
      <c r="G9" s="17"/>
      <c r="H9" s="17"/>
      <c r="I9" s="17"/>
      <c r="J9" s="18"/>
    </row>
    <row r="10" spans="1:15" x14ac:dyDescent="0.2">
      <c r="A10" s="2"/>
      <c r="B10" s="17"/>
      <c r="C10" s="33">
        <v>2013</v>
      </c>
      <c r="D10" s="54">
        <v>42000</v>
      </c>
      <c r="E10" s="54">
        <v>44300</v>
      </c>
      <c r="F10" s="17"/>
      <c r="G10" s="17"/>
      <c r="H10" s="17"/>
      <c r="I10" s="17"/>
      <c r="J10" s="18"/>
      <c r="M10" s="35"/>
      <c r="N10" s="36" t="s">
        <v>192</v>
      </c>
    </row>
    <row r="11" spans="1:15" x14ac:dyDescent="0.2">
      <c r="A11" s="2"/>
      <c r="B11" s="17"/>
      <c r="C11" s="33">
        <v>2014</v>
      </c>
      <c r="D11" s="54">
        <v>54200</v>
      </c>
      <c r="E11" s="54"/>
      <c r="F11" s="17"/>
      <c r="G11" s="17"/>
      <c r="H11" s="17"/>
      <c r="I11" s="17"/>
      <c r="J11" s="18"/>
      <c r="M11" s="37" t="s">
        <v>11</v>
      </c>
      <c r="N11" s="26">
        <f>SLOPE(O5:O7,N5:N7)</f>
        <v>1.3469205200177281</v>
      </c>
    </row>
    <row r="12" spans="1:15" x14ac:dyDescent="0.2">
      <c r="A12" s="2"/>
      <c r="B12" s="17"/>
      <c r="C12" s="17"/>
      <c r="D12" s="17"/>
      <c r="E12" s="17"/>
      <c r="F12" s="17"/>
      <c r="G12" s="17"/>
      <c r="H12" s="17"/>
      <c r="I12" s="17"/>
      <c r="J12" s="18"/>
      <c r="M12" s="37" t="s">
        <v>12</v>
      </c>
      <c r="N12" s="38">
        <f>INTERCEPT(O5:O7,N5:N7)</f>
        <v>-7934.3594327079481</v>
      </c>
    </row>
    <row r="13" spans="1:15" x14ac:dyDescent="0.2">
      <c r="A13" s="2"/>
      <c r="B13" s="21" t="s">
        <v>190</v>
      </c>
      <c r="C13" s="17"/>
      <c r="D13" s="17"/>
      <c r="E13" s="17"/>
      <c r="F13" s="17"/>
      <c r="G13" s="17">
        <v>1.0900000000000001</v>
      </c>
      <c r="H13" s="17"/>
      <c r="I13" s="17"/>
      <c r="J13" s="18"/>
    </row>
    <row r="14" spans="1:15" x14ac:dyDescent="0.2">
      <c r="A14" s="2"/>
      <c r="B14" s="17"/>
      <c r="C14" s="17"/>
      <c r="D14" s="17"/>
      <c r="E14" s="17"/>
      <c r="F14" s="17"/>
      <c r="G14" s="17"/>
      <c r="H14" s="17"/>
      <c r="I14" s="17"/>
      <c r="J14" s="18"/>
      <c r="M14" s="19" t="s">
        <v>193</v>
      </c>
      <c r="N14" s="40"/>
    </row>
    <row r="15" spans="1:15" x14ac:dyDescent="0.2">
      <c r="A15" s="17" t="s">
        <v>0</v>
      </c>
      <c r="B15" s="17" t="s">
        <v>65</v>
      </c>
      <c r="C15" s="17"/>
      <c r="D15" s="17"/>
      <c r="E15" s="17"/>
      <c r="F15" s="17"/>
      <c r="G15" s="17"/>
      <c r="H15" s="17"/>
      <c r="I15" s="17"/>
      <c r="J15" s="18"/>
      <c r="M15" s="19" t="s">
        <v>194</v>
      </c>
      <c r="N15" s="40">
        <f>N12+N11*D11</f>
        <v>65068.732752252909</v>
      </c>
    </row>
    <row r="16" spans="1:15" ht="17" thickBot="1" x14ac:dyDescent="0.25">
      <c r="A16" s="2"/>
      <c r="B16" s="17"/>
      <c r="C16" s="17"/>
      <c r="D16" s="17"/>
      <c r="E16" s="17"/>
      <c r="F16" s="17"/>
      <c r="G16" s="17"/>
      <c r="H16" s="17"/>
      <c r="I16" s="17"/>
      <c r="J16" s="18"/>
    </row>
    <row r="17" spans="1:20" ht="17" thickBot="1" x14ac:dyDescent="0.25">
      <c r="A17" s="17" t="s">
        <v>1</v>
      </c>
      <c r="B17" s="17" t="s">
        <v>66</v>
      </c>
      <c r="C17" s="17"/>
      <c r="D17" s="17"/>
      <c r="E17" s="17"/>
      <c r="F17" s="17"/>
      <c r="G17" s="17"/>
      <c r="H17" s="17"/>
      <c r="I17" s="17"/>
      <c r="J17" s="18"/>
      <c r="M17" s="55" t="s">
        <v>195</v>
      </c>
      <c r="N17" s="42">
        <f>N15-D11</f>
        <v>10868.732752252909</v>
      </c>
    </row>
    <row r="18" spans="1:20" x14ac:dyDescent="0.2">
      <c r="A18" s="2"/>
      <c r="B18" s="17" t="s">
        <v>67</v>
      </c>
      <c r="C18" s="17"/>
      <c r="D18" s="17"/>
      <c r="E18" s="17"/>
      <c r="F18" s="17"/>
      <c r="G18" s="17"/>
      <c r="H18" s="17"/>
      <c r="I18" s="17"/>
      <c r="J18" s="18"/>
    </row>
    <row r="19" spans="1:20" x14ac:dyDescent="0.2">
      <c r="A19" s="2"/>
      <c r="B19" s="17"/>
      <c r="C19" s="17"/>
      <c r="D19" s="17"/>
      <c r="E19" s="17"/>
      <c r="F19" s="17"/>
      <c r="G19" s="17"/>
      <c r="H19" s="17"/>
      <c r="I19" s="17"/>
      <c r="J19" s="18"/>
      <c r="N19" s="11"/>
    </row>
    <row r="20" spans="1:20" ht="17" thickBot="1" x14ac:dyDescent="0.25">
      <c r="A20" s="2"/>
      <c r="B20" s="17"/>
      <c r="C20" s="17"/>
      <c r="D20" s="17"/>
      <c r="E20" s="17"/>
      <c r="F20" s="17"/>
      <c r="G20" s="17"/>
      <c r="H20" s="17"/>
      <c r="I20" s="17"/>
      <c r="J20" s="18"/>
      <c r="L20" s="4" t="s">
        <v>3</v>
      </c>
      <c r="M20" s="20"/>
    </row>
    <row r="21" spans="1:20" ht="17" thickBot="1" x14ac:dyDescent="0.25">
      <c r="A21" s="296" t="s">
        <v>140</v>
      </c>
      <c r="B21" s="297"/>
      <c r="C21" s="297"/>
      <c r="D21" s="297"/>
      <c r="E21" s="297"/>
      <c r="F21" s="297"/>
      <c r="G21" s="297"/>
      <c r="H21" s="297"/>
      <c r="I21" s="297"/>
      <c r="J21" s="298"/>
    </row>
    <row r="22" spans="1:20" x14ac:dyDescent="0.2">
      <c r="M22" s="306" t="s">
        <v>196</v>
      </c>
      <c r="N22" s="306"/>
      <c r="O22" s="306"/>
      <c r="P22" s="306"/>
      <c r="Q22" s="306"/>
      <c r="R22" s="306"/>
      <c r="S22" s="306"/>
      <c r="T22" s="306"/>
    </row>
    <row r="23" spans="1:20" x14ac:dyDescent="0.2">
      <c r="M23" s="306"/>
      <c r="N23" s="306"/>
      <c r="O23" s="306"/>
      <c r="P23" s="306"/>
      <c r="Q23" s="306"/>
      <c r="R23" s="306"/>
      <c r="S23" s="306"/>
      <c r="T23" s="306"/>
    </row>
    <row r="24" spans="1:20" ht="19" x14ac:dyDescent="0.25">
      <c r="A24" s="3"/>
      <c r="M24" s="306"/>
      <c r="N24" s="306"/>
      <c r="O24" s="306"/>
      <c r="P24" s="306"/>
      <c r="Q24" s="306"/>
      <c r="R24" s="306"/>
      <c r="S24" s="306"/>
      <c r="T24" s="306"/>
    </row>
    <row r="26" spans="1:20" ht="15.5" customHeight="1" x14ac:dyDescent="0.2">
      <c r="M26" s="56" t="s">
        <v>197</v>
      </c>
      <c r="N26" s="26">
        <f>AVERAGE(O5:O7)/AVERAGE(N5:N7)</f>
        <v>1.1482303839732886</v>
      </c>
    </row>
    <row r="27" spans="1:20" ht="17" thickBot="1" x14ac:dyDescent="0.25"/>
    <row r="28" spans="1:20" ht="17" thickBot="1" x14ac:dyDescent="0.25">
      <c r="M28" s="41" t="s">
        <v>198</v>
      </c>
      <c r="N28" s="57">
        <f>D11*(N26-1)</f>
        <v>8034.0868113522411</v>
      </c>
    </row>
    <row r="30" spans="1:20" x14ac:dyDescent="0.2">
      <c r="M30" s="19" t="s">
        <v>69</v>
      </c>
    </row>
    <row r="33" spans="12:20" ht="19" x14ac:dyDescent="0.25">
      <c r="L33" s="3" t="s">
        <v>128</v>
      </c>
    </row>
    <row r="34" spans="12:20" x14ac:dyDescent="0.2">
      <c r="L34" s="308" t="s">
        <v>199</v>
      </c>
      <c r="M34" s="308"/>
      <c r="N34" s="308"/>
      <c r="O34" s="308"/>
      <c r="P34" s="308"/>
      <c r="Q34" s="308"/>
      <c r="R34" s="308"/>
      <c r="S34" s="308"/>
    </row>
    <row r="35" spans="12:20" x14ac:dyDescent="0.2">
      <c r="L35" s="308"/>
      <c r="M35" s="308"/>
      <c r="N35" s="308"/>
      <c r="O35" s="308"/>
      <c r="P35" s="308"/>
      <c r="Q35" s="308"/>
      <c r="R35" s="308"/>
      <c r="S35" s="308"/>
    </row>
    <row r="36" spans="12:20" x14ac:dyDescent="0.2">
      <c r="L36" s="308"/>
      <c r="M36" s="308"/>
      <c r="N36" s="308"/>
      <c r="O36" s="308"/>
      <c r="P36" s="308"/>
      <c r="Q36" s="308"/>
      <c r="R36" s="308"/>
      <c r="S36" s="308"/>
    </row>
    <row r="38" spans="12:20" ht="19" x14ac:dyDescent="0.25">
      <c r="L38" s="3" t="s">
        <v>203</v>
      </c>
      <c r="T38" s="47"/>
    </row>
    <row r="39" spans="12:20" x14ac:dyDescent="0.2">
      <c r="L39" s="84" t="s">
        <v>204</v>
      </c>
    </row>
    <row r="40" spans="12:20" ht="16" customHeight="1" x14ac:dyDescent="0.2"/>
    <row r="41" spans="12:20" ht="15.5" customHeight="1" x14ac:dyDescent="0.2">
      <c r="L41" s="47"/>
      <c r="M41" s="47"/>
      <c r="N41" s="47"/>
      <c r="O41" s="47"/>
      <c r="P41" s="47"/>
      <c r="Q41" s="47"/>
      <c r="R41" s="47"/>
      <c r="S41" s="47"/>
    </row>
    <row r="42" spans="12:20" ht="15.5" customHeight="1" x14ac:dyDescent="0.2"/>
    <row r="43" spans="12:20" ht="15.5" customHeight="1" x14ac:dyDescent="0.2"/>
    <row r="56" spans="12:13" x14ac:dyDescent="0.2">
      <c r="L56" s="20"/>
    </row>
    <row r="57" spans="12:13" x14ac:dyDescent="0.2">
      <c r="L57" s="5"/>
      <c r="M57" s="5"/>
    </row>
    <row r="58" spans="12:13" x14ac:dyDescent="0.2">
      <c r="L58" s="5"/>
      <c r="M58" s="5"/>
    </row>
    <row r="59" spans="12:13" x14ac:dyDescent="0.2">
      <c r="L59" s="5"/>
      <c r="M59" s="5"/>
    </row>
    <row r="60" spans="12:13" x14ac:dyDescent="0.2">
      <c r="L60" s="5"/>
      <c r="M60" s="5"/>
    </row>
    <row r="61" spans="12:13" x14ac:dyDescent="0.2">
      <c r="L61" s="5"/>
      <c r="M61" s="5"/>
    </row>
    <row r="62" spans="12:13" x14ac:dyDescent="0.2">
      <c r="L62" s="5"/>
      <c r="M62" s="5"/>
    </row>
    <row r="63" spans="12:13" x14ac:dyDescent="0.2">
      <c r="L63" s="5"/>
      <c r="M63" s="5"/>
    </row>
    <row r="64" spans="12:13" ht="35" customHeight="1" x14ac:dyDescent="0.2">
      <c r="L64" s="5"/>
      <c r="M64" s="5"/>
    </row>
    <row r="65" spans="12:13" x14ac:dyDescent="0.2">
      <c r="L65" s="5"/>
      <c r="M65" s="5"/>
    </row>
    <row r="66" spans="12:13" x14ac:dyDescent="0.2">
      <c r="L66" s="20"/>
    </row>
    <row r="67" spans="12:13" x14ac:dyDescent="0.2">
      <c r="L67" s="5"/>
      <c r="M67" s="5"/>
    </row>
    <row r="68" spans="12:13" x14ac:dyDescent="0.2">
      <c r="L68" s="5"/>
      <c r="M68" s="5"/>
    </row>
    <row r="69" spans="12:13" x14ac:dyDescent="0.2">
      <c r="L69" s="5"/>
      <c r="M69" s="5"/>
    </row>
    <row r="70" spans="12:13" x14ac:dyDescent="0.2">
      <c r="L70" s="5"/>
      <c r="M70" s="5"/>
    </row>
    <row r="71" spans="12:13" x14ac:dyDescent="0.2">
      <c r="L71" s="5"/>
      <c r="M71" s="5"/>
    </row>
    <row r="72" spans="12:13" x14ac:dyDescent="0.2">
      <c r="L72" s="5"/>
      <c r="M72" s="5"/>
    </row>
    <row r="73" spans="12:13" x14ac:dyDescent="0.2">
      <c r="L73" s="5"/>
      <c r="M73" s="5"/>
    </row>
    <row r="74" spans="12:13" x14ac:dyDescent="0.2">
      <c r="L74" s="5"/>
      <c r="M74" s="5"/>
    </row>
    <row r="75" spans="12:13" x14ac:dyDescent="0.2">
      <c r="L75" s="5"/>
      <c r="M75" s="5"/>
    </row>
    <row r="76" spans="12:13" x14ac:dyDescent="0.2">
      <c r="L76" s="20"/>
    </row>
    <row r="77" spans="12:13" x14ac:dyDescent="0.2">
      <c r="L77" s="5"/>
      <c r="M77" s="5"/>
    </row>
    <row r="78" spans="12:13" x14ac:dyDescent="0.2">
      <c r="L78" s="5"/>
      <c r="M78" s="5"/>
    </row>
    <row r="79" spans="12:13" x14ac:dyDescent="0.2">
      <c r="L79" s="5"/>
      <c r="M79" s="5"/>
    </row>
    <row r="80" spans="12:13" x14ac:dyDescent="0.2">
      <c r="L80" s="5"/>
      <c r="M80" s="5"/>
    </row>
    <row r="81" spans="1:13" x14ac:dyDescent="0.2">
      <c r="L81" s="5"/>
      <c r="M81" s="5"/>
    </row>
    <row r="82" spans="1:13" x14ac:dyDescent="0.2">
      <c r="L82" s="5"/>
      <c r="M82" s="5"/>
    </row>
    <row r="83" spans="1:13" x14ac:dyDescent="0.2">
      <c r="L83" s="5"/>
      <c r="M83" s="5"/>
    </row>
    <row r="84" spans="1:13" x14ac:dyDescent="0.2">
      <c r="L84" s="5"/>
      <c r="M84" s="5"/>
    </row>
    <row r="85" spans="1:13" x14ac:dyDescent="0.2">
      <c r="L85" s="5"/>
      <c r="M85" s="5"/>
    </row>
    <row r="86" spans="1:13" x14ac:dyDescent="0.2">
      <c r="L86" s="20"/>
    </row>
    <row r="87" spans="1:13" x14ac:dyDescent="0.2">
      <c r="L87" s="5"/>
      <c r="M87" s="5"/>
    </row>
    <row r="88" spans="1:13" x14ac:dyDescent="0.2">
      <c r="L88" s="5"/>
      <c r="M88" s="5"/>
    </row>
    <row r="89" spans="1:13" x14ac:dyDescent="0.2">
      <c r="L89" s="5"/>
      <c r="M89" s="5"/>
    </row>
    <row r="90" spans="1:13" x14ac:dyDescent="0.2">
      <c r="L90" s="5"/>
      <c r="M90" s="5"/>
    </row>
    <row r="91" spans="1:13" x14ac:dyDescent="0.2">
      <c r="L91" s="5"/>
      <c r="M91" s="5"/>
    </row>
    <row r="92" spans="1:13" x14ac:dyDescent="0.2">
      <c r="L92" s="5"/>
      <c r="M92" s="5"/>
    </row>
    <row r="93" spans="1:13" x14ac:dyDescent="0.2">
      <c r="L93" s="5"/>
      <c r="M93" s="5"/>
    </row>
    <row r="94" spans="1:13" x14ac:dyDescent="0.2">
      <c r="L94" s="5"/>
      <c r="M94" s="5"/>
    </row>
    <row r="95" spans="1:13" x14ac:dyDescent="0.2">
      <c r="L95" s="5"/>
      <c r="M95" s="5"/>
    </row>
    <row r="96" spans="1:13" x14ac:dyDescent="0.2">
      <c r="A96" s="5"/>
      <c r="B96" s="5"/>
      <c r="C96" s="5"/>
      <c r="D96" s="5"/>
      <c r="E96" s="5"/>
      <c r="F96" s="5"/>
      <c r="G96" s="5"/>
      <c r="H96" s="5"/>
      <c r="I96" s="5"/>
      <c r="J96" s="5"/>
      <c r="L96" s="20"/>
    </row>
    <row r="97" spans="1:64" x14ac:dyDescent="0.2">
      <c r="A97" s="5"/>
      <c r="B97" s="5"/>
      <c r="C97" s="5"/>
      <c r="D97" s="5"/>
      <c r="E97" s="5"/>
      <c r="F97" s="5"/>
      <c r="G97" s="5"/>
      <c r="H97" s="5"/>
      <c r="I97" s="5"/>
      <c r="J97" s="5"/>
      <c r="L97" s="5"/>
      <c r="M97" s="5"/>
      <c r="N97" s="5"/>
      <c r="O97" s="5"/>
      <c r="P97" s="5"/>
      <c r="Q97" s="5"/>
      <c r="R97" s="5"/>
      <c r="S97" s="5"/>
      <c r="T97" s="5"/>
    </row>
    <row r="98" spans="1:64" x14ac:dyDescent="0.2">
      <c r="A98" s="5"/>
      <c r="B98" s="5"/>
      <c r="C98" s="5"/>
      <c r="D98" s="5"/>
      <c r="E98" s="5"/>
      <c r="F98" s="5"/>
      <c r="G98" s="5"/>
      <c r="H98" s="5"/>
      <c r="I98" s="5"/>
      <c r="J98" s="5"/>
      <c r="L98" s="5"/>
      <c r="M98" s="5"/>
      <c r="N98" s="5"/>
      <c r="O98" s="5"/>
      <c r="P98" s="5"/>
      <c r="Q98" s="5"/>
      <c r="R98" s="5"/>
      <c r="S98" s="5"/>
      <c r="T98" s="5"/>
      <c r="U98" s="5"/>
      <c r="V98" s="5"/>
      <c r="W98" s="5"/>
      <c r="X98" s="5"/>
      <c r="Y98" s="5"/>
    </row>
    <row r="99" spans="1:64"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row>
    <row r="100" spans="1:64"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row>
    <row r="101" spans="1:64"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row>
    <row r="102" spans="1:64"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row>
    <row r="103" spans="1:64"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row>
    <row r="104" spans="1:64"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row>
    <row r="105" spans="1:64"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row>
    <row r="106" spans="1:64"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row>
    <row r="107" spans="1:64"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row>
    <row r="108" spans="1:64"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row>
    <row r="109" spans="1:64"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row>
    <row r="110" spans="1:64"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row>
    <row r="111" spans="1:64"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row>
    <row r="112" spans="1:64"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row>
    <row r="113" spans="1:64"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row>
    <row r="114" spans="1:64"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row>
    <row r="115" spans="1:64"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row>
    <row r="116" spans="1:64"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row>
    <row r="117" spans="1:64"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row>
    <row r="118" spans="1:64"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row>
    <row r="119" spans="1:64"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row>
    <row r="120" spans="1:64"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row>
    <row r="121" spans="1:64"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row>
    <row r="122" spans="1:64"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row>
    <row r="123" spans="1:64"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row>
    <row r="124" spans="1:64"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row>
    <row r="125" spans="1:64"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row>
    <row r="126" spans="1:64"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row>
    <row r="127" spans="1:64"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row>
    <row r="128" spans="1:64"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row>
    <row r="129" spans="1:64"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row>
    <row r="130" spans="1:64"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row>
    <row r="131" spans="1:64"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row>
    <row r="132" spans="1:64"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row>
    <row r="133" spans="1:64"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row>
    <row r="134" spans="1:64"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row>
    <row r="135" spans="1:64"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row>
    <row r="136" spans="1:64"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row>
    <row r="137" spans="1:64"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row>
    <row r="138" spans="1:64"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row>
    <row r="139" spans="1:64"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row>
    <row r="140" spans="1:64"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row>
    <row r="141" spans="1:64"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row>
    <row r="142" spans="1:64"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row>
    <row r="143" spans="1:64"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row>
    <row r="144" spans="1:64"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row>
    <row r="145" spans="1:64"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row>
    <row r="146" spans="1:64"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row>
    <row r="147" spans="1:64"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row>
    <row r="148" spans="1:64"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row>
    <row r="149" spans="1:64"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row>
    <row r="150" spans="1:64"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row>
    <row r="151" spans="1:64"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row>
    <row r="152" spans="1:64"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row>
    <row r="153" spans="1:64"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row>
    <row r="154" spans="1:64"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row>
    <row r="155" spans="1:64"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row>
    <row r="156" spans="1:64"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row>
    <row r="157" spans="1:64"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row>
    <row r="158" spans="1:64"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row>
    <row r="159" spans="1:64"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row>
    <row r="160" spans="1:64"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row>
    <row r="161" spans="1:64"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row>
    <row r="162" spans="1:64"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row>
    <row r="163" spans="1:64"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row>
    <row r="164" spans="1:64"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row>
    <row r="165" spans="1:64"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row>
    <row r="166" spans="1:64"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row>
    <row r="167" spans="1:64"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row>
    <row r="168" spans="1:64"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row>
    <row r="169" spans="1:64"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row>
    <row r="170" spans="1:64"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row>
    <row r="171" spans="1:64"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row>
    <row r="172" spans="1:64"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row>
    <row r="173" spans="1:64"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row>
    <row r="174" spans="1:64"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row>
    <row r="175" spans="1:64"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row>
    <row r="176" spans="1:64"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row>
    <row r="177" spans="1:64"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row>
    <row r="178" spans="1:64"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row>
    <row r="179" spans="1:64"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row>
    <row r="180" spans="1:64"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row>
    <row r="181" spans="1:64"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row>
    <row r="182" spans="1:64"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row>
    <row r="183" spans="1:64"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row>
    <row r="184" spans="1:64"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row>
    <row r="185" spans="1:64"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row>
    <row r="186" spans="1:64"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row>
    <row r="187" spans="1:64"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row>
    <row r="188" spans="1:64"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row>
    <row r="189" spans="1:64"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row>
    <row r="190" spans="1:64"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row>
    <row r="191" spans="1:64"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row>
    <row r="192" spans="1:64"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row>
    <row r="193" spans="1:64"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row>
    <row r="194" spans="1:64"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row>
    <row r="195" spans="1:64"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row>
    <row r="196" spans="1:64"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row>
    <row r="197" spans="1:64"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row>
    <row r="198" spans="1:64" x14ac:dyDescent="0.2">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row>
    <row r="199" spans="1:64" x14ac:dyDescent="0.2">
      <c r="K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row>
    <row r="200" spans="1:64" x14ac:dyDescent="0.2">
      <c r="K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row>
  </sheetData>
  <mergeCells count="5">
    <mergeCell ref="C5:E5"/>
    <mergeCell ref="A21:J21"/>
    <mergeCell ref="L34:S36"/>
    <mergeCell ref="M22:T24"/>
    <mergeCell ref="C6:C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056A-3C28-514F-9672-D33096FEA2CA}">
  <dimension ref="A1:BL188"/>
  <sheetViews>
    <sheetView zoomScaleNormal="100" workbookViewId="0"/>
  </sheetViews>
  <sheetFormatPr baseColWidth="10" defaultColWidth="10.83203125" defaultRowHeight="16" outlineLevelCol="1" x14ac:dyDescent="0.2"/>
  <cols>
    <col min="1" max="1" width="4.6640625" style="19" customWidth="1"/>
    <col min="2" max="2" width="10.83203125" style="19" customWidth="1"/>
    <col min="3" max="3" width="10.83203125" style="19"/>
    <col min="4" max="4" width="11.83203125" style="19" bestFit="1" customWidth="1"/>
    <col min="5" max="5" width="13.33203125" style="19" bestFit="1" customWidth="1"/>
    <col min="6" max="10" width="10.83203125" style="19"/>
    <col min="11" max="11" width="11.5" style="19" bestFit="1" customWidth="1"/>
    <col min="12" max="12" width="10.83203125" style="19" hidden="1" customWidth="1" outlineLevel="1"/>
    <col min="13" max="13" width="15" style="19" hidden="1" customWidth="1" outlineLevel="1"/>
    <col min="14" max="14" width="11.5" style="19" hidden="1" customWidth="1" outlineLevel="1"/>
    <col min="15" max="19" width="10.83203125" style="19" hidden="1" customWidth="1" outlineLevel="1"/>
    <col min="20" max="20" width="10.83203125" style="19" collapsed="1"/>
    <col min="21" max="16384" width="10.83203125" style="19"/>
  </cols>
  <sheetData>
    <row r="1" spans="1:19" ht="19" x14ac:dyDescent="0.25">
      <c r="A1" s="1" t="s">
        <v>166</v>
      </c>
      <c r="B1" s="9"/>
      <c r="C1" s="16"/>
      <c r="D1" s="16"/>
      <c r="E1" s="16"/>
      <c r="F1" s="17"/>
      <c r="G1" s="17"/>
      <c r="H1" s="17"/>
      <c r="I1" s="17"/>
      <c r="J1" s="18"/>
      <c r="K1" s="3" t="s">
        <v>141</v>
      </c>
    </row>
    <row r="2" spans="1:19" x14ac:dyDescent="0.2">
      <c r="A2" s="2"/>
      <c r="B2" s="10"/>
      <c r="C2" s="49"/>
      <c r="D2" s="49"/>
      <c r="E2" s="49"/>
      <c r="F2" s="17"/>
      <c r="G2" s="17"/>
      <c r="H2" s="17"/>
      <c r="I2" s="17"/>
      <c r="J2" s="18"/>
      <c r="L2" s="19" t="s">
        <v>76</v>
      </c>
      <c r="N2" s="50">
        <f>E9*E10</f>
        <v>17000000</v>
      </c>
    </row>
    <row r="3" spans="1:19" x14ac:dyDescent="0.2">
      <c r="A3" s="2"/>
      <c r="B3" s="17" t="s">
        <v>70</v>
      </c>
      <c r="C3" s="17"/>
      <c r="D3" s="17"/>
      <c r="E3" s="17"/>
      <c r="F3" s="17"/>
      <c r="G3" s="17"/>
      <c r="H3" s="17"/>
      <c r="I3" s="17"/>
      <c r="J3" s="18"/>
      <c r="L3" s="19" t="s">
        <v>77</v>
      </c>
      <c r="N3" s="51">
        <f>E11/N2</f>
        <v>0.4</v>
      </c>
    </row>
    <row r="4" spans="1:19" x14ac:dyDescent="0.2">
      <c r="A4" s="2"/>
      <c r="B4" s="17"/>
      <c r="C4" s="17"/>
      <c r="D4" s="17"/>
      <c r="E4" s="17"/>
      <c r="F4" s="17"/>
      <c r="G4" s="17"/>
      <c r="H4" s="17"/>
      <c r="I4" s="17"/>
      <c r="J4" s="18"/>
    </row>
    <row r="5" spans="1:19" ht="16" customHeight="1" x14ac:dyDescent="0.2">
      <c r="A5" s="2"/>
      <c r="B5" s="17" t="s">
        <v>71</v>
      </c>
      <c r="C5" s="17"/>
      <c r="D5" s="17"/>
      <c r="E5" s="17"/>
      <c r="F5" s="17"/>
      <c r="G5" s="17"/>
      <c r="H5" s="17"/>
      <c r="I5" s="17"/>
      <c r="J5" s="18"/>
      <c r="L5" s="306" t="s">
        <v>78</v>
      </c>
      <c r="M5" s="306"/>
      <c r="N5" s="306"/>
      <c r="O5" s="306"/>
      <c r="P5" s="306"/>
      <c r="Q5" s="306"/>
      <c r="R5" s="306"/>
      <c r="S5" s="306"/>
    </row>
    <row r="6" spans="1:19" x14ac:dyDescent="0.2">
      <c r="A6" s="2"/>
      <c r="B6" s="17" t="s">
        <v>72</v>
      </c>
      <c r="C6" s="17"/>
      <c r="D6" s="17"/>
      <c r="E6" s="17"/>
      <c r="F6" s="17"/>
      <c r="G6" s="17"/>
      <c r="H6" s="17"/>
      <c r="I6" s="17"/>
      <c r="J6" s="18"/>
      <c r="L6" s="306"/>
      <c r="M6" s="306"/>
      <c r="N6" s="306"/>
      <c r="O6" s="306"/>
      <c r="P6" s="306"/>
      <c r="Q6" s="306"/>
      <c r="R6" s="306"/>
      <c r="S6" s="306"/>
    </row>
    <row r="7" spans="1:19" x14ac:dyDescent="0.2">
      <c r="A7" s="2"/>
      <c r="B7" s="17"/>
      <c r="C7" s="17"/>
      <c r="D7" s="17"/>
      <c r="E7" s="17"/>
      <c r="F7" s="17"/>
      <c r="G7" s="17"/>
      <c r="H7" s="17"/>
      <c r="I7" s="17"/>
      <c r="J7" s="18"/>
    </row>
    <row r="8" spans="1:19" x14ac:dyDescent="0.2">
      <c r="A8" s="2"/>
      <c r="B8" s="17" t="s">
        <v>73</v>
      </c>
      <c r="C8" s="17"/>
      <c r="D8" s="17"/>
      <c r="E8" s="17"/>
      <c r="F8" s="17"/>
      <c r="G8" s="17"/>
      <c r="H8" s="17"/>
      <c r="I8" s="17"/>
      <c r="J8" s="18"/>
      <c r="L8" s="19" t="s">
        <v>79</v>
      </c>
    </row>
    <row r="9" spans="1:19" x14ac:dyDescent="0.2">
      <c r="A9" s="2"/>
      <c r="B9" s="21" t="s">
        <v>150</v>
      </c>
      <c r="C9" s="17"/>
      <c r="D9" s="17"/>
      <c r="E9" s="22">
        <v>0.85</v>
      </c>
      <c r="F9" s="17"/>
      <c r="G9" s="17"/>
      <c r="H9" s="17"/>
      <c r="I9" s="17"/>
      <c r="J9" s="18"/>
      <c r="L9" s="93" t="s">
        <v>80</v>
      </c>
    </row>
    <row r="10" spans="1:19" x14ac:dyDescent="0.2">
      <c r="A10" s="2"/>
      <c r="B10" s="21" t="s">
        <v>151</v>
      </c>
      <c r="C10" s="17"/>
      <c r="D10" s="17"/>
      <c r="E10" s="52">
        <v>20000000</v>
      </c>
      <c r="F10" s="17"/>
      <c r="G10" s="17"/>
      <c r="H10" s="17"/>
      <c r="I10" s="17"/>
      <c r="J10" s="18"/>
    </row>
    <row r="11" spans="1:19" x14ac:dyDescent="0.2">
      <c r="A11" s="2"/>
      <c r="B11" s="21" t="s">
        <v>152</v>
      </c>
      <c r="C11" s="17"/>
      <c r="D11" s="17"/>
      <c r="E11" s="52">
        <v>6800000</v>
      </c>
      <c r="F11" s="17"/>
      <c r="G11" s="17"/>
      <c r="H11" s="17"/>
      <c r="I11" s="17"/>
      <c r="J11" s="18"/>
      <c r="L11" s="19" t="s">
        <v>83</v>
      </c>
    </row>
    <row r="12" spans="1:19" x14ac:dyDescent="0.2">
      <c r="A12" s="2"/>
      <c r="B12" s="17"/>
      <c r="C12" s="17"/>
      <c r="D12" s="17"/>
      <c r="E12" s="17"/>
      <c r="F12" s="17"/>
      <c r="G12" s="17"/>
      <c r="H12" s="17"/>
      <c r="I12" s="17"/>
      <c r="J12" s="18"/>
      <c r="L12" s="93" t="s">
        <v>81</v>
      </c>
    </row>
    <row r="13" spans="1:19" x14ac:dyDescent="0.2">
      <c r="A13" s="2"/>
      <c r="B13" s="17"/>
      <c r="C13" s="17"/>
      <c r="D13" s="17"/>
      <c r="E13" s="17"/>
      <c r="F13" s="17"/>
      <c r="G13" s="17"/>
      <c r="H13" s="17"/>
      <c r="I13" s="17"/>
      <c r="J13" s="18"/>
    </row>
    <row r="14" spans="1:19" x14ac:dyDescent="0.2">
      <c r="A14" s="2"/>
      <c r="B14" s="17" t="s">
        <v>74</v>
      </c>
      <c r="C14" s="17"/>
      <c r="D14" s="17"/>
      <c r="E14" s="17"/>
      <c r="F14" s="17"/>
      <c r="G14" s="17"/>
      <c r="H14" s="17"/>
      <c r="I14" s="17"/>
      <c r="J14" s="18"/>
      <c r="L14" s="306" t="s">
        <v>84</v>
      </c>
      <c r="M14" s="306"/>
      <c r="N14" s="306"/>
      <c r="O14" s="306"/>
      <c r="P14" s="306"/>
      <c r="Q14" s="306"/>
      <c r="R14" s="306"/>
      <c r="S14" s="306"/>
    </row>
    <row r="15" spans="1:19" x14ac:dyDescent="0.2">
      <c r="A15" s="2"/>
      <c r="B15" s="17" t="s">
        <v>75</v>
      </c>
      <c r="C15" s="17"/>
      <c r="D15" s="17"/>
      <c r="E15" s="17"/>
      <c r="F15" s="17"/>
      <c r="G15" s="17"/>
      <c r="H15" s="17"/>
      <c r="I15" s="17"/>
      <c r="J15" s="18"/>
      <c r="L15" s="306"/>
      <c r="M15" s="306"/>
      <c r="N15" s="306"/>
      <c r="O15" s="306"/>
      <c r="P15" s="306"/>
      <c r="Q15" s="306"/>
      <c r="R15" s="306"/>
      <c r="S15" s="306"/>
    </row>
    <row r="16" spans="1:19" x14ac:dyDescent="0.2">
      <c r="A16" s="2"/>
      <c r="B16" s="17"/>
      <c r="C16" s="17"/>
      <c r="D16" s="17"/>
      <c r="E16" s="17"/>
      <c r="F16" s="17"/>
      <c r="G16" s="17"/>
      <c r="H16" s="17"/>
      <c r="I16" s="17"/>
      <c r="J16" s="18"/>
      <c r="L16" s="93" t="s">
        <v>82</v>
      </c>
    </row>
    <row r="17" spans="1:20" ht="17" thickBot="1" x14ac:dyDescent="0.25">
      <c r="A17" s="2"/>
      <c r="B17" s="17"/>
      <c r="C17" s="17"/>
      <c r="D17" s="17"/>
      <c r="E17" s="17"/>
      <c r="F17" s="17"/>
      <c r="G17" s="17"/>
      <c r="H17" s="17"/>
      <c r="I17" s="17"/>
      <c r="J17" s="18"/>
    </row>
    <row r="18" spans="1:20" ht="17" thickBot="1" x14ac:dyDescent="0.25">
      <c r="A18" s="296" t="s">
        <v>140</v>
      </c>
      <c r="B18" s="297"/>
      <c r="C18" s="297"/>
      <c r="D18" s="297"/>
      <c r="E18" s="297"/>
      <c r="F18" s="297"/>
      <c r="G18" s="297"/>
      <c r="H18" s="297"/>
      <c r="I18" s="297"/>
      <c r="J18" s="298"/>
    </row>
    <row r="19" spans="1:20" ht="16" customHeight="1" x14ac:dyDescent="0.25">
      <c r="L19" s="3" t="s">
        <v>128</v>
      </c>
      <c r="T19" s="25"/>
    </row>
    <row r="20" spans="1:20" ht="19" x14ac:dyDescent="0.25">
      <c r="A20" s="3"/>
      <c r="L20" s="307" t="s">
        <v>209</v>
      </c>
      <c r="M20" s="306"/>
      <c r="N20" s="306"/>
      <c r="O20" s="306"/>
      <c r="P20" s="306"/>
      <c r="Q20" s="306"/>
      <c r="R20" s="306"/>
      <c r="S20" s="306"/>
    </row>
    <row r="21" spans="1:20" x14ac:dyDescent="0.2">
      <c r="B21" s="20"/>
      <c r="L21" s="306"/>
      <c r="M21" s="306"/>
      <c r="N21" s="306"/>
      <c r="O21" s="306"/>
      <c r="P21" s="306"/>
      <c r="Q21" s="306"/>
      <c r="R21" s="306"/>
      <c r="S21" s="306"/>
    </row>
    <row r="22" spans="1:20" ht="15" customHeight="1" x14ac:dyDescent="0.2">
      <c r="L22" s="306"/>
      <c r="M22" s="306"/>
      <c r="N22" s="306"/>
      <c r="O22" s="306"/>
      <c r="P22" s="306"/>
      <c r="Q22" s="306"/>
      <c r="R22" s="306"/>
      <c r="S22" s="306"/>
    </row>
    <row r="23" spans="1:20" ht="15" customHeight="1" x14ac:dyDescent="0.2">
      <c r="L23" s="306"/>
      <c r="M23" s="306"/>
      <c r="N23" s="306"/>
      <c r="O23" s="306"/>
      <c r="P23" s="306"/>
      <c r="Q23" s="306"/>
      <c r="R23" s="306"/>
      <c r="S23" s="306"/>
    </row>
    <row r="24" spans="1:20" ht="15.5" customHeight="1" x14ac:dyDescent="0.2">
      <c r="L24" s="306"/>
      <c r="M24" s="306"/>
      <c r="N24" s="306"/>
      <c r="O24" s="306"/>
      <c r="P24" s="306"/>
      <c r="Q24" s="306"/>
      <c r="R24" s="306"/>
      <c r="S24" s="306"/>
    </row>
    <row r="25" spans="1:20" ht="15.5" customHeight="1" x14ac:dyDescent="0.2">
      <c r="K25" s="5"/>
      <c r="L25" s="306"/>
      <c r="M25" s="306"/>
      <c r="N25" s="306"/>
      <c r="O25" s="306"/>
      <c r="P25" s="306"/>
      <c r="Q25" s="306"/>
      <c r="R25" s="306"/>
      <c r="S25" s="306"/>
    </row>
    <row r="26" spans="1:20" ht="15.5" customHeight="1" x14ac:dyDescent="0.2">
      <c r="K26" s="5"/>
      <c r="L26" s="306"/>
      <c r="M26" s="306"/>
      <c r="N26" s="306"/>
      <c r="O26" s="306"/>
      <c r="P26" s="306"/>
      <c r="Q26" s="306"/>
      <c r="R26" s="306"/>
      <c r="S26" s="306"/>
    </row>
    <row r="27" spans="1:20" ht="15.5" customHeight="1" x14ac:dyDescent="0.2">
      <c r="K27" s="5"/>
      <c r="L27" s="306"/>
      <c r="M27" s="306"/>
      <c r="N27" s="306"/>
      <c r="O27" s="306"/>
      <c r="P27" s="306"/>
      <c r="Q27" s="306"/>
      <c r="R27" s="306"/>
      <c r="S27" s="306"/>
    </row>
    <row r="28" spans="1:20" ht="15.5" customHeight="1" x14ac:dyDescent="0.2">
      <c r="K28" s="5"/>
      <c r="L28" s="306"/>
      <c r="M28" s="306"/>
      <c r="N28" s="306"/>
      <c r="O28" s="306"/>
      <c r="P28" s="306"/>
      <c r="Q28" s="306"/>
      <c r="R28" s="306"/>
      <c r="S28" s="306"/>
    </row>
    <row r="29" spans="1:20" ht="15.5" customHeight="1" x14ac:dyDescent="0.2">
      <c r="K29" s="5"/>
      <c r="L29" s="306"/>
      <c r="M29" s="306"/>
      <c r="N29" s="306"/>
      <c r="O29" s="306"/>
      <c r="P29" s="306"/>
      <c r="Q29" s="306"/>
      <c r="R29" s="306"/>
      <c r="S29" s="306"/>
    </row>
    <row r="30" spans="1:20" ht="15.5" customHeight="1" x14ac:dyDescent="0.2">
      <c r="K30" s="5"/>
      <c r="L30" s="306"/>
      <c r="M30" s="306"/>
      <c r="N30" s="306"/>
      <c r="O30" s="306"/>
      <c r="P30" s="306"/>
      <c r="Q30" s="306"/>
      <c r="R30" s="306"/>
      <c r="S30" s="306"/>
    </row>
    <row r="31" spans="1:20" ht="15.5" customHeight="1" x14ac:dyDescent="0.2">
      <c r="K31" s="5"/>
      <c r="L31" s="306"/>
      <c r="M31" s="306"/>
      <c r="N31" s="306"/>
      <c r="O31" s="306"/>
      <c r="P31" s="306"/>
      <c r="Q31" s="306"/>
      <c r="R31" s="306"/>
      <c r="S31" s="306"/>
    </row>
    <row r="32" spans="1:20" ht="15.5" customHeight="1" x14ac:dyDescent="0.2">
      <c r="K32" s="5"/>
      <c r="L32" s="306"/>
      <c r="M32" s="306"/>
      <c r="N32" s="306"/>
      <c r="O32" s="306"/>
      <c r="P32" s="306"/>
      <c r="Q32" s="306"/>
      <c r="R32" s="306"/>
      <c r="S32" s="306"/>
    </row>
    <row r="33" spans="2:19" ht="15" customHeight="1" x14ac:dyDescent="0.2">
      <c r="K33" s="5"/>
      <c r="L33" s="306"/>
      <c r="M33" s="306"/>
      <c r="N33" s="306"/>
      <c r="O33" s="306"/>
      <c r="P33" s="306"/>
      <c r="Q33" s="306"/>
      <c r="R33" s="306"/>
      <c r="S33" s="306"/>
    </row>
    <row r="34" spans="2:19" ht="15" customHeight="1" x14ac:dyDescent="0.2">
      <c r="L34" s="306"/>
      <c r="M34" s="306"/>
      <c r="N34" s="306"/>
      <c r="O34" s="306"/>
      <c r="P34" s="306"/>
      <c r="Q34" s="306"/>
      <c r="R34" s="306"/>
      <c r="S34" s="306"/>
    </row>
    <row r="35" spans="2:19" ht="15" customHeight="1" x14ac:dyDescent="0.2">
      <c r="L35" s="47"/>
      <c r="M35" s="47"/>
      <c r="N35" s="47"/>
      <c r="O35" s="47"/>
      <c r="P35" s="47"/>
      <c r="Q35" s="47"/>
      <c r="R35" s="47"/>
      <c r="S35" s="47"/>
    </row>
    <row r="36" spans="2:19" ht="15" customHeight="1" x14ac:dyDescent="0.2">
      <c r="L36" s="47"/>
      <c r="M36" s="47"/>
      <c r="N36" s="47"/>
      <c r="O36" s="47"/>
      <c r="P36" s="47"/>
      <c r="Q36" s="47"/>
      <c r="R36" s="47"/>
      <c r="S36" s="47"/>
    </row>
    <row r="37" spans="2:19" x14ac:dyDescent="0.2">
      <c r="L37" s="47"/>
      <c r="M37" s="47"/>
      <c r="N37" s="47"/>
      <c r="O37" s="47"/>
      <c r="P37" s="47"/>
      <c r="Q37" s="47"/>
      <c r="R37" s="47"/>
      <c r="S37" s="47"/>
    </row>
    <row r="44" spans="2:19" x14ac:dyDescent="0.2">
      <c r="B44" s="20"/>
    </row>
    <row r="47" spans="2:19" x14ac:dyDescent="0.2">
      <c r="K47" s="5"/>
      <c r="L47" s="5"/>
    </row>
    <row r="48" spans="2:19" x14ac:dyDescent="0.2">
      <c r="K48" s="5"/>
      <c r="L48" s="5"/>
    </row>
    <row r="49" spans="11:13" x14ac:dyDescent="0.2">
      <c r="K49" s="5"/>
      <c r="L49" s="5"/>
    </row>
    <row r="50" spans="11:13" x14ac:dyDescent="0.2">
      <c r="K50" s="5"/>
      <c r="L50" s="5"/>
    </row>
    <row r="51" spans="11:13" x14ac:dyDescent="0.2">
      <c r="L51" s="5"/>
      <c r="M51" s="5"/>
    </row>
    <row r="52" spans="11:13" x14ac:dyDescent="0.2">
      <c r="L52" s="5"/>
      <c r="M52" s="5"/>
    </row>
    <row r="53" spans="11:13" x14ac:dyDescent="0.2">
      <c r="L53" s="5"/>
      <c r="M53" s="5"/>
    </row>
    <row r="54" spans="11:13" x14ac:dyDescent="0.2">
      <c r="L54" s="5"/>
      <c r="M54" s="5"/>
    </row>
    <row r="55" spans="11:13" x14ac:dyDescent="0.2">
      <c r="L55" s="5"/>
      <c r="M55" s="5"/>
    </row>
    <row r="56" spans="11:13" x14ac:dyDescent="0.2">
      <c r="L56" s="20"/>
    </row>
    <row r="57" spans="11:13" x14ac:dyDescent="0.2">
      <c r="L57" s="5"/>
      <c r="M57" s="5"/>
    </row>
    <row r="58" spans="11:13" x14ac:dyDescent="0.2">
      <c r="L58" s="5"/>
      <c r="M58" s="5"/>
    </row>
    <row r="59" spans="11:13" x14ac:dyDescent="0.2">
      <c r="L59" s="5"/>
      <c r="M59" s="5"/>
    </row>
    <row r="60" spans="11:13" x14ac:dyDescent="0.2">
      <c r="L60" s="5"/>
      <c r="M60" s="5"/>
    </row>
    <row r="61" spans="11:13" x14ac:dyDescent="0.2">
      <c r="L61" s="5"/>
      <c r="M61" s="5"/>
    </row>
    <row r="62" spans="11:13" x14ac:dyDescent="0.2">
      <c r="L62" s="5"/>
      <c r="M62" s="5"/>
    </row>
    <row r="63" spans="11:13" x14ac:dyDescent="0.2">
      <c r="L63" s="5"/>
      <c r="M63" s="5"/>
    </row>
    <row r="64" spans="11:13" x14ac:dyDescent="0.2">
      <c r="L64" s="5"/>
      <c r="M64" s="5"/>
    </row>
    <row r="65" spans="12:13" x14ac:dyDescent="0.2">
      <c r="L65" s="5"/>
      <c r="M65" s="5"/>
    </row>
    <row r="66" spans="12:13" x14ac:dyDescent="0.2">
      <c r="L66" s="20"/>
    </row>
    <row r="67" spans="12:13" x14ac:dyDescent="0.2">
      <c r="L67" s="5"/>
      <c r="M67" s="5"/>
    </row>
    <row r="68" spans="12:13" x14ac:dyDescent="0.2">
      <c r="L68" s="5"/>
      <c r="M68" s="5"/>
    </row>
    <row r="69" spans="12:13" x14ac:dyDescent="0.2">
      <c r="L69" s="5"/>
      <c r="M69" s="5"/>
    </row>
    <row r="70" spans="12:13" x14ac:dyDescent="0.2">
      <c r="L70" s="5"/>
      <c r="M70" s="5"/>
    </row>
    <row r="71" spans="12:13" x14ac:dyDescent="0.2">
      <c r="L71" s="5"/>
      <c r="M71" s="5"/>
    </row>
    <row r="72" spans="12:13" x14ac:dyDescent="0.2">
      <c r="L72" s="5"/>
      <c r="M72" s="5"/>
    </row>
    <row r="73" spans="12:13" x14ac:dyDescent="0.2">
      <c r="L73" s="5"/>
      <c r="M73" s="5"/>
    </row>
    <row r="74" spans="12:13" x14ac:dyDescent="0.2">
      <c r="L74" s="5"/>
      <c r="M74" s="5"/>
    </row>
    <row r="75" spans="12:13" x14ac:dyDescent="0.2">
      <c r="L75" s="5"/>
      <c r="M75" s="5"/>
    </row>
    <row r="76" spans="12:13" x14ac:dyDescent="0.2">
      <c r="L76" s="20"/>
    </row>
    <row r="77" spans="12:13" x14ac:dyDescent="0.2">
      <c r="L77" s="5"/>
      <c r="M77" s="5"/>
    </row>
    <row r="78" spans="12:13" x14ac:dyDescent="0.2">
      <c r="L78" s="5"/>
      <c r="M78" s="5"/>
    </row>
    <row r="79" spans="12:13" x14ac:dyDescent="0.2">
      <c r="L79" s="5"/>
      <c r="M79" s="5"/>
    </row>
    <row r="80" spans="12:13" x14ac:dyDescent="0.2">
      <c r="L80" s="5"/>
      <c r="M80" s="5"/>
    </row>
    <row r="81" spans="1:64" x14ac:dyDescent="0.2">
      <c r="L81" s="5"/>
      <c r="M81" s="5"/>
    </row>
    <row r="82" spans="1:64" x14ac:dyDescent="0.2">
      <c r="L82" s="5"/>
      <c r="M82" s="5"/>
    </row>
    <row r="83" spans="1:64" x14ac:dyDescent="0.2">
      <c r="L83" s="5"/>
      <c r="M83" s="5"/>
    </row>
    <row r="84" spans="1:64" x14ac:dyDescent="0.2">
      <c r="L84" s="5"/>
      <c r="M84" s="5"/>
    </row>
    <row r="85" spans="1:64" x14ac:dyDescent="0.2">
      <c r="L85" s="5"/>
      <c r="M85" s="5"/>
    </row>
    <row r="86" spans="1:64" x14ac:dyDescent="0.2">
      <c r="A86" s="5"/>
      <c r="B86" s="5"/>
      <c r="C86" s="5"/>
      <c r="D86" s="5"/>
      <c r="E86" s="5"/>
      <c r="F86" s="5"/>
      <c r="G86" s="5"/>
      <c r="H86" s="5"/>
      <c r="I86" s="5"/>
      <c r="J86" s="5"/>
      <c r="L86" s="20"/>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row>
    <row r="87" spans="1:64"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row>
    <row r="88" spans="1:64"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row>
    <row r="89" spans="1:64"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row>
    <row r="90" spans="1:64"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row>
    <row r="91" spans="1:64"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row>
    <row r="92" spans="1:64"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row>
    <row r="93" spans="1:64"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row>
    <row r="94" spans="1:64"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row>
    <row r="95" spans="1:64"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row>
    <row r="96" spans="1:64"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row>
    <row r="97" spans="1:64"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row>
    <row r="98" spans="1:64"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row>
    <row r="99" spans="1:64"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row>
    <row r="100" spans="1:64"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row>
    <row r="101" spans="1:64"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row>
    <row r="102" spans="1:64"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row>
    <row r="103" spans="1:64"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row>
    <row r="104" spans="1:64"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row>
    <row r="105" spans="1:64"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row>
    <row r="106" spans="1:64"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row>
    <row r="107" spans="1:64"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row>
    <row r="108" spans="1:64"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row>
    <row r="109" spans="1:64"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row>
    <row r="110" spans="1:64"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row>
    <row r="111" spans="1:64"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row>
    <row r="112" spans="1:64"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row>
    <row r="113" spans="1:64"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row>
    <row r="114" spans="1:64"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row>
    <row r="115" spans="1:64"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row>
    <row r="116" spans="1:64"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row>
    <row r="117" spans="1:64"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row>
    <row r="118" spans="1:64"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row>
    <row r="119" spans="1:64"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row>
    <row r="120" spans="1:64"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row>
    <row r="121" spans="1:64"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row>
    <row r="122" spans="1:64"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row>
    <row r="123" spans="1:64"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row>
    <row r="124" spans="1:64"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row>
    <row r="125" spans="1:64"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row>
    <row r="126" spans="1:64"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row>
    <row r="127" spans="1:64"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row>
    <row r="128" spans="1:64"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row>
    <row r="129" spans="1:64"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row>
    <row r="130" spans="1:64"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row>
    <row r="131" spans="1:64"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row>
    <row r="132" spans="1:64"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row>
    <row r="133" spans="1:64"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row>
    <row r="134" spans="1:64"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row>
    <row r="135" spans="1:64"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row>
    <row r="136" spans="1:64"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row>
    <row r="137" spans="1:64"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row>
    <row r="138" spans="1:64"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row>
    <row r="139" spans="1:64"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row>
    <row r="140" spans="1:64"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row>
    <row r="141" spans="1:64"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row>
    <row r="142" spans="1:64"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row>
    <row r="143" spans="1:64"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row>
    <row r="144" spans="1:64"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row>
    <row r="145" spans="1:64"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row>
    <row r="146" spans="1:64"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row>
    <row r="147" spans="1:64"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row>
    <row r="148" spans="1:64"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row>
    <row r="149" spans="1:64"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row>
    <row r="150" spans="1:64"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row>
    <row r="151" spans="1:64"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row>
    <row r="152" spans="1:64"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row>
    <row r="153" spans="1:64"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row>
    <row r="154" spans="1:64"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row>
    <row r="155" spans="1:64"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row>
    <row r="156" spans="1:64"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row>
    <row r="157" spans="1:64"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row>
    <row r="158" spans="1:64"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row>
    <row r="159" spans="1:64"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row>
    <row r="160" spans="1:64"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row>
    <row r="161" spans="1:64"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row>
    <row r="162" spans="1:64"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row>
    <row r="163" spans="1:64"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row>
    <row r="164" spans="1:64"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row>
    <row r="165" spans="1:64"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row>
    <row r="166" spans="1:64"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row>
    <row r="167" spans="1:64"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row>
    <row r="168" spans="1:64"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row>
    <row r="169" spans="1:64"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row>
    <row r="170" spans="1:64"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row>
    <row r="171" spans="1:64"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row>
    <row r="172" spans="1:64"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row>
    <row r="173" spans="1:64"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row>
    <row r="174" spans="1:64"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row>
    <row r="175" spans="1:64"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row>
    <row r="176" spans="1:64"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row>
    <row r="177" spans="1:64"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row>
    <row r="178" spans="1:64"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row>
    <row r="179" spans="1:64"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row>
    <row r="180" spans="1:64"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row>
    <row r="181" spans="1:64"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row>
    <row r="182" spans="1:64"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row>
    <row r="183" spans="1:64"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row>
    <row r="184" spans="1:64"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row>
    <row r="185" spans="1:64"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row>
    <row r="186" spans="1:64"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row>
    <row r="187" spans="1:64"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row>
    <row r="188" spans="1:64" x14ac:dyDescent="0.2">
      <c r="K188" s="5"/>
      <c r="L188" s="5"/>
      <c r="M188" s="5"/>
      <c r="N188" s="5"/>
      <c r="O188" s="5"/>
      <c r="P188" s="5"/>
      <c r="Q188" s="5"/>
      <c r="R188" s="5"/>
      <c r="S188" s="5"/>
    </row>
  </sheetData>
  <mergeCells count="4">
    <mergeCell ref="L20:S34"/>
    <mergeCell ref="A18:J18"/>
    <mergeCell ref="L5:S6"/>
    <mergeCell ref="L14:S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63F-6757-334D-8DA4-92DAE58C8E92}">
  <dimension ref="A1:BM191"/>
  <sheetViews>
    <sheetView zoomScaleNormal="100" workbookViewId="0"/>
  </sheetViews>
  <sheetFormatPr baseColWidth="10" defaultColWidth="10.83203125" defaultRowHeight="16" outlineLevelCol="1" x14ac:dyDescent="0.2"/>
  <cols>
    <col min="1" max="1" width="4.6640625" style="19" customWidth="1"/>
    <col min="2" max="2" width="10.83203125" style="19"/>
    <col min="3" max="3" width="10.83203125" style="19" customWidth="1"/>
    <col min="4" max="10" width="10.83203125" style="19"/>
    <col min="11" max="11" width="11.5" style="19" bestFit="1" customWidth="1"/>
    <col min="12" max="13" width="10.83203125" style="19" hidden="1" customWidth="1" outlineLevel="1"/>
    <col min="14" max="14" width="14" style="19" hidden="1" customWidth="1" outlineLevel="1"/>
    <col min="15" max="20" width="10.83203125" style="19" hidden="1" customWidth="1" outlineLevel="1"/>
    <col min="21" max="21" width="10.83203125" style="19" collapsed="1"/>
    <col min="22" max="16384" width="10.83203125" style="19"/>
  </cols>
  <sheetData>
    <row r="1" spans="1:20" ht="19" x14ac:dyDescent="0.25">
      <c r="A1" s="1" t="s">
        <v>167</v>
      </c>
      <c r="B1" s="9"/>
      <c r="C1" s="16"/>
      <c r="D1" s="16"/>
      <c r="E1" s="16"/>
      <c r="F1" s="17"/>
      <c r="G1" s="17"/>
      <c r="H1" s="17"/>
      <c r="I1" s="17"/>
      <c r="J1" s="18"/>
      <c r="K1" s="3" t="s">
        <v>141</v>
      </c>
    </row>
    <row r="2" spans="1:20" x14ac:dyDescent="0.2">
      <c r="A2" s="2"/>
      <c r="B2" s="17"/>
      <c r="C2" s="17"/>
      <c r="D2" s="17"/>
      <c r="E2" s="17"/>
      <c r="F2" s="17"/>
      <c r="G2" s="17"/>
      <c r="H2" s="17"/>
      <c r="I2" s="17"/>
      <c r="J2" s="18"/>
      <c r="L2" s="6" t="s">
        <v>2</v>
      </c>
      <c r="N2" s="20"/>
    </row>
    <row r="3" spans="1:20" x14ac:dyDescent="0.2">
      <c r="A3" s="2"/>
      <c r="B3" s="17" t="s">
        <v>85</v>
      </c>
      <c r="C3" s="17"/>
      <c r="D3" s="17"/>
      <c r="E3" s="17"/>
      <c r="F3" s="17"/>
      <c r="G3" s="17"/>
      <c r="H3" s="17"/>
      <c r="I3" s="17"/>
      <c r="J3" s="18"/>
      <c r="M3" s="20" t="s">
        <v>92</v>
      </c>
      <c r="N3" s="44">
        <f>3.14*10^8</f>
        <v>314000000</v>
      </c>
      <c r="O3" s="20"/>
      <c r="P3" s="19" t="s">
        <v>93</v>
      </c>
      <c r="Q3" s="45">
        <v>26500</v>
      </c>
    </row>
    <row r="4" spans="1:20" x14ac:dyDescent="0.2">
      <c r="A4" s="2"/>
      <c r="B4" s="17"/>
      <c r="C4" s="17"/>
      <c r="D4" s="17"/>
      <c r="E4" s="17"/>
      <c r="F4" s="17"/>
      <c r="G4" s="17"/>
      <c r="H4" s="17"/>
      <c r="I4" s="17"/>
      <c r="J4" s="18"/>
      <c r="M4" s="20" t="s">
        <v>90</v>
      </c>
      <c r="N4" s="44">
        <f>2.73*10^8</f>
        <v>273000000</v>
      </c>
      <c r="O4" s="20"/>
      <c r="P4" s="19" t="s">
        <v>94</v>
      </c>
      <c r="Q4" s="45">
        <v>21100</v>
      </c>
    </row>
    <row r="5" spans="1:20" x14ac:dyDescent="0.2">
      <c r="A5" s="2"/>
      <c r="B5" s="21" t="s">
        <v>153</v>
      </c>
      <c r="C5" s="17"/>
      <c r="D5" s="17"/>
      <c r="E5" s="17"/>
      <c r="F5" s="17"/>
      <c r="G5" s="17"/>
      <c r="H5" s="17"/>
      <c r="I5" s="17"/>
      <c r="J5" s="18"/>
      <c r="M5" s="20" t="s">
        <v>91</v>
      </c>
      <c r="N5" s="44">
        <f>2.82*10^8</f>
        <v>282000000</v>
      </c>
      <c r="O5" s="20"/>
    </row>
    <row r="6" spans="1:20" x14ac:dyDescent="0.2">
      <c r="A6" s="2"/>
      <c r="B6" s="17"/>
      <c r="C6" s="17"/>
      <c r="D6" s="17"/>
      <c r="E6" s="17"/>
      <c r="F6" s="17"/>
      <c r="G6" s="17"/>
      <c r="H6" s="17"/>
      <c r="I6" s="17"/>
      <c r="J6" s="18"/>
      <c r="O6" s="20"/>
    </row>
    <row r="7" spans="1:20" x14ac:dyDescent="0.2">
      <c r="A7" s="2"/>
      <c r="B7" s="21" t="s">
        <v>154</v>
      </c>
      <c r="C7" s="17"/>
      <c r="D7" s="17"/>
      <c r="E7" s="17"/>
      <c r="F7" s="17"/>
      <c r="G7" s="17"/>
      <c r="H7" s="17"/>
      <c r="I7" s="17"/>
      <c r="J7" s="18"/>
      <c r="M7" s="20"/>
      <c r="O7" s="20"/>
    </row>
    <row r="8" spans="1:20" x14ac:dyDescent="0.2">
      <c r="A8" s="2"/>
      <c r="B8" s="17"/>
      <c r="C8" s="17"/>
      <c r="D8" s="17"/>
      <c r="E8" s="17"/>
      <c r="F8" s="17"/>
      <c r="G8" s="17"/>
      <c r="H8" s="17"/>
      <c r="I8" s="17"/>
      <c r="J8" s="18"/>
      <c r="M8" s="20" t="s">
        <v>89</v>
      </c>
    </row>
    <row r="9" spans="1:20" x14ac:dyDescent="0.2">
      <c r="A9" s="2"/>
      <c r="B9" s="21" t="s">
        <v>155</v>
      </c>
      <c r="C9" s="17"/>
      <c r="D9" s="17"/>
      <c r="E9" s="17"/>
      <c r="F9" s="17"/>
      <c r="G9" s="17"/>
      <c r="H9" s="17"/>
      <c r="I9" s="17"/>
      <c r="J9" s="18"/>
      <c r="L9" s="20"/>
    </row>
    <row r="10" spans="1:20" x14ac:dyDescent="0.2">
      <c r="A10" s="2"/>
      <c r="B10" s="17"/>
      <c r="C10" s="17"/>
      <c r="D10" s="17"/>
      <c r="E10" s="17"/>
      <c r="F10" s="17"/>
      <c r="G10" s="17"/>
      <c r="H10" s="17"/>
      <c r="I10" s="17"/>
      <c r="J10" s="18"/>
      <c r="L10" s="20"/>
      <c r="M10" s="19" t="s">
        <v>95</v>
      </c>
      <c r="N10" s="92">
        <f>(24800-Q4)*(N4/N5)+Q3</f>
        <v>30081.91489361702</v>
      </c>
    </row>
    <row r="11" spans="1:20" ht="17" thickBot="1" x14ac:dyDescent="0.25">
      <c r="A11" s="2"/>
      <c r="B11" s="17" t="s">
        <v>86</v>
      </c>
      <c r="C11" s="17"/>
      <c r="D11" s="17"/>
      <c r="E11" s="17"/>
      <c r="F11" s="17"/>
      <c r="G11" s="17"/>
      <c r="H11" s="17"/>
      <c r="I11" s="17"/>
      <c r="J11" s="18"/>
    </row>
    <row r="12" spans="1:20" ht="17" thickBot="1" x14ac:dyDescent="0.25">
      <c r="A12" s="2"/>
      <c r="B12" s="17"/>
      <c r="C12" s="17"/>
      <c r="D12" s="17"/>
      <c r="E12" s="17"/>
      <c r="F12" s="17"/>
      <c r="G12" s="17"/>
      <c r="H12" s="17"/>
      <c r="I12" s="17"/>
      <c r="J12" s="18"/>
      <c r="M12" s="87" t="s">
        <v>96</v>
      </c>
      <c r="N12" s="91">
        <f>N10-24800</f>
        <v>5281.9148936170204</v>
      </c>
    </row>
    <row r="13" spans="1:20" x14ac:dyDescent="0.2">
      <c r="A13" s="2"/>
      <c r="B13" s="17"/>
      <c r="C13" s="17"/>
      <c r="D13" s="17"/>
      <c r="E13" s="17"/>
      <c r="F13" s="17"/>
      <c r="G13" s="17"/>
      <c r="H13" s="17"/>
      <c r="I13" s="17"/>
      <c r="J13" s="18"/>
    </row>
    <row r="14" spans="1:20" x14ac:dyDescent="0.2">
      <c r="A14" s="17" t="s">
        <v>0</v>
      </c>
      <c r="B14" s="17" t="s">
        <v>87</v>
      </c>
      <c r="C14" s="17"/>
      <c r="D14" s="17"/>
      <c r="E14" s="17"/>
      <c r="F14" s="17"/>
      <c r="G14" s="17"/>
      <c r="H14" s="17"/>
      <c r="I14" s="17"/>
      <c r="J14" s="18"/>
    </row>
    <row r="15" spans="1:20" x14ac:dyDescent="0.2">
      <c r="A15" s="2"/>
      <c r="B15" s="17"/>
      <c r="C15" s="17"/>
      <c r="D15" s="17"/>
      <c r="E15" s="17"/>
      <c r="F15" s="17"/>
      <c r="G15" s="17"/>
      <c r="H15" s="17"/>
      <c r="I15" s="17"/>
      <c r="J15" s="18"/>
      <c r="L15" s="6" t="s">
        <v>3</v>
      </c>
      <c r="N15" s="20"/>
    </row>
    <row r="16" spans="1:20" x14ac:dyDescent="0.2">
      <c r="A16" s="17" t="s">
        <v>1</v>
      </c>
      <c r="B16" s="17" t="s">
        <v>88</v>
      </c>
      <c r="C16" s="17"/>
      <c r="D16" s="17"/>
      <c r="E16" s="17"/>
      <c r="F16" s="17"/>
      <c r="G16" s="17"/>
      <c r="H16" s="17"/>
      <c r="I16" s="17"/>
      <c r="J16" s="18"/>
      <c r="M16" s="306" t="s">
        <v>143</v>
      </c>
      <c r="N16" s="306"/>
      <c r="O16" s="306"/>
      <c r="P16" s="306"/>
      <c r="Q16" s="306"/>
      <c r="R16" s="306"/>
      <c r="S16" s="306"/>
      <c r="T16" s="306"/>
    </row>
    <row r="17" spans="1:21" x14ac:dyDescent="0.2">
      <c r="A17" s="2"/>
      <c r="B17" s="17"/>
      <c r="C17" s="17"/>
      <c r="D17" s="17"/>
      <c r="E17" s="17"/>
      <c r="F17" s="17"/>
      <c r="G17" s="17"/>
      <c r="H17" s="17"/>
      <c r="I17" s="17"/>
      <c r="J17" s="18"/>
      <c r="M17" s="306"/>
      <c r="N17" s="306"/>
      <c r="O17" s="306"/>
      <c r="P17" s="306"/>
      <c r="Q17" s="306"/>
      <c r="R17" s="306"/>
      <c r="S17" s="306"/>
      <c r="T17" s="306"/>
    </row>
    <row r="18" spans="1:21" ht="17" thickBot="1" x14ac:dyDescent="0.25">
      <c r="A18" s="2"/>
      <c r="B18" s="17"/>
      <c r="C18" s="17"/>
      <c r="D18" s="17"/>
      <c r="E18" s="17"/>
      <c r="F18" s="17"/>
      <c r="G18" s="17"/>
      <c r="H18" s="17"/>
      <c r="I18" s="17"/>
      <c r="J18" s="18"/>
      <c r="M18" s="306"/>
      <c r="N18" s="306"/>
      <c r="O18" s="306"/>
      <c r="P18" s="306"/>
      <c r="Q18" s="306"/>
      <c r="R18" s="306"/>
      <c r="S18" s="306"/>
      <c r="T18" s="306"/>
    </row>
    <row r="19" spans="1:21" ht="17" thickBot="1" x14ac:dyDescent="0.25">
      <c r="A19" s="296" t="s">
        <v>140</v>
      </c>
      <c r="B19" s="297"/>
      <c r="C19" s="297"/>
      <c r="D19" s="297"/>
      <c r="E19" s="297"/>
      <c r="F19" s="297"/>
      <c r="G19" s="297"/>
      <c r="H19" s="297"/>
      <c r="I19" s="297"/>
      <c r="J19" s="298"/>
    </row>
    <row r="20" spans="1:21" ht="19" x14ac:dyDescent="0.25">
      <c r="L20" s="3" t="s">
        <v>128</v>
      </c>
    </row>
    <row r="21" spans="1:21" ht="16.25" customHeight="1" x14ac:dyDescent="0.25">
      <c r="A21" s="3"/>
      <c r="M21" s="46" t="s">
        <v>135</v>
      </c>
      <c r="N21" s="25"/>
      <c r="O21" s="25"/>
      <c r="P21" s="25"/>
      <c r="Q21" s="25"/>
      <c r="R21" s="25"/>
      <c r="S21" s="25"/>
      <c r="T21" s="25"/>
      <c r="U21" s="47"/>
    </row>
    <row r="22" spans="1:21" x14ac:dyDescent="0.2">
      <c r="M22" s="19" t="s">
        <v>136</v>
      </c>
      <c r="N22" s="44">
        <f>(30000-Q4)*N4/N5+Q3</f>
        <v>35115.957446808512</v>
      </c>
    </row>
    <row r="24" spans="1:21" x14ac:dyDescent="0.2">
      <c r="M24" s="19" t="s">
        <v>137</v>
      </c>
    </row>
    <row r="25" spans="1:21" x14ac:dyDescent="0.2">
      <c r="M25" s="19" t="s">
        <v>138</v>
      </c>
      <c r="N25" s="48">
        <f>N22-30000</f>
        <v>5115.957446808512</v>
      </c>
    </row>
    <row r="26" spans="1:21" x14ac:dyDescent="0.2">
      <c r="L26" s="6"/>
      <c r="N26" s="20"/>
    </row>
    <row r="27" spans="1:21" ht="16" customHeight="1" x14ac:dyDescent="0.2">
      <c r="M27" s="306" t="s">
        <v>139</v>
      </c>
      <c r="N27" s="306"/>
      <c r="O27" s="306"/>
      <c r="P27" s="306"/>
      <c r="Q27" s="306"/>
      <c r="R27" s="306"/>
      <c r="S27" s="306"/>
      <c r="T27" s="306"/>
      <c r="U27" s="47"/>
    </row>
    <row r="28" spans="1:21" x14ac:dyDescent="0.2">
      <c r="M28" s="306"/>
      <c r="N28" s="306"/>
      <c r="O28" s="306"/>
      <c r="P28" s="306"/>
      <c r="Q28" s="306"/>
      <c r="R28" s="306"/>
      <c r="S28" s="306"/>
      <c r="T28" s="306"/>
    </row>
    <row r="29" spans="1:21" x14ac:dyDescent="0.2">
      <c r="M29" s="306"/>
      <c r="N29" s="306"/>
      <c r="O29" s="306"/>
      <c r="P29" s="306"/>
      <c r="Q29" s="306"/>
      <c r="R29" s="306"/>
      <c r="S29" s="306"/>
      <c r="T29" s="306"/>
    </row>
    <row r="31" spans="1:21" x14ac:dyDescent="0.2">
      <c r="L31" s="5"/>
    </row>
    <row r="32" spans="1:21" x14ac:dyDescent="0.2">
      <c r="L32" s="5"/>
    </row>
    <row r="33" spans="12:12" x14ac:dyDescent="0.2">
      <c r="L33" s="5"/>
    </row>
    <row r="34" spans="12:12" x14ac:dyDescent="0.2">
      <c r="L34" s="5"/>
    </row>
    <row r="35" spans="12:12" x14ac:dyDescent="0.2">
      <c r="L35" s="5"/>
    </row>
    <row r="36" spans="12:12" x14ac:dyDescent="0.2">
      <c r="L36" s="5"/>
    </row>
    <row r="49" spans="12:14" ht="48" customHeight="1" x14ac:dyDescent="0.2">
      <c r="M49" s="20"/>
    </row>
    <row r="50" spans="12:14" x14ac:dyDescent="0.2">
      <c r="L50" s="5"/>
      <c r="M50" s="5"/>
      <c r="N50" s="5"/>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M59" s="20"/>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M69" s="20"/>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M79" s="20"/>
    </row>
    <row r="80" spans="12:14" x14ac:dyDescent="0.2">
      <c r="L80" s="5"/>
      <c r="M80" s="5"/>
      <c r="N80" s="5"/>
    </row>
    <row r="81" spans="1:65" x14ac:dyDescent="0.2">
      <c r="L81" s="5"/>
      <c r="M81" s="5"/>
      <c r="N81" s="5"/>
    </row>
    <row r="82" spans="1:65" x14ac:dyDescent="0.2">
      <c r="L82" s="5"/>
      <c r="M82" s="5"/>
      <c r="N82" s="5"/>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A88" s="5"/>
      <c r="B88" s="5"/>
      <c r="C88" s="5"/>
      <c r="D88" s="5"/>
      <c r="E88" s="5"/>
      <c r="F88" s="5"/>
      <c r="G88" s="5"/>
      <c r="H88" s="5"/>
      <c r="I88" s="5"/>
      <c r="J88" s="5"/>
      <c r="L88" s="5"/>
      <c r="M88" s="5"/>
      <c r="N88" s="5"/>
    </row>
    <row r="89" spans="1:65" x14ac:dyDescent="0.2">
      <c r="A89" s="5"/>
      <c r="B89" s="5"/>
      <c r="C89" s="5"/>
      <c r="D89" s="5"/>
      <c r="E89" s="5"/>
      <c r="F89" s="5"/>
      <c r="G89" s="5"/>
      <c r="H89" s="5"/>
      <c r="I89" s="5"/>
      <c r="J89" s="5"/>
      <c r="M89" s="20"/>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sheetData>
  <mergeCells count="3">
    <mergeCell ref="A19:J19"/>
    <mergeCell ref="M16:T18"/>
    <mergeCell ref="M27:T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89FB-38B8-A54B-960D-933D380AA1BC}">
  <dimension ref="A1:BL197"/>
  <sheetViews>
    <sheetView zoomScaleNormal="100" workbookViewId="0"/>
  </sheetViews>
  <sheetFormatPr baseColWidth="10" defaultColWidth="10.83203125" defaultRowHeight="16" outlineLevelCol="1" x14ac:dyDescent="0.2"/>
  <cols>
    <col min="1" max="1" width="4.6640625" style="19" customWidth="1"/>
    <col min="2" max="2" width="10.83203125" style="19" customWidth="1"/>
    <col min="3" max="3" width="10.83203125" style="19"/>
    <col min="4" max="4" width="10.83203125" style="19" customWidth="1"/>
    <col min="5" max="10" width="10.83203125" style="19"/>
    <col min="11" max="11" width="11.5" style="19" bestFit="1" customWidth="1"/>
    <col min="12" max="12" width="11" style="19" hidden="1" customWidth="1" outlineLevel="1"/>
    <col min="13" max="13" width="12.83203125" style="19" hidden="1" customWidth="1" outlineLevel="1"/>
    <col min="14" max="20" width="10.83203125" style="19" hidden="1" customWidth="1" outlineLevel="1"/>
    <col min="21" max="21" width="10.83203125" style="19" collapsed="1"/>
    <col min="22" max="16384" width="10.83203125" style="19"/>
  </cols>
  <sheetData>
    <row r="1" spans="1:16" ht="19" x14ac:dyDescent="0.25">
      <c r="A1" s="1" t="s">
        <v>168</v>
      </c>
      <c r="B1" s="9"/>
      <c r="C1" s="16"/>
      <c r="D1" s="16"/>
      <c r="E1" s="16"/>
      <c r="F1" s="17"/>
      <c r="G1" s="17"/>
      <c r="H1" s="17"/>
      <c r="I1" s="17"/>
      <c r="J1" s="18"/>
      <c r="K1" s="3" t="s">
        <v>141</v>
      </c>
    </row>
    <row r="2" spans="1:16" x14ac:dyDescent="0.2">
      <c r="A2" s="2"/>
      <c r="B2" s="17"/>
      <c r="C2" s="17"/>
      <c r="D2" s="17"/>
      <c r="E2" s="17"/>
      <c r="F2" s="17"/>
      <c r="G2" s="17"/>
      <c r="H2" s="17"/>
      <c r="I2" s="17"/>
      <c r="J2" s="18"/>
      <c r="L2" s="6" t="s">
        <v>2</v>
      </c>
      <c r="M2" s="20"/>
    </row>
    <row r="3" spans="1:16" x14ac:dyDescent="0.2">
      <c r="A3" s="2"/>
      <c r="B3" s="17" t="s">
        <v>97</v>
      </c>
      <c r="C3" s="17"/>
      <c r="D3" s="17"/>
      <c r="E3" s="17"/>
      <c r="F3" s="17"/>
      <c r="G3" s="17"/>
      <c r="H3" s="17"/>
      <c r="I3" s="17"/>
      <c r="J3" s="18"/>
      <c r="M3" s="6"/>
      <c r="N3" s="20"/>
    </row>
    <row r="4" spans="1:16" x14ac:dyDescent="0.2">
      <c r="A4" s="2"/>
      <c r="B4" s="17"/>
      <c r="C4" s="17"/>
      <c r="D4" s="17"/>
      <c r="E4" s="17"/>
      <c r="F4" s="17"/>
      <c r="G4" s="17"/>
      <c r="H4" s="17"/>
      <c r="I4" s="17"/>
      <c r="J4" s="18"/>
      <c r="M4" s="19" t="s">
        <v>202</v>
      </c>
      <c r="N4" s="26">
        <v>1.1000000000000001</v>
      </c>
    </row>
    <row r="5" spans="1:16" x14ac:dyDescent="0.2">
      <c r="A5" s="2"/>
      <c r="B5" s="17"/>
      <c r="C5" s="295" t="s">
        <v>98</v>
      </c>
      <c r="D5" s="295"/>
      <c r="E5" s="295"/>
      <c r="F5" s="17"/>
      <c r="G5" s="17"/>
      <c r="H5" s="17"/>
      <c r="I5" s="17"/>
      <c r="J5" s="18"/>
      <c r="N5" s="20"/>
    </row>
    <row r="6" spans="1:16" x14ac:dyDescent="0.2">
      <c r="A6" s="2"/>
      <c r="B6" s="17"/>
      <c r="C6" s="303" t="s">
        <v>5</v>
      </c>
      <c r="D6" s="12"/>
      <c r="E6" s="12"/>
      <c r="F6" s="17"/>
      <c r="G6" s="17"/>
      <c r="H6" s="17"/>
      <c r="I6" s="17"/>
      <c r="J6" s="18"/>
      <c r="M6" s="27" t="s">
        <v>14</v>
      </c>
      <c r="N6" s="28" t="s">
        <v>103</v>
      </c>
      <c r="O6" s="28" t="s">
        <v>201</v>
      </c>
    </row>
    <row r="7" spans="1:16" x14ac:dyDescent="0.2">
      <c r="A7" s="2"/>
      <c r="B7" s="17"/>
      <c r="C7" s="304"/>
      <c r="D7" s="29" t="s">
        <v>6</v>
      </c>
      <c r="E7" s="29" t="s">
        <v>7</v>
      </c>
      <c r="F7" s="17"/>
      <c r="G7" s="17"/>
      <c r="H7" s="17"/>
      <c r="I7" s="17"/>
      <c r="J7" s="18"/>
      <c r="M7" s="30">
        <f>C8</f>
        <v>2009</v>
      </c>
      <c r="N7" s="31">
        <f>D8</f>
        <v>1800</v>
      </c>
      <c r="O7" s="31">
        <f>E8*$N$4</f>
        <v>2860.0000000000005</v>
      </c>
      <c r="P7" s="32"/>
    </row>
    <row r="8" spans="1:16" x14ac:dyDescent="0.2">
      <c r="A8" s="2"/>
      <c r="B8" s="17"/>
      <c r="C8" s="33">
        <v>2009</v>
      </c>
      <c r="D8" s="34">
        <v>1800</v>
      </c>
      <c r="E8" s="34">
        <v>2600</v>
      </c>
      <c r="F8" s="17"/>
      <c r="G8" s="17"/>
      <c r="H8" s="17"/>
      <c r="I8" s="17"/>
      <c r="J8" s="18"/>
      <c r="M8" s="30">
        <v>2012</v>
      </c>
      <c r="N8" s="31">
        <f>D9</f>
        <v>2400</v>
      </c>
      <c r="O8" s="31">
        <f t="shared" ref="O8:O9" si="0">E9*$N$4</f>
        <v>3245.0000000000005</v>
      </c>
      <c r="P8" s="32"/>
    </row>
    <row r="9" spans="1:16" x14ac:dyDescent="0.2">
      <c r="A9" s="2"/>
      <c r="B9" s="17"/>
      <c r="C9" s="33">
        <v>2010</v>
      </c>
      <c r="D9" s="34">
        <v>2400</v>
      </c>
      <c r="E9" s="34">
        <v>2950</v>
      </c>
      <c r="F9" s="17"/>
      <c r="G9" s="17"/>
      <c r="H9" s="17"/>
      <c r="I9" s="17"/>
      <c r="J9" s="18"/>
      <c r="M9" s="30">
        <v>2013</v>
      </c>
      <c r="N9" s="31">
        <f>D10</f>
        <v>2000</v>
      </c>
      <c r="O9" s="31">
        <f t="shared" si="0"/>
        <v>2365</v>
      </c>
      <c r="P9" s="32"/>
    </row>
    <row r="10" spans="1:16" x14ac:dyDescent="0.2">
      <c r="A10" s="2"/>
      <c r="B10" s="17"/>
      <c r="C10" s="33">
        <v>2011</v>
      </c>
      <c r="D10" s="34">
        <v>2000</v>
      </c>
      <c r="E10" s="34">
        <v>2150</v>
      </c>
      <c r="F10" s="17"/>
      <c r="G10" s="17"/>
      <c r="H10" s="17"/>
      <c r="I10" s="17"/>
      <c r="J10" s="18"/>
      <c r="P10" s="32"/>
    </row>
    <row r="11" spans="1:16" x14ac:dyDescent="0.2">
      <c r="A11" s="2"/>
      <c r="B11" s="17"/>
      <c r="C11" s="33">
        <v>2012</v>
      </c>
      <c r="D11" s="34">
        <v>1950</v>
      </c>
      <c r="E11" s="34"/>
      <c r="F11" s="17"/>
      <c r="G11" s="17"/>
      <c r="H11" s="17"/>
      <c r="I11" s="17"/>
      <c r="J11" s="18"/>
    </row>
    <row r="12" spans="1:16" x14ac:dyDescent="0.2">
      <c r="A12" s="2"/>
      <c r="B12" s="17"/>
      <c r="C12" s="17"/>
      <c r="D12" s="17"/>
      <c r="E12" s="17"/>
      <c r="F12" s="17"/>
      <c r="G12" s="17"/>
      <c r="H12" s="17"/>
      <c r="I12" s="17"/>
      <c r="J12" s="18"/>
      <c r="M12" s="35"/>
      <c r="N12" s="36" t="s">
        <v>192</v>
      </c>
    </row>
    <row r="13" spans="1:16" x14ac:dyDescent="0.2">
      <c r="A13" s="2"/>
      <c r="B13" s="21" t="s">
        <v>158</v>
      </c>
      <c r="C13" s="17"/>
      <c r="D13" s="17"/>
      <c r="E13" s="17"/>
      <c r="F13" s="17"/>
      <c r="G13" s="17"/>
      <c r="H13" s="17"/>
      <c r="I13" s="17"/>
      <c r="J13" s="18"/>
      <c r="M13" s="37" t="s">
        <v>11</v>
      </c>
      <c r="N13" s="26">
        <f>SLOPE(O7:O9,N7:N9)</f>
        <v>0.86428571428571421</v>
      </c>
    </row>
    <row r="14" spans="1:16" x14ac:dyDescent="0.2">
      <c r="A14" s="2"/>
      <c r="B14" s="17"/>
      <c r="C14" s="17"/>
      <c r="D14" s="17"/>
      <c r="E14" s="17"/>
      <c r="F14" s="17"/>
      <c r="G14" s="17"/>
      <c r="H14" s="17"/>
      <c r="I14" s="17"/>
      <c r="J14" s="18"/>
      <c r="M14" s="37" t="s">
        <v>12</v>
      </c>
      <c r="N14" s="38">
        <f>INTERCEPT(O7:O9,N7:N9)</f>
        <v>1037.1428571428576</v>
      </c>
    </row>
    <row r="15" spans="1:16" x14ac:dyDescent="0.2">
      <c r="A15" s="2"/>
      <c r="B15" s="21" t="s">
        <v>159</v>
      </c>
      <c r="C15" s="17"/>
      <c r="D15" s="17"/>
      <c r="E15" s="17"/>
      <c r="F15" s="17"/>
      <c r="G15" s="17"/>
      <c r="H15" s="17"/>
      <c r="I15" s="17"/>
      <c r="J15" s="18"/>
    </row>
    <row r="16" spans="1:16" x14ac:dyDescent="0.2">
      <c r="A16" s="2"/>
      <c r="B16" s="17"/>
      <c r="C16" s="17"/>
      <c r="D16" s="17"/>
      <c r="E16" s="17"/>
      <c r="F16" s="17"/>
      <c r="G16" s="17"/>
      <c r="H16" s="17"/>
      <c r="I16" s="17"/>
      <c r="J16" s="18"/>
    </row>
    <row r="17" spans="1:20" x14ac:dyDescent="0.2">
      <c r="A17" s="15"/>
      <c r="B17" s="17"/>
      <c r="C17" s="17"/>
      <c r="D17" s="17"/>
      <c r="E17" s="17"/>
      <c r="F17" s="17"/>
      <c r="G17" s="17"/>
      <c r="H17" s="17"/>
      <c r="I17" s="17"/>
      <c r="J17" s="18"/>
      <c r="M17" s="19" t="s">
        <v>200</v>
      </c>
      <c r="O17" s="39"/>
    </row>
    <row r="18" spans="1:20" x14ac:dyDescent="0.2">
      <c r="A18" s="17" t="s">
        <v>0</v>
      </c>
      <c r="B18" s="17" t="s">
        <v>99</v>
      </c>
      <c r="C18" s="17"/>
      <c r="D18" s="17"/>
      <c r="E18" s="17"/>
      <c r="F18" s="17"/>
      <c r="G18" s="17"/>
      <c r="H18" s="17"/>
      <c r="I18" s="17"/>
      <c r="J18" s="18"/>
      <c r="M18" s="19" t="s">
        <v>104</v>
      </c>
      <c r="N18" s="40">
        <f>N14+N13*D11</f>
        <v>2722.5</v>
      </c>
      <c r="O18" s="39"/>
    </row>
    <row r="19" spans="1:20" ht="17" thickBot="1" x14ac:dyDescent="0.25">
      <c r="A19" s="2"/>
      <c r="B19" s="17"/>
      <c r="C19" s="17"/>
      <c r="D19" s="17"/>
      <c r="E19" s="17"/>
      <c r="F19" s="17"/>
      <c r="G19" s="17"/>
      <c r="H19" s="17"/>
      <c r="I19" s="17"/>
      <c r="J19" s="18"/>
    </row>
    <row r="20" spans="1:20" ht="17" thickBot="1" x14ac:dyDescent="0.25">
      <c r="A20" s="17" t="s">
        <v>1</v>
      </c>
      <c r="B20" s="17" t="s">
        <v>100</v>
      </c>
      <c r="C20" s="17"/>
      <c r="D20" s="17"/>
      <c r="E20" s="17"/>
      <c r="F20" s="17"/>
      <c r="G20" s="17"/>
      <c r="H20" s="17"/>
      <c r="I20" s="17"/>
      <c r="J20" s="18"/>
      <c r="M20" s="41" t="s">
        <v>105</v>
      </c>
      <c r="N20" s="42">
        <f>N18-D11</f>
        <v>772.5</v>
      </c>
      <c r="O20" s="43" t="s">
        <v>43</v>
      </c>
    </row>
    <row r="21" spans="1:20" x14ac:dyDescent="0.2">
      <c r="A21" s="2"/>
      <c r="B21" s="17" t="s">
        <v>101</v>
      </c>
      <c r="C21" s="17"/>
      <c r="D21" s="17"/>
      <c r="E21" s="17"/>
      <c r="F21" s="17"/>
      <c r="G21" s="17"/>
      <c r="H21" s="17"/>
      <c r="I21" s="17"/>
      <c r="J21" s="18"/>
      <c r="O21" s="11"/>
    </row>
    <row r="22" spans="1:20" x14ac:dyDescent="0.2">
      <c r="A22" s="2"/>
      <c r="B22" s="17" t="s">
        <v>102</v>
      </c>
      <c r="C22" s="17"/>
      <c r="D22" s="17"/>
      <c r="E22" s="17"/>
      <c r="F22" s="17"/>
      <c r="G22" s="17"/>
      <c r="H22" s="17"/>
      <c r="I22" s="17"/>
      <c r="J22" s="18"/>
    </row>
    <row r="23" spans="1:20" ht="17" thickBot="1" x14ac:dyDescent="0.25">
      <c r="A23" s="2"/>
      <c r="B23" s="17"/>
      <c r="C23" s="17"/>
      <c r="D23" s="17"/>
      <c r="E23" s="17"/>
      <c r="F23" s="17"/>
      <c r="G23" s="17"/>
      <c r="H23" s="17"/>
      <c r="I23" s="17"/>
      <c r="J23" s="18"/>
      <c r="L23" s="6" t="s">
        <v>3</v>
      </c>
      <c r="M23" s="20"/>
    </row>
    <row r="24" spans="1:20" ht="17" thickBot="1" x14ac:dyDescent="0.25">
      <c r="A24" s="296" t="s">
        <v>140</v>
      </c>
      <c r="B24" s="297"/>
      <c r="C24" s="297"/>
      <c r="D24" s="297"/>
      <c r="E24" s="297"/>
      <c r="F24" s="297"/>
      <c r="G24" s="297"/>
      <c r="H24" s="297"/>
      <c r="I24" s="297"/>
      <c r="J24" s="298"/>
      <c r="M24" s="306" t="s">
        <v>156</v>
      </c>
      <c r="N24" s="306"/>
      <c r="O24" s="306"/>
      <c r="P24" s="306"/>
      <c r="Q24" s="306"/>
      <c r="R24" s="306"/>
      <c r="S24" s="306"/>
      <c r="T24" s="306"/>
    </row>
    <row r="25" spans="1:20" x14ac:dyDescent="0.2">
      <c r="M25" s="306"/>
      <c r="N25" s="306"/>
      <c r="O25" s="306"/>
      <c r="P25" s="306"/>
      <c r="Q25" s="306"/>
      <c r="R25" s="306"/>
      <c r="S25" s="306"/>
      <c r="T25" s="306"/>
    </row>
    <row r="26" spans="1:20" ht="19" x14ac:dyDescent="0.25">
      <c r="A26" s="3"/>
      <c r="N26" s="20"/>
    </row>
    <row r="27" spans="1:20" x14ac:dyDescent="0.2">
      <c r="M27" s="306" t="s">
        <v>157</v>
      </c>
      <c r="N27" s="306"/>
      <c r="O27" s="306"/>
      <c r="P27" s="306"/>
      <c r="Q27" s="306"/>
      <c r="R27" s="306"/>
      <c r="S27" s="306"/>
      <c r="T27" s="306"/>
    </row>
    <row r="28" spans="1:20" x14ac:dyDescent="0.2">
      <c r="M28" s="306"/>
      <c r="N28" s="306"/>
      <c r="O28" s="306"/>
      <c r="P28" s="306"/>
      <c r="Q28" s="306"/>
      <c r="R28" s="306"/>
      <c r="S28" s="306"/>
      <c r="T28" s="306"/>
    </row>
    <row r="31" spans="1:20" ht="16" customHeight="1" x14ac:dyDescent="0.25">
      <c r="L31" s="3" t="s">
        <v>128</v>
      </c>
    </row>
    <row r="32" spans="1:20" x14ac:dyDescent="0.2">
      <c r="L32" s="309" t="s">
        <v>570</v>
      </c>
      <c r="M32" s="309"/>
      <c r="N32" s="309"/>
      <c r="O32" s="309"/>
      <c r="P32" s="309"/>
      <c r="Q32" s="309"/>
      <c r="R32" s="309"/>
      <c r="S32" s="309"/>
      <c r="T32" s="309"/>
    </row>
    <row r="34" spans="12:20" x14ac:dyDescent="0.2">
      <c r="L34" s="331" t="s">
        <v>571</v>
      </c>
      <c r="M34" s="290"/>
      <c r="N34" s="290"/>
      <c r="O34" s="290"/>
      <c r="P34" s="290"/>
      <c r="Q34" s="290"/>
      <c r="R34" s="290"/>
      <c r="S34" s="290"/>
      <c r="T34" s="290"/>
    </row>
    <row r="35" spans="12:20" x14ac:dyDescent="0.2">
      <c r="L35" s="331"/>
      <c r="M35" s="290"/>
      <c r="N35" s="290"/>
      <c r="O35" s="290"/>
      <c r="P35" s="290"/>
      <c r="Q35" s="290"/>
      <c r="R35" s="290"/>
      <c r="S35" s="290"/>
      <c r="T35" s="290"/>
    </row>
    <row r="36" spans="12:20" x14ac:dyDescent="0.2">
      <c r="M36" s="19" t="s">
        <v>132</v>
      </c>
      <c r="N36" s="40">
        <f>_xlfn.COVARIANCE.P(N7:N9,O7:O9)</f>
        <v>53777.777777777781</v>
      </c>
    </row>
    <row r="37" spans="12:20" x14ac:dyDescent="0.2">
      <c r="M37" s="19" t="s">
        <v>131</v>
      </c>
      <c r="N37" s="40">
        <f>_xlfn.VAR.P(N7:N9)</f>
        <v>62222.222222222219</v>
      </c>
    </row>
    <row r="39" spans="12:20" x14ac:dyDescent="0.2">
      <c r="L39" s="19" t="s">
        <v>133</v>
      </c>
    </row>
    <row r="41" spans="12:20" x14ac:dyDescent="0.2">
      <c r="M41" s="19" t="s">
        <v>134</v>
      </c>
    </row>
    <row r="43" spans="12:20" ht="19" x14ac:dyDescent="0.25">
      <c r="L43" s="3" t="s">
        <v>203</v>
      </c>
    </row>
    <row r="44" spans="12:20" x14ac:dyDescent="0.2">
      <c r="L44" s="84" t="s">
        <v>204</v>
      </c>
    </row>
    <row r="55" spans="12:13" x14ac:dyDescent="0.2">
      <c r="L55" s="20"/>
    </row>
    <row r="56" spans="12:13" x14ac:dyDescent="0.2">
      <c r="L56" s="5"/>
      <c r="M56" s="5"/>
    </row>
    <row r="57" spans="12:13" x14ac:dyDescent="0.2">
      <c r="L57" s="5"/>
      <c r="M57" s="5"/>
    </row>
    <row r="58" spans="12:13" x14ac:dyDescent="0.2">
      <c r="L58" s="5"/>
      <c r="M58" s="5"/>
    </row>
    <row r="59" spans="12:13" ht="49" customHeight="1" x14ac:dyDescent="0.2">
      <c r="L59" s="5"/>
      <c r="M59" s="5"/>
    </row>
    <row r="60" spans="12:13" x14ac:dyDescent="0.2">
      <c r="L60" s="5"/>
      <c r="M60" s="5"/>
    </row>
    <row r="61" spans="12:13" x14ac:dyDescent="0.2">
      <c r="L61" s="5"/>
      <c r="M61" s="5"/>
    </row>
    <row r="62" spans="12:13" x14ac:dyDescent="0.2">
      <c r="L62" s="5"/>
      <c r="M62" s="5"/>
    </row>
    <row r="63" spans="12:13" x14ac:dyDescent="0.2">
      <c r="L63" s="5"/>
      <c r="M63" s="5"/>
    </row>
    <row r="64" spans="12:13" x14ac:dyDescent="0.2">
      <c r="L64" s="5"/>
      <c r="M64" s="5"/>
    </row>
    <row r="65" spans="12:13" x14ac:dyDescent="0.2">
      <c r="L65" s="20"/>
    </row>
    <row r="66" spans="12:13" x14ac:dyDescent="0.2">
      <c r="L66" s="5"/>
      <c r="M66" s="5"/>
    </row>
    <row r="67" spans="12:13" x14ac:dyDescent="0.2">
      <c r="L67" s="5"/>
      <c r="M67" s="5"/>
    </row>
    <row r="68" spans="12:13" x14ac:dyDescent="0.2">
      <c r="L68" s="5"/>
      <c r="M68" s="5"/>
    </row>
    <row r="69" spans="12:13" x14ac:dyDescent="0.2">
      <c r="L69" s="5"/>
      <c r="M69" s="5"/>
    </row>
    <row r="70" spans="12:13" x14ac:dyDescent="0.2">
      <c r="L70" s="5"/>
      <c r="M70" s="5"/>
    </row>
    <row r="71" spans="12:13" x14ac:dyDescent="0.2">
      <c r="L71" s="5"/>
      <c r="M71" s="5"/>
    </row>
    <row r="72" spans="12:13" x14ac:dyDescent="0.2">
      <c r="L72" s="5"/>
      <c r="M72" s="5"/>
    </row>
    <row r="73" spans="12:13" x14ac:dyDescent="0.2">
      <c r="L73" s="5"/>
      <c r="M73" s="5"/>
    </row>
    <row r="74" spans="12:13" x14ac:dyDescent="0.2">
      <c r="L74" s="5"/>
      <c r="M74" s="5"/>
    </row>
    <row r="75" spans="12:13" x14ac:dyDescent="0.2">
      <c r="L75" s="20"/>
    </row>
    <row r="76" spans="12:13" x14ac:dyDescent="0.2">
      <c r="L76" s="5"/>
      <c r="M76" s="5"/>
    </row>
    <row r="77" spans="12:13" x14ac:dyDescent="0.2">
      <c r="L77" s="5"/>
      <c r="M77" s="5"/>
    </row>
    <row r="78" spans="12:13" x14ac:dyDescent="0.2">
      <c r="L78" s="5"/>
      <c r="M78" s="5"/>
    </row>
    <row r="79" spans="12:13" x14ac:dyDescent="0.2">
      <c r="L79" s="5"/>
      <c r="M79" s="5"/>
    </row>
    <row r="80" spans="12:13" x14ac:dyDescent="0.2">
      <c r="L80" s="5"/>
      <c r="M80" s="5"/>
    </row>
    <row r="81" spans="1:64" x14ac:dyDescent="0.2">
      <c r="L81" s="5"/>
      <c r="M81" s="5"/>
    </row>
    <row r="82" spans="1:64" x14ac:dyDescent="0.2">
      <c r="L82" s="5"/>
      <c r="M82" s="5"/>
    </row>
    <row r="83" spans="1:64" x14ac:dyDescent="0.2">
      <c r="L83" s="5"/>
      <c r="M83" s="5"/>
    </row>
    <row r="84" spans="1:64" x14ac:dyDescent="0.2">
      <c r="L84" s="5"/>
      <c r="M84" s="5"/>
    </row>
    <row r="85" spans="1:64" x14ac:dyDescent="0.2">
      <c r="L85" s="20"/>
    </row>
    <row r="86" spans="1:64" x14ac:dyDescent="0.2">
      <c r="L86" s="5"/>
      <c r="M86" s="5"/>
    </row>
    <row r="87" spans="1:64" x14ac:dyDescent="0.2">
      <c r="L87" s="5"/>
      <c r="M87" s="5"/>
    </row>
    <row r="88" spans="1:64" x14ac:dyDescent="0.2">
      <c r="L88" s="5"/>
      <c r="M88" s="5"/>
    </row>
    <row r="89" spans="1:64" x14ac:dyDescent="0.2">
      <c r="L89" s="5"/>
      <c r="M89" s="5"/>
    </row>
    <row r="90" spans="1:64" x14ac:dyDescent="0.2">
      <c r="L90" s="5"/>
      <c r="M90" s="5"/>
    </row>
    <row r="91" spans="1:64" x14ac:dyDescent="0.2">
      <c r="L91" s="5"/>
      <c r="M91" s="5"/>
    </row>
    <row r="92" spans="1:64" x14ac:dyDescent="0.2">
      <c r="L92" s="5"/>
      <c r="M92" s="5"/>
    </row>
    <row r="93" spans="1:64" x14ac:dyDescent="0.2">
      <c r="A93" s="5"/>
      <c r="B93" s="5"/>
      <c r="C93" s="5"/>
      <c r="D93" s="5"/>
      <c r="E93" s="5"/>
      <c r="F93" s="5"/>
      <c r="G93" s="5"/>
      <c r="H93" s="5"/>
      <c r="I93" s="5"/>
      <c r="J93" s="5"/>
      <c r="L93" s="5"/>
      <c r="M93" s="5"/>
    </row>
    <row r="94" spans="1:64" x14ac:dyDescent="0.2">
      <c r="A94" s="5"/>
      <c r="B94" s="5"/>
      <c r="C94" s="5"/>
      <c r="D94" s="5"/>
      <c r="E94" s="5"/>
      <c r="F94" s="5"/>
      <c r="G94" s="5"/>
      <c r="H94" s="5"/>
      <c r="I94" s="5"/>
      <c r="J94" s="5"/>
      <c r="L94" s="5"/>
      <c r="M94" s="5"/>
    </row>
    <row r="95" spans="1:64" x14ac:dyDescent="0.2">
      <c r="A95" s="5"/>
      <c r="B95" s="5"/>
      <c r="C95" s="5"/>
      <c r="D95" s="5"/>
      <c r="E95" s="5"/>
      <c r="F95" s="5"/>
      <c r="G95" s="5"/>
      <c r="H95" s="5"/>
      <c r="I95" s="5"/>
      <c r="J95" s="5"/>
      <c r="L95" s="20"/>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row>
    <row r="96" spans="1:64"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row>
    <row r="97" spans="1:64"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row>
    <row r="98" spans="1:64"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row>
    <row r="99" spans="1:64"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row>
    <row r="100" spans="1:64"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row>
    <row r="101" spans="1:64"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row>
    <row r="102" spans="1:64"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row>
    <row r="103" spans="1:64"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row>
    <row r="104" spans="1:64"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row>
    <row r="105" spans="1:64"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row>
    <row r="106" spans="1:64"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row>
    <row r="107" spans="1:64"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row>
    <row r="108" spans="1:64"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row>
    <row r="109" spans="1:64"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row>
    <row r="110" spans="1:64"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row>
    <row r="111" spans="1:64"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row>
    <row r="112" spans="1:64"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row>
    <row r="113" spans="1:64"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row>
    <row r="114" spans="1:64"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row>
    <row r="115" spans="1:64"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row>
    <row r="116" spans="1:64"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row>
    <row r="117" spans="1:64"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row>
    <row r="118" spans="1:64"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row>
    <row r="119" spans="1:64"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row>
    <row r="120" spans="1:64"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row>
    <row r="121" spans="1:64"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row>
    <row r="122" spans="1:64"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row>
    <row r="123" spans="1:64"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row>
    <row r="124" spans="1:64"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row>
    <row r="125" spans="1:64"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row>
    <row r="126" spans="1:64"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row>
    <row r="127" spans="1:64"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row>
    <row r="128" spans="1:64"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row>
    <row r="129" spans="1:64"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row>
    <row r="130" spans="1:64"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row>
    <row r="131" spans="1:64"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row>
    <row r="132" spans="1:64"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row>
    <row r="133" spans="1:64"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row>
    <row r="134" spans="1:64"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row>
    <row r="135" spans="1:64"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row>
    <row r="136" spans="1:64"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row>
    <row r="137" spans="1:64"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row>
    <row r="138" spans="1:64"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row>
    <row r="139" spans="1:64"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row>
    <row r="140" spans="1:64"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row>
    <row r="141" spans="1:64"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row>
    <row r="142" spans="1:64"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row>
    <row r="143" spans="1:64"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row>
    <row r="144" spans="1:64"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row>
    <row r="145" spans="1:64"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row>
    <row r="146" spans="1:64"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row>
    <row r="147" spans="1:64"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row>
    <row r="148" spans="1:64"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row>
    <row r="149" spans="1:64"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row>
    <row r="150" spans="1:64"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row>
    <row r="151" spans="1:64"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row>
    <row r="152" spans="1:64"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row>
    <row r="153" spans="1:64"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row>
    <row r="154" spans="1:64"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row>
    <row r="155" spans="1:64"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row>
    <row r="156" spans="1:64"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row>
    <row r="157" spans="1:64"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row>
    <row r="158" spans="1:64"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row>
    <row r="159" spans="1:64"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row>
    <row r="160" spans="1:64"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row>
    <row r="161" spans="1:64"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row>
    <row r="162" spans="1:64"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row>
    <row r="163" spans="1:64"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row>
    <row r="164" spans="1:64"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row>
    <row r="165" spans="1:64"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row>
    <row r="166" spans="1:64"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row>
    <row r="167" spans="1:64"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row>
    <row r="168" spans="1:64"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row>
    <row r="169" spans="1:64"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row>
    <row r="170" spans="1:64"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row>
    <row r="171" spans="1:64"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row>
    <row r="172" spans="1:64"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row>
    <row r="173" spans="1:64"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row>
    <row r="174" spans="1:64"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row>
    <row r="175" spans="1:64"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row>
    <row r="176" spans="1:64"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row>
    <row r="177" spans="1:64"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row>
    <row r="178" spans="1:64"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row>
    <row r="179" spans="1:64"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row>
    <row r="180" spans="1:64"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row>
    <row r="181" spans="1:64"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row>
    <row r="182" spans="1:64"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row>
    <row r="183" spans="1:64"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row>
    <row r="184" spans="1:64"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row>
    <row r="185" spans="1:64"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row>
    <row r="186" spans="1:64"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row>
    <row r="187" spans="1:64"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row>
    <row r="188" spans="1:64"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row>
    <row r="189" spans="1:64"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row>
    <row r="190" spans="1:64"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row>
    <row r="191" spans="1:64"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row>
    <row r="192" spans="1:64"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row>
    <row r="193" spans="1:64"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row>
    <row r="194" spans="1:64"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row>
    <row r="195" spans="1:64" x14ac:dyDescent="0.2">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row>
    <row r="196" spans="1:64" x14ac:dyDescent="0.2">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row>
    <row r="197" spans="1:64" x14ac:dyDescent="0.2">
      <c r="K197" s="5"/>
      <c r="L197" s="5"/>
      <c r="M197" s="5"/>
      <c r="N197" s="5"/>
      <c r="O197" s="5"/>
      <c r="P197" s="5"/>
      <c r="Q197" s="5"/>
      <c r="R197" s="5"/>
      <c r="S197" s="5"/>
      <c r="T197" s="5"/>
    </row>
  </sheetData>
  <mergeCells count="6">
    <mergeCell ref="L32:T32"/>
    <mergeCell ref="C5:E5"/>
    <mergeCell ref="A24:J24"/>
    <mergeCell ref="M24:T25"/>
    <mergeCell ref="M27:T28"/>
    <mergeCell ref="C6:C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99E0-9884-9E48-ACAB-75F31A2C3EB2}">
  <dimension ref="A1:BM156"/>
  <sheetViews>
    <sheetView zoomScaleNormal="100" workbookViewId="0"/>
  </sheetViews>
  <sheetFormatPr baseColWidth="10" defaultColWidth="10.83203125" defaultRowHeight="16" outlineLevelCol="1" x14ac:dyDescent="0.2"/>
  <cols>
    <col min="1" max="1" width="4.6640625" style="19" customWidth="1"/>
    <col min="2" max="10" width="10.83203125" style="19"/>
    <col min="11" max="11" width="11.5" style="19" bestFit="1" customWidth="1"/>
    <col min="12" max="20" width="10.83203125" style="19" hidden="1" customWidth="1" outlineLevel="1"/>
    <col min="21" max="21" width="10.83203125" style="19" collapsed="1"/>
    <col min="22" max="16384" width="10.83203125" style="19"/>
  </cols>
  <sheetData>
    <row r="1" spans="1:16" ht="19" x14ac:dyDescent="0.25">
      <c r="A1" s="1" t="s">
        <v>169</v>
      </c>
      <c r="B1" s="9"/>
      <c r="C1" s="16"/>
      <c r="D1" s="16"/>
      <c r="E1" s="16"/>
      <c r="F1" s="17"/>
      <c r="G1" s="17"/>
      <c r="H1" s="17"/>
      <c r="I1" s="17"/>
      <c r="J1" s="18"/>
      <c r="K1" s="3" t="s">
        <v>141</v>
      </c>
    </row>
    <row r="2" spans="1:16" x14ac:dyDescent="0.2">
      <c r="A2" s="2"/>
      <c r="B2" s="17"/>
      <c r="C2" s="17"/>
      <c r="D2" s="17"/>
      <c r="E2" s="17"/>
      <c r="F2" s="17"/>
      <c r="G2" s="17"/>
      <c r="H2" s="17"/>
      <c r="I2" s="17"/>
      <c r="J2" s="18"/>
      <c r="L2" s="19" t="s">
        <v>109</v>
      </c>
    </row>
    <row r="3" spans="1:16" x14ac:dyDescent="0.2">
      <c r="A3" s="2"/>
      <c r="B3" s="17" t="s">
        <v>106</v>
      </c>
      <c r="C3" s="17"/>
      <c r="D3" s="17"/>
      <c r="E3" s="17"/>
      <c r="F3" s="17"/>
      <c r="G3" s="17"/>
      <c r="H3" s="17"/>
      <c r="I3" s="17"/>
      <c r="J3" s="18"/>
    </row>
    <row r="4" spans="1:16" x14ac:dyDescent="0.2">
      <c r="A4" s="2"/>
      <c r="B4" s="17"/>
      <c r="C4" s="17"/>
      <c r="D4" s="17"/>
      <c r="E4" s="17"/>
      <c r="F4" s="17"/>
      <c r="G4" s="17"/>
      <c r="H4" s="17"/>
      <c r="I4" s="17"/>
      <c r="J4" s="18"/>
      <c r="L4" s="19" t="s">
        <v>114</v>
      </c>
    </row>
    <row r="5" spans="1:16" x14ac:dyDescent="0.2">
      <c r="A5" s="2"/>
      <c r="B5" s="17" t="s">
        <v>107</v>
      </c>
      <c r="C5" s="17"/>
      <c r="D5" s="17"/>
      <c r="E5" s="17"/>
      <c r="F5" s="17"/>
      <c r="G5" s="17"/>
      <c r="H5" s="17"/>
      <c r="I5" s="17"/>
      <c r="J5" s="18"/>
    </row>
    <row r="6" spans="1:16" x14ac:dyDescent="0.2">
      <c r="A6" s="2"/>
      <c r="B6" s="282" t="s">
        <v>556</v>
      </c>
      <c r="C6" s="17"/>
      <c r="D6" s="17"/>
      <c r="E6" s="17"/>
      <c r="F6" s="17"/>
      <c r="G6" s="17"/>
      <c r="H6" s="17"/>
      <c r="I6" s="17"/>
      <c r="J6" s="18"/>
      <c r="L6" s="19" t="s">
        <v>110</v>
      </c>
    </row>
    <row r="7" spans="1:16" x14ac:dyDescent="0.2">
      <c r="A7" s="2"/>
      <c r="B7" s="17"/>
      <c r="C7" s="17"/>
      <c r="D7" s="17"/>
      <c r="E7" s="17"/>
      <c r="F7" s="17"/>
      <c r="G7" s="17"/>
      <c r="H7" s="17"/>
      <c r="I7" s="17"/>
      <c r="J7" s="18"/>
    </row>
    <row r="8" spans="1:16" x14ac:dyDescent="0.2">
      <c r="A8" s="2"/>
      <c r="B8" s="17"/>
      <c r="C8" s="17"/>
      <c r="D8" s="17"/>
      <c r="E8" s="17"/>
      <c r="F8" s="17"/>
      <c r="G8" s="17"/>
      <c r="H8" s="17"/>
      <c r="I8" s="17"/>
      <c r="J8" s="18"/>
      <c r="L8" s="6" t="s">
        <v>112</v>
      </c>
      <c r="P8" s="19" t="s">
        <v>113</v>
      </c>
    </row>
    <row r="9" spans="1:16" x14ac:dyDescent="0.2">
      <c r="A9" s="2"/>
      <c r="B9" s="17" t="s">
        <v>108</v>
      </c>
      <c r="C9" s="17"/>
      <c r="D9" s="17"/>
      <c r="E9" s="17"/>
      <c r="F9" s="17"/>
      <c r="G9" s="17"/>
      <c r="H9" s="17"/>
      <c r="I9" s="17"/>
      <c r="J9" s="18"/>
    </row>
    <row r="10" spans="1:16" x14ac:dyDescent="0.2">
      <c r="A10" s="2"/>
      <c r="B10" s="17"/>
      <c r="C10" s="17"/>
      <c r="D10" s="17"/>
      <c r="E10" s="17"/>
      <c r="F10" s="17"/>
      <c r="G10" s="17"/>
      <c r="H10" s="17"/>
      <c r="I10" s="17"/>
      <c r="J10" s="18"/>
    </row>
    <row r="11" spans="1:16" ht="17" thickBot="1" x14ac:dyDescent="0.25">
      <c r="A11" s="2"/>
      <c r="B11" s="17"/>
      <c r="C11" s="17"/>
      <c r="D11" s="17"/>
      <c r="E11" s="17"/>
      <c r="F11" s="17"/>
      <c r="G11" s="17"/>
      <c r="H11" s="17"/>
      <c r="I11" s="17"/>
      <c r="J11" s="18"/>
      <c r="L11" s="19" t="s">
        <v>111</v>
      </c>
    </row>
    <row r="12" spans="1:16" ht="17" thickBot="1" x14ac:dyDescent="0.25">
      <c r="A12" s="296" t="s">
        <v>140</v>
      </c>
      <c r="B12" s="297"/>
      <c r="C12" s="297"/>
      <c r="D12" s="297"/>
      <c r="E12" s="297"/>
      <c r="F12" s="297"/>
      <c r="G12" s="297"/>
      <c r="H12" s="297"/>
      <c r="I12" s="297"/>
      <c r="J12" s="298"/>
    </row>
    <row r="14" spans="1:16" ht="16" customHeight="1" x14ac:dyDescent="0.25">
      <c r="A14" s="3"/>
      <c r="L14" s="3" t="s">
        <v>203</v>
      </c>
    </row>
    <row r="15" spans="1:16" x14ac:dyDescent="0.2">
      <c r="L15" s="84" t="s">
        <v>206</v>
      </c>
      <c r="M15" s="5"/>
      <c r="N15" s="5"/>
    </row>
    <row r="16" spans="1:16" x14ac:dyDescent="0.2">
      <c r="L16" s="5"/>
      <c r="M16" s="5"/>
      <c r="N16" s="5"/>
    </row>
    <row r="17" spans="12:14" x14ac:dyDescent="0.2">
      <c r="L17" s="5"/>
      <c r="M17" s="5"/>
      <c r="N17" s="5"/>
    </row>
    <row r="18" spans="12:14" x14ac:dyDescent="0.2">
      <c r="L18" s="5"/>
      <c r="M18" s="5"/>
      <c r="N18" s="5"/>
    </row>
    <row r="19" spans="12:14" x14ac:dyDescent="0.2">
      <c r="L19" s="5"/>
      <c r="M19" s="5"/>
      <c r="N19" s="5"/>
    </row>
    <row r="20" spans="12:14" x14ac:dyDescent="0.2">
      <c r="L20" s="5"/>
      <c r="M20" s="5"/>
      <c r="N20" s="5"/>
    </row>
    <row r="21" spans="12:14" x14ac:dyDescent="0.2">
      <c r="L21" s="5"/>
      <c r="M21" s="5"/>
      <c r="N21" s="5"/>
    </row>
    <row r="22" spans="12:14" x14ac:dyDescent="0.2">
      <c r="L22" s="5"/>
      <c r="M22" s="5"/>
      <c r="N22" s="5"/>
    </row>
    <row r="23" spans="12:14" x14ac:dyDescent="0.2">
      <c r="L23" s="5"/>
      <c r="M23" s="5"/>
      <c r="N23" s="5"/>
    </row>
    <row r="24" spans="12:14" x14ac:dyDescent="0.2">
      <c r="M24" s="20"/>
    </row>
    <row r="25" spans="12:14" x14ac:dyDescent="0.2">
      <c r="L25" s="5"/>
      <c r="M25" s="5"/>
      <c r="N25" s="5"/>
    </row>
    <row r="26" spans="12:14" x14ac:dyDescent="0.2">
      <c r="L26" s="5"/>
      <c r="M26" s="5"/>
      <c r="N26" s="5"/>
    </row>
    <row r="27" spans="12:14" x14ac:dyDescent="0.2">
      <c r="L27" s="5"/>
      <c r="M27" s="5"/>
      <c r="N27" s="5"/>
    </row>
    <row r="28" spans="12:14" x14ac:dyDescent="0.2">
      <c r="L28" s="5"/>
      <c r="M28" s="5"/>
      <c r="N28" s="5"/>
    </row>
    <row r="29" spans="12:14" x14ac:dyDescent="0.2">
      <c r="L29" s="5"/>
      <c r="M29" s="5"/>
      <c r="N29" s="5"/>
    </row>
    <row r="30" spans="12:14" x14ac:dyDescent="0.2">
      <c r="L30" s="5"/>
      <c r="M30" s="5"/>
      <c r="N30" s="5"/>
    </row>
    <row r="31" spans="12:14" x14ac:dyDescent="0.2">
      <c r="L31" s="5"/>
      <c r="M31" s="5"/>
      <c r="N31" s="5"/>
    </row>
    <row r="32" spans="12:14" x14ac:dyDescent="0.2">
      <c r="L32" s="5"/>
      <c r="M32" s="5"/>
      <c r="N32" s="5"/>
    </row>
    <row r="33" spans="12:14" x14ac:dyDescent="0.2">
      <c r="L33" s="5"/>
      <c r="M33" s="5"/>
      <c r="N33" s="5"/>
    </row>
    <row r="34" spans="12:14" x14ac:dyDescent="0.2">
      <c r="M34" s="20"/>
    </row>
    <row r="35" spans="12:14" x14ac:dyDescent="0.2">
      <c r="L35" s="5"/>
      <c r="M35" s="5"/>
      <c r="N35" s="5"/>
    </row>
    <row r="36" spans="12:14" x14ac:dyDescent="0.2">
      <c r="L36" s="5"/>
      <c r="M36" s="5"/>
      <c r="N36" s="5"/>
    </row>
    <row r="37" spans="12:14" x14ac:dyDescent="0.2">
      <c r="L37" s="5"/>
      <c r="M37" s="5"/>
      <c r="N37" s="5"/>
    </row>
    <row r="38" spans="12:14" x14ac:dyDescent="0.2">
      <c r="L38" s="5"/>
      <c r="M38" s="5"/>
      <c r="N38" s="5"/>
    </row>
    <row r="39" spans="12:14" x14ac:dyDescent="0.2">
      <c r="L39" s="5"/>
      <c r="M39" s="5"/>
      <c r="N39" s="5"/>
    </row>
    <row r="40" spans="12:14" x14ac:dyDescent="0.2">
      <c r="L40" s="5"/>
      <c r="M40" s="5"/>
      <c r="N40" s="5"/>
    </row>
    <row r="41" spans="12:14" x14ac:dyDescent="0.2">
      <c r="L41" s="5"/>
      <c r="M41" s="5"/>
      <c r="N41" s="5"/>
    </row>
    <row r="42" spans="12:14" x14ac:dyDescent="0.2">
      <c r="L42" s="5"/>
      <c r="M42" s="5"/>
      <c r="N42" s="5"/>
    </row>
    <row r="43" spans="12:14" x14ac:dyDescent="0.2">
      <c r="L43" s="5"/>
      <c r="M43" s="5"/>
      <c r="N43" s="5"/>
    </row>
    <row r="44" spans="12:14" x14ac:dyDescent="0.2">
      <c r="M44" s="20"/>
    </row>
    <row r="45" spans="12:14" x14ac:dyDescent="0.2">
      <c r="L45" s="5"/>
      <c r="M45" s="5"/>
      <c r="N45" s="5"/>
    </row>
    <row r="46" spans="12:14" x14ac:dyDescent="0.2">
      <c r="L46" s="5"/>
      <c r="M46" s="5"/>
      <c r="N46" s="5"/>
    </row>
    <row r="47" spans="12:14" x14ac:dyDescent="0.2">
      <c r="L47" s="5"/>
      <c r="M47" s="5"/>
      <c r="N47" s="5"/>
    </row>
    <row r="48" spans="12:14" x14ac:dyDescent="0.2">
      <c r="L48" s="5"/>
      <c r="M48" s="5"/>
      <c r="N48" s="5"/>
    </row>
    <row r="49" spans="1:65" x14ac:dyDescent="0.2">
      <c r="L49" s="5"/>
      <c r="M49" s="5"/>
      <c r="N49" s="5"/>
    </row>
    <row r="50" spans="1:65" x14ac:dyDescent="0.2">
      <c r="L50" s="5"/>
      <c r="M50" s="5"/>
      <c r="N50" s="5"/>
    </row>
    <row r="51" spans="1:65" x14ac:dyDescent="0.2">
      <c r="L51" s="5"/>
      <c r="M51" s="5"/>
      <c r="N51" s="5"/>
    </row>
    <row r="52" spans="1:65" x14ac:dyDescent="0.2">
      <c r="L52" s="5"/>
      <c r="M52" s="5"/>
      <c r="N52" s="5"/>
    </row>
    <row r="53" spans="1:65" x14ac:dyDescent="0.2">
      <c r="L53" s="5"/>
      <c r="M53" s="5"/>
      <c r="N53" s="5"/>
    </row>
    <row r="54" spans="1:65" x14ac:dyDescent="0.2">
      <c r="M54" s="20"/>
    </row>
    <row r="55" spans="1:65"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row>
    <row r="56" spans="1:65"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row>
    <row r="57" spans="1:65"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row>
    <row r="58" spans="1:65"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row>
    <row r="59" spans="1:65"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row>
    <row r="60" spans="1:65"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row>
    <row r="61" spans="1:65"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row>
    <row r="62" spans="1:65"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row>
    <row r="63" spans="1:65"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row>
    <row r="64" spans="1:65"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row>
    <row r="65" spans="1:65"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row>
    <row r="66" spans="1:65"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row>
    <row r="67" spans="1:65"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row>
    <row r="68" spans="1:65"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row>
    <row r="69" spans="1:65"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row>
    <row r="70" spans="1:65"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row>
    <row r="71" spans="1:65"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row>
    <row r="72" spans="1:65"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row>
    <row r="73" spans="1:65"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row>
    <row r="74" spans="1:65"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row>
    <row r="75" spans="1:65"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row>
    <row r="76" spans="1:65"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row>
    <row r="77" spans="1:65"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row>
    <row r="78" spans="1:6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sheetData>
  <mergeCells count="1">
    <mergeCell ref="A12:J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50F2-A12A-C34A-A3A0-289487640889}">
  <dimension ref="A1:BM197"/>
  <sheetViews>
    <sheetView zoomScaleNormal="100" workbookViewId="0"/>
  </sheetViews>
  <sheetFormatPr baseColWidth="10" defaultColWidth="10.83203125" defaultRowHeight="16" outlineLevelCol="1" x14ac:dyDescent="0.2"/>
  <cols>
    <col min="1" max="1" width="4.6640625" style="19" customWidth="1"/>
    <col min="2" max="2" width="10.83203125" style="19" customWidth="1"/>
    <col min="3" max="3" width="10.83203125" style="19"/>
    <col min="4" max="5" width="10.83203125" style="19" customWidth="1"/>
    <col min="6" max="10" width="10.83203125" style="19"/>
    <col min="11" max="11" width="11.5" style="19" bestFit="1" customWidth="1"/>
    <col min="12" max="12" width="10.83203125" style="19" hidden="1" customWidth="1" outlineLevel="1"/>
    <col min="13" max="13" width="14.33203125" style="19" hidden="1" customWidth="1" outlineLevel="1"/>
    <col min="14" max="14" width="12.5" style="19" hidden="1" customWidth="1" outlineLevel="1"/>
    <col min="15" max="20" width="10.83203125" style="19" hidden="1" customWidth="1" outlineLevel="1"/>
    <col min="21" max="21" width="10.83203125" style="19" collapsed="1"/>
    <col min="22" max="16384" width="10.83203125" style="19"/>
  </cols>
  <sheetData>
    <row r="1" spans="1:17" ht="19" x14ac:dyDescent="0.25">
      <c r="A1" s="1" t="s">
        <v>170</v>
      </c>
      <c r="B1" s="9"/>
      <c r="C1" s="16"/>
      <c r="D1" s="16"/>
      <c r="E1" s="16"/>
      <c r="F1" s="17"/>
      <c r="G1" s="17"/>
      <c r="H1" s="17"/>
      <c r="I1" s="17"/>
      <c r="J1" s="18"/>
      <c r="K1" s="3" t="s">
        <v>141</v>
      </c>
    </row>
    <row r="2" spans="1:17" x14ac:dyDescent="0.2">
      <c r="A2" s="2"/>
      <c r="B2" s="17"/>
      <c r="C2" s="17"/>
      <c r="D2" s="17"/>
      <c r="E2" s="17"/>
      <c r="F2" s="17"/>
      <c r="G2" s="17"/>
      <c r="H2" s="17"/>
      <c r="I2" s="17"/>
      <c r="J2" s="18"/>
      <c r="L2" s="6" t="s">
        <v>2</v>
      </c>
      <c r="N2" s="20"/>
    </row>
    <row r="3" spans="1:17" x14ac:dyDescent="0.2">
      <c r="A3" s="2"/>
      <c r="B3" s="285" t="s">
        <v>568</v>
      </c>
      <c r="C3" s="17"/>
      <c r="D3" s="17"/>
      <c r="E3" s="17"/>
      <c r="F3" s="17"/>
      <c r="G3" s="17"/>
      <c r="H3" s="17"/>
      <c r="I3" s="17"/>
      <c r="J3" s="18"/>
    </row>
    <row r="4" spans="1:17" x14ac:dyDescent="0.2">
      <c r="A4" s="2"/>
      <c r="B4" s="17"/>
      <c r="C4" s="17"/>
      <c r="D4" s="17"/>
      <c r="E4" s="17"/>
      <c r="F4" s="17"/>
      <c r="G4" s="17"/>
      <c r="H4" s="17"/>
      <c r="I4" s="17"/>
      <c r="J4" s="18"/>
      <c r="M4" s="19" t="s">
        <v>21</v>
      </c>
      <c r="O4" s="56">
        <f>62.5*0.8</f>
        <v>50</v>
      </c>
    </row>
    <row r="5" spans="1:17" x14ac:dyDescent="0.2">
      <c r="A5" s="2"/>
      <c r="B5" s="285" t="s">
        <v>565</v>
      </c>
      <c r="C5" s="17"/>
      <c r="D5" s="17"/>
      <c r="E5" s="17"/>
      <c r="F5" s="17"/>
      <c r="G5" s="17"/>
      <c r="H5" s="17"/>
      <c r="I5" s="17"/>
      <c r="J5" s="18"/>
      <c r="M5" s="19" t="s">
        <v>23</v>
      </c>
      <c r="O5" s="289">
        <v>0.6</v>
      </c>
    </row>
    <row r="6" spans="1:17" x14ac:dyDescent="0.2">
      <c r="A6" s="2"/>
      <c r="B6" s="285" t="s">
        <v>566</v>
      </c>
      <c r="C6" s="17"/>
      <c r="D6" s="17"/>
      <c r="E6" s="17"/>
      <c r="F6" s="17"/>
      <c r="G6" s="17"/>
      <c r="H6" s="17"/>
      <c r="I6" s="17"/>
      <c r="J6" s="18"/>
    </row>
    <row r="7" spans="1:17" x14ac:dyDescent="0.2">
      <c r="A7" s="2"/>
      <c r="B7" s="17"/>
      <c r="C7" s="17"/>
      <c r="D7" s="17"/>
      <c r="E7" s="17"/>
      <c r="F7" s="17"/>
      <c r="G7" s="17"/>
      <c r="H7" s="17"/>
      <c r="I7" s="17"/>
      <c r="J7" s="18"/>
      <c r="M7" s="6" t="s">
        <v>120</v>
      </c>
    </row>
    <row r="8" spans="1:17" x14ac:dyDescent="0.2">
      <c r="A8" s="2"/>
      <c r="B8" s="17" t="s">
        <v>115</v>
      </c>
      <c r="C8" s="17"/>
      <c r="D8" s="17"/>
      <c r="E8" s="17"/>
      <c r="F8" s="17"/>
      <c r="G8" s="17"/>
      <c r="H8" s="17"/>
      <c r="I8" s="17"/>
      <c r="J8" s="18"/>
    </row>
    <row r="9" spans="1:17" x14ac:dyDescent="0.2">
      <c r="A9" s="2"/>
      <c r="B9" s="17" t="s">
        <v>116</v>
      </c>
      <c r="C9" s="17"/>
      <c r="D9" s="17"/>
      <c r="E9" s="17"/>
      <c r="F9" s="17"/>
      <c r="G9" s="17"/>
      <c r="H9" s="17"/>
      <c r="I9" s="17"/>
      <c r="J9" s="18"/>
      <c r="M9" s="19" t="s">
        <v>121</v>
      </c>
    </row>
    <row r="10" spans="1:17" x14ac:dyDescent="0.2">
      <c r="A10" s="2"/>
      <c r="B10" s="17"/>
      <c r="C10" s="17"/>
      <c r="D10" s="17"/>
      <c r="E10" s="17"/>
      <c r="F10" s="17"/>
      <c r="G10" s="17"/>
      <c r="H10" s="17"/>
      <c r="I10" s="17"/>
      <c r="J10" s="18"/>
      <c r="M10" s="8" t="s">
        <v>122</v>
      </c>
      <c r="N10" s="8"/>
    </row>
    <row r="11" spans="1:17" x14ac:dyDescent="0.2">
      <c r="A11" s="2"/>
      <c r="B11" s="285" t="s">
        <v>562</v>
      </c>
      <c r="C11" s="17"/>
      <c r="D11" s="17"/>
      <c r="E11" s="17"/>
      <c r="F11" s="17"/>
      <c r="G11" s="17"/>
      <c r="H11" s="17"/>
      <c r="I11" s="17"/>
      <c r="J11" s="18"/>
      <c r="M11" s="23" t="s">
        <v>123</v>
      </c>
      <c r="O11" s="23" t="s">
        <v>124</v>
      </c>
      <c r="P11" s="19">
        <v>0.4</v>
      </c>
    </row>
    <row r="12" spans="1:17" x14ac:dyDescent="0.2">
      <c r="A12" s="2"/>
      <c r="B12" s="285"/>
      <c r="C12" s="17"/>
      <c r="D12" s="17"/>
      <c r="E12" s="17"/>
      <c r="F12" s="17"/>
      <c r="G12" s="17"/>
      <c r="H12" s="17"/>
      <c r="I12" s="17"/>
      <c r="J12" s="18"/>
      <c r="M12" s="23" t="s">
        <v>125</v>
      </c>
      <c r="O12" s="23" t="s">
        <v>126</v>
      </c>
      <c r="P12" s="19">
        <v>10</v>
      </c>
      <c r="Q12" s="19" t="s">
        <v>127</v>
      </c>
    </row>
    <row r="13" spans="1:17" x14ac:dyDescent="0.2">
      <c r="A13" s="2"/>
      <c r="B13" s="286" t="s">
        <v>563</v>
      </c>
      <c r="C13" s="17"/>
      <c r="D13" s="17"/>
      <c r="E13" s="17"/>
      <c r="F13" s="287">
        <v>5625000000000</v>
      </c>
      <c r="G13" s="17"/>
      <c r="H13" s="17"/>
      <c r="I13" s="17"/>
      <c r="J13" s="18"/>
    </row>
    <row r="14" spans="1:17" x14ac:dyDescent="0.2">
      <c r="A14" s="2"/>
      <c r="B14" s="286" t="s">
        <v>564</v>
      </c>
      <c r="C14" s="17"/>
      <c r="D14" s="17"/>
      <c r="E14" s="17"/>
      <c r="F14" s="287">
        <v>3825000000000</v>
      </c>
      <c r="G14" s="17"/>
      <c r="H14" s="17"/>
      <c r="I14" s="17"/>
      <c r="J14" s="18"/>
      <c r="M14" s="6" t="s">
        <v>567</v>
      </c>
    </row>
    <row r="15" spans="1:17" x14ac:dyDescent="0.2">
      <c r="A15" s="2"/>
      <c r="B15" s="17"/>
      <c r="C15" s="17"/>
      <c r="D15" s="17"/>
      <c r="E15" s="17"/>
      <c r="F15" s="17"/>
      <c r="G15" s="17"/>
      <c r="H15" s="17"/>
      <c r="I15" s="17"/>
      <c r="J15" s="18"/>
      <c r="M15" s="56" t="s">
        <v>29</v>
      </c>
      <c r="N15" s="65">
        <f>F13/SUM(F13:F14)</f>
        <v>0.59523809523809523</v>
      </c>
    </row>
    <row r="16" spans="1:17" ht="17" thickBot="1" x14ac:dyDescent="0.25">
      <c r="A16" s="2"/>
      <c r="B16" s="17" t="s">
        <v>117</v>
      </c>
      <c r="C16" s="17"/>
      <c r="D16" s="17"/>
      <c r="E16" s="17"/>
      <c r="F16" s="17"/>
      <c r="G16" s="17"/>
      <c r="H16" s="17"/>
      <c r="I16" s="17"/>
      <c r="J16" s="18"/>
      <c r="M16" s="56"/>
      <c r="N16" s="56"/>
    </row>
    <row r="17" spans="1:19" ht="17" thickBot="1" x14ac:dyDescent="0.25">
      <c r="A17" s="2"/>
      <c r="B17" s="17"/>
      <c r="C17" s="17"/>
      <c r="D17" s="17"/>
      <c r="E17" s="17"/>
      <c r="F17" s="17"/>
      <c r="G17" s="17"/>
      <c r="H17" s="17"/>
      <c r="I17" s="17"/>
      <c r="J17" s="18"/>
      <c r="M17" s="87" t="s">
        <v>104</v>
      </c>
      <c r="N17" s="89">
        <f>N15*(37-P12)/P11+(1-N15)*O4</f>
        <v>60.416666666666671</v>
      </c>
      <c r="O17" s="6" t="s">
        <v>31</v>
      </c>
    </row>
    <row r="18" spans="1:19" x14ac:dyDescent="0.2">
      <c r="A18" s="15"/>
      <c r="B18" s="17"/>
      <c r="C18" s="17"/>
      <c r="D18" s="17"/>
      <c r="E18" s="17"/>
      <c r="F18" s="17"/>
      <c r="G18" s="17"/>
      <c r="H18" s="17"/>
      <c r="I18" s="17"/>
      <c r="J18" s="18"/>
      <c r="N18" s="24"/>
    </row>
    <row r="19" spans="1:19" x14ac:dyDescent="0.2">
      <c r="A19" s="17" t="s">
        <v>0</v>
      </c>
      <c r="B19" s="17" t="s">
        <v>118</v>
      </c>
      <c r="C19" s="17"/>
      <c r="D19" s="17"/>
      <c r="E19" s="17"/>
      <c r="F19" s="17"/>
      <c r="G19" s="17"/>
      <c r="H19" s="17"/>
      <c r="I19" s="17"/>
      <c r="J19" s="18"/>
      <c r="M19" s="6"/>
      <c r="N19" s="7"/>
      <c r="O19" s="6"/>
    </row>
    <row r="20" spans="1:19" x14ac:dyDescent="0.2">
      <c r="A20" s="2"/>
      <c r="B20" s="17"/>
      <c r="C20" s="17"/>
      <c r="D20" s="17"/>
      <c r="E20" s="17"/>
      <c r="F20" s="17"/>
      <c r="G20" s="17"/>
      <c r="H20" s="17"/>
      <c r="I20" s="17"/>
      <c r="J20" s="18"/>
      <c r="L20" s="6" t="s">
        <v>3</v>
      </c>
      <c r="N20" s="20"/>
    </row>
    <row r="21" spans="1:19" ht="16" customHeight="1" x14ac:dyDescent="0.2">
      <c r="A21" s="17" t="s">
        <v>1</v>
      </c>
      <c r="B21" s="17" t="s">
        <v>119</v>
      </c>
      <c r="C21" s="17"/>
      <c r="D21" s="17"/>
      <c r="E21" s="17"/>
      <c r="F21" s="17"/>
      <c r="G21" s="17"/>
      <c r="H21" s="17"/>
      <c r="I21" s="17"/>
      <c r="J21" s="18"/>
      <c r="M21" s="309" t="s">
        <v>160</v>
      </c>
      <c r="N21" s="309"/>
      <c r="O21" s="309"/>
      <c r="P21" s="309"/>
      <c r="Q21" s="309"/>
      <c r="R21" s="309"/>
      <c r="S21" s="309"/>
    </row>
    <row r="22" spans="1:19" ht="17" thickBot="1" x14ac:dyDescent="0.25">
      <c r="A22" s="2"/>
      <c r="B22" s="17"/>
      <c r="C22" s="17"/>
      <c r="D22" s="17"/>
      <c r="E22" s="17"/>
      <c r="F22" s="17"/>
      <c r="G22" s="17"/>
      <c r="H22" s="17"/>
      <c r="I22" s="17"/>
      <c r="J22" s="18"/>
      <c r="M22" s="309"/>
      <c r="N22" s="309"/>
      <c r="O22" s="309"/>
      <c r="P22" s="309"/>
      <c r="Q22" s="309"/>
      <c r="R22" s="309"/>
      <c r="S22" s="309"/>
    </row>
    <row r="23" spans="1:19" ht="17" thickBot="1" x14ac:dyDescent="0.25">
      <c r="A23" s="296" t="s">
        <v>140</v>
      </c>
      <c r="B23" s="297"/>
      <c r="C23" s="297"/>
      <c r="D23" s="297"/>
      <c r="E23" s="297"/>
      <c r="F23" s="297"/>
      <c r="G23" s="297"/>
      <c r="H23" s="297"/>
      <c r="I23" s="297"/>
      <c r="J23" s="298"/>
      <c r="M23" s="309"/>
      <c r="N23" s="309"/>
      <c r="O23" s="309"/>
      <c r="P23" s="309"/>
      <c r="Q23" s="309"/>
      <c r="R23" s="309"/>
      <c r="S23" s="309"/>
    </row>
    <row r="24" spans="1:19" x14ac:dyDescent="0.2">
      <c r="M24" s="290"/>
      <c r="N24" s="290"/>
      <c r="O24" s="290"/>
      <c r="P24" s="290"/>
      <c r="Q24" s="290"/>
      <c r="R24" s="290"/>
      <c r="S24" s="290"/>
    </row>
    <row r="25" spans="1:19" ht="19" x14ac:dyDescent="0.25">
      <c r="A25" s="3"/>
      <c r="M25" s="309" t="s">
        <v>569</v>
      </c>
      <c r="N25" s="306"/>
      <c r="O25" s="306"/>
      <c r="P25" s="306"/>
      <c r="Q25" s="306"/>
      <c r="R25" s="306"/>
      <c r="S25" s="306"/>
    </row>
    <row r="26" spans="1:19" x14ac:dyDescent="0.2">
      <c r="M26" s="306"/>
      <c r="N26" s="306"/>
      <c r="O26" s="306"/>
      <c r="P26" s="306"/>
      <c r="Q26" s="306"/>
      <c r="R26" s="306"/>
      <c r="S26" s="306"/>
    </row>
    <row r="27" spans="1:19" x14ac:dyDescent="0.2">
      <c r="M27" s="306"/>
      <c r="N27" s="306"/>
      <c r="O27" s="306"/>
      <c r="P27" s="306"/>
      <c r="Q27" s="306"/>
      <c r="R27" s="306"/>
      <c r="S27" s="306"/>
    </row>
    <row r="30" spans="1:19" ht="19" x14ac:dyDescent="0.25">
      <c r="L30" s="3" t="s">
        <v>128</v>
      </c>
    </row>
    <row r="31" spans="1:19" x14ac:dyDescent="0.2">
      <c r="L31" s="19" t="s">
        <v>129</v>
      </c>
    </row>
    <row r="33" spans="12:15" x14ac:dyDescent="0.2">
      <c r="L33" s="6"/>
      <c r="M33" s="56" t="s">
        <v>130</v>
      </c>
      <c r="N33" s="288">
        <f>$N$15*37/$O$5+(1-$N$15)*$O$4</f>
        <v>56.944444444444443</v>
      </c>
      <c r="O33" s="6" t="s">
        <v>31</v>
      </c>
    </row>
    <row r="34" spans="12:15" x14ac:dyDescent="0.2">
      <c r="L34" s="5"/>
    </row>
    <row r="35" spans="12:15" ht="19" x14ac:dyDescent="0.25">
      <c r="L35" s="3" t="s">
        <v>203</v>
      </c>
    </row>
    <row r="36" spans="12:15" x14ac:dyDescent="0.2">
      <c r="L36" s="84" t="s">
        <v>206</v>
      </c>
    </row>
    <row r="37" spans="12:15" ht="16" customHeight="1" x14ac:dyDescent="0.2">
      <c r="L37" s="5"/>
    </row>
    <row r="38" spans="12:15" ht="16" customHeight="1" x14ac:dyDescent="0.2">
      <c r="L38" s="5"/>
    </row>
    <row r="39" spans="12:15" x14ac:dyDescent="0.2">
      <c r="L39" s="5"/>
    </row>
    <row r="40" spans="12:15" x14ac:dyDescent="0.2">
      <c r="L40" s="5"/>
    </row>
    <row r="49" spans="12:14" x14ac:dyDescent="0.2">
      <c r="M49" s="20"/>
    </row>
    <row r="50" spans="12:14" x14ac:dyDescent="0.2">
      <c r="L50" s="5"/>
      <c r="M50" s="5"/>
      <c r="N50" s="5"/>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M59" s="20"/>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M69" s="20"/>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M79" s="20"/>
    </row>
    <row r="80" spans="12:14" x14ac:dyDescent="0.2">
      <c r="L80" s="5"/>
      <c r="M80" s="5"/>
      <c r="N80" s="5"/>
    </row>
    <row r="81" spans="1:65" x14ac:dyDescent="0.2">
      <c r="L81" s="5"/>
      <c r="M81" s="5"/>
      <c r="N81" s="5"/>
    </row>
    <row r="82" spans="1:65" x14ac:dyDescent="0.2">
      <c r="L82" s="5"/>
      <c r="M82" s="5"/>
      <c r="N82" s="5"/>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M89" s="20"/>
    </row>
    <row r="90" spans="1:65" x14ac:dyDescent="0.2">
      <c r="L90" s="5"/>
      <c r="M90" s="5"/>
      <c r="N90" s="5"/>
      <c r="O90" s="5"/>
      <c r="P90" s="5"/>
      <c r="Q90" s="5"/>
      <c r="R90" s="5"/>
      <c r="S90" s="5"/>
      <c r="T90" s="5"/>
    </row>
    <row r="91" spans="1:65" x14ac:dyDescent="0.2">
      <c r="L91" s="5"/>
      <c r="M91" s="5"/>
      <c r="N91" s="5"/>
      <c r="O91" s="5"/>
      <c r="P91" s="5"/>
      <c r="Q91" s="5"/>
      <c r="R91" s="5"/>
      <c r="S91" s="5"/>
      <c r="T91" s="5"/>
    </row>
    <row r="92" spans="1:65" x14ac:dyDescent="0.2">
      <c r="L92" s="5"/>
      <c r="M92" s="5"/>
      <c r="N92" s="5"/>
      <c r="O92" s="5"/>
      <c r="P92" s="5"/>
      <c r="Q92" s="5"/>
      <c r="R92" s="5"/>
      <c r="S92" s="5"/>
      <c r="T92" s="5"/>
    </row>
    <row r="93" spans="1:65" x14ac:dyDescent="0.2">
      <c r="L93" s="5"/>
      <c r="M93" s="5"/>
      <c r="N93" s="5"/>
      <c r="O93" s="5"/>
      <c r="P93" s="5"/>
      <c r="Q93" s="5"/>
      <c r="R93" s="5"/>
      <c r="S93" s="5"/>
      <c r="T93" s="5"/>
    </row>
    <row r="94" spans="1:65" x14ac:dyDescent="0.2">
      <c r="A94" s="5"/>
      <c r="B94" s="5"/>
      <c r="C94" s="5"/>
      <c r="D94" s="5"/>
      <c r="E94" s="5"/>
      <c r="F94" s="5"/>
      <c r="G94" s="5"/>
      <c r="H94" s="5"/>
      <c r="I94" s="5"/>
      <c r="J94" s="5"/>
      <c r="L94" s="5"/>
      <c r="M94" s="5"/>
      <c r="N94" s="5"/>
      <c r="O94" s="5"/>
      <c r="P94" s="5"/>
      <c r="Q94" s="5"/>
      <c r="R94" s="5"/>
      <c r="S94" s="5"/>
      <c r="T94" s="5"/>
    </row>
    <row r="95" spans="1:65" x14ac:dyDescent="0.2">
      <c r="A95" s="5"/>
      <c r="B95" s="5"/>
      <c r="C95" s="5"/>
      <c r="D95" s="5"/>
      <c r="E95" s="5"/>
      <c r="F95" s="5"/>
      <c r="G95" s="5"/>
      <c r="H95" s="5"/>
      <c r="I95" s="5"/>
      <c r="J95" s="5"/>
      <c r="L95" s="5"/>
      <c r="M95" s="5"/>
      <c r="N95" s="5"/>
      <c r="O95" s="5"/>
      <c r="P95" s="5"/>
      <c r="Q95" s="5"/>
      <c r="R95" s="5"/>
      <c r="S95" s="5"/>
      <c r="T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K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K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sheetData>
  <mergeCells count="3">
    <mergeCell ref="A23:J23"/>
    <mergeCell ref="M25:S27"/>
    <mergeCell ref="M21:S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7D31-8A53-D84B-AF56-6DBFC2B07439}">
  <dimension ref="A1:S37"/>
  <sheetViews>
    <sheetView zoomScaleNormal="100" workbookViewId="0"/>
  </sheetViews>
  <sheetFormatPr baseColWidth="10" defaultColWidth="11" defaultRowHeight="16" outlineLevelCol="1" x14ac:dyDescent="0.2"/>
  <cols>
    <col min="1" max="1" width="4.83203125" customWidth="1"/>
    <col min="3" max="3" width="10.83203125" customWidth="1"/>
    <col min="8" max="10" width="10.83203125" customWidth="1"/>
    <col min="13" max="13" width="15.83203125" hidden="1" customWidth="1" outlineLevel="1"/>
    <col min="14" max="17" width="10.83203125" hidden="1" customWidth="1" outlineLevel="1"/>
    <col min="18" max="18" width="12" hidden="1" customWidth="1" outlineLevel="1"/>
    <col min="19" max="19" width="11" collapsed="1"/>
  </cols>
  <sheetData>
    <row r="1" spans="1:17" ht="19" x14ac:dyDescent="0.25">
      <c r="A1" s="157" t="s">
        <v>238</v>
      </c>
      <c r="B1" s="156"/>
      <c r="C1" s="155"/>
      <c r="D1" s="155"/>
      <c r="E1" s="155"/>
      <c r="F1" s="154"/>
      <c r="G1" s="154"/>
      <c r="H1" s="154"/>
      <c r="I1" s="154"/>
      <c r="J1" s="153"/>
      <c r="L1" s="112" t="s">
        <v>141</v>
      </c>
    </row>
    <row r="2" spans="1:17" x14ac:dyDescent="0.2">
      <c r="A2" s="127"/>
      <c r="B2" s="130"/>
      <c r="C2" s="130"/>
      <c r="D2" s="130"/>
      <c r="E2" s="130"/>
      <c r="F2" s="130"/>
      <c r="G2" s="130"/>
      <c r="H2" s="130"/>
      <c r="I2" s="130"/>
      <c r="J2" s="124"/>
    </row>
    <row r="3" spans="1:17" x14ac:dyDescent="0.2">
      <c r="A3" s="127"/>
      <c r="B3" s="130" t="s">
        <v>237</v>
      </c>
      <c r="C3" s="134"/>
      <c r="D3" s="130"/>
      <c r="E3" s="130"/>
      <c r="F3" s="130"/>
      <c r="G3" s="130"/>
      <c r="H3" s="130"/>
      <c r="I3" s="130"/>
      <c r="J3" s="124"/>
      <c r="M3" s="118" t="s">
        <v>182</v>
      </c>
    </row>
    <row r="4" spans="1:17" x14ac:dyDescent="0.2">
      <c r="A4" s="127"/>
      <c r="B4" s="130"/>
      <c r="C4" s="134"/>
      <c r="D4" s="130"/>
      <c r="E4" s="130"/>
      <c r="F4" s="130"/>
      <c r="G4" s="130"/>
      <c r="H4" s="130"/>
      <c r="I4" s="130"/>
      <c r="J4" s="124"/>
      <c r="N4" s="152"/>
    </row>
    <row r="5" spans="1:17" x14ac:dyDescent="0.2">
      <c r="A5" s="127"/>
      <c r="B5" s="130"/>
      <c r="C5" s="313" t="s">
        <v>14</v>
      </c>
      <c r="D5" s="310" t="s">
        <v>236</v>
      </c>
      <c r="E5" s="311"/>
      <c r="F5" s="312"/>
      <c r="G5" s="130"/>
      <c r="H5" s="130"/>
      <c r="I5" s="130"/>
      <c r="J5" s="124"/>
      <c r="M5" t="s">
        <v>235</v>
      </c>
      <c r="N5" s="144">
        <f>SUM(F7:F8)/SUM(E7:E8)</f>
        <v>1.2339506172839507</v>
      </c>
    </row>
    <row r="6" spans="1:17" x14ac:dyDescent="0.2">
      <c r="A6" s="127"/>
      <c r="B6" s="130"/>
      <c r="C6" s="314"/>
      <c r="D6" s="148" t="s">
        <v>234</v>
      </c>
      <c r="E6" s="147" t="s">
        <v>233</v>
      </c>
      <c r="F6" s="146" t="s">
        <v>232</v>
      </c>
      <c r="G6" s="130"/>
      <c r="H6" s="130"/>
      <c r="I6" s="130"/>
      <c r="J6" s="124"/>
      <c r="M6" t="s">
        <v>231</v>
      </c>
      <c r="N6" s="144">
        <f>F12</f>
        <v>1.05</v>
      </c>
    </row>
    <row r="7" spans="1:17" x14ac:dyDescent="0.2">
      <c r="A7" s="127"/>
      <c r="B7" s="130"/>
      <c r="C7" s="145">
        <v>2010</v>
      </c>
      <c r="D7" s="142">
        <v>500</v>
      </c>
      <c r="E7" s="135">
        <v>750</v>
      </c>
      <c r="F7" s="141">
        <v>938</v>
      </c>
      <c r="G7" s="130"/>
      <c r="H7" s="130"/>
      <c r="I7" s="130"/>
      <c r="J7" s="124"/>
      <c r="M7" t="s">
        <v>230</v>
      </c>
      <c r="N7" s="144">
        <f>N5*N6</f>
        <v>1.2956481481481483</v>
      </c>
    </row>
    <row r="8" spans="1:17" ht="17" thickBot="1" x14ac:dyDescent="0.25">
      <c r="A8" s="127"/>
      <c r="B8" s="130"/>
      <c r="C8" s="143">
        <v>2011</v>
      </c>
      <c r="D8" s="142">
        <v>600</v>
      </c>
      <c r="E8" s="135">
        <v>870</v>
      </c>
      <c r="F8" s="141">
        <v>1061</v>
      </c>
      <c r="G8" s="130"/>
      <c r="H8" s="130"/>
      <c r="I8" s="130"/>
      <c r="J8" s="124"/>
    </row>
    <row r="9" spans="1:17" ht="17" thickBot="1" x14ac:dyDescent="0.25">
      <c r="A9" s="127"/>
      <c r="B9" s="130"/>
      <c r="C9" s="143">
        <v>2012</v>
      </c>
      <c r="D9" s="142">
        <v>480</v>
      </c>
      <c r="E9" s="135">
        <v>700</v>
      </c>
      <c r="F9" s="141"/>
      <c r="G9" s="130"/>
      <c r="H9" s="130"/>
      <c r="I9" s="130"/>
      <c r="J9" s="124"/>
      <c r="M9" s="114" t="s">
        <v>219</v>
      </c>
      <c r="N9" s="140">
        <f>E9*(N7-1)</f>
        <v>206.95370370370384</v>
      </c>
    </row>
    <row r="10" spans="1:17" x14ac:dyDescent="0.2">
      <c r="A10" s="127"/>
      <c r="B10" s="130"/>
      <c r="C10" s="139">
        <v>2013</v>
      </c>
      <c r="D10" s="138">
        <v>520</v>
      </c>
      <c r="E10" s="137"/>
      <c r="F10" s="136"/>
      <c r="G10" s="130"/>
      <c r="H10" s="130"/>
      <c r="I10" s="130"/>
      <c r="J10" s="124"/>
    </row>
    <row r="11" spans="1:17" x14ac:dyDescent="0.2">
      <c r="A11" s="127"/>
      <c r="B11" s="134"/>
      <c r="C11" s="135"/>
      <c r="D11" s="135"/>
      <c r="E11" s="135"/>
      <c r="F11" s="135"/>
      <c r="G11" s="130"/>
      <c r="H11" s="130"/>
      <c r="I11" s="130"/>
      <c r="J11" s="124"/>
      <c r="M11" s="118" t="s">
        <v>184</v>
      </c>
    </row>
    <row r="12" spans="1:17" x14ac:dyDescent="0.2">
      <c r="A12" s="127"/>
      <c r="B12" s="132" t="s">
        <v>229</v>
      </c>
      <c r="C12" s="134"/>
      <c r="D12" s="130"/>
      <c r="E12" s="130"/>
      <c r="F12" s="133">
        <v>1.05</v>
      </c>
      <c r="G12" s="130"/>
      <c r="H12" s="130"/>
      <c r="I12" s="130"/>
      <c r="J12" s="124"/>
    </row>
    <row r="13" spans="1:17" x14ac:dyDescent="0.2">
      <c r="A13" s="127"/>
      <c r="B13" s="132"/>
      <c r="C13" s="130"/>
      <c r="D13" s="130"/>
      <c r="E13" s="130"/>
      <c r="F13" s="131"/>
      <c r="G13" s="130"/>
      <c r="H13" s="130"/>
      <c r="I13" s="130"/>
      <c r="J13" s="124"/>
    </row>
    <row r="14" spans="1:17" ht="16" customHeight="1" x14ac:dyDescent="0.2">
      <c r="A14" s="127"/>
      <c r="B14" s="126" t="s">
        <v>228</v>
      </c>
      <c r="C14" s="126"/>
      <c r="D14" s="126"/>
      <c r="E14" s="126"/>
      <c r="F14" s="126"/>
      <c r="G14" s="126"/>
      <c r="H14" s="126"/>
      <c r="I14" s="125"/>
      <c r="J14" s="124"/>
      <c r="M14" s="129" t="s">
        <v>14</v>
      </c>
      <c r="N14" s="128">
        <v>12</v>
      </c>
      <c r="O14" s="128">
        <v>24</v>
      </c>
      <c r="P14" s="128">
        <v>36</v>
      </c>
      <c r="Q14" s="128" t="s">
        <v>227</v>
      </c>
    </row>
    <row r="15" spans="1:17" ht="17" thickBot="1" x14ac:dyDescent="0.25">
      <c r="A15" s="127"/>
      <c r="B15" s="126"/>
      <c r="C15" s="126"/>
      <c r="D15" s="126"/>
      <c r="E15" s="126"/>
      <c r="F15" s="126"/>
      <c r="G15" s="126"/>
      <c r="H15" s="126"/>
      <c r="I15" s="125"/>
      <c r="J15" s="124"/>
      <c r="M15" s="119">
        <f t="shared" ref="M15:P16" si="0">C7</f>
        <v>2010</v>
      </c>
      <c r="N15" s="117">
        <f t="shared" si="0"/>
        <v>500</v>
      </c>
      <c r="O15" s="117">
        <f t="shared" si="0"/>
        <v>750</v>
      </c>
      <c r="P15" s="117">
        <f t="shared" si="0"/>
        <v>938</v>
      </c>
      <c r="Q15" s="117">
        <f>P15*$F$12</f>
        <v>984.90000000000009</v>
      </c>
    </row>
    <row r="16" spans="1:17" ht="17" thickBot="1" x14ac:dyDescent="0.25">
      <c r="A16" s="123" t="s">
        <v>140</v>
      </c>
      <c r="B16" s="121"/>
      <c r="C16" s="122"/>
      <c r="D16" s="122"/>
      <c r="E16" s="122"/>
      <c r="F16" s="121"/>
      <c r="G16" s="121"/>
      <c r="H16" s="121"/>
      <c r="I16" s="121"/>
      <c r="J16" s="120"/>
      <c r="M16" s="119">
        <f t="shared" si="0"/>
        <v>2011</v>
      </c>
      <c r="N16" s="117">
        <f t="shared" si="0"/>
        <v>600</v>
      </c>
      <c r="O16" s="117">
        <f t="shared" si="0"/>
        <v>870</v>
      </c>
      <c r="P16" s="117">
        <f t="shared" si="0"/>
        <v>1061</v>
      </c>
      <c r="Q16" s="117">
        <f>P16*$F$12</f>
        <v>1114.05</v>
      </c>
    </row>
    <row r="17" spans="13:17" x14ac:dyDescent="0.2">
      <c r="M17" s="119">
        <f>C9</f>
        <v>2012</v>
      </c>
      <c r="N17" s="117">
        <f>D9</f>
        <v>480</v>
      </c>
      <c r="O17" s="117">
        <f>E9</f>
        <v>700</v>
      </c>
      <c r="P17" s="117"/>
      <c r="Q17" s="117"/>
    </row>
    <row r="18" spans="13:17" x14ac:dyDescent="0.2">
      <c r="M18" s="119">
        <f>C10</f>
        <v>2013</v>
      </c>
      <c r="N18" s="117">
        <f>D10</f>
        <v>520</v>
      </c>
      <c r="O18" s="117"/>
      <c r="P18" s="117"/>
      <c r="Q18" s="117"/>
    </row>
    <row r="21" spans="13:17" x14ac:dyDescent="0.2">
      <c r="M21" t="s">
        <v>221</v>
      </c>
      <c r="N21" s="116">
        <f>AVERAGE(Q15:Q16)</f>
        <v>1049.4749999999999</v>
      </c>
      <c r="O21" t="s">
        <v>226</v>
      </c>
    </row>
    <row r="22" spans="13:17" ht="17" thickBot="1" x14ac:dyDescent="0.25"/>
    <row r="23" spans="13:17" ht="17" thickBot="1" x14ac:dyDescent="0.25">
      <c r="M23" s="114" t="s">
        <v>219</v>
      </c>
      <c r="N23" s="113">
        <f>N21-E9</f>
        <v>349.47499999999991</v>
      </c>
    </row>
    <row r="25" spans="13:17" x14ac:dyDescent="0.2">
      <c r="M25" s="118" t="s">
        <v>225</v>
      </c>
    </row>
    <row r="26" spans="13:17" x14ac:dyDescent="0.2">
      <c r="M26" t="s">
        <v>224</v>
      </c>
    </row>
    <row r="28" spans="13:17" x14ac:dyDescent="0.2">
      <c r="M28" s="117" t="s">
        <v>223</v>
      </c>
      <c r="N28" s="117">
        <f>SLOPE(Q15:Q16,O15:O16)</f>
        <v>1.0762499999999988</v>
      </c>
    </row>
    <row r="29" spans="13:17" x14ac:dyDescent="0.2">
      <c r="M29" s="117" t="s">
        <v>222</v>
      </c>
      <c r="N29" s="115">
        <f>INTERCEPT(Q15:Q16,O15:O16)</f>
        <v>177.71250000000089</v>
      </c>
    </row>
    <row r="30" spans="13:17" x14ac:dyDescent="0.2">
      <c r="N30" s="116"/>
    </row>
    <row r="31" spans="13:17" x14ac:dyDescent="0.2">
      <c r="M31" t="s">
        <v>221</v>
      </c>
      <c r="N31" s="115">
        <f>N29+N28*E9</f>
        <v>931.08750000000009</v>
      </c>
      <c r="O31" t="s">
        <v>220</v>
      </c>
    </row>
    <row r="32" spans="13:17" ht="17" thickBot="1" x14ac:dyDescent="0.25"/>
    <row r="33" spans="13:14" ht="17" thickBot="1" x14ac:dyDescent="0.25">
      <c r="M33" s="114" t="s">
        <v>219</v>
      </c>
      <c r="N33" s="113">
        <f>N31-E9</f>
        <v>231.08750000000009</v>
      </c>
    </row>
    <row r="36" spans="13:14" ht="19" x14ac:dyDescent="0.25">
      <c r="M36" s="112" t="s">
        <v>203</v>
      </c>
    </row>
    <row r="37" spans="13:14" x14ac:dyDescent="0.2">
      <c r="M37" t="s">
        <v>204</v>
      </c>
    </row>
  </sheetData>
  <mergeCells count="2">
    <mergeCell ref="D5:F5"/>
    <mergeCell ref="C5:C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0DF3-ACE0-5F4A-A4E8-61141702AB5D}">
  <dimension ref="A1:T75"/>
  <sheetViews>
    <sheetView zoomScaleNormal="100" workbookViewId="0"/>
  </sheetViews>
  <sheetFormatPr baseColWidth="10" defaultColWidth="11" defaultRowHeight="16" outlineLevelCol="1" x14ac:dyDescent="0.2"/>
  <cols>
    <col min="1" max="1" width="4.5" customWidth="1"/>
    <col min="3" max="3" width="13.83203125" bestFit="1" customWidth="1"/>
    <col min="8" max="8" width="11.5" customWidth="1"/>
    <col min="12" max="12" width="11.33203125" bestFit="1" customWidth="1"/>
    <col min="13" max="13" width="17.83203125" hidden="1" customWidth="1" outlineLevel="1"/>
    <col min="14" max="18" width="10.83203125" hidden="1" customWidth="1" outlineLevel="1"/>
    <col min="19" max="19" width="12" hidden="1" customWidth="1" outlineLevel="1"/>
    <col min="20" max="20" width="11" collapsed="1"/>
  </cols>
  <sheetData>
    <row r="1" spans="1:18" ht="19" x14ac:dyDescent="0.25">
      <c r="A1" s="157" t="s">
        <v>280</v>
      </c>
      <c r="B1" s="156"/>
      <c r="C1" s="155"/>
      <c r="D1" s="155"/>
      <c r="E1" s="155"/>
      <c r="F1" s="154"/>
      <c r="G1" s="154"/>
      <c r="H1" s="154"/>
      <c r="I1" s="154"/>
      <c r="J1" s="153"/>
      <c r="L1" s="112" t="s">
        <v>141</v>
      </c>
    </row>
    <row r="2" spans="1:18" x14ac:dyDescent="0.2">
      <c r="A2" s="127"/>
      <c r="B2" s="130"/>
      <c r="C2" s="130"/>
      <c r="D2" s="130"/>
      <c r="E2" s="130"/>
      <c r="F2" s="130"/>
      <c r="G2" s="130"/>
      <c r="H2" s="130"/>
      <c r="I2" s="130"/>
      <c r="J2" s="124"/>
    </row>
    <row r="3" spans="1:18" x14ac:dyDescent="0.2">
      <c r="A3" s="127"/>
      <c r="B3" s="130" t="s">
        <v>279</v>
      </c>
      <c r="C3" s="134"/>
      <c r="D3" s="130"/>
      <c r="E3" s="130"/>
      <c r="F3" s="130"/>
      <c r="G3" s="130"/>
      <c r="H3" s="130"/>
      <c r="I3" s="130"/>
      <c r="J3" s="124"/>
      <c r="M3" s="159" t="s">
        <v>278</v>
      </c>
      <c r="N3" s="116"/>
    </row>
    <row r="4" spans="1:18" x14ac:dyDescent="0.2">
      <c r="A4" s="127"/>
      <c r="B4" s="130"/>
      <c r="C4" s="134"/>
      <c r="D4" s="130"/>
      <c r="E4" s="130"/>
      <c r="F4" s="130"/>
      <c r="G4" s="130"/>
      <c r="H4" s="130"/>
      <c r="I4" s="130"/>
      <c r="J4" s="124"/>
      <c r="N4" s="152"/>
    </row>
    <row r="5" spans="1:18" x14ac:dyDescent="0.2">
      <c r="A5" s="127"/>
      <c r="B5" s="313" t="s">
        <v>14</v>
      </c>
      <c r="C5" s="180" t="s">
        <v>277</v>
      </c>
      <c r="D5" s="310" t="s">
        <v>276</v>
      </c>
      <c r="E5" s="311"/>
      <c r="F5" s="311"/>
      <c r="G5" s="312"/>
      <c r="H5" s="130"/>
      <c r="I5" s="130"/>
      <c r="J5" s="124"/>
      <c r="M5" s="118" t="s">
        <v>275</v>
      </c>
    </row>
    <row r="6" spans="1:18" x14ac:dyDescent="0.2">
      <c r="A6" s="127"/>
      <c r="B6" s="314"/>
      <c r="C6" s="146" t="s">
        <v>274</v>
      </c>
      <c r="D6" s="147" t="s">
        <v>234</v>
      </c>
      <c r="E6" s="147" t="s">
        <v>233</v>
      </c>
      <c r="F6" s="147" t="s">
        <v>232</v>
      </c>
      <c r="G6" s="146" t="s">
        <v>273</v>
      </c>
      <c r="H6" s="130"/>
      <c r="I6" s="130"/>
      <c r="J6" s="124"/>
    </row>
    <row r="7" spans="1:18" x14ac:dyDescent="0.2">
      <c r="A7" s="127"/>
      <c r="B7" s="143">
        <v>2008</v>
      </c>
      <c r="C7" s="179">
        <v>1000</v>
      </c>
      <c r="D7" s="135">
        <v>100</v>
      </c>
      <c r="E7" s="135">
        <v>150</v>
      </c>
      <c r="F7" s="135">
        <v>180</v>
      </c>
      <c r="G7" s="141">
        <v>200</v>
      </c>
      <c r="H7" s="130"/>
      <c r="I7" s="130"/>
      <c r="J7" s="124"/>
      <c r="M7" s="129" t="s">
        <v>14</v>
      </c>
      <c r="N7" s="128">
        <v>12</v>
      </c>
      <c r="O7" s="128">
        <v>24</v>
      </c>
      <c r="P7" s="128">
        <v>36</v>
      </c>
      <c r="Q7" s="128">
        <v>48</v>
      </c>
      <c r="R7" s="128" t="s">
        <v>227</v>
      </c>
    </row>
    <row r="8" spans="1:18" x14ac:dyDescent="0.2">
      <c r="A8" s="127"/>
      <c r="B8" s="143">
        <v>2009</v>
      </c>
      <c r="C8" s="178">
        <v>3000</v>
      </c>
      <c r="D8" s="135">
        <v>600</v>
      </c>
      <c r="E8" s="135">
        <v>925</v>
      </c>
      <c r="F8" s="135">
        <v>1150</v>
      </c>
      <c r="G8" s="141">
        <v>1200</v>
      </c>
      <c r="H8" s="130"/>
      <c r="I8" s="130"/>
      <c r="J8" s="124"/>
      <c r="M8" s="119">
        <v>2008</v>
      </c>
      <c r="N8" s="176">
        <f t="shared" ref="N8:Q9" si="0">D7</f>
        <v>100</v>
      </c>
      <c r="O8" s="176">
        <f t="shared" si="0"/>
        <v>150</v>
      </c>
      <c r="P8" s="176">
        <f t="shared" si="0"/>
        <v>180</v>
      </c>
      <c r="Q8" s="176">
        <f t="shared" si="0"/>
        <v>200</v>
      </c>
      <c r="R8" s="117">
        <f>Q8*F13</f>
        <v>204</v>
      </c>
    </row>
    <row r="9" spans="1:18" x14ac:dyDescent="0.2">
      <c r="A9" s="127"/>
      <c r="B9" s="143">
        <v>2010</v>
      </c>
      <c r="C9" s="178">
        <v>6000</v>
      </c>
      <c r="D9" s="135">
        <v>800</v>
      </c>
      <c r="E9" s="135">
        <v>1175</v>
      </c>
      <c r="F9" s="135">
        <v>1300</v>
      </c>
      <c r="G9" s="141"/>
      <c r="H9" s="130"/>
      <c r="I9" s="130"/>
      <c r="J9" s="124"/>
      <c r="M9" s="119">
        <v>2009</v>
      </c>
      <c r="N9" s="176">
        <f t="shared" si="0"/>
        <v>600</v>
      </c>
      <c r="O9" s="176">
        <f t="shared" si="0"/>
        <v>925</v>
      </c>
      <c r="P9" s="176">
        <f t="shared" si="0"/>
        <v>1150</v>
      </c>
      <c r="Q9" s="176">
        <f t="shared" si="0"/>
        <v>1200</v>
      </c>
      <c r="R9" s="117">
        <f>Q9*F13</f>
        <v>1224</v>
      </c>
    </row>
    <row r="10" spans="1:18" x14ac:dyDescent="0.2">
      <c r="A10" s="127"/>
      <c r="B10" s="143">
        <v>2011</v>
      </c>
      <c r="C10" s="178">
        <v>10000</v>
      </c>
      <c r="D10" s="135">
        <v>1100</v>
      </c>
      <c r="E10" s="135">
        <v>1700</v>
      </c>
      <c r="F10" s="135"/>
      <c r="G10" s="141"/>
      <c r="H10" s="130"/>
      <c r="I10" s="130"/>
      <c r="J10" s="124"/>
      <c r="M10" s="119">
        <v>2010</v>
      </c>
      <c r="N10" s="176">
        <f>D9</f>
        <v>800</v>
      </c>
      <c r="O10" s="176">
        <f>E9</f>
        <v>1175</v>
      </c>
      <c r="P10" s="176">
        <f>F9</f>
        <v>1300</v>
      </c>
      <c r="Q10" s="176"/>
      <c r="R10" s="117"/>
    </row>
    <row r="11" spans="1:18" x14ac:dyDescent="0.2">
      <c r="A11" s="127"/>
      <c r="B11" s="139">
        <v>2012</v>
      </c>
      <c r="C11" s="177">
        <v>12000</v>
      </c>
      <c r="D11" s="137">
        <v>1500</v>
      </c>
      <c r="E11" s="137"/>
      <c r="F11" s="137"/>
      <c r="G11" s="136"/>
      <c r="H11" s="130"/>
      <c r="I11" s="130"/>
      <c r="J11" s="124"/>
      <c r="M11" s="119">
        <v>2011</v>
      </c>
      <c r="N11" s="176">
        <f>D10</f>
        <v>1100</v>
      </c>
      <c r="O11" s="176">
        <f>E10</f>
        <v>1700</v>
      </c>
      <c r="P11" s="176"/>
      <c r="Q11" s="176"/>
      <c r="R11" s="117"/>
    </row>
    <row r="12" spans="1:18" x14ac:dyDescent="0.2">
      <c r="A12" s="127"/>
      <c r="B12" s="130"/>
      <c r="C12" s="134"/>
      <c r="D12" s="130"/>
      <c r="E12" s="130"/>
      <c r="F12" s="130"/>
      <c r="G12" s="130"/>
      <c r="H12" s="130"/>
      <c r="I12" s="130"/>
      <c r="J12" s="124"/>
      <c r="M12" s="119">
        <v>2012</v>
      </c>
      <c r="N12" s="176">
        <f>D11</f>
        <v>1500</v>
      </c>
      <c r="O12" s="176"/>
      <c r="P12" s="176"/>
      <c r="Q12" s="176"/>
      <c r="R12" s="117"/>
    </row>
    <row r="13" spans="1:18" x14ac:dyDescent="0.2">
      <c r="A13" s="127"/>
      <c r="B13" s="132" t="s">
        <v>272</v>
      </c>
      <c r="C13" s="134"/>
      <c r="D13" s="130"/>
      <c r="E13" s="175"/>
      <c r="F13" s="133">
        <v>1.02</v>
      </c>
      <c r="G13" s="130"/>
      <c r="H13" s="130"/>
      <c r="I13" s="130"/>
      <c r="J13" s="124"/>
    </row>
    <row r="14" spans="1:18" x14ac:dyDescent="0.2">
      <c r="A14" s="127"/>
      <c r="B14" s="132"/>
      <c r="C14" s="130"/>
      <c r="D14" s="130"/>
      <c r="E14" s="130"/>
      <c r="F14" s="131"/>
      <c r="G14" s="130"/>
      <c r="H14" s="130"/>
      <c r="I14" s="130"/>
      <c r="J14" s="124"/>
      <c r="M14" s="118" t="s">
        <v>271</v>
      </c>
      <c r="N14" s="174"/>
    </row>
    <row r="15" spans="1:18" x14ac:dyDescent="0.2">
      <c r="A15" s="127"/>
      <c r="B15" s="167" t="s">
        <v>0</v>
      </c>
      <c r="C15" s="130"/>
      <c r="D15" s="130"/>
      <c r="E15" s="130"/>
      <c r="F15" s="131"/>
      <c r="G15" s="130"/>
      <c r="H15" s="130"/>
      <c r="I15" s="130"/>
      <c r="J15" s="124"/>
    </row>
    <row r="16" spans="1:18" x14ac:dyDescent="0.2">
      <c r="A16" s="127"/>
      <c r="B16" s="318" t="s">
        <v>557</v>
      </c>
      <c r="C16" s="318"/>
      <c r="D16" s="318"/>
      <c r="E16" s="318"/>
      <c r="F16" s="318"/>
      <c r="G16" s="318"/>
      <c r="H16" s="318"/>
      <c r="I16" s="318"/>
      <c r="J16" s="124"/>
      <c r="M16" s="129" t="s">
        <v>14</v>
      </c>
      <c r="N16" s="128">
        <v>12</v>
      </c>
      <c r="O16" s="128">
        <v>24</v>
      </c>
      <c r="P16" s="128">
        <v>36</v>
      </c>
      <c r="Q16" s="128">
        <v>48</v>
      </c>
      <c r="R16" s="128" t="s">
        <v>227</v>
      </c>
    </row>
    <row r="17" spans="1:18" x14ac:dyDescent="0.2">
      <c r="A17" s="127"/>
      <c r="B17" s="318"/>
      <c r="C17" s="318"/>
      <c r="D17" s="318"/>
      <c r="E17" s="318"/>
      <c r="F17" s="318"/>
      <c r="G17" s="318"/>
      <c r="H17" s="318"/>
      <c r="I17" s="318"/>
      <c r="J17" s="124"/>
      <c r="M17" s="119">
        <v>2008</v>
      </c>
      <c r="N17" s="168">
        <f t="shared" ref="N17:R18" si="1">N8/$C7</f>
        <v>0.1</v>
      </c>
      <c r="O17" s="168">
        <f t="shared" si="1"/>
        <v>0.15</v>
      </c>
      <c r="P17" s="168">
        <f t="shared" si="1"/>
        <v>0.18</v>
      </c>
      <c r="Q17" s="168">
        <f t="shared" si="1"/>
        <v>0.2</v>
      </c>
      <c r="R17" s="168">
        <f t="shared" si="1"/>
        <v>0.20399999999999999</v>
      </c>
    </row>
    <row r="18" spans="1:18" x14ac:dyDescent="0.2">
      <c r="A18" s="127"/>
      <c r="B18" s="169"/>
      <c r="C18" s="130"/>
      <c r="D18" s="130"/>
      <c r="E18" s="130"/>
      <c r="F18" s="131"/>
      <c r="G18" s="130"/>
      <c r="H18" s="130"/>
      <c r="I18" s="130"/>
      <c r="J18" s="124"/>
      <c r="K18" s="172"/>
      <c r="M18" s="119">
        <v>2009</v>
      </c>
      <c r="N18" s="168">
        <f t="shared" si="1"/>
        <v>0.2</v>
      </c>
      <c r="O18" s="168">
        <f t="shared" si="1"/>
        <v>0.30833333333333335</v>
      </c>
      <c r="P18" s="168">
        <f t="shared" si="1"/>
        <v>0.38333333333333336</v>
      </c>
      <c r="Q18" s="168">
        <f t="shared" si="1"/>
        <v>0.4</v>
      </c>
      <c r="R18" s="168">
        <f t="shared" si="1"/>
        <v>0.40799999999999997</v>
      </c>
    </row>
    <row r="19" spans="1:18" ht="15.75" customHeight="1" x14ac:dyDescent="0.2">
      <c r="A19" s="127"/>
      <c r="B19" s="167" t="s">
        <v>1</v>
      </c>
      <c r="C19" s="173"/>
      <c r="D19" s="173"/>
      <c r="E19" s="173"/>
      <c r="F19" s="173"/>
      <c r="G19" s="173"/>
      <c r="H19" s="173"/>
      <c r="I19" s="173"/>
      <c r="J19" s="170"/>
      <c r="K19" s="172"/>
      <c r="M19" s="119">
        <v>2010</v>
      </c>
      <c r="N19" s="168">
        <f>N10/$C9</f>
        <v>0.13333333333333333</v>
      </c>
      <c r="O19" s="168">
        <f>O10/$C9</f>
        <v>0.19583333333333333</v>
      </c>
      <c r="P19" s="168">
        <f>P10/$C9</f>
        <v>0.21666666666666667</v>
      </c>
      <c r="Q19" s="168"/>
      <c r="R19" s="171">
        <f>N28</f>
        <v>0.24078688524590167</v>
      </c>
    </row>
    <row r="20" spans="1:18" x14ac:dyDescent="0.2">
      <c r="A20" s="127"/>
      <c r="B20" s="315" t="s">
        <v>270</v>
      </c>
      <c r="C20" s="315"/>
      <c r="D20" s="315"/>
      <c r="E20" s="315"/>
      <c r="F20" s="315"/>
      <c r="G20" s="315"/>
      <c r="H20" s="315"/>
      <c r="I20" s="315"/>
      <c r="J20" s="170"/>
      <c r="M20" s="119">
        <v>2011</v>
      </c>
      <c r="N20" s="168">
        <f>N11/$C10</f>
        <v>0.11</v>
      </c>
      <c r="O20" s="168">
        <f>O11/$C10</f>
        <v>0.17</v>
      </c>
      <c r="P20" s="168"/>
      <c r="Q20" s="168"/>
      <c r="R20" s="168"/>
    </row>
    <row r="21" spans="1:18" x14ac:dyDescent="0.2">
      <c r="A21" s="127"/>
      <c r="B21" s="315"/>
      <c r="C21" s="315"/>
      <c r="D21" s="315"/>
      <c r="E21" s="315"/>
      <c r="F21" s="315"/>
      <c r="G21" s="315"/>
      <c r="H21" s="315"/>
      <c r="I21" s="315"/>
      <c r="J21" s="170"/>
      <c r="M21" s="119">
        <v>2012</v>
      </c>
      <c r="N21" s="168">
        <f>N12/$C11</f>
        <v>0.125</v>
      </c>
      <c r="O21" s="168"/>
      <c r="P21" s="168"/>
      <c r="Q21" s="168"/>
      <c r="R21" s="168"/>
    </row>
    <row r="22" spans="1:18" x14ac:dyDescent="0.2">
      <c r="A22" s="127"/>
      <c r="B22" s="169"/>
      <c r="C22" s="130"/>
      <c r="D22" s="130"/>
      <c r="E22" s="130"/>
      <c r="F22" s="131"/>
      <c r="G22" s="130"/>
      <c r="H22" s="130"/>
      <c r="I22" s="130"/>
      <c r="J22" s="124"/>
    </row>
    <row r="23" spans="1:18" x14ac:dyDescent="0.2">
      <c r="A23" s="127"/>
      <c r="B23" s="167" t="s">
        <v>269</v>
      </c>
      <c r="C23" s="130"/>
      <c r="D23" s="130"/>
      <c r="E23" s="130"/>
      <c r="F23" s="131"/>
      <c r="G23" s="130"/>
      <c r="H23" s="130"/>
      <c r="I23" s="130"/>
      <c r="J23" s="124"/>
      <c r="M23" s="159" t="s">
        <v>267</v>
      </c>
    </row>
    <row r="24" spans="1:18" x14ac:dyDescent="0.2">
      <c r="A24" s="127"/>
      <c r="B24" s="316" t="s">
        <v>268</v>
      </c>
      <c r="C24" s="316"/>
      <c r="D24" s="316"/>
      <c r="E24" s="316"/>
      <c r="F24" s="316"/>
      <c r="G24" s="316"/>
      <c r="H24" s="316"/>
      <c r="I24" s="316"/>
      <c r="J24" s="124"/>
    </row>
    <row r="25" spans="1:18" x14ac:dyDescent="0.2">
      <c r="A25" s="127"/>
      <c r="B25" s="316"/>
      <c r="C25" s="316"/>
      <c r="D25" s="316"/>
      <c r="E25" s="316"/>
      <c r="F25" s="316"/>
      <c r="G25" s="316"/>
      <c r="H25" s="316"/>
      <c r="I25" s="316"/>
      <c r="J25" s="124"/>
      <c r="M25" t="s">
        <v>223</v>
      </c>
      <c r="N25" s="144">
        <f>SLOPE(R17:R18,P17:P18)</f>
        <v>1.0032786885245899</v>
      </c>
      <c r="O25" t="s">
        <v>266</v>
      </c>
    </row>
    <row r="26" spans="1:18" ht="17" thickBot="1" x14ac:dyDescent="0.25">
      <c r="A26" s="127"/>
      <c r="B26" s="132"/>
      <c r="C26" s="130"/>
      <c r="D26" s="130"/>
      <c r="E26" s="130"/>
      <c r="F26" s="131"/>
      <c r="G26" s="130"/>
      <c r="H26" s="130"/>
      <c r="I26" s="130"/>
      <c r="J26" s="124"/>
      <c r="M26" t="s">
        <v>222</v>
      </c>
      <c r="N26" s="144">
        <f>INTERCEPT(R17:R18,P17:P18)</f>
        <v>2.3409836065573841E-2</v>
      </c>
      <c r="O26" t="s">
        <v>265</v>
      </c>
    </row>
    <row r="27" spans="1:18" ht="17" thickBot="1" x14ac:dyDescent="0.25">
      <c r="A27" s="166" t="s">
        <v>140</v>
      </c>
      <c r="B27" s="165"/>
      <c r="C27" s="164"/>
      <c r="D27" s="164"/>
      <c r="E27" s="164"/>
      <c r="F27" s="164"/>
      <c r="G27" s="164"/>
      <c r="H27" s="164"/>
      <c r="I27" s="164"/>
      <c r="J27" s="163"/>
    </row>
    <row r="28" spans="1:18" ht="17" thickBot="1" x14ac:dyDescent="0.25">
      <c r="M28" t="s">
        <v>264</v>
      </c>
      <c r="N28" s="160">
        <f>N26+N25*P19</f>
        <v>0.24078688524590167</v>
      </c>
      <c r="O28" t="s">
        <v>263</v>
      </c>
    </row>
    <row r="29" spans="1:18" ht="17" thickBot="1" x14ac:dyDescent="0.25">
      <c r="M29" s="114" t="s">
        <v>262</v>
      </c>
      <c r="N29" s="161">
        <f>N28*C9</f>
        <v>1444.7213114754099</v>
      </c>
      <c r="O29" t="s">
        <v>255</v>
      </c>
    </row>
    <row r="31" spans="1:18" x14ac:dyDescent="0.2">
      <c r="M31" s="118" t="s">
        <v>261</v>
      </c>
    </row>
    <row r="32" spans="1:18" x14ac:dyDescent="0.2">
      <c r="M32" t="s">
        <v>260</v>
      </c>
    </row>
    <row r="34" spans="13:15" x14ac:dyDescent="0.2">
      <c r="M34" s="159" t="s">
        <v>259</v>
      </c>
    </row>
    <row r="36" spans="13:15" x14ac:dyDescent="0.2">
      <c r="M36" t="s">
        <v>223</v>
      </c>
      <c r="N36" s="144">
        <f>SLOPE(R17:R19,O17:O19)</f>
        <v>1.3256923978446979</v>
      </c>
    </row>
    <row r="37" spans="13:15" x14ac:dyDescent="0.2">
      <c r="M37" t="s">
        <v>222</v>
      </c>
      <c r="N37" s="144">
        <f>INTERCEPT(R17:R19,O17:O19)</f>
        <v>-4.8122972258349828E-3</v>
      </c>
    </row>
    <row r="39" spans="13:15" x14ac:dyDescent="0.2">
      <c r="M39" t="s">
        <v>558</v>
      </c>
      <c r="N39" s="283">
        <f>(N37+N36*O20)*C10</f>
        <v>2205.554104077637</v>
      </c>
      <c r="O39" t="s">
        <v>559</v>
      </c>
    </row>
    <row r="41" spans="13:15" x14ac:dyDescent="0.2">
      <c r="M41" s="284" t="s">
        <v>560</v>
      </c>
    </row>
    <row r="43" spans="13:15" x14ac:dyDescent="0.2">
      <c r="M43" t="s">
        <v>252</v>
      </c>
      <c r="N43" s="162">
        <f>SUM(R17:R19)/SUM(O17:O19)</f>
        <v>1.3036232640701682</v>
      </c>
    </row>
    <row r="44" spans="13:15" ht="17" thickBot="1" x14ac:dyDescent="0.25">
      <c r="M44" t="s">
        <v>258</v>
      </c>
      <c r="N44" s="160">
        <f>N43*O20</f>
        <v>0.22161595489192859</v>
      </c>
      <c r="O44" t="s">
        <v>257</v>
      </c>
    </row>
    <row r="45" spans="13:15" ht="17" thickBot="1" x14ac:dyDescent="0.25">
      <c r="M45" s="114" t="s">
        <v>256</v>
      </c>
      <c r="N45" s="161">
        <f>N44*C10</f>
        <v>2216.159548919286</v>
      </c>
      <c r="O45" t="s">
        <v>255</v>
      </c>
    </row>
    <row r="48" spans="13:15" x14ac:dyDescent="0.2">
      <c r="M48" s="159" t="s">
        <v>254</v>
      </c>
    </row>
    <row r="49" spans="13:15" x14ac:dyDescent="0.2">
      <c r="M49" t="s">
        <v>253</v>
      </c>
    </row>
    <row r="51" spans="13:15" x14ac:dyDescent="0.2">
      <c r="M51" t="s">
        <v>252</v>
      </c>
      <c r="N51" s="144">
        <f>SUM(R17:R18)/SUM(P17:P18)</f>
        <v>1.0863905325443786</v>
      </c>
    </row>
    <row r="52" spans="13:15" x14ac:dyDescent="0.2">
      <c r="M52" t="s">
        <v>251</v>
      </c>
      <c r="N52" s="160">
        <f>N51*P19</f>
        <v>0.23538461538461536</v>
      </c>
      <c r="O52" t="s">
        <v>250</v>
      </c>
    </row>
    <row r="53" spans="13:15" x14ac:dyDescent="0.2">
      <c r="M53" t="s">
        <v>249</v>
      </c>
      <c r="N53" s="160">
        <f>AVERAGE(R17:R18)</f>
        <v>0.30599999999999999</v>
      </c>
    </row>
    <row r="55" spans="13:15" x14ac:dyDescent="0.2">
      <c r="M55" t="s">
        <v>248</v>
      </c>
      <c r="N55" s="144">
        <f>N25/N51</f>
        <v>0.92349726775956276</v>
      </c>
      <c r="O55" t="s">
        <v>247</v>
      </c>
    </row>
    <row r="57" spans="13:15" x14ac:dyDescent="0.2">
      <c r="M57" t="s">
        <v>246</v>
      </c>
      <c r="N57" s="160">
        <f>N55*(N52)+(1-N55)*N53</f>
        <v>0.24078688524590161</v>
      </c>
      <c r="O57" t="b">
        <f>N57=N28</f>
        <v>1</v>
      </c>
    </row>
    <row r="59" spans="13:15" x14ac:dyDescent="0.2">
      <c r="M59" t="s">
        <v>245</v>
      </c>
    </row>
    <row r="61" spans="13:15" x14ac:dyDescent="0.2">
      <c r="M61" s="159" t="s">
        <v>244</v>
      </c>
    </row>
    <row r="63" spans="13:15" x14ac:dyDescent="0.2">
      <c r="M63" t="s">
        <v>243</v>
      </c>
    </row>
    <row r="65" spans="13:19" x14ac:dyDescent="0.2">
      <c r="M65" t="s">
        <v>242</v>
      </c>
      <c r="N65" s="158">
        <f>AVERAGE(P17:P18)</f>
        <v>0.28166666666666668</v>
      </c>
    </row>
    <row r="66" spans="13:19" x14ac:dyDescent="0.2">
      <c r="M66" t="s">
        <v>241</v>
      </c>
      <c r="N66" s="158">
        <f>AVERAGE(R17:R18)</f>
        <v>0.30599999999999999</v>
      </c>
    </row>
    <row r="67" spans="13:19" x14ac:dyDescent="0.2">
      <c r="M67" t="s">
        <v>240</v>
      </c>
    </row>
    <row r="69" spans="13:19" ht="19" x14ac:dyDescent="0.25">
      <c r="M69" s="112" t="s">
        <v>128</v>
      </c>
    </row>
    <row r="70" spans="13:19" x14ac:dyDescent="0.2">
      <c r="M70" s="317" t="s">
        <v>239</v>
      </c>
      <c r="N70" s="317"/>
      <c r="O70" s="317"/>
      <c r="P70" s="317"/>
      <c r="Q70" s="317"/>
      <c r="R70" s="317"/>
      <c r="S70" s="317"/>
    </row>
    <row r="71" spans="13:19" x14ac:dyDescent="0.2">
      <c r="M71" s="317"/>
      <c r="N71" s="317"/>
      <c r="O71" s="317"/>
      <c r="P71" s="317"/>
      <c r="Q71" s="317"/>
      <c r="R71" s="317"/>
      <c r="S71" s="317"/>
    </row>
    <row r="74" spans="13:19" ht="19" x14ac:dyDescent="0.25">
      <c r="M74" s="112" t="s">
        <v>203</v>
      </c>
    </row>
    <row r="75" spans="13:19" x14ac:dyDescent="0.2">
      <c r="M75" t="s">
        <v>204</v>
      </c>
    </row>
  </sheetData>
  <mergeCells count="6">
    <mergeCell ref="D5:G5"/>
    <mergeCell ref="B5:B6"/>
    <mergeCell ref="B20:I21"/>
    <mergeCell ref="B24:I25"/>
    <mergeCell ref="M70:S71"/>
    <mergeCell ref="B16:I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2E23-5356-784C-960F-8BC86C799CCF}">
  <dimension ref="A1:S20"/>
  <sheetViews>
    <sheetView zoomScaleNormal="100" workbookViewId="0"/>
  </sheetViews>
  <sheetFormatPr baseColWidth="10" defaultColWidth="11" defaultRowHeight="16" outlineLevelCol="1" x14ac:dyDescent="0.2"/>
  <cols>
    <col min="1" max="1" width="4.5" customWidth="1"/>
    <col min="3" max="3" width="13.83203125" bestFit="1" customWidth="1"/>
    <col min="8" max="10" width="11.5" customWidth="1"/>
    <col min="13" max="13" width="10.83203125" hidden="1" customWidth="1" outlineLevel="1"/>
    <col min="14" max="14" width="17.33203125" hidden="1" customWidth="1" outlineLevel="1"/>
    <col min="15" max="17" width="10.83203125" hidden="1" customWidth="1" outlineLevel="1"/>
    <col min="18" max="18" width="12" hidden="1" customWidth="1" outlineLevel="1"/>
    <col min="19" max="19" width="11" collapsed="1"/>
  </cols>
  <sheetData>
    <row r="1" spans="1:15" ht="19" x14ac:dyDescent="0.25">
      <c r="A1" s="157" t="s">
        <v>301</v>
      </c>
      <c r="B1" s="156"/>
      <c r="C1" s="155"/>
      <c r="D1" s="155"/>
      <c r="E1" s="155"/>
      <c r="F1" s="154"/>
      <c r="G1" s="154"/>
      <c r="H1" s="154"/>
      <c r="I1" s="154"/>
      <c r="J1" s="153"/>
      <c r="L1" s="112" t="s">
        <v>141</v>
      </c>
    </row>
    <row r="2" spans="1:15" x14ac:dyDescent="0.2">
      <c r="A2" s="127"/>
      <c r="B2" s="130"/>
      <c r="C2" s="130"/>
      <c r="D2" s="130"/>
      <c r="E2" s="130"/>
      <c r="F2" s="130"/>
      <c r="G2" s="130"/>
      <c r="H2" s="130"/>
      <c r="I2" s="130"/>
      <c r="J2" s="124"/>
    </row>
    <row r="3" spans="1:15" x14ac:dyDescent="0.2">
      <c r="A3" s="127"/>
      <c r="B3" s="130" t="s">
        <v>300</v>
      </c>
      <c r="C3" s="130"/>
      <c r="D3" s="130"/>
      <c r="E3" s="130"/>
      <c r="F3" s="130"/>
      <c r="G3" s="130"/>
      <c r="H3" s="130"/>
      <c r="I3" s="130"/>
      <c r="J3" s="124"/>
      <c r="M3" t="s">
        <v>299</v>
      </c>
      <c r="N3" s="152">
        <f>H6*(1+H7)</f>
        <v>26000000</v>
      </c>
    </row>
    <row r="4" spans="1:15" x14ac:dyDescent="0.2">
      <c r="A4" s="127"/>
      <c r="B4" s="130" t="s">
        <v>298</v>
      </c>
      <c r="C4" s="130"/>
      <c r="D4" s="130"/>
      <c r="E4" s="130"/>
      <c r="F4" s="130"/>
      <c r="G4" s="130"/>
      <c r="H4" s="130"/>
      <c r="I4" s="130"/>
      <c r="J4" s="124"/>
      <c r="M4" t="s">
        <v>297</v>
      </c>
      <c r="N4" s="187">
        <f>H8</f>
        <v>0.4</v>
      </c>
    </row>
    <row r="5" spans="1:15" x14ac:dyDescent="0.2">
      <c r="A5" s="127"/>
      <c r="B5" s="130"/>
      <c r="C5" s="175"/>
      <c r="D5" s="130"/>
      <c r="E5" s="130"/>
      <c r="F5" s="130"/>
      <c r="G5" s="130"/>
      <c r="H5" s="130"/>
      <c r="I5" s="130"/>
      <c r="J5" s="124"/>
      <c r="M5" t="s">
        <v>296</v>
      </c>
      <c r="N5" s="116">
        <f>H9</f>
        <v>8000000</v>
      </c>
    </row>
    <row r="6" spans="1:15" x14ac:dyDescent="0.2">
      <c r="A6" s="127"/>
      <c r="B6" s="132" t="s">
        <v>295</v>
      </c>
      <c r="C6" s="175"/>
      <c r="D6" s="130"/>
      <c r="E6" s="130"/>
      <c r="F6" s="130"/>
      <c r="G6" s="130"/>
      <c r="H6" s="175">
        <v>20000000</v>
      </c>
      <c r="I6" s="175"/>
      <c r="J6" s="182"/>
      <c r="M6" t="s">
        <v>294</v>
      </c>
      <c r="N6" s="186">
        <f>H11</f>
        <v>0.25</v>
      </c>
    </row>
    <row r="7" spans="1:15" x14ac:dyDescent="0.2">
      <c r="A7" s="127"/>
      <c r="B7" s="132" t="s">
        <v>293</v>
      </c>
      <c r="C7" s="175"/>
      <c r="D7" s="130"/>
      <c r="E7" s="130"/>
      <c r="F7" s="130"/>
      <c r="G7" s="130"/>
      <c r="H7" s="185">
        <v>0.3</v>
      </c>
      <c r="I7" s="185"/>
      <c r="J7" s="184"/>
      <c r="N7" s="116"/>
    </row>
    <row r="8" spans="1:15" x14ac:dyDescent="0.2">
      <c r="A8" s="127"/>
      <c r="B8" s="132" t="s">
        <v>292</v>
      </c>
      <c r="C8" s="175"/>
      <c r="D8" s="130"/>
      <c r="E8" s="130"/>
      <c r="F8" s="130"/>
      <c r="G8" s="130"/>
      <c r="H8" s="185">
        <v>0.4</v>
      </c>
      <c r="I8" s="185"/>
      <c r="J8" s="184"/>
      <c r="M8" t="s">
        <v>27</v>
      </c>
      <c r="N8" s="116">
        <f>(N4^2)*N5^2</f>
        <v>10240000000000.002</v>
      </c>
      <c r="O8" t="s">
        <v>291</v>
      </c>
    </row>
    <row r="9" spans="1:15" x14ac:dyDescent="0.2">
      <c r="A9" s="127"/>
      <c r="B9" s="132" t="s">
        <v>290</v>
      </c>
      <c r="C9" s="175"/>
      <c r="D9" s="130"/>
      <c r="E9" s="130"/>
      <c r="F9" s="130"/>
      <c r="G9" s="130"/>
      <c r="H9" s="175">
        <v>8000000</v>
      </c>
      <c r="I9" s="175"/>
      <c r="J9" s="182"/>
      <c r="M9" t="s">
        <v>289</v>
      </c>
      <c r="N9" s="116">
        <f>(N6^2)*(N5^2+N3^2)</f>
        <v>46250000000000</v>
      </c>
      <c r="O9" t="s">
        <v>288</v>
      </c>
    </row>
    <row r="10" spans="1:15" x14ac:dyDescent="0.2">
      <c r="A10" s="127"/>
      <c r="B10" s="315" t="s">
        <v>287</v>
      </c>
      <c r="C10" s="315"/>
      <c r="D10" s="315"/>
      <c r="E10" s="315"/>
      <c r="F10" s="315"/>
      <c r="G10" s="315"/>
      <c r="H10" s="134"/>
      <c r="I10" s="134"/>
      <c r="J10" s="183"/>
      <c r="N10" s="116"/>
    </row>
    <row r="11" spans="1:15" x14ac:dyDescent="0.2">
      <c r="A11" s="127"/>
      <c r="B11" s="315"/>
      <c r="C11" s="315"/>
      <c r="D11" s="315"/>
      <c r="E11" s="315"/>
      <c r="F11" s="315"/>
      <c r="G11" s="315"/>
      <c r="H11" s="134">
        <v>0.25</v>
      </c>
      <c r="I11" s="134"/>
      <c r="J11" s="183"/>
      <c r="M11" t="s">
        <v>248</v>
      </c>
      <c r="N11" s="158">
        <f>N8/(N8+N9)</f>
        <v>0.18127102141972035</v>
      </c>
      <c r="O11" t="s">
        <v>286</v>
      </c>
    </row>
    <row r="12" spans="1:15" ht="17" thickBot="1" x14ac:dyDescent="0.25">
      <c r="A12" s="127"/>
      <c r="B12" s="132" t="s">
        <v>285</v>
      </c>
      <c r="C12" s="175"/>
      <c r="D12" s="130"/>
      <c r="E12" s="130"/>
      <c r="F12" s="130"/>
      <c r="G12" s="130"/>
      <c r="H12" s="175">
        <v>12000000</v>
      </c>
      <c r="I12" s="175"/>
      <c r="J12" s="182"/>
      <c r="M12" s="159"/>
      <c r="N12" s="181"/>
    </row>
    <row r="13" spans="1:15" ht="17" thickBot="1" x14ac:dyDescent="0.25">
      <c r="A13" s="127"/>
      <c r="B13" s="132"/>
      <c r="C13" s="175"/>
      <c r="D13" s="130"/>
      <c r="E13" s="130"/>
      <c r="F13" s="130"/>
      <c r="G13" s="130"/>
      <c r="H13" s="175"/>
      <c r="I13" s="175"/>
      <c r="J13" s="182"/>
      <c r="M13" s="114" t="s">
        <v>284</v>
      </c>
      <c r="N13" s="161">
        <f>N11*H12/H8+(1-N11)*N3</f>
        <v>26725084.085678879</v>
      </c>
      <c r="O13" t="s">
        <v>283</v>
      </c>
    </row>
    <row r="14" spans="1:15" x14ac:dyDescent="0.2">
      <c r="A14" s="127"/>
      <c r="B14" s="132" t="s">
        <v>282</v>
      </c>
      <c r="C14" s="175"/>
      <c r="D14" s="130"/>
      <c r="E14" s="130"/>
      <c r="F14" s="130"/>
      <c r="G14" s="130"/>
      <c r="H14" s="175"/>
      <c r="I14" s="175"/>
      <c r="J14" s="182"/>
      <c r="M14" s="159"/>
      <c r="N14" s="181"/>
    </row>
    <row r="15" spans="1:15" ht="17" thickBot="1" x14ac:dyDescent="0.25">
      <c r="A15" s="127"/>
      <c r="B15" s="132"/>
      <c r="C15" s="130"/>
      <c r="D15" s="130"/>
      <c r="E15" s="130"/>
      <c r="F15" s="131"/>
      <c r="G15" s="130"/>
      <c r="H15" s="130"/>
      <c r="I15" s="130"/>
      <c r="J15" s="124"/>
      <c r="N15" s="181"/>
    </row>
    <row r="16" spans="1:15" ht="17" thickBot="1" x14ac:dyDescent="0.25">
      <c r="A16" s="166" t="s">
        <v>281</v>
      </c>
      <c r="B16" s="165"/>
      <c r="C16" s="164"/>
      <c r="D16" s="164"/>
      <c r="E16" s="164"/>
      <c r="F16" s="164"/>
      <c r="G16" s="164"/>
      <c r="H16" s="164"/>
      <c r="I16" s="164"/>
      <c r="J16" s="163"/>
      <c r="N16" s="181"/>
    </row>
    <row r="19" spans="13:13" ht="19" x14ac:dyDescent="0.25">
      <c r="M19" s="112" t="s">
        <v>203</v>
      </c>
    </row>
    <row r="20" spans="13:13" x14ac:dyDescent="0.2">
      <c r="M20" t="s">
        <v>205</v>
      </c>
    </row>
  </sheetData>
  <mergeCells count="1">
    <mergeCell ref="B10:G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4CDD1-D8F7-D646-A9C4-770452252AC7}">
  <dimension ref="A1:S56"/>
  <sheetViews>
    <sheetView zoomScaleNormal="100" workbookViewId="0"/>
  </sheetViews>
  <sheetFormatPr baseColWidth="10" defaultColWidth="11" defaultRowHeight="16" outlineLevelCol="1" x14ac:dyDescent="0.2"/>
  <cols>
    <col min="1" max="1" width="4.5" customWidth="1"/>
    <col min="3" max="10" width="10.83203125" customWidth="1"/>
    <col min="11" max="11" width="11.5" customWidth="1"/>
    <col min="12" max="12" width="11.1640625" bestFit="1" customWidth="1"/>
    <col min="13" max="13" width="10.6640625" hidden="1" customWidth="1" outlineLevel="1"/>
    <col min="14" max="17" width="10.83203125" hidden="1" customWidth="1" outlineLevel="1"/>
    <col min="18" max="18" width="12" hidden="1" customWidth="1" outlineLevel="1"/>
    <col min="19" max="19" width="11" collapsed="1"/>
  </cols>
  <sheetData>
    <row r="1" spans="1:18" ht="19" x14ac:dyDescent="0.25">
      <c r="A1" s="157" t="s">
        <v>313</v>
      </c>
      <c r="B1" s="156"/>
      <c r="C1" s="155"/>
      <c r="D1" s="155"/>
      <c r="E1" s="155"/>
      <c r="F1" s="154"/>
      <c r="G1" s="154"/>
      <c r="H1" s="154"/>
      <c r="I1" s="154"/>
      <c r="J1" s="153"/>
      <c r="L1" s="112" t="s">
        <v>141</v>
      </c>
    </row>
    <row r="2" spans="1:18" x14ac:dyDescent="0.2">
      <c r="A2" s="127"/>
      <c r="B2" s="130"/>
      <c r="C2" s="130"/>
      <c r="D2" s="130"/>
      <c r="E2" s="130"/>
      <c r="F2" s="130"/>
      <c r="G2" s="130"/>
      <c r="H2" s="130"/>
      <c r="I2" s="130"/>
      <c r="J2" s="124"/>
    </row>
    <row r="3" spans="1:18" x14ac:dyDescent="0.2">
      <c r="A3" s="127"/>
      <c r="B3" s="130" t="s">
        <v>298</v>
      </c>
      <c r="C3" s="134"/>
      <c r="D3" s="130"/>
      <c r="E3" s="130"/>
      <c r="F3" s="130"/>
      <c r="G3" s="130"/>
      <c r="H3" s="130"/>
      <c r="I3" s="130"/>
      <c r="J3" s="124"/>
      <c r="M3" t="s">
        <v>312</v>
      </c>
      <c r="N3" s="116"/>
    </row>
    <row r="4" spans="1:18" x14ac:dyDescent="0.2">
      <c r="A4" s="127"/>
      <c r="B4" s="130"/>
      <c r="C4" s="134"/>
      <c r="D4" s="130"/>
      <c r="E4" s="130"/>
      <c r="F4" s="130"/>
      <c r="G4" s="130"/>
      <c r="H4" s="130"/>
      <c r="I4" s="130"/>
      <c r="J4" s="124"/>
      <c r="N4" s="116"/>
    </row>
    <row r="5" spans="1:18" x14ac:dyDescent="0.2">
      <c r="A5" s="127"/>
      <c r="B5" s="132" t="s">
        <v>311</v>
      </c>
      <c r="C5" s="134"/>
      <c r="D5" s="130"/>
      <c r="E5" s="130"/>
      <c r="F5" s="175"/>
      <c r="G5" s="175">
        <v>5000</v>
      </c>
      <c r="H5" s="130"/>
      <c r="I5" s="130"/>
      <c r="J5" s="124"/>
      <c r="M5" t="s">
        <v>310</v>
      </c>
      <c r="N5" s="152"/>
    </row>
    <row r="6" spans="1:18" x14ac:dyDescent="0.2">
      <c r="A6" s="127"/>
      <c r="B6" s="132" t="s">
        <v>309</v>
      </c>
      <c r="C6" s="134"/>
      <c r="D6" s="130"/>
      <c r="E6" s="130"/>
      <c r="F6" s="175"/>
      <c r="G6" s="175">
        <v>7000</v>
      </c>
      <c r="H6" s="130"/>
      <c r="I6" s="130"/>
      <c r="J6" s="124"/>
      <c r="M6" s="192" t="s">
        <v>308</v>
      </c>
    </row>
    <row r="7" spans="1:18" x14ac:dyDescent="0.2">
      <c r="A7" s="127"/>
      <c r="B7" s="132" t="s">
        <v>307</v>
      </c>
      <c r="C7" s="134"/>
      <c r="D7" s="130"/>
      <c r="E7" s="130"/>
      <c r="F7" s="175"/>
      <c r="G7" s="130"/>
      <c r="H7" s="130"/>
      <c r="I7" s="130"/>
      <c r="J7" s="124"/>
      <c r="M7" s="192" t="s">
        <v>306</v>
      </c>
      <c r="N7" s="152">
        <f>G6</f>
        <v>7000</v>
      </c>
    </row>
    <row r="8" spans="1:18" ht="17" thickBot="1" x14ac:dyDescent="0.25">
      <c r="A8" s="127"/>
      <c r="B8" s="132" t="s">
        <v>305</v>
      </c>
      <c r="C8" s="134"/>
      <c r="D8" s="130"/>
      <c r="E8" s="175"/>
      <c r="F8" s="133"/>
      <c r="G8" s="130"/>
      <c r="H8" s="130"/>
      <c r="I8" s="130"/>
      <c r="J8" s="124"/>
    </row>
    <row r="9" spans="1:18" ht="17" thickBot="1" x14ac:dyDescent="0.25">
      <c r="A9" s="127"/>
      <c r="B9" s="132" t="s">
        <v>304</v>
      </c>
      <c r="C9" s="134">
        <v>0.6</v>
      </c>
      <c r="D9" s="130"/>
      <c r="E9" s="130"/>
      <c r="F9" s="131"/>
      <c r="G9" s="130"/>
      <c r="H9" s="130"/>
      <c r="I9" s="130"/>
      <c r="J9" s="124"/>
      <c r="M9" s="114" t="s">
        <v>303</v>
      </c>
      <c r="N9" s="191">
        <f>C9*G5+(1-C9)*N7</f>
        <v>5800</v>
      </c>
    </row>
    <row r="10" spans="1:18" x14ac:dyDescent="0.2">
      <c r="A10" s="127"/>
      <c r="B10" s="132"/>
      <c r="C10" s="130"/>
      <c r="D10" s="130"/>
      <c r="E10" s="130"/>
      <c r="F10" s="130"/>
      <c r="G10" s="130"/>
      <c r="H10" s="130"/>
      <c r="I10" s="130"/>
      <c r="J10" s="124"/>
      <c r="N10" s="174"/>
    </row>
    <row r="11" spans="1:18" x14ac:dyDescent="0.2">
      <c r="A11" s="127"/>
      <c r="B11" s="130" t="s">
        <v>302</v>
      </c>
      <c r="C11" s="130"/>
      <c r="D11" s="130"/>
      <c r="E11" s="130"/>
      <c r="F11" s="130"/>
      <c r="G11" s="130"/>
      <c r="H11" s="130"/>
      <c r="I11" s="130"/>
      <c r="J11" s="124"/>
      <c r="P11" s="117"/>
      <c r="Q11" s="117"/>
      <c r="R11" s="117"/>
    </row>
    <row r="12" spans="1:18" ht="17" thickBot="1" x14ac:dyDescent="0.25">
      <c r="A12" s="127"/>
      <c r="B12" s="130"/>
      <c r="C12" s="130"/>
      <c r="D12" s="130"/>
      <c r="E12" s="130"/>
      <c r="F12" s="130"/>
      <c r="G12" s="130"/>
      <c r="H12" s="130"/>
      <c r="I12" s="130"/>
      <c r="J12" s="124"/>
      <c r="N12" s="117"/>
      <c r="O12" s="117"/>
      <c r="P12" s="117"/>
      <c r="Q12" s="117"/>
      <c r="R12" s="117"/>
    </row>
    <row r="13" spans="1:18" ht="17" thickBot="1" x14ac:dyDescent="0.25">
      <c r="A13" s="166" t="s">
        <v>140</v>
      </c>
      <c r="B13" s="164"/>
      <c r="C13" s="164"/>
      <c r="D13" s="164"/>
      <c r="E13" s="164"/>
      <c r="F13" s="164"/>
      <c r="G13" s="164"/>
      <c r="H13" s="164"/>
      <c r="I13" s="164"/>
      <c r="J13" s="163"/>
      <c r="N13" s="117"/>
      <c r="O13" s="117"/>
    </row>
    <row r="14" spans="1:18" x14ac:dyDescent="0.2">
      <c r="N14" s="158"/>
    </row>
    <row r="15" spans="1:18" x14ac:dyDescent="0.2">
      <c r="N15" s="160"/>
    </row>
    <row r="16" spans="1:18" x14ac:dyDescent="0.2">
      <c r="N16" s="188"/>
    </row>
    <row r="21" spans="13:18" x14ac:dyDescent="0.2">
      <c r="N21" s="160"/>
    </row>
    <row r="22" spans="13:18" x14ac:dyDescent="0.2">
      <c r="N22" s="188"/>
    </row>
    <row r="24" spans="13:18" x14ac:dyDescent="0.2">
      <c r="M24" s="118"/>
    </row>
    <row r="25" spans="13:18" x14ac:dyDescent="0.2">
      <c r="P25" s="117"/>
      <c r="Q25" s="117"/>
      <c r="R25" s="117"/>
    </row>
    <row r="26" spans="13:18" x14ac:dyDescent="0.2">
      <c r="M26" s="117"/>
      <c r="N26" s="117"/>
      <c r="O26" s="117"/>
      <c r="P26" s="190"/>
      <c r="Q26" s="190"/>
      <c r="R26" s="190"/>
    </row>
    <row r="27" spans="13:18" x14ac:dyDescent="0.2">
      <c r="M27" s="117"/>
      <c r="N27" s="190"/>
      <c r="O27" s="190"/>
      <c r="P27" s="190"/>
      <c r="Q27" s="190"/>
      <c r="R27" s="190"/>
    </row>
    <row r="28" spans="13:18" x14ac:dyDescent="0.2">
      <c r="M28" s="117"/>
      <c r="N28" s="190"/>
      <c r="O28" s="190"/>
      <c r="P28" s="190"/>
      <c r="Q28" s="190"/>
      <c r="R28" s="190"/>
    </row>
    <row r="29" spans="13:18" x14ac:dyDescent="0.2">
      <c r="M29" s="117"/>
      <c r="N29" s="190"/>
      <c r="O29" s="190"/>
      <c r="P29" s="190"/>
      <c r="Q29" s="190"/>
      <c r="R29" s="190"/>
    </row>
    <row r="30" spans="13:18" x14ac:dyDescent="0.2">
      <c r="M30" s="117"/>
      <c r="N30" s="190"/>
      <c r="O30" s="190"/>
      <c r="P30" s="190"/>
      <c r="Q30" s="190"/>
      <c r="R30" s="190"/>
    </row>
    <row r="31" spans="13:18" x14ac:dyDescent="0.2">
      <c r="M31" s="117"/>
      <c r="N31" s="190"/>
      <c r="O31" s="190"/>
    </row>
    <row r="33" spans="13:14" x14ac:dyDescent="0.2">
      <c r="M33" s="118"/>
    </row>
    <row r="35" spans="13:14" x14ac:dyDescent="0.2">
      <c r="N35" s="158"/>
    </row>
    <row r="36" spans="13:14" x14ac:dyDescent="0.2">
      <c r="N36" s="160"/>
    </row>
    <row r="37" spans="13:14" x14ac:dyDescent="0.2">
      <c r="N37" s="188"/>
    </row>
    <row r="44" spans="13:14" x14ac:dyDescent="0.2">
      <c r="N44" s="189"/>
    </row>
    <row r="45" spans="13:14" x14ac:dyDescent="0.2">
      <c r="N45" s="160"/>
    </row>
    <row r="46" spans="13:14" x14ac:dyDescent="0.2">
      <c r="N46" s="188"/>
    </row>
    <row r="51" spans="14:14" x14ac:dyDescent="0.2">
      <c r="N51" s="160"/>
    </row>
    <row r="52" spans="14:14" x14ac:dyDescent="0.2">
      <c r="N52" s="160"/>
    </row>
    <row r="56" spans="14:14" x14ac:dyDescent="0.2">
      <c r="N56" s="16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B4D5E-9843-DA48-8BEB-3F4BFB864CF2}">
  <dimension ref="A1:T60"/>
  <sheetViews>
    <sheetView zoomScaleNormal="100" workbookViewId="0"/>
  </sheetViews>
  <sheetFormatPr baseColWidth="10" defaultColWidth="11" defaultRowHeight="16" outlineLevelCol="1" x14ac:dyDescent="0.2"/>
  <cols>
    <col min="1" max="1" width="4.5" customWidth="1"/>
    <col min="3" max="10" width="10.83203125" customWidth="1"/>
    <col min="13" max="13" width="14.6640625" hidden="1" customWidth="1" outlineLevel="1"/>
    <col min="14" max="18" width="10.83203125" hidden="1" customWidth="1" outlineLevel="1"/>
    <col min="19" max="19" width="12" hidden="1" customWidth="1" outlineLevel="1"/>
    <col min="20" max="20" width="11" collapsed="1"/>
  </cols>
  <sheetData>
    <row r="1" spans="1:19" ht="19" x14ac:dyDescent="0.25">
      <c r="A1" s="157" t="s">
        <v>340</v>
      </c>
      <c r="B1" s="156"/>
      <c r="C1" s="155"/>
      <c r="D1" s="155"/>
      <c r="E1" s="155"/>
      <c r="F1" s="154"/>
      <c r="G1" s="154"/>
      <c r="H1" s="154"/>
      <c r="I1" s="154"/>
      <c r="J1" s="153"/>
      <c r="L1" s="112" t="s">
        <v>141</v>
      </c>
    </row>
    <row r="2" spans="1:19" x14ac:dyDescent="0.2">
      <c r="A2" s="127"/>
      <c r="B2" s="130"/>
      <c r="C2" s="130"/>
      <c r="D2" s="130"/>
      <c r="E2" s="130"/>
      <c r="F2" s="130"/>
      <c r="G2" s="130"/>
      <c r="H2" s="130"/>
      <c r="I2" s="130"/>
      <c r="J2" s="124"/>
    </row>
    <row r="3" spans="1:19" x14ac:dyDescent="0.2">
      <c r="A3" s="127"/>
      <c r="B3" s="130" t="s">
        <v>298</v>
      </c>
      <c r="C3" s="134"/>
      <c r="D3" s="130"/>
      <c r="E3" s="130"/>
      <c r="F3" s="130"/>
      <c r="G3" s="130"/>
      <c r="H3" s="130"/>
      <c r="I3" s="130"/>
      <c r="J3" s="124"/>
      <c r="M3" s="159" t="s">
        <v>278</v>
      </c>
      <c r="N3" s="116"/>
    </row>
    <row r="4" spans="1:19" x14ac:dyDescent="0.2">
      <c r="A4" s="127"/>
      <c r="B4" s="130"/>
      <c r="C4" s="134"/>
      <c r="D4" s="130"/>
      <c r="E4" s="130"/>
      <c r="F4" s="130"/>
      <c r="G4" s="130"/>
      <c r="H4" s="130"/>
      <c r="I4" s="130"/>
      <c r="J4" s="124"/>
      <c r="N4" s="152"/>
    </row>
    <row r="5" spans="1:19" x14ac:dyDescent="0.2">
      <c r="A5" s="127"/>
      <c r="B5" s="132" t="s">
        <v>339</v>
      </c>
      <c r="C5" s="134"/>
      <c r="D5" s="130"/>
      <c r="E5" s="130"/>
      <c r="F5" s="175"/>
      <c r="G5" s="175"/>
      <c r="H5" s="130"/>
      <c r="I5" s="130"/>
      <c r="J5" s="124"/>
      <c r="M5" t="s">
        <v>338</v>
      </c>
    </row>
    <row r="6" spans="1:19" x14ac:dyDescent="0.2">
      <c r="A6" s="127"/>
      <c r="B6" s="132" t="s">
        <v>337</v>
      </c>
      <c r="C6" s="134"/>
      <c r="D6" s="130"/>
      <c r="E6" s="130"/>
      <c r="F6" s="175"/>
      <c r="G6" s="175"/>
      <c r="H6" s="130"/>
      <c r="I6" s="130"/>
      <c r="J6" s="124"/>
      <c r="N6" s="152"/>
    </row>
    <row r="7" spans="1:19" x14ac:dyDescent="0.2">
      <c r="A7" s="127"/>
      <c r="B7" s="132"/>
      <c r="C7" s="134"/>
      <c r="D7" s="130"/>
      <c r="E7" s="130"/>
      <c r="F7" s="175"/>
      <c r="G7" s="130"/>
      <c r="H7" s="130"/>
      <c r="I7" s="130"/>
      <c r="J7" s="124"/>
      <c r="M7" s="118" t="s">
        <v>336</v>
      </c>
    </row>
    <row r="8" spans="1:19" x14ac:dyDescent="0.2">
      <c r="A8" s="127"/>
      <c r="B8" s="167" t="s">
        <v>0</v>
      </c>
      <c r="C8" s="130"/>
      <c r="D8" s="130"/>
      <c r="E8" s="130"/>
      <c r="F8" s="175"/>
      <c r="G8" s="130"/>
      <c r="H8" s="130"/>
      <c r="I8" s="130"/>
      <c r="J8" s="124"/>
      <c r="N8" s="152"/>
    </row>
    <row r="9" spans="1:19" x14ac:dyDescent="0.2">
      <c r="A9" s="127"/>
      <c r="B9" s="198" t="s">
        <v>335</v>
      </c>
      <c r="C9" s="198"/>
      <c r="D9" s="130"/>
      <c r="E9" s="175"/>
      <c r="F9" s="133"/>
      <c r="G9" s="130"/>
      <c r="H9" s="130"/>
      <c r="I9" s="130"/>
      <c r="J9" s="124"/>
      <c r="M9" t="s">
        <v>334</v>
      </c>
      <c r="N9" s="144">
        <f>COMBIN(2,2)*(0.4)^2*(1-0.4)^(2-2)</f>
        <v>0.16000000000000003</v>
      </c>
      <c r="O9" t="s">
        <v>332</v>
      </c>
    </row>
    <row r="10" spans="1:19" x14ac:dyDescent="0.2">
      <c r="A10" s="127"/>
      <c r="B10" s="132"/>
      <c r="C10" s="198"/>
      <c r="D10" s="130"/>
      <c r="E10" s="175"/>
      <c r="F10" s="133"/>
      <c r="G10" s="130"/>
      <c r="H10" s="130"/>
      <c r="I10" s="130"/>
      <c r="J10" s="124"/>
      <c r="M10" t="s">
        <v>333</v>
      </c>
      <c r="N10" s="144">
        <f>COMBIN(3,2)*(0.4)^2*(1-0.4)^(3-2)</f>
        <v>0.28800000000000003</v>
      </c>
      <c r="O10" t="s">
        <v>332</v>
      </c>
    </row>
    <row r="11" spans="1:19" x14ac:dyDescent="0.2">
      <c r="A11" s="127"/>
      <c r="B11" s="167" t="s">
        <v>1</v>
      </c>
      <c r="C11" s="130"/>
      <c r="D11" s="130"/>
      <c r="E11" s="130"/>
      <c r="F11" s="131"/>
      <c r="G11" s="130"/>
      <c r="H11" s="130"/>
      <c r="I11" s="130"/>
      <c r="J11" s="124"/>
      <c r="M11" t="s">
        <v>331</v>
      </c>
      <c r="N11" s="144">
        <f>1/3</f>
        <v>0.33333333333333331</v>
      </c>
    </row>
    <row r="12" spans="1:19" x14ac:dyDescent="0.2">
      <c r="A12" s="127"/>
      <c r="B12" s="198" t="s">
        <v>330</v>
      </c>
      <c r="C12" s="130"/>
      <c r="D12" s="130"/>
      <c r="E12" s="130"/>
      <c r="F12" s="130"/>
      <c r="G12" s="130"/>
      <c r="H12" s="130"/>
      <c r="I12" s="130"/>
      <c r="J12" s="124"/>
      <c r="M12" t="s">
        <v>329</v>
      </c>
      <c r="N12" s="144">
        <f>1/3</f>
        <v>0.33333333333333331</v>
      </c>
    </row>
    <row r="13" spans="1:19" ht="17" thickBot="1" x14ac:dyDescent="0.25">
      <c r="A13" s="127"/>
      <c r="B13" s="197"/>
      <c r="C13" s="130"/>
      <c r="D13" s="130"/>
      <c r="E13" s="130"/>
      <c r="F13" s="130"/>
      <c r="G13" s="130"/>
      <c r="H13" s="130"/>
      <c r="I13" s="130"/>
      <c r="J13" s="124"/>
      <c r="M13" t="s">
        <v>328</v>
      </c>
      <c r="N13" s="144">
        <f>N9*N11 + N10*N12</f>
        <v>0.14933333333333335</v>
      </c>
      <c r="O13" t="s">
        <v>327</v>
      </c>
      <c r="S13" s="117"/>
    </row>
    <row r="14" spans="1:19" ht="17" thickBot="1" x14ac:dyDescent="0.25">
      <c r="A14" s="166" t="s">
        <v>140</v>
      </c>
      <c r="B14" s="164"/>
      <c r="C14" s="164"/>
      <c r="D14" s="164"/>
      <c r="E14" s="164"/>
      <c r="F14" s="164"/>
      <c r="G14" s="164"/>
      <c r="H14" s="164"/>
      <c r="I14" s="164"/>
      <c r="J14" s="163"/>
      <c r="S14" s="117"/>
    </row>
    <row r="15" spans="1:19" x14ac:dyDescent="0.2">
      <c r="M15" s="118" t="s">
        <v>326</v>
      </c>
      <c r="N15" s="174"/>
      <c r="P15" s="117"/>
      <c r="Q15" s="117"/>
      <c r="R15" s="117"/>
    </row>
    <row r="16" spans="1:19" x14ac:dyDescent="0.2">
      <c r="P16" s="117"/>
      <c r="Q16" s="117"/>
      <c r="R16" s="117"/>
    </row>
    <row r="17" spans="13:19" x14ac:dyDescent="0.2">
      <c r="M17" t="s">
        <v>325</v>
      </c>
    </row>
    <row r="18" spans="13:19" x14ac:dyDescent="0.2">
      <c r="N18" s="117"/>
      <c r="O18" s="117"/>
    </row>
    <row r="19" spans="13:19" x14ac:dyDescent="0.2">
      <c r="M19" t="s">
        <v>324</v>
      </c>
      <c r="N19" s="117">
        <f>N11*N9/N13</f>
        <v>0.35714285714285721</v>
      </c>
      <c r="O19" s="117"/>
    </row>
    <row r="20" spans="13:19" x14ac:dyDescent="0.2">
      <c r="N20" s="158"/>
    </row>
    <row r="21" spans="13:19" x14ac:dyDescent="0.2">
      <c r="M21" s="118" t="s">
        <v>323</v>
      </c>
      <c r="N21" s="174"/>
    </row>
    <row r="22" spans="13:19" x14ac:dyDescent="0.2">
      <c r="M22" s="196"/>
    </row>
    <row r="23" spans="13:19" x14ac:dyDescent="0.2">
      <c r="M23" t="s">
        <v>322</v>
      </c>
    </row>
    <row r="24" spans="13:19" x14ac:dyDescent="0.2">
      <c r="M24" t="s">
        <v>321</v>
      </c>
      <c r="N24" s="160">
        <f>N12*N10/N13</f>
        <v>0.64285714285714279</v>
      </c>
    </row>
    <row r="25" spans="13:19" x14ac:dyDescent="0.2">
      <c r="N25" s="188"/>
    </row>
    <row r="26" spans="13:19" ht="17" thickBot="1" x14ac:dyDescent="0.25">
      <c r="M26" s="117" t="s">
        <v>320</v>
      </c>
      <c r="N26" s="195">
        <f>N19*2+N24*3</f>
        <v>2.6428571428571428</v>
      </c>
    </row>
    <row r="27" spans="13:19" ht="17" thickBot="1" x14ac:dyDescent="0.25">
      <c r="M27" s="194" t="s">
        <v>319</v>
      </c>
      <c r="N27" s="193">
        <f>N26-2</f>
        <v>0.64285714285714279</v>
      </c>
      <c r="O27" t="s">
        <v>318</v>
      </c>
      <c r="S27" s="117"/>
    </row>
    <row r="28" spans="13:19" x14ac:dyDescent="0.2">
      <c r="S28" s="190"/>
    </row>
    <row r="29" spans="13:19" x14ac:dyDescent="0.2">
      <c r="M29" s="159" t="s">
        <v>254</v>
      </c>
      <c r="P29" s="117"/>
      <c r="Q29" s="117"/>
      <c r="R29" s="117"/>
      <c r="S29" s="190"/>
    </row>
    <row r="30" spans="13:19" x14ac:dyDescent="0.2">
      <c r="M30" s="117"/>
      <c r="N30" s="190"/>
      <c r="O30" s="190"/>
      <c r="P30" s="190"/>
      <c r="Q30" s="190"/>
      <c r="R30" s="190"/>
      <c r="S30" s="190"/>
    </row>
    <row r="31" spans="13:19" x14ac:dyDescent="0.2">
      <c r="M31" s="117" t="s">
        <v>299</v>
      </c>
      <c r="N31" s="190">
        <v>2</v>
      </c>
      <c r="O31" s="190"/>
      <c r="P31" s="190"/>
      <c r="Q31" s="190"/>
      <c r="R31" s="190"/>
      <c r="S31" s="190"/>
    </row>
    <row r="32" spans="13:19" x14ac:dyDescent="0.2">
      <c r="M32" s="117" t="s">
        <v>317</v>
      </c>
      <c r="N32" s="190">
        <f>(1^2+2^2+3^2)/3</f>
        <v>4.666666666666667</v>
      </c>
      <c r="O32" s="190"/>
      <c r="P32" s="190"/>
      <c r="Q32" s="190"/>
      <c r="R32" s="190"/>
      <c r="S32" s="190"/>
    </row>
    <row r="33" spans="13:19" x14ac:dyDescent="0.2">
      <c r="M33" s="117" t="s">
        <v>316</v>
      </c>
      <c r="N33" s="188">
        <f>N32-N31^2</f>
        <v>0.66666666666666696</v>
      </c>
    </row>
    <row r="34" spans="13:19" x14ac:dyDescent="0.2">
      <c r="M34" s="118"/>
    </row>
    <row r="35" spans="13:19" ht="15.75" customHeight="1" x14ac:dyDescent="0.2">
      <c r="M35" s="319" t="s">
        <v>315</v>
      </c>
      <c r="N35" s="319"/>
      <c r="O35" s="319"/>
      <c r="P35" s="319"/>
      <c r="Q35" s="319"/>
      <c r="R35" s="319"/>
      <c r="S35" s="319"/>
    </row>
    <row r="36" spans="13:19" x14ac:dyDescent="0.2">
      <c r="M36" s="319"/>
      <c r="N36" s="319"/>
      <c r="O36" s="319"/>
      <c r="P36" s="319"/>
      <c r="Q36" s="319"/>
      <c r="R36" s="319"/>
      <c r="S36" s="319"/>
    </row>
    <row r="37" spans="13:19" x14ac:dyDescent="0.2">
      <c r="M37" s="319"/>
      <c r="N37" s="319"/>
      <c r="O37" s="319"/>
      <c r="P37" s="319"/>
      <c r="Q37" s="319"/>
      <c r="R37" s="319"/>
      <c r="S37" s="319"/>
    </row>
    <row r="39" spans="13:19" ht="19" x14ac:dyDescent="0.25">
      <c r="M39" s="112" t="s">
        <v>128</v>
      </c>
    </row>
    <row r="40" spans="13:19" x14ac:dyDescent="0.2">
      <c r="M40" s="317" t="s">
        <v>314</v>
      </c>
      <c r="N40" s="317"/>
      <c r="O40" s="317"/>
      <c r="P40" s="317"/>
      <c r="Q40" s="317"/>
      <c r="R40" s="317"/>
      <c r="S40" s="317"/>
    </row>
    <row r="41" spans="13:19" x14ac:dyDescent="0.2">
      <c r="M41" s="317"/>
      <c r="N41" s="317"/>
      <c r="O41" s="317"/>
      <c r="P41" s="317"/>
      <c r="Q41" s="317"/>
      <c r="R41" s="317"/>
      <c r="S41" s="317"/>
    </row>
    <row r="42" spans="13:19" x14ac:dyDescent="0.2">
      <c r="M42" s="317"/>
      <c r="N42" s="317"/>
      <c r="O42" s="317"/>
      <c r="P42" s="317"/>
      <c r="Q42" s="317"/>
      <c r="R42" s="317"/>
      <c r="S42" s="317"/>
    </row>
    <row r="43" spans="13:19" x14ac:dyDescent="0.2">
      <c r="M43" s="317"/>
      <c r="N43" s="317"/>
      <c r="O43" s="317"/>
      <c r="P43" s="317"/>
      <c r="Q43" s="317"/>
      <c r="R43" s="317"/>
      <c r="S43" s="317"/>
    </row>
    <row r="44" spans="13:19" x14ac:dyDescent="0.2">
      <c r="M44" s="317"/>
      <c r="N44" s="317"/>
      <c r="O44" s="317"/>
      <c r="P44" s="317"/>
      <c r="Q44" s="317"/>
      <c r="R44" s="317"/>
      <c r="S44" s="317"/>
    </row>
    <row r="45" spans="13:19" x14ac:dyDescent="0.2">
      <c r="M45" s="317"/>
      <c r="N45" s="317"/>
      <c r="O45" s="317"/>
      <c r="P45" s="317"/>
      <c r="Q45" s="317"/>
      <c r="R45" s="317"/>
      <c r="S45" s="317"/>
    </row>
    <row r="46" spans="13:19" x14ac:dyDescent="0.2">
      <c r="M46" s="317"/>
      <c r="N46" s="317"/>
      <c r="O46" s="317"/>
      <c r="P46" s="317"/>
      <c r="Q46" s="317"/>
      <c r="R46" s="317"/>
      <c r="S46" s="317"/>
    </row>
    <row r="47" spans="13:19" x14ac:dyDescent="0.2">
      <c r="M47" s="317"/>
      <c r="N47" s="317"/>
      <c r="O47" s="317"/>
      <c r="P47" s="317"/>
      <c r="Q47" s="317"/>
      <c r="R47" s="317"/>
      <c r="S47" s="317"/>
    </row>
    <row r="48" spans="13:19" x14ac:dyDescent="0.2">
      <c r="M48" s="317"/>
      <c r="N48" s="317"/>
      <c r="O48" s="317"/>
      <c r="P48" s="317"/>
      <c r="Q48" s="317"/>
      <c r="R48" s="317"/>
      <c r="S48" s="317"/>
    </row>
    <row r="49" spans="13:19" x14ac:dyDescent="0.2">
      <c r="M49" s="317"/>
      <c r="N49" s="317"/>
      <c r="O49" s="317"/>
      <c r="P49" s="317"/>
      <c r="Q49" s="317"/>
      <c r="R49" s="317"/>
      <c r="S49" s="317"/>
    </row>
    <row r="50" spans="13:19" x14ac:dyDescent="0.2">
      <c r="M50" s="317"/>
      <c r="N50" s="317"/>
      <c r="O50" s="317"/>
      <c r="P50" s="317"/>
      <c r="Q50" s="317"/>
      <c r="R50" s="317"/>
      <c r="S50" s="317"/>
    </row>
    <row r="51" spans="13:19" x14ac:dyDescent="0.2">
      <c r="M51" s="317"/>
      <c r="N51" s="317"/>
      <c r="O51" s="317"/>
      <c r="P51" s="317"/>
      <c r="Q51" s="317"/>
      <c r="R51" s="317"/>
      <c r="S51" s="317"/>
    </row>
    <row r="52" spans="13:19" x14ac:dyDescent="0.2">
      <c r="M52" s="317"/>
      <c r="N52" s="317"/>
      <c r="O52" s="317"/>
      <c r="P52" s="317"/>
      <c r="Q52" s="317"/>
      <c r="R52" s="317"/>
      <c r="S52" s="317"/>
    </row>
    <row r="53" spans="13:19" x14ac:dyDescent="0.2">
      <c r="M53" s="317"/>
      <c r="N53" s="317"/>
      <c r="O53" s="317"/>
      <c r="P53" s="317"/>
      <c r="Q53" s="317"/>
      <c r="R53" s="317"/>
      <c r="S53" s="317"/>
    </row>
    <row r="54" spans="13:19" x14ac:dyDescent="0.2">
      <c r="M54" s="317"/>
      <c r="N54" s="317"/>
      <c r="O54" s="317"/>
      <c r="P54" s="317"/>
      <c r="Q54" s="317"/>
      <c r="R54" s="317"/>
      <c r="S54" s="317"/>
    </row>
    <row r="55" spans="13:19" x14ac:dyDescent="0.2">
      <c r="M55" s="317"/>
      <c r="N55" s="317"/>
      <c r="O55" s="317"/>
      <c r="P55" s="317"/>
      <c r="Q55" s="317"/>
      <c r="R55" s="317"/>
      <c r="S55" s="317"/>
    </row>
    <row r="56" spans="13:19" x14ac:dyDescent="0.2">
      <c r="N56" s="160"/>
    </row>
    <row r="60" spans="13:19" x14ac:dyDescent="0.2">
      <c r="N60" s="160"/>
    </row>
  </sheetData>
  <mergeCells count="2">
    <mergeCell ref="M35:S37"/>
    <mergeCell ref="M40:S5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6060-35A2-594F-9B96-8EFFD597B607}">
  <dimension ref="A1:S45"/>
  <sheetViews>
    <sheetView workbookViewId="0"/>
  </sheetViews>
  <sheetFormatPr baseColWidth="10" defaultColWidth="11" defaultRowHeight="16" outlineLevelCol="1" x14ac:dyDescent="0.2"/>
  <cols>
    <col min="1" max="1" width="4" style="196" customWidth="1"/>
    <col min="2" max="2" width="11.5" customWidth="1"/>
    <col min="12" max="12" width="12" hidden="1" customWidth="1" outlineLevel="1"/>
    <col min="13" max="18" width="10.83203125" hidden="1" customWidth="1" outlineLevel="1"/>
    <col min="19" max="19" width="10.83203125" customWidth="1" collapsed="1"/>
  </cols>
  <sheetData>
    <row r="1" spans="1:18" x14ac:dyDescent="0.2">
      <c r="A1" s="238"/>
      <c r="B1" s="156" t="s">
        <v>419</v>
      </c>
      <c r="C1" s="155" t="s">
        <v>418</v>
      </c>
      <c r="D1" s="155" t="s">
        <v>417</v>
      </c>
      <c r="E1" s="155" t="s">
        <v>416</v>
      </c>
      <c r="F1" s="154"/>
      <c r="G1" s="154"/>
      <c r="H1" s="154"/>
      <c r="I1" s="154"/>
      <c r="J1" s="153"/>
      <c r="K1" s="159" t="s">
        <v>141</v>
      </c>
      <c r="L1" s="159"/>
    </row>
    <row r="2" spans="1:18" x14ac:dyDescent="0.2">
      <c r="A2" s="205"/>
      <c r="B2" s="237" t="s">
        <v>415</v>
      </c>
      <c r="C2" s="236">
        <v>3</v>
      </c>
      <c r="D2" s="130"/>
      <c r="E2" s="130"/>
      <c r="F2" s="130"/>
      <c r="G2" s="130"/>
      <c r="H2" s="130"/>
      <c r="I2" s="130"/>
      <c r="J2" s="124"/>
    </row>
    <row r="3" spans="1:18" x14ac:dyDescent="0.2">
      <c r="A3" s="205"/>
      <c r="B3" s="130"/>
      <c r="C3" s="130"/>
      <c r="D3" s="130"/>
      <c r="E3" s="130"/>
      <c r="F3" s="130"/>
      <c r="G3" s="130"/>
      <c r="H3" s="130"/>
      <c r="I3" s="130"/>
      <c r="J3" s="124"/>
      <c r="L3" s="159" t="s">
        <v>414</v>
      </c>
    </row>
    <row r="4" spans="1:18" x14ac:dyDescent="0.2">
      <c r="A4" s="205"/>
      <c r="B4" s="130"/>
      <c r="C4" s="130" t="s">
        <v>413</v>
      </c>
      <c r="D4" s="130"/>
      <c r="E4" s="130"/>
      <c r="F4" s="130"/>
      <c r="G4" s="130"/>
      <c r="H4" s="130"/>
      <c r="I4" s="130"/>
      <c r="J4" s="124"/>
      <c r="L4" s="220" t="s">
        <v>412</v>
      </c>
      <c r="M4" s="220"/>
      <c r="N4" s="235"/>
      <c r="O4" s="220"/>
      <c r="P4" s="220"/>
      <c r="Q4" s="220"/>
      <c r="R4" s="220"/>
    </row>
    <row r="5" spans="1:18" x14ac:dyDescent="0.2">
      <c r="A5" s="205"/>
      <c r="B5" s="130"/>
      <c r="C5" s="130"/>
      <c r="D5" s="130"/>
      <c r="E5" s="130"/>
      <c r="F5" s="130"/>
      <c r="G5" s="130"/>
      <c r="H5" s="130"/>
      <c r="I5" s="130"/>
      <c r="J5" s="124"/>
      <c r="L5" s="220"/>
      <c r="M5" s="220"/>
      <c r="N5" s="220"/>
      <c r="O5" s="220"/>
      <c r="P5" s="220"/>
      <c r="Q5" s="220"/>
      <c r="R5" s="220"/>
    </row>
    <row r="6" spans="1:18" x14ac:dyDescent="0.2">
      <c r="A6" s="205"/>
      <c r="B6" s="130"/>
      <c r="C6" s="145" t="s">
        <v>411</v>
      </c>
      <c r="D6" s="234" t="s">
        <v>410</v>
      </c>
      <c r="E6" s="180" t="s">
        <v>409</v>
      </c>
      <c r="F6" s="310" t="s">
        <v>408</v>
      </c>
      <c r="G6" s="311"/>
      <c r="H6" s="312"/>
      <c r="I6" s="130"/>
      <c r="J6" s="124"/>
      <c r="L6" s="233" t="s">
        <v>14</v>
      </c>
      <c r="M6" s="232">
        <v>12</v>
      </c>
      <c r="N6" s="232">
        <v>24</v>
      </c>
      <c r="O6" s="232">
        <v>36</v>
      </c>
      <c r="P6" s="232" t="s">
        <v>42</v>
      </c>
      <c r="Q6" s="220"/>
      <c r="R6" s="220"/>
    </row>
    <row r="7" spans="1:18" x14ac:dyDescent="0.2">
      <c r="A7" s="205"/>
      <c r="B7" s="130"/>
      <c r="C7" s="139" t="s">
        <v>407</v>
      </c>
      <c r="D7" s="148" t="s">
        <v>406</v>
      </c>
      <c r="E7" s="146" t="s">
        <v>405</v>
      </c>
      <c r="F7" s="151" t="s">
        <v>404</v>
      </c>
      <c r="G7" s="150" t="s">
        <v>36</v>
      </c>
      <c r="H7" s="149" t="s">
        <v>403</v>
      </c>
      <c r="I7" s="130"/>
      <c r="J7" s="124"/>
      <c r="L7" s="228">
        <v>2007</v>
      </c>
      <c r="M7" s="220"/>
      <c r="N7" s="224">
        <f>G8/$E$8</f>
        <v>0.48336472065285624</v>
      </c>
      <c r="O7" s="224">
        <f>H8/$E$8</f>
        <v>1.2230592174094999</v>
      </c>
      <c r="P7" s="224">
        <f>O7*$G$13</f>
        <v>1.2842121782799749</v>
      </c>
      <c r="Q7" s="220"/>
      <c r="R7" s="220"/>
    </row>
    <row r="8" spans="1:18" x14ac:dyDescent="0.2">
      <c r="A8" s="205"/>
      <c r="B8" s="130"/>
      <c r="C8" s="145">
        <v>2007</v>
      </c>
      <c r="D8" s="231">
        <v>5756</v>
      </c>
      <c r="E8" s="229">
        <v>4779</v>
      </c>
      <c r="F8" s="231">
        <v>413</v>
      </c>
      <c r="G8" s="230">
        <v>2310</v>
      </c>
      <c r="H8" s="229">
        <v>5845</v>
      </c>
      <c r="I8" s="130"/>
      <c r="J8" s="124"/>
      <c r="L8" s="228">
        <v>2008</v>
      </c>
      <c r="M8" s="220"/>
      <c r="N8" s="224">
        <f>G9/E9</f>
        <v>9.4333042720139496E-2</v>
      </c>
      <c r="O8" s="224">
        <f>H9/E9</f>
        <v>0.22824760244115083</v>
      </c>
      <c r="P8" s="224">
        <f>O8*$G$13</f>
        <v>0.23965998256320839</v>
      </c>
      <c r="Q8" s="220"/>
      <c r="R8" s="220"/>
    </row>
    <row r="9" spans="1:18" x14ac:dyDescent="0.2">
      <c r="A9" s="205"/>
      <c r="B9" s="130"/>
      <c r="C9" s="143">
        <v>2008</v>
      </c>
      <c r="D9" s="142">
        <v>6907</v>
      </c>
      <c r="E9" s="141">
        <v>5735</v>
      </c>
      <c r="F9" s="142">
        <v>0</v>
      </c>
      <c r="G9" s="135">
        <v>541</v>
      </c>
      <c r="H9" s="141">
        <v>1309</v>
      </c>
      <c r="I9" s="130"/>
      <c r="J9" s="124"/>
      <c r="L9" s="228">
        <v>2009</v>
      </c>
      <c r="M9" s="220"/>
      <c r="N9" s="224">
        <f>G10/E10</f>
        <v>0.33580354548096486</v>
      </c>
      <c r="O9" s="223"/>
      <c r="P9" s="223"/>
      <c r="Q9" s="220"/>
      <c r="R9" s="220"/>
    </row>
    <row r="10" spans="1:18" x14ac:dyDescent="0.2">
      <c r="A10" s="205"/>
      <c r="B10" s="130"/>
      <c r="C10" s="143">
        <v>2009</v>
      </c>
      <c r="D10" s="142">
        <v>8289</v>
      </c>
      <c r="E10" s="141">
        <v>6882</v>
      </c>
      <c r="F10" s="142">
        <v>936</v>
      </c>
      <c r="G10" s="135">
        <v>2311</v>
      </c>
      <c r="H10" s="141"/>
      <c r="I10" s="130"/>
      <c r="J10" s="124"/>
      <c r="L10" s="228">
        <v>2010</v>
      </c>
      <c r="M10" s="220"/>
      <c r="N10" s="223"/>
      <c r="O10" s="223"/>
      <c r="P10" s="223"/>
      <c r="Q10" s="220"/>
      <c r="R10" s="220"/>
    </row>
    <row r="11" spans="1:18" x14ac:dyDescent="0.2">
      <c r="A11" s="205"/>
      <c r="B11" s="130"/>
      <c r="C11" s="139">
        <v>2010</v>
      </c>
      <c r="D11" s="138">
        <v>9946</v>
      </c>
      <c r="E11" s="136">
        <v>8258</v>
      </c>
      <c r="F11" s="138">
        <v>50</v>
      </c>
      <c r="G11" s="137"/>
      <c r="H11" s="136"/>
      <c r="I11" s="130"/>
      <c r="J11" s="124"/>
      <c r="L11" s="220"/>
      <c r="M11" s="220"/>
      <c r="N11" s="223"/>
      <c r="O11" s="223"/>
      <c r="P11" s="220"/>
      <c r="Q11" s="220"/>
      <c r="R11" s="220"/>
    </row>
    <row r="12" spans="1:18" x14ac:dyDescent="0.2">
      <c r="A12" s="205"/>
      <c r="B12" s="130"/>
      <c r="C12" s="130"/>
      <c r="D12" s="130"/>
      <c r="E12" s="130"/>
      <c r="F12" s="130"/>
      <c r="G12" s="130"/>
      <c r="H12" s="130"/>
      <c r="I12" s="130"/>
      <c r="J12" s="124"/>
      <c r="L12" t="s">
        <v>402</v>
      </c>
      <c r="N12" s="220"/>
      <c r="O12" s="227" t="s">
        <v>401</v>
      </c>
      <c r="R12" s="220"/>
    </row>
    <row r="13" spans="1:18" x14ac:dyDescent="0.2">
      <c r="A13" s="205"/>
      <c r="B13" s="134"/>
      <c r="C13" s="130" t="s">
        <v>400</v>
      </c>
      <c r="D13" s="130"/>
      <c r="E13" s="130"/>
      <c r="F13" s="130"/>
      <c r="G13" s="198">
        <v>1.05</v>
      </c>
      <c r="H13" s="130"/>
      <c r="I13" s="130"/>
      <c r="J13" s="124"/>
      <c r="N13" s="220"/>
      <c r="O13" s="227" t="s">
        <v>399</v>
      </c>
      <c r="R13" s="220"/>
    </row>
    <row r="14" spans="1:18" x14ac:dyDescent="0.2">
      <c r="A14" s="205"/>
      <c r="B14" s="134"/>
      <c r="C14" s="130"/>
      <c r="D14" s="130"/>
      <c r="E14" s="130"/>
      <c r="F14" s="130"/>
      <c r="G14" s="130"/>
      <c r="H14" s="130"/>
      <c r="I14" s="130"/>
      <c r="J14" s="124"/>
      <c r="L14" s="128" t="s">
        <v>11</v>
      </c>
      <c r="M14" s="128" t="s">
        <v>12</v>
      </c>
      <c r="N14" s="220"/>
      <c r="O14" s="220"/>
      <c r="R14" s="220"/>
    </row>
    <row r="15" spans="1:18" x14ac:dyDescent="0.2">
      <c r="A15" s="205" t="s">
        <v>0</v>
      </c>
      <c r="B15" s="198" t="s">
        <v>398</v>
      </c>
      <c r="C15" s="130" t="s">
        <v>397</v>
      </c>
      <c r="D15" s="130"/>
      <c r="E15" s="130"/>
      <c r="F15" s="130"/>
      <c r="G15" s="130"/>
      <c r="H15" s="130"/>
      <c r="I15" s="130"/>
      <c r="J15" s="124"/>
      <c r="L15" s="226" cm="1">
        <f t="array" ref="L15:M15">LINEST(P7:P8,N7:N8)</f>
        <v>2.6850055020388921</v>
      </c>
      <c r="M15" s="226">
        <v>-1.3624756164436036E-2</v>
      </c>
      <c r="N15" s="220"/>
      <c r="O15" s="220"/>
      <c r="R15" s="220"/>
    </row>
    <row r="16" spans="1:18" x14ac:dyDescent="0.2">
      <c r="A16" s="205"/>
      <c r="B16" s="198"/>
      <c r="C16" s="130"/>
      <c r="D16" s="130"/>
      <c r="E16" s="130"/>
      <c r="F16" s="130"/>
      <c r="G16" s="130"/>
      <c r="H16" s="130"/>
      <c r="I16" s="130"/>
      <c r="J16" s="124"/>
      <c r="L16" s="220"/>
      <c r="M16" s="220"/>
      <c r="N16" s="223"/>
      <c r="O16" s="223"/>
      <c r="P16" s="220"/>
      <c r="Q16" s="220"/>
      <c r="R16" s="220"/>
    </row>
    <row r="17" spans="1:18" ht="18" x14ac:dyDescent="0.2">
      <c r="A17" s="205" t="s">
        <v>1</v>
      </c>
      <c r="B17" s="198" t="s">
        <v>396</v>
      </c>
      <c r="C17" s="130" t="s">
        <v>395</v>
      </c>
      <c r="D17" s="130"/>
      <c r="E17" s="130"/>
      <c r="F17" s="130"/>
      <c r="G17" s="130"/>
      <c r="H17" s="130"/>
      <c r="I17" s="130"/>
      <c r="J17" s="124"/>
      <c r="L17" s="225" t="s">
        <v>394</v>
      </c>
      <c r="M17" s="224">
        <f>M15+L15*N9</f>
        <v>0.88800961105612197</v>
      </c>
      <c r="N17" s="220"/>
      <c r="O17" s="220"/>
      <c r="P17" s="220"/>
      <c r="Q17" s="220"/>
      <c r="R17" s="220"/>
    </row>
    <row r="18" spans="1:18" ht="17" thickBot="1" x14ac:dyDescent="0.25">
      <c r="A18" s="205"/>
      <c r="B18" s="198"/>
      <c r="C18" s="130" t="s">
        <v>393</v>
      </c>
      <c r="D18" s="130"/>
      <c r="E18" s="130"/>
      <c r="F18" s="130"/>
      <c r="G18" s="130"/>
      <c r="H18" s="130"/>
      <c r="I18" s="130"/>
      <c r="J18" s="124"/>
      <c r="L18" s="220"/>
      <c r="M18" s="223"/>
      <c r="N18" s="220"/>
      <c r="R18" s="220"/>
    </row>
    <row r="19" spans="1:18" ht="19" thickBot="1" x14ac:dyDescent="0.3">
      <c r="A19" s="205"/>
      <c r="B19" s="198"/>
      <c r="C19" s="130"/>
      <c r="D19" s="130"/>
      <c r="E19" s="130"/>
      <c r="F19" s="130"/>
      <c r="G19" s="130"/>
      <c r="H19" s="130"/>
      <c r="I19" s="130"/>
      <c r="J19" s="124"/>
      <c r="L19" s="222" t="s">
        <v>392</v>
      </c>
      <c r="M19" s="221">
        <f>M17*E10</f>
        <v>6111.2821432882311</v>
      </c>
      <c r="N19" s="220" t="s">
        <v>43</v>
      </c>
      <c r="R19" s="220"/>
    </row>
    <row r="20" spans="1:18" x14ac:dyDescent="0.2">
      <c r="A20" s="205" t="s">
        <v>269</v>
      </c>
      <c r="B20" s="198" t="s">
        <v>391</v>
      </c>
      <c r="C20" s="130" t="s">
        <v>390</v>
      </c>
      <c r="D20" s="130"/>
      <c r="E20" s="130"/>
      <c r="F20" s="130"/>
      <c r="G20" s="130"/>
      <c r="H20" s="130"/>
      <c r="I20" s="130"/>
      <c r="J20" s="124"/>
      <c r="L20" s="220"/>
      <c r="M20" s="220"/>
      <c r="N20" s="220"/>
      <c r="R20" s="220"/>
    </row>
    <row r="21" spans="1:18" x14ac:dyDescent="0.2">
      <c r="A21" s="205"/>
      <c r="B21" s="198"/>
      <c r="C21" s="130" t="s">
        <v>389</v>
      </c>
      <c r="D21" s="130"/>
      <c r="E21" s="130"/>
      <c r="F21" s="130"/>
      <c r="G21" s="130"/>
      <c r="H21" s="130"/>
      <c r="I21" s="130"/>
      <c r="J21" s="124"/>
      <c r="L21" s="6" t="s">
        <v>388</v>
      </c>
      <c r="M21" s="220"/>
      <c r="N21" s="220"/>
      <c r="O21" s="220"/>
      <c r="P21" s="220"/>
      <c r="Q21" s="220"/>
      <c r="R21" s="220"/>
    </row>
    <row r="22" spans="1:18" ht="17" thickBot="1" x14ac:dyDescent="0.25">
      <c r="A22" s="205"/>
      <c r="B22" s="134"/>
      <c r="C22" s="130"/>
      <c r="D22" s="130"/>
      <c r="E22" s="130"/>
      <c r="F22" s="130"/>
      <c r="G22" s="130"/>
      <c r="H22" s="130"/>
      <c r="I22" s="130"/>
      <c r="J22" s="124"/>
      <c r="L22" s="320" t="s">
        <v>387</v>
      </c>
      <c r="M22" s="320"/>
      <c r="N22" s="320"/>
      <c r="O22" s="320"/>
      <c r="P22" s="320"/>
      <c r="Q22" s="320"/>
      <c r="R22" s="320"/>
    </row>
    <row r="23" spans="1:18" ht="17" thickBot="1" x14ac:dyDescent="0.25">
      <c r="A23" s="219" t="s">
        <v>140</v>
      </c>
      <c r="B23" s="164"/>
      <c r="C23" s="218"/>
      <c r="D23" s="164"/>
      <c r="E23" s="164"/>
      <c r="F23" s="164"/>
      <c r="G23" s="164"/>
      <c r="H23" s="164"/>
      <c r="I23" s="164"/>
      <c r="J23" s="163"/>
      <c r="L23" s="320"/>
      <c r="M23" s="320"/>
      <c r="N23" s="320"/>
      <c r="O23" s="320"/>
      <c r="P23" s="320"/>
      <c r="Q23" s="320"/>
      <c r="R23" s="320"/>
    </row>
    <row r="24" spans="1:18" x14ac:dyDescent="0.2">
      <c r="L24" s="320"/>
      <c r="M24" s="320"/>
      <c r="N24" s="320"/>
      <c r="O24" s="320"/>
      <c r="P24" s="320"/>
      <c r="Q24" s="320"/>
      <c r="R24" s="320"/>
    </row>
    <row r="25" spans="1:18" x14ac:dyDescent="0.2">
      <c r="L25" s="320"/>
      <c r="M25" s="320"/>
      <c r="N25" s="320"/>
      <c r="O25" s="320"/>
      <c r="P25" s="320"/>
      <c r="Q25" s="320"/>
      <c r="R25" s="320"/>
    </row>
    <row r="27" spans="1:18" x14ac:dyDescent="0.2">
      <c r="L27" s="159" t="s">
        <v>386</v>
      </c>
    </row>
    <row r="28" spans="1:18" x14ac:dyDescent="0.2">
      <c r="L28" s="321" t="s">
        <v>385</v>
      </c>
      <c r="M28" s="321"/>
      <c r="N28" s="321"/>
      <c r="O28" s="321"/>
      <c r="P28" s="321"/>
      <c r="Q28" s="321"/>
      <c r="R28" s="321"/>
    </row>
    <row r="29" spans="1:18" x14ac:dyDescent="0.2">
      <c r="L29" s="321"/>
      <c r="M29" s="321"/>
      <c r="N29" s="321"/>
      <c r="O29" s="321"/>
      <c r="P29" s="321"/>
      <c r="Q29" s="321"/>
      <c r="R29" s="321"/>
    </row>
    <row r="44" spans="12:12" ht="19" x14ac:dyDescent="0.25">
      <c r="L44" s="112" t="s">
        <v>203</v>
      </c>
    </row>
    <row r="45" spans="12:12" x14ac:dyDescent="0.2">
      <c r="L45" s="217" t="s">
        <v>384</v>
      </c>
    </row>
  </sheetData>
  <mergeCells count="3">
    <mergeCell ref="F6:H6"/>
    <mergeCell ref="L22:R25"/>
    <mergeCell ref="L28:R29"/>
  </mergeCells>
  <pageMargins left="0.7" right="0.7" top="0.75" bottom="0.75" header="0.3" footer="0.3"/>
  <pageSetup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A9201-D7D5-7747-A1A7-66A1D74435A5}">
  <dimension ref="A1:S47"/>
  <sheetViews>
    <sheetView workbookViewId="0"/>
  </sheetViews>
  <sheetFormatPr baseColWidth="10" defaultColWidth="11" defaultRowHeight="16" outlineLevelCol="1" x14ac:dyDescent="0.2"/>
  <cols>
    <col min="1" max="1" width="4" style="196" customWidth="1"/>
    <col min="2" max="2" width="11.5" customWidth="1"/>
    <col min="12" max="18" width="10.83203125" hidden="1" customWidth="1" outlineLevel="1"/>
    <col min="19" max="19" width="11" collapsed="1"/>
  </cols>
  <sheetData>
    <row r="1" spans="1:19" x14ac:dyDescent="0.2">
      <c r="A1" s="238"/>
      <c r="B1" s="156" t="s">
        <v>419</v>
      </c>
      <c r="C1" s="155" t="s">
        <v>440</v>
      </c>
      <c r="D1" s="155" t="s">
        <v>417</v>
      </c>
      <c r="E1" s="155" t="s">
        <v>439</v>
      </c>
      <c r="F1" s="154"/>
      <c r="G1" s="154"/>
      <c r="H1" s="154"/>
      <c r="I1" s="154"/>
      <c r="J1" s="153"/>
      <c r="K1" s="159" t="s">
        <v>141</v>
      </c>
      <c r="L1" s="159"/>
    </row>
    <row r="2" spans="1:19" x14ac:dyDescent="0.2">
      <c r="A2" s="205"/>
      <c r="B2" s="237" t="s">
        <v>415</v>
      </c>
      <c r="C2" s="236">
        <v>3</v>
      </c>
      <c r="D2" s="130"/>
      <c r="E2" s="130"/>
      <c r="F2" s="130"/>
      <c r="G2" s="130"/>
      <c r="H2" s="130"/>
      <c r="I2" s="130"/>
      <c r="J2" s="124"/>
    </row>
    <row r="3" spans="1:19" x14ac:dyDescent="0.2">
      <c r="A3" s="205"/>
      <c r="B3" s="130"/>
      <c r="C3" s="130"/>
      <c r="D3" s="130"/>
      <c r="E3" s="130"/>
      <c r="F3" s="130"/>
      <c r="G3" s="130"/>
      <c r="H3" s="130"/>
      <c r="I3" s="130"/>
      <c r="J3" s="124"/>
      <c r="L3" s="159" t="s">
        <v>414</v>
      </c>
    </row>
    <row r="4" spans="1:19" ht="15.75" customHeight="1" x14ac:dyDescent="0.2">
      <c r="A4" s="205"/>
      <c r="B4" s="130"/>
      <c r="C4" s="130" t="s">
        <v>438</v>
      </c>
      <c r="D4" s="130"/>
      <c r="E4" s="130"/>
      <c r="F4" s="130"/>
      <c r="G4" s="130"/>
      <c r="H4" s="130"/>
      <c r="I4" s="130"/>
      <c r="J4" s="124"/>
    </row>
    <row r="5" spans="1:19" x14ac:dyDescent="0.2">
      <c r="A5" s="205"/>
      <c r="B5" s="130"/>
      <c r="C5" s="130"/>
      <c r="D5" s="130"/>
      <c r="E5" s="130"/>
      <c r="F5" s="130"/>
      <c r="G5" s="130"/>
      <c r="H5" s="130"/>
      <c r="I5" s="130"/>
      <c r="J5" s="124"/>
      <c r="L5" s="227" t="s">
        <v>437</v>
      </c>
    </row>
    <row r="6" spans="1:19" x14ac:dyDescent="0.2">
      <c r="A6" s="205"/>
      <c r="B6" s="130"/>
      <c r="C6" s="130"/>
      <c r="D6" s="310" t="s">
        <v>436</v>
      </c>
      <c r="E6" s="311"/>
      <c r="F6" s="312"/>
      <c r="G6" s="130"/>
      <c r="H6" s="130"/>
      <c r="I6" s="130"/>
      <c r="J6" s="124"/>
      <c r="L6" s="227" t="s">
        <v>435</v>
      </c>
    </row>
    <row r="7" spans="1:19" x14ac:dyDescent="0.2">
      <c r="A7" s="205"/>
      <c r="B7" s="130"/>
      <c r="C7" s="130"/>
      <c r="D7" s="145" t="s">
        <v>411</v>
      </c>
      <c r="E7" s="246" t="s">
        <v>434</v>
      </c>
      <c r="F7" s="180" t="s">
        <v>433</v>
      </c>
      <c r="G7" s="130"/>
      <c r="H7" s="130"/>
      <c r="I7" s="130"/>
      <c r="J7" s="124"/>
    </row>
    <row r="8" spans="1:19" x14ac:dyDescent="0.2">
      <c r="A8" s="205"/>
      <c r="B8" s="130"/>
      <c r="C8" s="130"/>
      <c r="D8" s="139" t="s">
        <v>432</v>
      </c>
      <c r="E8" s="147" t="s">
        <v>431</v>
      </c>
      <c r="F8" s="146" t="s">
        <v>430</v>
      </c>
      <c r="G8" s="130"/>
      <c r="H8" s="130"/>
      <c r="I8" s="130"/>
      <c r="J8" s="124"/>
      <c r="L8" t="s">
        <v>402</v>
      </c>
    </row>
    <row r="9" spans="1:19" x14ac:dyDescent="0.2">
      <c r="A9" s="205"/>
      <c r="B9" s="130"/>
      <c r="C9" s="130"/>
      <c r="D9" s="143">
        <v>2006</v>
      </c>
      <c r="E9" s="134">
        <v>0.222</v>
      </c>
      <c r="F9" s="245">
        <v>0.375</v>
      </c>
      <c r="G9" s="130"/>
      <c r="H9" s="130"/>
      <c r="I9" s="130"/>
      <c r="J9" s="124"/>
    </row>
    <row r="10" spans="1:19" x14ac:dyDescent="0.2">
      <c r="A10" s="205"/>
      <c r="B10" s="130"/>
      <c r="C10" s="130"/>
      <c r="D10" s="143">
        <v>2007</v>
      </c>
      <c r="E10" s="134">
        <v>0.45100000000000001</v>
      </c>
      <c r="F10" s="245">
        <v>0.67500000000000004</v>
      </c>
      <c r="G10" s="130"/>
      <c r="H10" s="130"/>
      <c r="I10" s="130"/>
      <c r="J10" s="124"/>
      <c r="L10" s="128" t="s">
        <v>11</v>
      </c>
      <c r="M10" s="128" t="s">
        <v>12</v>
      </c>
    </row>
    <row r="11" spans="1:19" x14ac:dyDescent="0.2">
      <c r="A11" s="205"/>
      <c r="B11" s="130"/>
      <c r="C11" s="130"/>
      <c r="D11" s="143">
        <v>2008</v>
      </c>
      <c r="E11" s="134">
        <v>0.44600000000000001</v>
      </c>
      <c r="F11" s="245">
        <v>0.60499999999999998</v>
      </c>
      <c r="G11" s="130"/>
      <c r="H11" s="130"/>
      <c r="I11" s="130"/>
      <c r="J11" s="124"/>
      <c r="L11" s="226" cm="1">
        <f t="array" ref="L11:M11">LINEST(F9:F11,E9:E11)</f>
        <v>1.1746653416729995</v>
      </c>
      <c r="M11" s="226">
        <v>0.11351649422263782</v>
      </c>
      <c r="Q11" s="220"/>
      <c r="R11" s="227"/>
    </row>
    <row r="12" spans="1:19" ht="17" thickBot="1" x14ac:dyDescent="0.25">
      <c r="A12" s="205"/>
      <c r="B12" s="130"/>
      <c r="C12" s="130"/>
      <c r="D12" s="139">
        <v>2009</v>
      </c>
      <c r="E12" s="147">
        <v>0.22800000000000001</v>
      </c>
      <c r="F12" s="146"/>
      <c r="G12" s="130"/>
      <c r="H12" s="130"/>
      <c r="I12" s="130"/>
      <c r="J12" s="124"/>
      <c r="L12" s="220"/>
      <c r="M12" s="220"/>
      <c r="Q12" s="220"/>
      <c r="R12" s="227"/>
    </row>
    <row r="13" spans="1:19" ht="19" thickBot="1" x14ac:dyDescent="0.25">
      <c r="A13" s="205"/>
      <c r="B13" s="134"/>
      <c r="C13" s="130"/>
      <c r="D13" s="130"/>
      <c r="E13" s="130"/>
      <c r="F13" s="130"/>
      <c r="G13" s="130"/>
      <c r="H13" s="130"/>
      <c r="I13" s="130"/>
      <c r="J13" s="124"/>
      <c r="L13" s="244" t="s">
        <v>394</v>
      </c>
      <c r="M13" s="243">
        <f>M11+L11*E12</f>
        <v>0.38134019212408171</v>
      </c>
      <c r="Q13" s="220"/>
      <c r="R13" s="220"/>
    </row>
    <row r="14" spans="1:19" x14ac:dyDescent="0.2">
      <c r="A14" s="205" t="s">
        <v>0</v>
      </c>
      <c r="B14" s="198" t="s">
        <v>391</v>
      </c>
      <c r="C14" s="130" t="s">
        <v>561</v>
      </c>
      <c r="D14" s="130"/>
      <c r="E14" s="130"/>
      <c r="F14" s="130"/>
      <c r="G14" s="130"/>
      <c r="H14" s="130"/>
      <c r="I14" s="130"/>
      <c r="J14" s="124"/>
      <c r="Q14" s="220"/>
      <c r="R14" s="220"/>
    </row>
    <row r="15" spans="1:19" x14ac:dyDescent="0.2">
      <c r="A15" s="205"/>
      <c r="B15" s="198"/>
      <c r="C15" s="130" t="s">
        <v>429</v>
      </c>
      <c r="D15" s="130"/>
      <c r="E15" s="130"/>
      <c r="F15" s="130"/>
      <c r="G15" s="130"/>
      <c r="H15" s="130"/>
      <c r="I15" s="130"/>
      <c r="J15" s="124"/>
      <c r="S15" s="220"/>
    </row>
    <row r="16" spans="1:19" x14ac:dyDescent="0.2">
      <c r="A16" s="205"/>
      <c r="B16" s="198"/>
      <c r="C16" s="130"/>
      <c r="D16" s="130"/>
      <c r="E16" s="130"/>
      <c r="F16" s="130"/>
      <c r="G16" s="130"/>
      <c r="H16" s="130"/>
      <c r="I16" s="130"/>
      <c r="J16" s="124"/>
      <c r="L16" s="159" t="s">
        <v>388</v>
      </c>
      <c r="S16" s="220"/>
    </row>
    <row r="17" spans="1:18" x14ac:dyDescent="0.2">
      <c r="A17" s="205" t="s">
        <v>1</v>
      </c>
      <c r="B17" s="198" t="s">
        <v>391</v>
      </c>
      <c r="C17" s="130" t="s">
        <v>428</v>
      </c>
      <c r="D17" s="130"/>
      <c r="E17" s="130"/>
      <c r="F17" s="130"/>
      <c r="G17" s="130"/>
      <c r="H17" s="130"/>
      <c r="I17" s="130"/>
      <c r="J17" s="124"/>
      <c r="L17" s="225"/>
    </row>
    <row r="18" spans="1:18" x14ac:dyDescent="0.2">
      <c r="A18" s="205"/>
      <c r="B18" s="134"/>
      <c r="C18" s="130" t="s">
        <v>427</v>
      </c>
      <c r="D18" s="130"/>
      <c r="E18" s="130"/>
      <c r="F18" s="130"/>
      <c r="G18" s="130"/>
      <c r="H18" s="130"/>
      <c r="I18" s="130"/>
      <c r="J18" s="124"/>
      <c r="L18" s="322" t="s">
        <v>426</v>
      </c>
      <c r="M18" s="322"/>
      <c r="N18" s="322"/>
      <c r="O18" s="322"/>
      <c r="P18" s="322"/>
      <c r="Q18" s="322"/>
      <c r="R18" s="322"/>
    </row>
    <row r="19" spans="1:18" x14ac:dyDescent="0.2">
      <c r="A19" s="205"/>
      <c r="B19" s="134"/>
      <c r="C19" s="130" t="s">
        <v>425</v>
      </c>
      <c r="D19" s="130"/>
      <c r="E19" s="130"/>
      <c r="F19" s="130"/>
      <c r="G19" s="130"/>
      <c r="H19" s="130"/>
      <c r="I19" s="130"/>
      <c r="J19" s="124"/>
      <c r="L19" s="322"/>
      <c r="M19" s="322"/>
      <c r="N19" s="322"/>
      <c r="O19" s="322"/>
      <c r="P19" s="322"/>
      <c r="Q19" s="322"/>
      <c r="R19" s="322"/>
    </row>
    <row r="20" spans="1:18" x14ac:dyDescent="0.2">
      <c r="A20" s="205"/>
      <c r="B20" s="134"/>
      <c r="C20" s="130" t="s">
        <v>424</v>
      </c>
      <c r="D20" s="130"/>
      <c r="E20" s="130"/>
      <c r="F20" s="130"/>
      <c r="G20" s="130"/>
      <c r="H20" s="130"/>
      <c r="I20" s="130"/>
      <c r="J20" s="124"/>
    </row>
    <row r="21" spans="1:18" ht="17" thickBot="1" x14ac:dyDescent="0.25">
      <c r="A21" s="205"/>
      <c r="B21" s="134"/>
      <c r="C21" s="130"/>
      <c r="D21" s="130"/>
      <c r="E21" s="130"/>
      <c r="F21" s="130"/>
      <c r="G21" s="130"/>
      <c r="H21" s="130"/>
      <c r="I21" s="130"/>
      <c r="J21" s="124"/>
      <c r="L21" s="225" t="s">
        <v>423</v>
      </c>
      <c r="M21" s="242">
        <f>AVERAGE(F9:F11)/AVERAGE(E9:E11)</f>
        <v>1.4789991063449508</v>
      </c>
    </row>
    <row r="22" spans="1:18" ht="17" thickBot="1" x14ac:dyDescent="0.25">
      <c r="A22" s="219" t="s">
        <v>140</v>
      </c>
      <c r="B22" s="164"/>
      <c r="C22" s="218"/>
      <c r="D22" s="164"/>
      <c r="E22" s="164"/>
      <c r="F22" s="164"/>
      <c r="G22" s="164"/>
      <c r="H22" s="164"/>
      <c r="I22" s="164"/>
      <c r="J22" s="163"/>
    </row>
    <row r="23" spans="1:18" x14ac:dyDescent="0.2">
      <c r="L23" s="225" t="s">
        <v>248</v>
      </c>
      <c r="M23" s="241">
        <f>L11/M21</f>
        <v>0.79422991983811875</v>
      </c>
    </row>
    <row r="25" spans="1:18" x14ac:dyDescent="0.2">
      <c r="L25" s="322" t="s">
        <v>422</v>
      </c>
      <c r="M25" s="322"/>
      <c r="N25" s="322"/>
      <c r="O25" s="322"/>
      <c r="P25" s="322"/>
      <c r="Q25" s="322"/>
      <c r="R25" s="322"/>
    </row>
    <row r="26" spans="1:18" x14ac:dyDescent="0.2">
      <c r="L26" s="322"/>
      <c r="M26" s="322"/>
      <c r="N26" s="322"/>
      <c r="O26" s="322"/>
      <c r="P26" s="322"/>
      <c r="Q26" s="322"/>
      <c r="R26" s="322"/>
    </row>
    <row r="28" spans="1:18" ht="19" x14ac:dyDescent="0.2">
      <c r="L28" s="240" t="s">
        <v>128</v>
      </c>
    </row>
    <row r="29" spans="1:18" x14ac:dyDescent="0.2">
      <c r="L29" s="322" t="s">
        <v>421</v>
      </c>
      <c r="M29" s="322"/>
      <c r="N29" s="322"/>
      <c r="O29" s="322"/>
      <c r="P29" s="322"/>
      <c r="Q29" s="322"/>
      <c r="R29" s="322"/>
    </row>
    <row r="30" spans="1:18" x14ac:dyDescent="0.2">
      <c r="L30" s="322"/>
      <c r="M30" s="322"/>
      <c r="N30" s="322"/>
      <c r="O30" s="322"/>
      <c r="P30" s="322"/>
      <c r="Q30" s="322"/>
      <c r="R30" s="322"/>
    </row>
    <row r="31" spans="1:18" x14ac:dyDescent="0.2">
      <c r="L31" s="322"/>
      <c r="M31" s="322"/>
      <c r="N31" s="322"/>
      <c r="O31" s="322"/>
      <c r="P31" s="322"/>
      <c r="Q31" s="322"/>
      <c r="R31" s="322"/>
    </row>
    <row r="32" spans="1:18" x14ac:dyDescent="0.2">
      <c r="L32" s="322"/>
      <c r="M32" s="322"/>
      <c r="N32" s="322"/>
      <c r="O32" s="322"/>
      <c r="P32" s="322"/>
      <c r="Q32" s="322"/>
      <c r="R32" s="322"/>
    </row>
    <row r="33" spans="12:18" x14ac:dyDescent="0.2">
      <c r="L33" s="239"/>
      <c r="M33" s="239"/>
      <c r="N33" s="239"/>
      <c r="O33" s="239"/>
      <c r="P33" s="239"/>
      <c r="Q33" s="239"/>
      <c r="R33" s="239"/>
    </row>
    <row r="34" spans="12:18" x14ac:dyDescent="0.2">
      <c r="L34" s="322" t="s">
        <v>420</v>
      </c>
      <c r="M34" s="322"/>
      <c r="N34" s="322"/>
      <c r="O34" s="322"/>
      <c r="P34" s="322"/>
      <c r="Q34" s="322"/>
      <c r="R34" s="322"/>
    </row>
    <row r="35" spans="12:18" x14ac:dyDescent="0.2">
      <c r="L35" s="322"/>
      <c r="M35" s="322"/>
      <c r="N35" s="322"/>
      <c r="O35" s="322"/>
      <c r="P35" s="322"/>
      <c r="Q35" s="322"/>
      <c r="R35" s="322"/>
    </row>
    <row r="36" spans="12:18" x14ac:dyDescent="0.2">
      <c r="L36" s="322"/>
      <c r="M36" s="322"/>
      <c r="N36" s="322"/>
      <c r="O36" s="322"/>
      <c r="P36" s="322"/>
      <c r="Q36" s="322"/>
      <c r="R36" s="322"/>
    </row>
    <row r="37" spans="12:18" x14ac:dyDescent="0.2">
      <c r="L37" s="322"/>
      <c r="M37" s="322"/>
      <c r="N37" s="322"/>
      <c r="O37" s="322"/>
      <c r="P37" s="322"/>
      <c r="Q37" s="322"/>
      <c r="R37" s="322"/>
    </row>
    <row r="38" spans="12:18" x14ac:dyDescent="0.2">
      <c r="L38" s="217"/>
      <c r="M38" s="217"/>
      <c r="N38" s="217"/>
      <c r="O38" s="217"/>
      <c r="P38" s="217"/>
      <c r="Q38" s="217"/>
      <c r="R38" s="217"/>
    </row>
    <row r="39" spans="12:18" x14ac:dyDescent="0.2">
      <c r="L39" s="217"/>
      <c r="M39" s="217"/>
      <c r="N39" s="217"/>
      <c r="O39" s="217"/>
      <c r="P39" s="217"/>
      <c r="Q39" s="217"/>
      <c r="R39" s="217"/>
    </row>
    <row r="40" spans="12:18" x14ac:dyDescent="0.2">
      <c r="L40" s="217"/>
      <c r="M40" s="217"/>
      <c r="N40" s="217"/>
      <c r="O40" s="217"/>
      <c r="P40" s="217"/>
      <c r="Q40" s="217"/>
      <c r="R40" s="217"/>
    </row>
    <row r="41" spans="12:18" x14ac:dyDescent="0.2">
      <c r="L41" s="217"/>
      <c r="M41" s="217"/>
      <c r="N41" s="217"/>
      <c r="O41" s="217"/>
      <c r="P41" s="217"/>
      <c r="Q41" s="217"/>
      <c r="R41" s="217"/>
    </row>
    <row r="42" spans="12:18" ht="19" x14ac:dyDescent="0.25">
      <c r="L42" s="112" t="s">
        <v>203</v>
      </c>
    </row>
    <row r="43" spans="12:18" x14ac:dyDescent="0.2">
      <c r="L43" s="217" t="s">
        <v>384</v>
      </c>
      <c r="M43" s="217"/>
      <c r="N43" s="217"/>
      <c r="O43" s="217"/>
      <c r="P43" s="217"/>
      <c r="Q43" s="217"/>
      <c r="R43" s="217"/>
    </row>
    <row r="47" spans="12:18" ht="16" customHeight="1" x14ac:dyDescent="0.2"/>
  </sheetData>
  <mergeCells count="5">
    <mergeCell ref="L29:R32"/>
    <mergeCell ref="L34:R37"/>
    <mergeCell ref="D6:F6"/>
    <mergeCell ref="L18:R19"/>
    <mergeCell ref="L25:R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6777E-54AE-3349-8CC6-3517A0647E04}">
  <dimension ref="A1:S42"/>
  <sheetViews>
    <sheetView workbookViewId="0">
      <selection activeCell="B1" sqref="B1"/>
    </sheetView>
  </sheetViews>
  <sheetFormatPr baseColWidth="10" defaultColWidth="11" defaultRowHeight="16" outlineLevelCol="1" x14ac:dyDescent="0.2"/>
  <cols>
    <col min="1" max="1" width="4" style="196" customWidth="1"/>
    <col min="2" max="2" width="11.5" customWidth="1"/>
    <col min="12" max="18" width="10.83203125" hidden="1" customWidth="1" outlineLevel="1"/>
    <col min="19" max="19" width="11" collapsed="1"/>
  </cols>
  <sheetData>
    <row r="1" spans="1:14" x14ac:dyDescent="0.2">
      <c r="A1" s="238"/>
      <c r="B1" s="156" t="s">
        <v>419</v>
      </c>
      <c r="C1" s="155" t="s">
        <v>469</v>
      </c>
      <c r="D1" s="155" t="s">
        <v>417</v>
      </c>
      <c r="E1" s="155" t="s">
        <v>416</v>
      </c>
      <c r="F1" s="154"/>
      <c r="G1" s="154"/>
      <c r="H1" s="154"/>
      <c r="I1" s="154"/>
      <c r="J1" s="153"/>
      <c r="K1" s="159" t="s">
        <v>141</v>
      </c>
      <c r="L1" s="159"/>
    </row>
    <row r="2" spans="1:14" x14ac:dyDescent="0.2">
      <c r="A2" s="205"/>
      <c r="B2" s="237" t="s">
        <v>415</v>
      </c>
      <c r="C2" s="236">
        <v>2</v>
      </c>
      <c r="D2" s="130"/>
      <c r="E2" s="130"/>
      <c r="F2" s="130"/>
      <c r="G2" s="130"/>
      <c r="H2" s="130"/>
      <c r="I2" s="130"/>
      <c r="J2" s="124"/>
    </row>
    <row r="3" spans="1:14" x14ac:dyDescent="0.2">
      <c r="A3" s="205"/>
      <c r="B3" s="130"/>
      <c r="C3" s="130"/>
      <c r="D3" s="130"/>
      <c r="E3" s="130"/>
      <c r="F3" s="130"/>
      <c r="G3" s="130"/>
      <c r="H3" s="130"/>
      <c r="I3" s="130"/>
      <c r="J3" s="124"/>
      <c r="L3" s="159" t="s">
        <v>414</v>
      </c>
    </row>
    <row r="4" spans="1:14" x14ac:dyDescent="0.2">
      <c r="A4" s="205"/>
      <c r="B4" s="130"/>
      <c r="C4" s="130" t="s">
        <v>15</v>
      </c>
      <c r="D4" s="130"/>
      <c r="E4" s="130"/>
      <c r="F4" s="130"/>
      <c r="G4" s="130"/>
      <c r="H4" s="130"/>
      <c r="I4" s="130"/>
      <c r="J4" s="124"/>
    </row>
    <row r="5" spans="1:14" ht="18" x14ac:dyDescent="0.2">
      <c r="A5" s="205"/>
      <c r="B5" s="130"/>
      <c r="C5" s="130"/>
      <c r="D5" s="130"/>
      <c r="E5" s="130"/>
      <c r="F5" s="130"/>
      <c r="G5" s="130"/>
      <c r="H5" s="130"/>
      <c r="I5" s="130"/>
      <c r="J5" s="124"/>
      <c r="L5" s="225" t="s">
        <v>468</v>
      </c>
      <c r="M5" s="255">
        <f>SUM(F9:F12)/4</f>
        <v>18</v>
      </c>
    </row>
    <row r="6" spans="1:14" x14ac:dyDescent="0.2">
      <c r="A6" s="205"/>
      <c r="B6" s="130"/>
      <c r="C6" s="130"/>
      <c r="D6" s="310" t="s">
        <v>467</v>
      </c>
      <c r="E6" s="311"/>
      <c r="F6" s="312"/>
      <c r="G6" s="130"/>
      <c r="H6" s="130"/>
      <c r="I6" s="130"/>
      <c r="J6" s="124"/>
      <c r="L6" s="225" t="s">
        <v>466</v>
      </c>
      <c r="M6" s="254">
        <f>1.25*M5</f>
        <v>22.5</v>
      </c>
    </row>
    <row r="7" spans="1:14" x14ac:dyDescent="0.2">
      <c r="A7" s="205"/>
      <c r="B7" s="130"/>
      <c r="C7" s="130"/>
      <c r="D7" s="145" t="s">
        <v>411</v>
      </c>
      <c r="E7" s="246" t="s">
        <v>465</v>
      </c>
      <c r="F7" s="180" t="s">
        <v>464</v>
      </c>
      <c r="G7" s="130"/>
      <c r="H7" s="130"/>
      <c r="I7" s="130"/>
      <c r="J7" s="124"/>
      <c r="L7" s="253" t="s">
        <v>463</v>
      </c>
      <c r="M7" s="254">
        <v>3</v>
      </c>
    </row>
    <row r="8" spans="1:14" x14ac:dyDescent="0.2">
      <c r="A8" s="205"/>
      <c r="B8" s="130"/>
      <c r="C8" s="130"/>
      <c r="D8" s="139" t="s">
        <v>432</v>
      </c>
      <c r="E8" s="147" t="s">
        <v>36</v>
      </c>
      <c r="F8" s="146" t="s">
        <v>462</v>
      </c>
      <c r="G8" s="130"/>
      <c r="H8" s="130"/>
      <c r="I8" s="130"/>
      <c r="J8" s="124"/>
      <c r="L8" s="225"/>
      <c r="M8" s="225"/>
    </row>
    <row r="9" spans="1:14" x14ac:dyDescent="0.2">
      <c r="A9" s="205"/>
      <c r="B9" s="130"/>
      <c r="C9" s="130"/>
      <c r="D9" s="143">
        <v>2008</v>
      </c>
      <c r="E9" s="134">
        <v>12</v>
      </c>
      <c r="F9" s="245">
        <v>18</v>
      </c>
      <c r="G9" s="130"/>
      <c r="H9" s="130"/>
      <c r="I9" s="130"/>
      <c r="J9" s="124"/>
      <c r="L9" s="225" t="s">
        <v>461</v>
      </c>
      <c r="M9" s="225">
        <v>0.75</v>
      </c>
      <c r="N9" t="s">
        <v>460</v>
      </c>
    </row>
    <row r="10" spans="1:14" x14ac:dyDescent="0.2">
      <c r="A10" s="205"/>
      <c r="B10" s="130"/>
      <c r="C10" s="130"/>
      <c r="D10" s="143">
        <v>2009</v>
      </c>
      <c r="E10" s="134">
        <v>10</v>
      </c>
      <c r="F10" s="245">
        <v>16</v>
      </c>
      <c r="G10" s="130"/>
      <c r="H10" s="130"/>
      <c r="I10" s="130"/>
      <c r="J10" s="124"/>
      <c r="L10" s="253" t="s">
        <v>459</v>
      </c>
      <c r="M10" s="225">
        <v>0.08</v>
      </c>
    </row>
    <row r="11" spans="1:14" x14ac:dyDescent="0.2">
      <c r="A11" s="205"/>
      <c r="B11" s="130"/>
      <c r="C11" s="130"/>
      <c r="D11" s="143">
        <v>2010</v>
      </c>
      <c r="E11" s="134">
        <v>14</v>
      </c>
      <c r="F11" s="245">
        <v>20</v>
      </c>
      <c r="G11" s="130"/>
      <c r="H11" s="130"/>
      <c r="I11" s="130"/>
      <c r="J11" s="124"/>
    </row>
    <row r="12" spans="1:14" x14ac:dyDescent="0.2">
      <c r="A12" s="205"/>
      <c r="B12" s="130"/>
      <c r="C12" s="130"/>
      <c r="D12" s="143">
        <v>2011</v>
      </c>
      <c r="E12" s="134">
        <v>12</v>
      </c>
      <c r="F12" s="245">
        <v>18</v>
      </c>
      <c r="G12" s="130"/>
      <c r="H12" s="130"/>
      <c r="I12" s="130"/>
      <c r="J12" s="124"/>
      <c r="L12" s="225" t="s">
        <v>27</v>
      </c>
      <c r="M12" s="252">
        <f>(M9*M7)^2</f>
        <v>5.0625</v>
      </c>
      <c r="N12" s="251" t="s">
        <v>458</v>
      </c>
    </row>
    <row r="13" spans="1:14" x14ac:dyDescent="0.2">
      <c r="A13" s="205"/>
      <c r="B13" s="134"/>
      <c r="C13" s="130"/>
      <c r="D13" s="139">
        <v>2012</v>
      </c>
      <c r="E13" s="147">
        <v>21</v>
      </c>
      <c r="F13" s="146"/>
      <c r="G13" s="130"/>
      <c r="H13" s="130"/>
      <c r="I13" s="130"/>
      <c r="J13" s="124"/>
      <c r="L13" s="225" t="s">
        <v>289</v>
      </c>
      <c r="M13" s="252">
        <f>M10^2*(M7^2+M6^2)</f>
        <v>3.2976000000000001</v>
      </c>
      <c r="N13" s="251" t="s">
        <v>457</v>
      </c>
    </row>
    <row r="14" spans="1:14" x14ac:dyDescent="0.2">
      <c r="A14" s="205"/>
      <c r="B14" s="134"/>
      <c r="C14" s="130"/>
      <c r="D14" s="130"/>
      <c r="E14" s="130"/>
      <c r="F14" s="130"/>
      <c r="G14" s="130"/>
      <c r="H14" s="130"/>
      <c r="I14" s="130"/>
      <c r="J14" s="124"/>
      <c r="L14" s="225"/>
      <c r="M14" s="225"/>
    </row>
    <row r="15" spans="1:14" x14ac:dyDescent="0.2">
      <c r="A15" s="205"/>
      <c r="B15" s="134"/>
      <c r="C15" s="130" t="s">
        <v>456</v>
      </c>
      <c r="D15" s="130"/>
      <c r="E15" s="130"/>
      <c r="F15" s="130"/>
      <c r="G15" s="130"/>
      <c r="H15" s="130"/>
      <c r="I15" s="130"/>
      <c r="J15" s="124"/>
      <c r="L15" s="225" t="s">
        <v>248</v>
      </c>
      <c r="M15" s="242">
        <f>M12/(M12+M13)</f>
        <v>0.60555495747658528</v>
      </c>
      <c r="N15" s="251" t="s">
        <v>455</v>
      </c>
    </row>
    <row r="16" spans="1:14" ht="17" thickBot="1" x14ac:dyDescent="0.25">
      <c r="A16" s="205"/>
      <c r="B16" s="134"/>
      <c r="C16" s="130" t="s">
        <v>454</v>
      </c>
      <c r="D16" s="130"/>
      <c r="E16" s="130"/>
      <c r="F16" s="130"/>
      <c r="G16" s="130"/>
      <c r="H16" s="130"/>
      <c r="I16" s="130"/>
      <c r="J16" s="124"/>
      <c r="L16" s="225"/>
      <c r="M16" s="225"/>
    </row>
    <row r="17" spans="1:18" ht="17" thickBot="1" x14ac:dyDescent="0.25">
      <c r="A17" s="205"/>
      <c r="B17" s="134"/>
      <c r="C17" s="130" t="s">
        <v>453</v>
      </c>
      <c r="D17" s="130"/>
      <c r="E17" s="130"/>
      <c r="F17" s="130"/>
      <c r="G17" s="130"/>
      <c r="H17" s="130"/>
      <c r="I17" s="130"/>
      <c r="J17" s="124"/>
      <c r="L17" s="244" t="s">
        <v>452</v>
      </c>
      <c r="M17" s="250">
        <f>M15*(E13/M9)+(1-M15)*M6</f>
        <v>25.83055226612122</v>
      </c>
    </row>
    <row r="18" spans="1:18" x14ac:dyDescent="0.2">
      <c r="A18" s="205"/>
      <c r="B18" s="134"/>
      <c r="C18" s="130"/>
      <c r="D18" s="130"/>
      <c r="E18" s="130"/>
      <c r="F18" s="130"/>
      <c r="G18" s="130"/>
      <c r="H18" s="130"/>
      <c r="I18" s="130"/>
      <c r="J18" s="124"/>
    </row>
    <row r="19" spans="1:18" x14ac:dyDescent="0.2">
      <c r="A19" s="205"/>
      <c r="B19" s="134"/>
      <c r="C19" s="130" t="s">
        <v>451</v>
      </c>
      <c r="D19" s="130"/>
      <c r="E19" s="130"/>
      <c r="F19" s="130"/>
      <c r="G19" s="130"/>
      <c r="H19" s="130"/>
      <c r="I19" s="130"/>
      <c r="J19" s="124"/>
    </row>
    <row r="20" spans="1:18" x14ac:dyDescent="0.2">
      <c r="A20" s="205"/>
      <c r="B20" s="134"/>
      <c r="C20" s="130" t="s">
        <v>450</v>
      </c>
      <c r="D20" s="130"/>
      <c r="E20" s="130"/>
      <c r="F20" s="130"/>
      <c r="G20" s="130"/>
      <c r="H20" s="130"/>
      <c r="I20" s="130"/>
      <c r="J20" s="124"/>
      <c r="L20" s="159" t="s">
        <v>388</v>
      </c>
    </row>
    <row r="21" spans="1:18" x14ac:dyDescent="0.2">
      <c r="A21" s="205"/>
      <c r="B21" s="134"/>
      <c r="C21" s="130" t="s">
        <v>449</v>
      </c>
      <c r="D21" s="130"/>
      <c r="E21" s="130"/>
      <c r="F21" s="130"/>
      <c r="G21" s="130"/>
      <c r="H21" s="130"/>
      <c r="I21" s="130"/>
      <c r="J21" s="124"/>
      <c r="L21" s="322" t="s">
        <v>448</v>
      </c>
      <c r="M21" s="322"/>
      <c r="N21" s="322"/>
      <c r="O21" s="322"/>
      <c r="P21" s="322"/>
      <c r="Q21" s="322"/>
      <c r="R21" s="322"/>
    </row>
    <row r="22" spans="1:18" ht="16" customHeight="1" x14ac:dyDescent="0.2">
      <c r="A22" s="205"/>
      <c r="B22" s="134"/>
      <c r="C22" s="130" t="s">
        <v>447</v>
      </c>
      <c r="D22" s="130"/>
      <c r="E22" s="130"/>
      <c r="F22" s="130"/>
      <c r="G22" s="130"/>
      <c r="H22" s="130"/>
      <c r="I22" s="130"/>
      <c r="J22" s="124"/>
      <c r="L22" s="322"/>
      <c r="M22" s="322"/>
      <c r="N22" s="322"/>
      <c r="O22" s="322"/>
      <c r="P22" s="322"/>
      <c r="Q22" s="322"/>
      <c r="R22" s="322"/>
    </row>
    <row r="23" spans="1:18" x14ac:dyDescent="0.2">
      <c r="A23" s="205"/>
      <c r="B23" s="130"/>
      <c r="C23" s="130"/>
      <c r="D23" s="130"/>
      <c r="E23" s="130"/>
      <c r="F23" s="130"/>
      <c r="G23" s="130"/>
      <c r="H23" s="130"/>
      <c r="I23" s="130"/>
      <c r="J23" s="124"/>
      <c r="L23" s="322"/>
      <c r="M23" s="322"/>
      <c r="N23" s="322"/>
      <c r="O23" s="322"/>
      <c r="P23" s="322"/>
      <c r="Q23" s="322"/>
      <c r="R23" s="322"/>
    </row>
    <row r="24" spans="1:18" ht="16" customHeight="1" x14ac:dyDescent="0.2">
      <c r="A24" s="205" t="s">
        <v>0</v>
      </c>
      <c r="B24" s="130" t="s">
        <v>391</v>
      </c>
      <c r="C24" s="132" t="s">
        <v>446</v>
      </c>
      <c r="D24" s="130"/>
      <c r="E24" s="130"/>
      <c r="F24" s="130"/>
      <c r="G24" s="130"/>
      <c r="H24" s="130"/>
      <c r="I24" s="130"/>
      <c r="J24" s="124"/>
    </row>
    <row r="25" spans="1:18" ht="19" x14ac:dyDescent="0.25">
      <c r="A25" s="205"/>
      <c r="B25" s="130"/>
      <c r="C25" s="132" t="s">
        <v>445</v>
      </c>
      <c r="D25" s="130"/>
      <c r="E25" s="130"/>
      <c r="F25" s="130"/>
      <c r="G25" s="130"/>
      <c r="H25" s="130"/>
      <c r="I25" s="130"/>
      <c r="J25" s="124"/>
      <c r="L25" s="112" t="s">
        <v>128</v>
      </c>
    </row>
    <row r="26" spans="1:18" ht="16" customHeight="1" x14ac:dyDescent="0.2">
      <c r="A26" s="205"/>
      <c r="B26" s="130"/>
      <c r="C26" s="132"/>
      <c r="D26" s="130"/>
      <c r="E26" s="130"/>
      <c r="F26" s="130"/>
      <c r="G26" s="130"/>
      <c r="H26" s="130"/>
      <c r="I26" s="130"/>
      <c r="J26" s="124"/>
      <c r="L26" s="322" t="s">
        <v>444</v>
      </c>
      <c r="M26" s="322"/>
      <c r="N26" s="322"/>
      <c r="O26" s="322"/>
      <c r="P26" s="322"/>
      <c r="Q26" s="322"/>
      <c r="R26" s="322"/>
    </row>
    <row r="27" spans="1:18" x14ac:dyDescent="0.2">
      <c r="A27" s="205" t="s">
        <v>1</v>
      </c>
      <c r="B27" s="130" t="s">
        <v>396</v>
      </c>
      <c r="C27" s="132" t="s">
        <v>443</v>
      </c>
      <c r="D27" s="130"/>
      <c r="E27" s="130"/>
      <c r="F27" s="130"/>
      <c r="G27" s="130"/>
      <c r="H27" s="130"/>
      <c r="I27" s="130"/>
      <c r="J27" s="124"/>
      <c r="L27" s="322"/>
      <c r="M27" s="322"/>
      <c r="N27" s="322"/>
      <c r="O27" s="322"/>
      <c r="P27" s="322"/>
      <c r="Q27" s="322"/>
      <c r="R27" s="322"/>
    </row>
    <row r="28" spans="1:18" x14ac:dyDescent="0.2">
      <c r="A28" s="205"/>
      <c r="B28" s="130"/>
      <c r="C28" s="130" t="s">
        <v>442</v>
      </c>
      <c r="D28" s="130"/>
      <c r="E28" s="130"/>
      <c r="F28" s="130"/>
      <c r="G28" s="130"/>
      <c r="H28" s="130"/>
      <c r="I28" s="130"/>
      <c r="J28" s="124"/>
      <c r="L28" s="322"/>
      <c r="M28" s="322"/>
      <c r="N28" s="322"/>
      <c r="O28" s="322"/>
      <c r="P28" s="322"/>
      <c r="Q28" s="322"/>
      <c r="R28" s="322"/>
    </row>
    <row r="29" spans="1:18" ht="16.5" customHeight="1" thickBot="1" x14ac:dyDescent="0.25">
      <c r="A29" s="202"/>
      <c r="B29" s="248"/>
      <c r="C29" s="249"/>
      <c r="D29" s="248"/>
      <c r="E29" s="248"/>
      <c r="F29" s="248"/>
      <c r="G29" s="248"/>
      <c r="H29" s="248"/>
      <c r="I29" s="248"/>
      <c r="J29" s="247"/>
      <c r="L29" s="322"/>
      <c r="M29" s="322"/>
      <c r="N29" s="322"/>
      <c r="O29" s="322"/>
      <c r="P29" s="322"/>
      <c r="Q29" s="322"/>
      <c r="R29" s="322"/>
    </row>
    <row r="30" spans="1:18" ht="17" thickBot="1" x14ac:dyDescent="0.25">
      <c r="A30" s="219" t="s">
        <v>140</v>
      </c>
      <c r="B30" s="164"/>
      <c r="C30" s="218"/>
      <c r="D30" s="164"/>
      <c r="E30" s="164"/>
      <c r="F30" s="164"/>
      <c r="G30" s="164"/>
      <c r="H30" s="164"/>
      <c r="I30" s="164"/>
      <c r="J30" s="163"/>
      <c r="L30" s="322"/>
      <c r="M30" s="322"/>
      <c r="N30" s="322"/>
      <c r="O30" s="322"/>
      <c r="P30" s="322"/>
      <c r="Q30" s="322"/>
      <c r="R30" s="322"/>
    </row>
    <row r="31" spans="1:18" x14ac:dyDescent="0.2">
      <c r="L31" s="322"/>
      <c r="M31" s="322"/>
      <c r="N31" s="322"/>
      <c r="O31" s="322"/>
      <c r="P31" s="322"/>
      <c r="Q31" s="322"/>
      <c r="R31" s="322"/>
    </row>
    <row r="32" spans="1:18" x14ac:dyDescent="0.2">
      <c r="L32" s="322"/>
      <c r="M32" s="322"/>
      <c r="N32" s="322"/>
      <c r="O32" s="322"/>
      <c r="P32" s="322"/>
      <c r="Q32" s="322"/>
      <c r="R32" s="322"/>
    </row>
    <row r="33" spans="12:18" x14ac:dyDescent="0.2">
      <c r="L33" s="322"/>
      <c r="M33" s="322"/>
      <c r="N33" s="322"/>
      <c r="O33" s="322"/>
      <c r="P33" s="322"/>
      <c r="Q33" s="322"/>
      <c r="R33" s="322"/>
    </row>
    <row r="34" spans="12:18" x14ac:dyDescent="0.2">
      <c r="L34" s="322"/>
      <c r="M34" s="322"/>
      <c r="N34" s="322"/>
      <c r="O34" s="322"/>
      <c r="P34" s="322"/>
      <c r="Q34" s="322"/>
      <c r="R34" s="322"/>
    </row>
    <row r="35" spans="12:18" x14ac:dyDescent="0.2">
      <c r="L35" s="322"/>
      <c r="M35" s="322"/>
      <c r="N35" s="322"/>
      <c r="O35" s="322"/>
      <c r="P35" s="322"/>
      <c r="Q35" s="322"/>
      <c r="R35" s="322"/>
    </row>
    <row r="36" spans="12:18" x14ac:dyDescent="0.2">
      <c r="L36" s="322"/>
      <c r="M36" s="322"/>
      <c r="N36" s="322"/>
      <c r="O36" s="322"/>
      <c r="P36" s="322"/>
      <c r="Q36" s="322"/>
      <c r="R36" s="322"/>
    </row>
    <row r="37" spans="12:18" x14ac:dyDescent="0.2">
      <c r="L37" s="322"/>
      <c r="M37" s="322"/>
      <c r="N37" s="322"/>
      <c r="O37" s="322"/>
      <c r="P37" s="322"/>
      <c r="Q37" s="322"/>
      <c r="R37" s="322"/>
    </row>
    <row r="38" spans="12:18" x14ac:dyDescent="0.2">
      <c r="L38" s="322"/>
      <c r="M38" s="322"/>
      <c r="N38" s="322"/>
      <c r="O38" s="322"/>
      <c r="P38" s="322"/>
      <c r="Q38" s="322"/>
      <c r="R38" s="322"/>
    </row>
    <row r="39" spans="12:18" x14ac:dyDescent="0.2">
      <c r="L39" s="322"/>
      <c r="M39" s="322"/>
      <c r="N39" s="322"/>
      <c r="O39" s="322"/>
      <c r="P39" s="322"/>
      <c r="Q39" s="322"/>
      <c r="R39" s="322"/>
    </row>
    <row r="41" spans="12:18" ht="19" x14ac:dyDescent="0.2">
      <c r="L41" s="240" t="s">
        <v>203</v>
      </c>
    </row>
    <row r="42" spans="12:18" x14ac:dyDescent="0.2">
      <c r="L42" s="323" t="s">
        <v>441</v>
      </c>
      <c r="M42" s="323"/>
      <c r="N42" s="323"/>
      <c r="O42" s="323"/>
      <c r="P42" s="323"/>
      <c r="Q42" s="323"/>
      <c r="R42" s="323"/>
    </row>
  </sheetData>
  <mergeCells count="4">
    <mergeCell ref="L42:R42"/>
    <mergeCell ref="D6:F6"/>
    <mergeCell ref="L21:R23"/>
    <mergeCell ref="L26:R3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519FE-C473-9B4E-A0CB-D26B477D1CC0}">
  <dimension ref="A1:S43"/>
  <sheetViews>
    <sheetView workbookViewId="0">
      <selection activeCell="B1" sqref="B1"/>
    </sheetView>
  </sheetViews>
  <sheetFormatPr baseColWidth="10" defaultColWidth="11" defaultRowHeight="16" outlineLevelCol="1" x14ac:dyDescent="0.2"/>
  <cols>
    <col min="1" max="1" width="4" style="196" customWidth="1"/>
    <col min="2" max="2" width="11.5" customWidth="1"/>
    <col min="5" max="5" width="12" customWidth="1"/>
    <col min="6" max="11" width="10.83203125" customWidth="1"/>
    <col min="12" max="18" width="10.83203125" hidden="1" customWidth="1" outlineLevel="1"/>
    <col min="19" max="19" width="11" collapsed="1"/>
  </cols>
  <sheetData>
    <row r="1" spans="1:18" x14ac:dyDescent="0.2">
      <c r="A1" s="238"/>
      <c r="B1" s="156" t="s">
        <v>419</v>
      </c>
      <c r="C1" s="155" t="s">
        <v>514</v>
      </c>
      <c r="D1" s="155" t="s">
        <v>417</v>
      </c>
      <c r="E1" s="155" t="s">
        <v>513</v>
      </c>
      <c r="F1" s="154"/>
      <c r="G1" s="154"/>
      <c r="H1" s="154"/>
      <c r="I1" s="154"/>
      <c r="J1" s="153"/>
      <c r="K1" s="159" t="s">
        <v>141</v>
      </c>
    </row>
    <row r="2" spans="1:18" x14ac:dyDescent="0.2">
      <c r="A2" s="205"/>
      <c r="B2" s="237" t="s">
        <v>415</v>
      </c>
      <c r="C2" s="236">
        <v>3.25</v>
      </c>
      <c r="D2" s="130"/>
      <c r="E2" s="130"/>
      <c r="F2" s="130"/>
      <c r="G2" s="130"/>
      <c r="H2" s="130"/>
      <c r="I2" s="130"/>
      <c r="J2" s="124"/>
    </row>
    <row r="3" spans="1:18" x14ac:dyDescent="0.2">
      <c r="A3" s="205"/>
      <c r="B3" s="130"/>
      <c r="C3" s="130"/>
      <c r="D3" s="130"/>
      <c r="E3" s="130"/>
      <c r="F3" s="130"/>
      <c r="G3" s="130"/>
      <c r="H3" s="130"/>
      <c r="I3" s="130"/>
      <c r="J3" s="124"/>
      <c r="L3" s="159" t="s">
        <v>414</v>
      </c>
    </row>
    <row r="4" spans="1:18" x14ac:dyDescent="0.2">
      <c r="A4" s="205"/>
      <c r="B4" s="130"/>
      <c r="C4" s="130" t="s">
        <v>512</v>
      </c>
      <c r="D4" s="130"/>
      <c r="E4" s="130"/>
      <c r="F4" s="130"/>
      <c r="G4" s="130"/>
      <c r="H4" s="130"/>
      <c r="I4" s="130"/>
      <c r="J4" s="124"/>
    </row>
    <row r="5" spans="1:18" x14ac:dyDescent="0.2">
      <c r="A5" s="205"/>
      <c r="B5" s="130"/>
      <c r="C5" s="130"/>
      <c r="D5" s="130"/>
      <c r="E5" s="130"/>
      <c r="F5" s="130"/>
      <c r="G5" s="130"/>
      <c r="H5" s="130"/>
      <c r="I5" s="130"/>
      <c r="J5" s="124"/>
      <c r="L5" t="s">
        <v>402</v>
      </c>
      <c r="P5" s="118" t="s">
        <v>511</v>
      </c>
    </row>
    <row r="6" spans="1:18" x14ac:dyDescent="0.2">
      <c r="A6" s="205"/>
      <c r="B6" s="130"/>
      <c r="C6" s="130"/>
      <c r="D6" s="264"/>
      <c r="E6" s="145" t="s">
        <v>510</v>
      </c>
      <c r="F6" s="263"/>
      <c r="G6" s="130"/>
      <c r="H6" s="130"/>
      <c r="I6" s="130"/>
      <c r="J6" s="124"/>
      <c r="P6" t="s">
        <v>509</v>
      </c>
      <c r="Q6" s="260">
        <f>AVERAGE(E9:E11)</f>
        <v>37</v>
      </c>
    </row>
    <row r="7" spans="1:18" x14ac:dyDescent="0.2">
      <c r="A7" s="205"/>
      <c r="B7" s="130"/>
      <c r="C7" s="130"/>
      <c r="D7" s="262" t="s">
        <v>508</v>
      </c>
      <c r="E7" s="143" t="s">
        <v>507</v>
      </c>
      <c r="F7" s="245" t="s">
        <v>506</v>
      </c>
      <c r="G7" s="130"/>
      <c r="H7" s="130"/>
      <c r="I7" s="130"/>
      <c r="J7" s="124"/>
      <c r="L7" s="128" t="s">
        <v>11</v>
      </c>
      <c r="M7" s="128" t="s">
        <v>12</v>
      </c>
      <c r="P7" t="s">
        <v>505</v>
      </c>
      <c r="Q7" s="260">
        <f>AVERAGE(F9:F11)</f>
        <v>70</v>
      </c>
    </row>
    <row r="8" spans="1:18" x14ac:dyDescent="0.2">
      <c r="A8" s="205"/>
      <c r="B8" s="130"/>
      <c r="C8" s="130"/>
      <c r="D8" s="148" t="s">
        <v>407</v>
      </c>
      <c r="E8" s="139" t="s">
        <v>504</v>
      </c>
      <c r="F8" s="146" t="s">
        <v>503</v>
      </c>
      <c r="G8" s="130"/>
      <c r="H8" s="130"/>
      <c r="I8" s="130"/>
      <c r="J8" s="124"/>
      <c r="L8" s="226" cm="1">
        <f t="array" ref="L8:M8">LINEST(F9:F11,E9:E11)</f>
        <v>0.71428571428571419</v>
      </c>
      <c r="M8" s="261">
        <v>43.571428571428577</v>
      </c>
      <c r="P8" t="s">
        <v>502</v>
      </c>
      <c r="Q8" s="260">
        <f>SUMPRODUCT(E9:E11,E9:E11)/3</f>
        <v>1373.6666666666667</v>
      </c>
    </row>
    <row r="9" spans="1:18" x14ac:dyDescent="0.2">
      <c r="A9" s="205"/>
      <c r="B9" s="130"/>
      <c r="C9" s="130"/>
      <c r="D9" s="145">
        <v>2011</v>
      </c>
      <c r="E9" s="231">
        <v>36</v>
      </c>
      <c r="F9" s="179">
        <v>75</v>
      </c>
      <c r="G9" s="130"/>
      <c r="H9" s="130"/>
      <c r="I9" s="130"/>
      <c r="J9" s="124"/>
      <c r="P9" t="s">
        <v>501</v>
      </c>
      <c r="Q9" s="260">
        <f>SUMPRODUCT(E9:E11,F9:F11)/3</f>
        <v>2593.3333333333335</v>
      </c>
    </row>
    <row r="10" spans="1:18" ht="17" thickBot="1" x14ac:dyDescent="0.25">
      <c r="A10" s="205"/>
      <c r="B10" s="130"/>
      <c r="C10" s="130"/>
      <c r="D10" s="143">
        <v>2012</v>
      </c>
      <c r="E10" s="142">
        <v>40</v>
      </c>
      <c r="F10" s="178">
        <v>71</v>
      </c>
      <c r="G10" s="130"/>
      <c r="H10" s="130"/>
      <c r="I10" s="130"/>
      <c r="J10" s="124"/>
    </row>
    <row r="11" spans="1:18" ht="17" thickBot="1" x14ac:dyDescent="0.25">
      <c r="A11" s="205"/>
      <c r="B11" s="130"/>
      <c r="C11" s="130"/>
      <c r="D11" s="143">
        <v>2013</v>
      </c>
      <c r="E11" s="142">
        <v>35</v>
      </c>
      <c r="F11" s="178">
        <v>64</v>
      </c>
      <c r="G11" s="130"/>
      <c r="H11" s="130"/>
      <c r="I11" s="130"/>
      <c r="J11" s="124"/>
      <c r="L11" s="114" t="s">
        <v>471</v>
      </c>
      <c r="M11" s="256">
        <f>M8+L8*E12</f>
        <v>61.428571428571431</v>
      </c>
      <c r="N11" t="s">
        <v>500</v>
      </c>
      <c r="P11" s="117" t="s">
        <v>11</v>
      </c>
      <c r="Q11" s="162">
        <f>(Q9-Q6*Q7)/(Q8-Q6^2)</f>
        <v>0.71428571428573517</v>
      </c>
      <c r="R11" t="s">
        <v>499</v>
      </c>
    </row>
    <row r="12" spans="1:18" x14ac:dyDescent="0.2">
      <c r="A12" s="205"/>
      <c r="B12" s="130"/>
      <c r="C12" s="130"/>
      <c r="D12" s="139">
        <v>2014</v>
      </c>
      <c r="E12" s="138">
        <v>25</v>
      </c>
      <c r="F12" s="177"/>
      <c r="G12" s="130"/>
      <c r="H12" s="130"/>
      <c r="I12" s="130"/>
      <c r="J12" s="124"/>
      <c r="P12" s="117" t="s">
        <v>12</v>
      </c>
      <c r="Q12" s="188">
        <f>Q7-Q11*Q6</f>
        <v>43.571428571427802</v>
      </c>
      <c r="R12" t="s">
        <v>498</v>
      </c>
    </row>
    <row r="13" spans="1:18" x14ac:dyDescent="0.2">
      <c r="A13" s="205"/>
      <c r="B13" s="134"/>
      <c r="C13" s="130"/>
      <c r="D13" s="130"/>
      <c r="E13" s="130"/>
      <c r="F13" s="130"/>
      <c r="G13" s="130"/>
      <c r="H13" s="130"/>
      <c r="I13" s="130"/>
      <c r="J13" s="124"/>
    </row>
    <row r="14" spans="1:18" x14ac:dyDescent="0.2">
      <c r="A14" s="205" t="s">
        <v>0</v>
      </c>
      <c r="B14" s="198" t="s">
        <v>497</v>
      </c>
      <c r="C14" s="130" t="s">
        <v>496</v>
      </c>
      <c r="D14" s="130"/>
      <c r="E14" s="130"/>
      <c r="F14" s="130"/>
      <c r="G14" s="130"/>
      <c r="H14" s="130"/>
      <c r="I14" s="130"/>
      <c r="J14" s="124"/>
    </row>
    <row r="15" spans="1:18" x14ac:dyDescent="0.2">
      <c r="A15" s="205"/>
      <c r="B15" s="134"/>
      <c r="C15" s="130"/>
      <c r="D15" s="130"/>
      <c r="E15" s="130"/>
      <c r="F15" s="130"/>
      <c r="G15" s="130"/>
      <c r="H15" s="130"/>
      <c r="I15" s="130"/>
      <c r="J15" s="124"/>
      <c r="L15" s="159" t="s">
        <v>388</v>
      </c>
    </row>
    <row r="16" spans="1:18" x14ac:dyDescent="0.2">
      <c r="A16" s="205" t="s">
        <v>1</v>
      </c>
      <c r="B16" s="198" t="s">
        <v>396</v>
      </c>
      <c r="C16" s="130" t="s">
        <v>495</v>
      </c>
      <c r="D16" s="130"/>
      <c r="E16" s="130"/>
      <c r="F16" s="130"/>
      <c r="G16" s="130"/>
      <c r="H16" s="130"/>
      <c r="I16" s="130"/>
      <c r="J16" s="124"/>
    </row>
    <row r="17" spans="1:14" x14ac:dyDescent="0.2">
      <c r="A17" s="205"/>
      <c r="B17" s="134"/>
      <c r="C17" s="130" t="s">
        <v>494</v>
      </c>
      <c r="D17" s="130"/>
      <c r="E17" s="130"/>
      <c r="F17" s="130"/>
      <c r="G17" s="130"/>
      <c r="H17" s="130"/>
      <c r="I17" s="130"/>
      <c r="J17" s="124"/>
      <c r="L17" t="s">
        <v>493</v>
      </c>
    </row>
    <row r="18" spans="1:14" x14ac:dyDescent="0.2">
      <c r="A18" s="205"/>
      <c r="B18" s="134"/>
      <c r="C18" s="130"/>
      <c r="D18" s="130"/>
      <c r="E18" s="130"/>
      <c r="F18" s="130"/>
      <c r="G18" s="130"/>
      <c r="H18" s="130"/>
      <c r="I18" s="130"/>
      <c r="J18" s="124"/>
      <c r="L18" t="s">
        <v>492</v>
      </c>
    </row>
    <row r="19" spans="1:14" x14ac:dyDescent="0.2">
      <c r="A19" s="205"/>
      <c r="B19" s="134"/>
      <c r="C19" s="130" t="s">
        <v>491</v>
      </c>
      <c r="D19" s="130"/>
      <c r="E19" s="130"/>
      <c r="F19" s="130"/>
      <c r="G19" s="130"/>
      <c r="H19" s="130"/>
      <c r="I19" s="130"/>
      <c r="J19" s="124"/>
    </row>
    <row r="20" spans="1:14" x14ac:dyDescent="0.2">
      <c r="A20" s="205"/>
      <c r="B20" s="134"/>
      <c r="C20" s="130" t="s">
        <v>490</v>
      </c>
      <c r="D20" s="130"/>
      <c r="E20" s="130"/>
      <c r="F20" s="130"/>
      <c r="G20" s="130"/>
      <c r="H20" s="130"/>
      <c r="I20" s="130"/>
      <c r="J20" s="124"/>
      <c r="L20" s="159" t="s">
        <v>386</v>
      </c>
    </row>
    <row r="21" spans="1:14" x14ac:dyDescent="0.2">
      <c r="A21" s="205"/>
      <c r="B21" s="134"/>
      <c r="C21" s="130"/>
      <c r="D21" s="130"/>
      <c r="E21" s="130"/>
      <c r="F21" s="130"/>
      <c r="G21" s="130"/>
      <c r="H21" s="130"/>
      <c r="I21" s="130"/>
      <c r="J21" s="124"/>
    </row>
    <row r="22" spans="1:14" x14ac:dyDescent="0.2">
      <c r="A22" s="205" t="s">
        <v>269</v>
      </c>
      <c r="B22" s="198" t="s">
        <v>391</v>
      </c>
      <c r="C22" s="130" t="s">
        <v>489</v>
      </c>
      <c r="D22" s="130"/>
      <c r="E22" s="130"/>
      <c r="F22" s="130"/>
      <c r="G22" s="130"/>
      <c r="H22" s="130"/>
      <c r="I22" s="130"/>
      <c r="J22" s="124"/>
      <c r="L22" t="s">
        <v>488</v>
      </c>
      <c r="M22" s="259">
        <f>(1-H27)*Q7</f>
        <v>56</v>
      </c>
      <c r="N22" t="s">
        <v>487</v>
      </c>
    </row>
    <row r="23" spans="1:14" x14ac:dyDescent="0.2">
      <c r="A23" s="205"/>
      <c r="B23" s="134"/>
      <c r="C23" s="130"/>
      <c r="D23" s="130"/>
      <c r="E23" s="130"/>
      <c r="F23" s="130"/>
      <c r="G23" s="130"/>
      <c r="H23" s="130"/>
      <c r="I23" s="130"/>
      <c r="J23" s="124"/>
      <c r="L23" t="s">
        <v>486</v>
      </c>
      <c r="M23" s="259">
        <f>I28/1000000</f>
        <v>6</v>
      </c>
    </row>
    <row r="24" spans="1:14" x14ac:dyDescent="0.2">
      <c r="A24" s="205"/>
      <c r="B24" s="134"/>
      <c r="C24" s="130" t="s">
        <v>485</v>
      </c>
      <c r="D24" s="130"/>
      <c r="E24" s="130"/>
      <c r="F24" s="130"/>
      <c r="G24" s="130"/>
      <c r="H24" s="130"/>
      <c r="I24" s="130"/>
      <c r="J24" s="124"/>
      <c r="L24" t="s">
        <v>484</v>
      </c>
      <c r="M24" s="259">
        <f>1/(SUM(F9:F11)/SUM(E9:E11))</f>
        <v>0.52857142857142858</v>
      </c>
      <c r="N24" t="s">
        <v>483</v>
      </c>
    </row>
    <row r="25" spans="1:14" x14ac:dyDescent="0.2">
      <c r="A25" s="205"/>
      <c r="B25" s="134"/>
      <c r="C25" s="130" t="s">
        <v>482</v>
      </c>
      <c r="D25" s="130"/>
      <c r="E25" s="130"/>
      <c r="F25" s="130"/>
      <c r="G25" s="130"/>
      <c r="H25" s="130"/>
      <c r="I25" s="130"/>
      <c r="J25" s="124"/>
      <c r="L25" t="s">
        <v>481</v>
      </c>
      <c r="M25" s="259">
        <v>0.1</v>
      </c>
      <c r="N25" t="s">
        <v>480</v>
      </c>
    </row>
    <row r="26" spans="1:14" x14ac:dyDescent="0.2">
      <c r="A26" s="205"/>
      <c r="B26" s="134"/>
      <c r="C26" s="130" t="s">
        <v>479</v>
      </c>
      <c r="D26" s="130"/>
      <c r="E26" s="130"/>
      <c r="F26" s="130"/>
      <c r="G26" s="130"/>
      <c r="H26" s="130"/>
      <c r="I26" s="130"/>
      <c r="J26" s="124"/>
    </row>
    <row r="27" spans="1:14" x14ac:dyDescent="0.2">
      <c r="A27" s="205"/>
      <c r="B27" s="134"/>
      <c r="C27" s="130" t="s">
        <v>478</v>
      </c>
      <c r="D27" s="130"/>
      <c r="E27" s="130"/>
      <c r="F27" s="130"/>
      <c r="G27" s="130"/>
      <c r="H27" s="257">
        <v>0.2</v>
      </c>
      <c r="I27" s="130"/>
      <c r="J27" s="124"/>
      <c r="L27" t="s">
        <v>477</v>
      </c>
      <c r="M27" s="258">
        <f>M24^2*M23^2</f>
        <v>10.05795918367347</v>
      </c>
      <c r="N27" t="s">
        <v>291</v>
      </c>
    </row>
    <row r="28" spans="1:14" x14ac:dyDescent="0.2">
      <c r="A28" s="205"/>
      <c r="B28" s="134"/>
      <c r="C28" s="130" t="s">
        <v>476</v>
      </c>
      <c r="D28" s="130"/>
      <c r="E28" s="130"/>
      <c r="F28" s="130"/>
      <c r="G28" s="130"/>
      <c r="H28" s="257"/>
      <c r="I28" s="131">
        <v>6000000</v>
      </c>
      <c r="J28" s="124"/>
      <c r="L28" t="s">
        <v>475</v>
      </c>
      <c r="M28">
        <f>M25^2*(M23^2+M22^2)</f>
        <v>31.720000000000006</v>
      </c>
      <c r="N28" t="s">
        <v>288</v>
      </c>
    </row>
    <row r="29" spans="1:14" x14ac:dyDescent="0.2">
      <c r="A29" s="205"/>
      <c r="B29" s="134"/>
      <c r="C29" s="130"/>
      <c r="D29" s="130"/>
      <c r="E29" s="130"/>
      <c r="F29" s="130"/>
      <c r="G29" s="130"/>
      <c r="H29" s="257"/>
      <c r="I29" s="130"/>
      <c r="J29" s="124"/>
    </row>
    <row r="30" spans="1:14" x14ac:dyDescent="0.2">
      <c r="A30" s="205"/>
      <c r="B30" s="134"/>
      <c r="C30" s="130" t="s">
        <v>474</v>
      </c>
      <c r="D30" s="130"/>
      <c r="E30" s="130"/>
      <c r="F30" s="130"/>
      <c r="G30" s="130"/>
      <c r="H30" s="257"/>
      <c r="I30" s="130"/>
      <c r="J30" s="124"/>
      <c r="L30" t="s">
        <v>473</v>
      </c>
      <c r="M30" s="144">
        <f>M27/(M27+M28)</f>
        <v>0.24074797764664502</v>
      </c>
      <c r="N30" t="s">
        <v>472</v>
      </c>
    </row>
    <row r="31" spans="1:14" ht="17" thickBot="1" x14ac:dyDescent="0.25">
      <c r="A31" s="205"/>
      <c r="B31" s="134"/>
      <c r="C31" s="130"/>
      <c r="D31" s="130"/>
      <c r="E31" s="130"/>
      <c r="F31" s="130"/>
      <c r="G31" s="130"/>
      <c r="H31" s="130"/>
      <c r="I31" s="130"/>
      <c r="J31" s="124"/>
    </row>
    <row r="32" spans="1:14" ht="17" thickBot="1" x14ac:dyDescent="0.25">
      <c r="A32" s="219" t="s">
        <v>140</v>
      </c>
      <c r="B32" s="164"/>
      <c r="C32" s="218"/>
      <c r="D32" s="164"/>
      <c r="E32" s="164"/>
      <c r="F32" s="164"/>
      <c r="G32" s="164"/>
      <c r="H32" s="164"/>
      <c r="I32" s="164"/>
      <c r="J32" s="163"/>
      <c r="L32" s="114" t="s">
        <v>471</v>
      </c>
      <c r="M32" s="256">
        <f>M30*E12/M24+(1-M30)*M22</f>
        <v>53.904841924264332</v>
      </c>
    </row>
    <row r="33" spans="12:18" x14ac:dyDescent="0.2">
      <c r="M33" s="188"/>
    </row>
    <row r="35" spans="12:18" ht="19" x14ac:dyDescent="0.25">
      <c r="L35" s="112" t="s">
        <v>128</v>
      </c>
    </row>
    <row r="36" spans="12:18" ht="16" customHeight="1" x14ac:dyDescent="0.2">
      <c r="L36" s="317" t="s">
        <v>470</v>
      </c>
      <c r="M36" s="317"/>
      <c r="N36" s="317"/>
      <c r="O36" s="317"/>
      <c r="P36" s="317"/>
      <c r="Q36" s="317"/>
      <c r="R36" s="317"/>
    </row>
    <row r="37" spans="12:18" x14ac:dyDescent="0.2">
      <c r="L37" s="317"/>
      <c r="M37" s="317"/>
      <c r="N37" s="317"/>
      <c r="O37" s="317"/>
      <c r="P37" s="317"/>
      <c r="Q37" s="317"/>
      <c r="R37" s="317"/>
    </row>
    <row r="38" spans="12:18" x14ac:dyDescent="0.2">
      <c r="L38" s="317"/>
      <c r="M38" s="317"/>
      <c r="N38" s="317"/>
      <c r="O38" s="317"/>
      <c r="P38" s="317"/>
      <c r="Q38" s="317"/>
      <c r="R38" s="317"/>
    </row>
    <row r="39" spans="12:18" x14ac:dyDescent="0.2">
      <c r="L39" s="317"/>
      <c r="M39" s="317"/>
      <c r="N39" s="317"/>
      <c r="O39" s="317"/>
      <c r="P39" s="317"/>
      <c r="Q39" s="317"/>
      <c r="R39" s="317"/>
    </row>
    <row r="41" spans="12:18" ht="19" x14ac:dyDescent="0.25">
      <c r="L41" s="112" t="s">
        <v>203</v>
      </c>
    </row>
    <row r="42" spans="12:18" x14ac:dyDescent="0.2">
      <c r="L42" t="s">
        <v>384</v>
      </c>
    </row>
    <row r="43" spans="12:18" x14ac:dyDescent="0.2">
      <c r="L43" t="s">
        <v>205</v>
      </c>
    </row>
  </sheetData>
  <mergeCells count="1">
    <mergeCell ref="L36:R3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8494-4F24-5842-B3D6-D4B5D6079536}">
  <dimension ref="A1:S49"/>
  <sheetViews>
    <sheetView workbookViewId="0">
      <selection activeCell="B1" sqref="B1"/>
    </sheetView>
  </sheetViews>
  <sheetFormatPr baseColWidth="10" defaultColWidth="11" defaultRowHeight="16" outlineLevelCol="1" x14ac:dyDescent="0.2"/>
  <cols>
    <col min="1" max="1" width="4" style="196" customWidth="1"/>
    <col min="2" max="2" width="11.5" customWidth="1"/>
    <col min="12" max="12" width="14.6640625" hidden="1" customWidth="1" outlineLevel="1"/>
    <col min="13" max="18" width="10.83203125" hidden="1" customWidth="1" outlineLevel="1"/>
    <col min="19" max="19" width="11" collapsed="1"/>
  </cols>
  <sheetData>
    <row r="1" spans="1:16" x14ac:dyDescent="0.2">
      <c r="A1" s="238"/>
      <c r="B1" s="156" t="s">
        <v>419</v>
      </c>
      <c r="C1" s="155" t="s">
        <v>536</v>
      </c>
      <c r="D1" s="155" t="s">
        <v>417</v>
      </c>
      <c r="E1" s="155" t="s">
        <v>513</v>
      </c>
      <c r="F1" s="154"/>
      <c r="G1" s="154"/>
      <c r="H1" s="154"/>
      <c r="I1" s="154"/>
      <c r="J1" s="153"/>
      <c r="K1" s="159" t="s">
        <v>141</v>
      </c>
      <c r="L1" s="159"/>
    </row>
    <row r="2" spans="1:16" x14ac:dyDescent="0.2">
      <c r="A2" s="205"/>
      <c r="B2" s="237" t="s">
        <v>415</v>
      </c>
      <c r="C2" s="236">
        <v>1.75</v>
      </c>
      <c r="D2" s="130"/>
      <c r="E2" s="130"/>
      <c r="F2" s="130"/>
      <c r="G2" s="130"/>
      <c r="H2" s="130"/>
      <c r="I2" s="130"/>
      <c r="J2" s="124"/>
    </row>
    <row r="3" spans="1:16" x14ac:dyDescent="0.2">
      <c r="A3" s="205"/>
      <c r="B3" s="130"/>
      <c r="C3" s="130"/>
      <c r="D3" s="130"/>
      <c r="E3" s="130"/>
      <c r="F3" s="130"/>
      <c r="G3" s="130"/>
      <c r="H3" s="130"/>
      <c r="I3" s="130"/>
      <c r="J3" s="124"/>
      <c r="L3" t="s">
        <v>535</v>
      </c>
      <c r="M3" s="260"/>
    </row>
    <row r="4" spans="1:16" x14ac:dyDescent="0.2">
      <c r="A4" s="205"/>
      <c r="B4" s="130"/>
      <c r="C4" s="130" t="s">
        <v>534</v>
      </c>
      <c r="D4" s="130"/>
      <c r="E4" s="130"/>
      <c r="F4" s="130"/>
      <c r="G4" s="130"/>
      <c r="H4" s="130"/>
      <c r="I4" s="130"/>
      <c r="J4" s="124"/>
      <c r="M4" s="260"/>
    </row>
    <row r="5" spans="1:16" x14ac:dyDescent="0.2">
      <c r="A5" s="205"/>
      <c r="B5" s="130"/>
      <c r="C5" s="130"/>
      <c r="D5" s="130"/>
      <c r="E5" s="130"/>
      <c r="F5" s="130"/>
      <c r="G5" s="130"/>
      <c r="H5" s="130"/>
      <c r="I5" s="130"/>
      <c r="J5" s="124"/>
      <c r="L5" s="129" t="s">
        <v>5</v>
      </c>
      <c r="M5" s="128" t="s">
        <v>232</v>
      </c>
      <c r="N5" s="128" t="s">
        <v>273</v>
      </c>
      <c r="O5" s="128" t="s">
        <v>533</v>
      </c>
      <c r="P5" s="128" t="s">
        <v>532</v>
      </c>
    </row>
    <row r="6" spans="1:16" x14ac:dyDescent="0.2">
      <c r="A6" s="205"/>
      <c r="B6" s="130"/>
      <c r="C6" s="324" t="s">
        <v>531</v>
      </c>
      <c r="D6" s="324"/>
      <c r="E6" s="324"/>
      <c r="F6" s="324"/>
      <c r="G6" s="324"/>
      <c r="H6" s="324"/>
      <c r="I6" s="130"/>
      <c r="J6" s="124"/>
      <c r="L6" s="119">
        <f>C9</f>
        <v>2010</v>
      </c>
      <c r="M6" s="275">
        <f t="shared" ref="M6:O8" si="0">F9</f>
        <v>0.157</v>
      </c>
      <c r="N6" s="275">
        <f t="shared" si="0"/>
        <v>0.37</v>
      </c>
      <c r="O6" s="275">
        <f t="shared" si="0"/>
        <v>0.37</v>
      </c>
      <c r="P6" s="275">
        <f>O6*1.15</f>
        <v>0.42549999999999999</v>
      </c>
    </row>
    <row r="7" spans="1:16" x14ac:dyDescent="0.2">
      <c r="A7" s="205"/>
      <c r="B7" s="130"/>
      <c r="C7" s="234" t="s">
        <v>411</v>
      </c>
      <c r="D7" s="234">
        <v>12</v>
      </c>
      <c r="E7" s="246">
        <v>24</v>
      </c>
      <c r="F7" s="246">
        <v>36</v>
      </c>
      <c r="G7" s="246">
        <v>48</v>
      </c>
      <c r="H7" s="180">
        <v>60</v>
      </c>
      <c r="I7" s="130"/>
      <c r="J7" s="124"/>
      <c r="L7" s="119">
        <f>C10</f>
        <v>2011</v>
      </c>
      <c r="M7" s="275">
        <f t="shared" si="0"/>
        <v>0.25</v>
      </c>
      <c r="N7" s="275">
        <f t="shared" si="0"/>
        <v>0.442</v>
      </c>
      <c r="O7" s="275">
        <f t="shared" si="0"/>
        <v>0.48</v>
      </c>
      <c r="P7" s="275">
        <f>O7*1.15</f>
        <v>0.55199999999999994</v>
      </c>
    </row>
    <row r="8" spans="1:16" x14ac:dyDescent="0.2">
      <c r="A8" s="205"/>
      <c r="B8" s="130"/>
      <c r="C8" s="148" t="s">
        <v>407</v>
      </c>
      <c r="D8" s="148" t="s">
        <v>431</v>
      </c>
      <c r="E8" s="147" t="s">
        <v>431</v>
      </c>
      <c r="F8" s="147" t="s">
        <v>431</v>
      </c>
      <c r="G8" s="147" t="s">
        <v>431</v>
      </c>
      <c r="H8" s="146" t="s">
        <v>431</v>
      </c>
      <c r="I8" s="130"/>
      <c r="J8" s="124"/>
      <c r="L8" s="119">
        <f>C11</f>
        <v>2012</v>
      </c>
      <c r="M8" s="275">
        <f t="shared" si="0"/>
        <v>0.4</v>
      </c>
      <c r="N8" s="275">
        <f t="shared" si="0"/>
        <v>0.56999999999999995</v>
      </c>
      <c r="O8" s="275">
        <f t="shared" si="0"/>
        <v>0.59199999999999997</v>
      </c>
      <c r="P8" s="275">
        <f>O8*1.15</f>
        <v>0.68079999999999996</v>
      </c>
    </row>
    <row r="9" spans="1:16" x14ac:dyDescent="0.2">
      <c r="A9" s="205"/>
      <c r="B9" s="130"/>
      <c r="C9" s="143">
        <v>2010</v>
      </c>
      <c r="D9" s="274">
        <v>0.03</v>
      </c>
      <c r="E9" s="274">
        <v>0.1</v>
      </c>
      <c r="F9" s="274">
        <v>0.157</v>
      </c>
      <c r="G9" s="274">
        <v>0.37</v>
      </c>
      <c r="H9" s="273">
        <v>0.37</v>
      </c>
      <c r="I9" s="130"/>
      <c r="J9" s="124"/>
      <c r="L9" s="119">
        <f>C12</f>
        <v>2013</v>
      </c>
      <c r="M9" s="275">
        <f>F12</f>
        <v>0.222</v>
      </c>
      <c r="N9" s="275">
        <f>G12</f>
        <v>0.21</v>
      </c>
      <c r="O9" s="275"/>
      <c r="P9" s="276">
        <f>M24</f>
        <v>0.25198480463096956</v>
      </c>
    </row>
    <row r="10" spans="1:16" x14ac:dyDescent="0.2">
      <c r="A10" s="205"/>
      <c r="B10" s="130"/>
      <c r="C10" s="143">
        <v>2011</v>
      </c>
      <c r="D10" s="274">
        <v>5.0999999999999997E-2</v>
      </c>
      <c r="E10" s="274">
        <v>5.0999999999999997E-2</v>
      </c>
      <c r="F10" s="274">
        <v>0.25</v>
      </c>
      <c r="G10" s="274">
        <v>0.442</v>
      </c>
      <c r="H10" s="273">
        <v>0.48</v>
      </c>
      <c r="I10" s="130"/>
      <c r="J10" s="124"/>
      <c r="L10" s="119">
        <f>C13</f>
        <v>2014</v>
      </c>
      <c r="M10" s="275">
        <f>F13</f>
        <v>0.16700000000000001</v>
      </c>
      <c r="N10" s="275"/>
      <c r="O10" s="275"/>
      <c r="P10" s="275"/>
    </row>
    <row r="11" spans="1:16" x14ac:dyDescent="0.2">
      <c r="A11" s="205"/>
      <c r="B11" s="130"/>
      <c r="C11" s="143">
        <v>2012</v>
      </c>
      <c r="D11" s="274">
        <v>2.5000000000000001E-2</v>
      </c>
      <c r="E11" s="274">
        <v>0.03</v>
      </c>
      <c r="F11" s="274">
        <v>0.4</v>
      </c>
      <c r="G11" s="274">
        <v>0.56999999999999995</v>
      </c>
      <c r="H11" s="273">
        <v>0.59199999999999997</v>
      </c>
      <c r="I11" s="130"/>
      <c r="J11" s="124"/>
    </row>
    <row r="12" spans="1:16" x14ac:dyDescent="0.2">
      <c r="A12" s="205"/>
      <c r="B12" s="130"/>
      <c r="C12" s="143">
        <v>2013</v>
      </c>
      <c r="D12" s="274">
        <v>1.6E-2</v>
      </c>
      <c r="E12" s="274">
        <v>0.157</v>
      </c>
      <c r="F12" s="274">
        <v>0.222</v>
      </c>
      <c r="G12" s="274">
        <v>0.21</v>
      </c>
      <c r="H12" s="273"/>
      <c r="I12" s="130"/>
      <c r="J12" s="124"/>
      <c r="L12" s="220" t="s">
        <v>530</v>
      </c>
    </row>
    <row r="13" spans="1:16" x14ac:dyDescent="0.2">
      <c r="A13" s="205"/>
      <c r="B13" s="134"/>
      <c r="C13" s="143">
        <v>2014</v>
      </c>
      <c r="D13" s="274">
        <v>0</v>
      </c>
      <c r="E13" s="274">
        <v>7.8E-2</v>
      </c>
      <c r="F13" s="274">
        <v>0.16700000000000001</v>
      </c>
      <c r="G13" s="274"/>
      <c r="H13" s="273"/>
      <c r="I13" s="130"/>
      <c r="J13" s="124"/>
      <c r="L13" s="220" t="s">
        <v>529</v>
      </c>
    </row>
    <row r="14" spans="1:16" x14ac:dyDescent="0.2">
      <c r="A14" s="205"/>
      <c r="B14" s="134"/>
      <c r="C14" s="143">
        <v>2015</v>
      </c>
      <c r="D14" s="274">
        <v>6.3E-2</v>
      </c>
      <c r="E14" s="274">
        <v>0.124</v>
      </c>
      <c r="F14" s="274"/>
      <c r="G14" s="274"/>
      <c r="H14" s="273"/>
      <c r="I14" s="130"/>
      <c r="J14" s="124"/>
    </row>
    <row r="15" spans="1:16" x14ac:dyDescent="0.2">
      <c r="A15" s="205"/>
      <c r="B15" s="134"/>
      <c r="C15" s="139">
        <v>2016</v>
      </c>
      <c r="D15" s="272">
        <v>4.7E-2</v>
      </c>
      <c r="E15" s="272"/>
      <c r="F15" s="272"/>
      <c r="G15" s="272"/>
      <c r="H15" s="271"/>
      <c r="I15" s="130"/>
      <c r="J15" s="124"/>
      <c r="L15" s="270"/>
      <c r="M15" s="128" t="s">
        <v>11</v>
      </c>
      <c r="N15" s="128" t="s">
        <v>12</v>
      </c>
    </row>
    <row r="16" spans="1:16" x14ac:dyDescent="0.2">
      <c r="A16" s="205"/>
      <c r="B16" s="134"/>
      <c r="C16" s="130"/>
      <c r="D16" s="130"/>
      <c r="E16" s="130"/>
      <c r="F16" s="130"/>
      <c r="G16" s="130"/>
      <c r="H16" s="130"/>
      <c r="I16" s="130"/>
      <c r="J16" s="124"/>
      <c r="L16" s="269" t="s">
        <v>528</v>
      </c>
      <c r="M16" s="144" cm="1">
        <f t="array" ref="M16:N16">LINEST(P6:P8,N6:N8)</f>
        <v>1.2450363825363833</v>
      </c>
      <c r="N16" s="144">
        <v>-2.0780093555094026E-2</v>
      </c>
      <c r="O16" t="s">
        <v>527</v>
      </c>
    </row>
    <row r="17" spans="1:18" x14ac:dyDescent="0.2">
      <c r="A17" s="205"/>
      <c r="B17" s="134"/>
      <c r="C17" s="130" t="s">
        <v>526</v>
      </c>
      <c r="D17" s="130"/>
      <c r="E17" s="130"/>
      <c r="F17" s="130"/>
      <c r="G17" s="130"/>
      <c r="H17" s="134">
        <v>1.1499999999999999</v>
      </c>
      <c r="I17" s="130"/>
      <c r="J17" s="124"/>
      <c r="L17" s="269" t="s">
        <v>525</v>
      </c>
      <c r="M17" s="144" cm="1">
        <f t="array" ref="M17:N17">LINEST(P6:P9,M6:M9)</f>
        <v>1.3127285823819916</v>
      </c>
      <c r="N17" s="144">
        <v>0.13987177333997497</v>
      </c>
    </row>
    <row r="18" spans="1:18" x14ac:dyDescent="0.2">
      <c r="A18" s="205"/>
      <c r="B18" s="134"/>
      <c r="C18" s="130"/>
      <c r="D18" s="130"/>
      <c r="E18" s="130"/>
      <c r="F18" s="130"/>
      <c r="G18" s="130"/>
      <c r="H18" s="130"/>
      <c r="I18" s="130"/>
      <c r="J18" s="124"/>
    </row>
    <row r="19" spans="1:18" x14ac:dyDescent="0.2">
      <c r="A19" s="205"/>
      <c r="B19" s="134"/>
      <c r="C19" s="130" t="s">
        <v>524</v>
      </c>
      <c r="D19" s="130"/>
      <c r="E19" s="130"/>
      <c r="F19" s="130"/>
      <c r="G19" s="130"/>
      <c r="H19" s="130"/>
      <c r="I19" s="130"/>
      <c r="J19" s="124"/>
    </row>
    <row r="20" spans="1:18" ht="17" thickBot="1" x14ac:dyDescent="0.25">
      <c r="A20" s="205"/>
      <c r="B20" s="134"/>
      <c r="C20" s="130"/>
      <c r="D20" s="130"/>
      <c r="E20" s="130"/>
      <c r="F20" s="130"/>
      <c r="G20" s="130"/>
      <c r="H20" s="130"/>
      <c r="I20" s="130"/>
      <c r="J20" s="124"/>
      <c r="L20" t="s">
        <v>523</v>
      </c>
    </row>
    <row r="21" spans="1:18" ht="17" thickBot="1" x14ac:dyDescent="0.25">
      <c r="A21" s="219" t="s">
        <v>140</v>
      </c>
      <c r="B21" s="164"/>
      <c r="C21" s="218"/>
      <c r="D21" s="164"/>
      <c r="E21" s="164"/>
      <c r="F21" s="164"/>
      <c r="G21" s="164"/>
      <c r="H21" s="164"/>
      <c r="I21" s="164"/>
      <c r="J21" s="163"/>
    </row>
    <row r="22" spans="1:18" x14ac:dyDescent="0.2">
      <c r="L22" t="s">
        <v>522</v>
      </c>
      <c r="M22" s="268">
        <f>SUM(P6:P8)/SUM(N6:N8)</f>
        <v>1.1999276410998552</v>
      </c>
    </row>
    <row r="23" spans="1:18" x14ac:dyDescent="0.2">
      <c r="M23" s="162"/>
    </row>
    <row r="24" spans="1:18" x14ac:dyDescent="0.2">
      <c r="L24" t="s">
        <v>521</v>
      </c>
      <c r="M24" s="267">
        <f>N9*M22</f>
        <v>0.25198480463096956</v>
      </c>
    </row>
    <row r="25" spans="1:18" x14ac:dyDescent="0.2">
      <c r="M25" s="162"/>
    </row>
    <row r="26" spans="1:18" x14ac:dyDescent="0.2">
      <c r="L26" t="s">
        <v>520</v>
      </c>
      <c r="M26" s="162"/>
    </row>
    <row r="27" spans="1:18" ht="17" thickBot="1" x14ac:dyDescent="0.25">
      <c r="M27" s="162"/>
    </row>
    <row r="28" spans="1:18" ht="17" thickBot="1" x14ac:dyDescent="0.25">
      <c r="L28" s="114" t="s">
        <v>519</v>
      </c>
      <c r="M28" s="266">
        <f>N17+M17*M10</f>
        <v>0.35909744659776754</v>
      </c>
      <c r="N28" t="s">
        <v>518</v>
      </c>
    </row>
    <row r="31" spans="1:18" ht="19" x14ac:dyDescent="0.25">
      <c r="L31" s="112" t="s">
        <v>128</v>
      </c>
    </row>
    <row r="32" spans="1:18" ht="16" customHeight="1" x14ac:dyDescent="0.2">
      <c r="L32" s="317" t="s">
        <v>517</v>
      </c>
      <c r="M32" s="317"/>
      <c r="N32" s="317"/>
      <c r="O32" s="317"/>
      <c r="P32" s="317"/>
      <c r="Q32" s="317"/>
      <c r="R32" s="317"/>
    </row>
    <row r="33" spans="12:18" x14ac:dyDescent="0.2">
      <c r="L33" s="317"/>
      <c r="M33" s="317"/>
      <c r="N33" s="317"/>
      <c r="O33" s="317"/>
      <c r="P33" s="317"/>
      <c r="Q33" s="317"/>
      <c r="R33" s="317"/>
    </row>
    <row r="34" spans="12:18" x14ac:dyDescent="0.2">
      <c r="L34" s="317"/>
      <c r="M34" s="317"/>
      <c r="N34" s="317"/>
      <c r="O34" s="317"/>
      <c r="P34" s="317"/>
      <c r="Q34" s="317"/>
      <c r="R34" s="317"/>
    </row>
    <row r="35" spans="12:18" x14ac:dyDescent="0.2">
      <c r="L35" s="317"/>
      <c r="M35" s="317"/>
      <c r="N35" s="317"/>
      <c r="O35" s="317"/>
      <c r="P35" s="317"/>
      <c r="Q35" s="317"/>
      <c r="R35" s="317"/>
    </row>
    <row r="36" spans="12:18" x14ac:dyDescent="0.2">
      <c r="L36" s="317"/>
      <c r="M36" s="317"/>
      <c r="N36" s="317"/>
      <c r="O36" s="317"/>
      <c r="P36" s="317"/>
      <c r="Q36" s="317"/>
      <c r="R36" s="317"/>
    </row>
    <row r="37" spans="12:18" x14ac:dyDescent="0.2">
      <c r="L37" s="317"/>
      <c r="M37" s="317"/>
      <c r="N37" s="317"/>
      <c r="O37" s="317"/>
      <c r="P37" s="317"/>
      <c r="Q37" s="317"/>
      <c r="R37" s="317"/>
    </row>
    <row r="38" spans="12:18" x14ac:dyDescent="0.2">
      <c r="L38" s="317"/>
      <c r="M38" s="317"/>
      <c r="N38" s="317"/>
      <c r="O38" s="317"/>
      <c r="P38" s="317"/>
      <c r="Q38" s="317"/>
      <c r="R38" s="317"/>
    </row>
    <row r="40" spans="12:18" ht="19" x14ac:dyDescent="0.25">
      <c r="L40" s="265" t="s">
        <v>516</v>
      </c>
    </row>
    <row r="41" spans="12:18" x14ac:dyDescent="0.2">
      <c r="L41" s="317" t="s">
        <v>515</v>
      </c>
      <c r="M41" s="317"/>
      <c r="N41" s="317"/>
      <c r="O41" s="317"/>
      <c r="P41" s="317"/>
      <c r="Q41" s="317"/>
      <c r="R41" s="317"/>
    </row>
    <row r="42" spans="12:18" x14ac:dyDescent="0.2">
      <c r="L42" s="317"/>
      <c r="M42" s="317"/>
      <c r="N42" s="317"/>
      <c r="O42" s="317"/>
      <c r="P42" s="317"/>
      <c r="Q42" s="317"/>
      <c r="R42" s="317"/>
    </row>
    <row r="43" spans="12:18" x14ac:dyDescent="0.2">
      <c r="L43" s="317"/>
      <c r="M43" s="317"/>
      <c r="N43" s="317"/>
      <c r="O43" s="317"/>
      <c r="P43" s="317"/>
      <c r="Q43" s="317"/>
      <c r="R43" s="317"/>
    </row>
    <row r="44" spans="12:18" x14ac:dyDescent="0.2">
      <c r="L44" s="317"/>
      <c r="M44" s="317"/>
      <c r="N44" s="317"/>
      <c r="O44" s="317"/>
      <c r="P44" s="317"/>
      <c r="Q44" s="317"/>
      <c r="R44" s="317"/>
    </row>
    <row r="45" spans="12:18" x14ac:dyDescent="0.2">
      <c r="L45" s="317"/>
      <c r="M45" s="317"/>
      <c r="N45" s="317"/>
      <c r="O45" s="317"/>
      <c r="P45" s="317"/>
      <c r="Q45" s="317"/>
      <c r="R45" s="317"/>
    </row>
    <row r="46" spans="12:18" x14ac:dyDescent="0.2">
      <c r="L46" s="317"/>
      <c r="M46" s="317"/>
      <c r="N46" s="317"/>
      <c r="O46" s="317"/>
      <c r="P46" s="317"/>
      <c r="Q46" s="317"/>
      <c r="R46" s="317"/>
    </row>
    <row r="48" spans="12:18" ht="19" x14ac:dyDescent="0.25">
      <c r="L48" s="112" t="s">
        <v>203</v>
      </c>
    </row>
    <row r="49" spans="12:12" x14ac:dyDescent="0.2">
      <c r="L49" t="s">
        <v>204</v>
      </c>
    </row>
  </sheetData>
  <mergeCells count="3">
    <mergeCell ref="C6:H6"/>
    <mergeCell ref="L32:R38"/>
    <mergeCell ref="L41:R4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B2883-6F40-9246-8AAD-63ADE1859B04}">
  <dimension ref="A1:R32"/>
  <sheetViews>
    <sheetView workbookViewId="0">
      <selection activeCell="B1" sqref="B1"/>
    </sheetView>
  </sheetViews>
  <sheetFormatPr baseColWidth="10" defaultColWidth="11" defaultRowHeight="16" outlineLevelCol="1" x14ac:dyDescent="0.2"/>
  <cols>
    <col min="1" max="1" width="4" style="196" customWidth="1"/>
    <col min="2" max="2" width="11.5" customWidth="1"/>
    <col min="12" max="12" width="13.5" hidden="1" customWidth="1" outlineLevel="1"/>
    <col min="13" max="13" width="11.33203125" hidden="1" customWidth="1" outlineLevel="1"/>
    <col min="14" max="17" width="10.83203125" hidden="1" customWidth="1" outlineLevel="1"/>
    <col min="18" max="18" width="11" collapsed="1"/>
  </cols>
  <sheetData>
    <row r="1" spans="1:14" x14ac:dyDescent="0.2">
      <c r="A1" s="238"/>
      <c r="B1" s="156" t="s">
        <v>419</v>
      </c>
      <c r="C1" s="155" t="s">
        <v>554</v>
      </c>
      <c r="D1" s="155" t="s">
        <v>417</v>
      </c>
      <c r="E1" s="155" t="s">
        <v>439</v>
      </c>
      <c r="F1" s="154"/>
      <c r="G1" s="154"/>
      <c r="H1" s="154"/>
      <c r="I1" s="154"/>
      <c r="J1" s="153"/>
      <c r="K1" s="159" t="s">
        <v>141</v>
      </c>
      <c r="L1" s="159"/>
    </row>
    <row r="2" spans="1:14" x14ac:dyDescent="0.2">
      <c r="A2" s="205"/>
      <c r="B2" s="237" t="s">
        <v>415</v>
      </c>
      <c r="C2" s="236">
        <v>2</v>
      </c>
      <c r="D2" s="130"/>
      <c r="E2" s="130"/>
      <c r="F2" s="130"/>
      <c r="G2" s="130"/>
      <c r="H2" s="130"/>
      <c r="I2" s="130"/>
      <c r="J2" s="124"/>
    </row>
    <row r="3" spans="1:14" x14ac:dyDescent="0.2">
      <c r="A3" s="205"/>
      <c r="B3" s="130"/>
      <c r="C3" s="130"/>
      <c r="D3" s="130"/>
      <c r="E3" s="130"/>
      <c r="F3" s="130"/>
      <c r="G3" s="130"/>
      <c r="H3" s="130"/>
      <c r="I3" s="130"/>
      <c r="J3" s="124"/>
      <c r="L3" s="117" t="s">
        <v>222</v>
      </c>
      <c r="M3" s="281">
        <v>0.11260000000000001</v>
      </c>
      <c r="N3" t="s">
        <v>553</v>
      </c>
    </row>
    <row r="4" spans="1:14" x14ac:dyDescent="0.2">
      <c r="A4" s="205"/>
      <c r="B4" s="130"/>
      <c r="C4" s="130" t="s">
        <v>15</v>
      </c>
      <c r="D4" s="130"/>
      <c r="E4" s="130"/>
      <c r="F4" s="130"/>
      <c r="G4" s="130"/>
      <c r="H4" s="130"/>
      <c r="I4" s="130"/>
      <c r="J4" s="124"/>
      <c r="L4" s="117"/>
      <c r="M4" s="144"/>
    </row>
    <row r="5" spans="1:14" x14ac:dyDescent="0.2">
      <c r="A5" s="205"/>
      <c r="B5" s="130"/>
      <c r="C5" s="130"/>
      <c r="D5" s="130"/>
      <c r="E5" s="130"/>
      <c r="F5" s="130"/>
      <c r="G5" s="130"/>
      <c r="H5" s="130"/>
      <c r="I5" s="130"/>
      <c r="J5" s="124"/>
      <c r="L5" s="117" t="s">
        <v>552</v>
      </c>
      <c r="M5" s="144">
        <f>(0.6282+0.6375+0.6941)/3</f>
        <v>0.65326666666666666</v>
      </c>
      <c r="N5" t="s">
        <v>551</v>
      </c>
    </row>
    <row r="6" spans="1:14" x14ac:dyDescent="0.2">
      <c r="A6" s="205"/>
      <c r="B6" s="130"/>
      <c r="C6" s="130"/>
      <c r="D6" s="130"/>
      <c r="E6" s="130"/>
      <c r="F6" s="130"/>
      <c r="G6" s="130"/>
      <c r="H6" s="130"/>
      <c r="I6" s="130"/>
      <c r="J6" s="124"/>
      <c r="L6" s="117"/>
      <c r="M6" s="144"/>
    </row>
    <row r="7" spans="1:14" x14ac:dyDescent="0.2">
      <c r="A7" s="205"/>
      <c r="B7" s="130"/>
      <c r="C7" s="130"/>
      <c r="D7" s="130"/>
      <c r="E7" s="130"/>
      <c r="F7" s="130"/>
      <c r="G7" s="130"/>
      <c r="H7" s="130"/>
      <c r="I7" s="130"/>
      <c r="J7" s="124"/>
      <c r="L7" s="117" t="s">
        <v>550</v>
      </c>
      <c r="M7" s="144">
        <f>(0.6282^2+0.6375^2+0.6941^2)/3</f>
        <v>0.4276054333333334</v>
      </c>
    </row>
    <row r="8" spans="1:14" x14ac:dyDescent="0.2">
      <c r="A8" s="205"/>
      <c r="B8" s="130"/>
      <c r="C8" s="130"/>
      <c r="D8" s="130"/>
      <c r="E8" s="130"/>
      <c r="F8" s="130"/>
      <c r="G8" s="130"/>
      <c r="H8" s="130"/>
      <c r="I8" s="130"/>
      <c r="J8" s="124"/>
    </row>
    <row r="9" spans="1:14" x14ac:dyDescent="0.2">
      <c r="A9" s="205"/>
      <c r="B9" s="130"/>
      <c r="C9" s="130"/>
      <c r="D9" s="130"/>
      <c r="E9" s="130"/>
      <c r="F9" s="130"/>
      <c r="G9" s="130"/>
      <c r="H9" s="130"/>
      <c r="I9" s="130"/>
      <c r="J9" s="124"/>
      <c r="L9" s="251" t="s">
        <v>549</v>
      </c>
    </row>
    <row r="10" spans="1:14" x14ac:dyDescent="0.2">
      <c r="A10" s="205"/>
      <c r="B10" s="130"/>
      <c r="C10" s="130"/>
      <c r="D10" s="130"/>
      <c r="E10" s="130"/>
      <c r="F10" s="130"/>
      <c r="G10" s="130"/>
      <c r="H10" s="130"/>
      <c r="I10" s="130"/>
      <c r="J10" s="124"/>
    </row>
    <row r="11" spans="1:14" x14ac:dyDescent="0.2">
      <c r="A11" s="205"/>
      <c r="B11" s="130"/>
      <c r="C11" s="130"/>
      <c r="D11" s="130"/>
      <c r="E11" s="130"/>
      <c r="F11" s="130"/>
      <c r="G11" s="130"/>
      <c r="H11" s="130"/>
      <c r="I11" s="130"/>
      <c r="J11" s="124"/>
      <c r="L11" t="s">
        <v>548</v>
      </c>
    </row>
    <row r="12" spans="1:14" x14ac:dyDescent="0.2">
      <c r="A12" s="205"/>
      <c r="B12" s="130"/>
      <c r="C12" s="130"/>
      <c r="D12" s="130"/>
      <c r="E12" s="130"/>
      <c r="F12" s="130"/>
      <c r="G12" s="130"/>
      <c r="H12" s="130"/>
      <c r="I12" s="130"/>
      <c r="J12" s="124"/>
    </row>
    <row r="13" spans="1:14" x14ac:dyDescent="0.2">
      <c r="A13" s="205"/>
      <c r="B13" s="134"/>
      <c r="C13" s="130"/>
      <c r="D13" s="130"/>
      <c r="E13" s="130"/>
      <c r="F13" s="130"/>
      <c r="G13" s="130"/>
      <c r="H13" s="130"/>
      <c r="I13" s="130"/>
      <c r="J13" s="124"/>
      <c r="L13" s="251" t="s">
        <v>547</v>
      </c>
    </row>
    <row r="14" spans="1:14" x14ac:dyDescent="0.2">
      <c r="A14" s="205"/>
      <c r="B14" s="134"/>
      <c r="C14" s="130"/>
      <c r="D14" s="130"/>
      <c r="E14" s="130"/>
      <c r="F14" s="130"/>
      <c r="G14" s="130"/>
      <c r="H14" s="130"/>
      <c r="I14" s="130"/>
      <c r="J14" s="124"/>
    </row>
    <row r="15" spans="1:14" x14ac:dyDescent="0.2">
      <c r="A15" s="205"/>
      <c r="B15" s="134"/>
      <c r="C15" s="130"/>
      <c r="D15" s="130"/>
      <c r="E15" s="130"/>
      <c r="F15" s="130"/>
      <c r="G15" s="130"/>
      <c r="H15" s="130"/>
      <c r="I15" s="130"/>
      <c r="J15" s="124"/>
      <c r="L15" t="s">
        <v>11</v>
      </c>
      <c r="M15" s="144">
        <f>(D22-M5*M3)/M7</f>
        <v>1.2262289776018591</v>
      </c>
    </row>
    <row r="16" spans="1:14" x14ac:dyDescent="0.2">
      <c r="A16" s="205"/>
      <c r="B16" s="134"/>
      <c r="C16" s="130"/>
      <c r="D16" s="130"/>
      <c r="E16" s="130"/>
      <c r="F16" s="130"/>
      <c r="G16" s="130"/>
      <c r="H16" s="130"/>
      <c r="I16" s="130"/>
      <c r="J16" s="124"/>
      <c r="M16" s="144"/>
    </row>
    <row r="17" spans="1:14" x14ac:dyDescent="0.2">
      <c r="A17" s="205"/>
      <c r="B17" s="134"/>
      <c r="C17" s="130"/>
      <c r="D17" s="130"/>
      <c r="E17" s="130"/>
      <c r="F17" s="130"/>
      <c r="G17" s="130"/>
      <c r="H17" s="130"/>
      <c r="I17" s="130"/>
      <c r="J17" s="124"/>
      <c r="L17" s="280" t="s">
        <v>546</v>
      </c>
      <c r="M17" s="279">
        <f>H23/H24</f>
        <v>0.75</v>
      </c>
    </row>
    <row r="18" spans="1:14" x14ac:dyDescent="0.2">
      <c r="A18" s="205"/>
      <c r="B18" s="134"/>
      <c r="C18" s="130"/>
      <c r="D18" s="130"/>
      <c r="E18" s="130"/>
      <c r="F18" s="130"/>
      <c r="G18" s="130"/>
      <c r="H18" s="130"/>
      <c r="I18" s="130"/>
      <c r="J18" s="124"/>
      <c r="L18" t="s">
        <v>545</v>
      </c>
      <c r="M18" s="279">
        <f>M3+M15*M17</f>
        <v>1.0322717332013944</v>
      </c>
      <c r="N18" t="s">
        <v>544</v>
      </c>
    </row>
    <row r="19" spans="1:14" ht="17" thickBot="1" x14ac:dyDescent="0.25">
      <c r="A19" s="205"/>
      <c r="B19" s="134"/>
      <c r="C19" s="130"/>
      <c r="D19" s="130"/>
      <c r="E19" s="130"/>
      <c r="F19" s="130"/>
      <c r="G19" s="130"/>
      <c r="H19" s="130"/>
      <c r="I19" s="130"/>
      <c r="J19" s="124"/>
    </row>
    <row r="20" spans="1:14" ht="17" thickBot="1" x14ac:dyDescent="0.25">
      <c r="A20" s="205"/>
      <c r="B20" s="134"/>
      <c r="C20" s="130"/>
      <c r="D20" s="130"/>
      <c r="E20" s="130"/>
      <c r="F20" s="130"/>
      <c r="G20" s="130"/>
      <c r="H20" s="130"/>
      <c r="I20" s="130"/>
      <c r="J20" s="124"/>
      <c r="L20" s="114" t="s">
        <v>543</v>
      </c>
      <c r="M20" s="191">
        <f>M18*H24</f>
        <v>8258173.8656111555</v>
      </c>
    </row>
    <row r="21" spans="1:14" x14ac:dyDescent="0.2">
      <c r="A21" s="205"/>
      <c r="B21" s="134"/>
      <c r="C21" s="130" t="s">
        <v>542</v>
      </c>
      <c r="D21" s="130"/>
      <c r="E21" s="130"/>
      <c r="F21" s="130"/>
      <c r="G21" s="130"/>
      <c r="H21" s="130"/>
      <c r="I21" s="130"/>
      <c r="J21" s="124"/>
      <c r="M21" s="259"/>
    </row>
    <row r="22" spans="1:14" x14ac:dyDescent="0.2">
      <c r="A22" s="205"/>
      <c r="B22" s="134"/>
      <c r="C22" s="130" t="s">
        <v>541</v>
      </c>
      <c r="D22" s="198">
        <v>0.59789999999999999</v>
      </c>
      <c r="E22" s="130"/>
      <c r="F22" s="130"/>
      <c r="G22" s="130"/>
      <c r="H22" s="130"/>
      <c r="I22" s="130"/>
      <c r="J22" s="124"/>
      <c r="M22" s="259"/>
    </row>
    <row r="23" spans="1:14" ht="19" x14ac:dyDescent="0.25">
      <c r="A23" s="205"/>
      <c r="B23" s="134"/>
      <c r="C23" s="130" t="s">
        <v>540</v>
      </c>
      <c r="D23" s="130"/>
      <c r="E23" s="130"/>
      <c r="F23" s="130"/>
      <c r="G23" s="130"/>
      <c r="H23" s="278">
        <v>6000000</v>
      </c>
      <c r="I23" s="130"/>
      <c r="J23" s="124"/>
      <c r="L23" s="112" t="s">
        <v>203</v>
      </c>
      <c r="M23" s="259"/>
    </row>
    <row r="24" spans="1:14" x14ac:dyDescent="0.2">
      <c r="A24" s="205"/>
      <c r="B24" s="134"/>
      <c r="C24" s="130" t="s">
        <v>539</v>
      </c>
      <c r="D24" s="130"/>
      <c r="E24" s="130"/>
      <c r="F24" s="130"/>
      <c r="G24" s="130"/>
      <c r="H24" s="278">
        <v>8000000</v>
      </c>
      <c r="I24" s="130"/>
      <c r="J24" s="124"/>
      <c r="L24" t="s">
        <v>204</v>
      </c>
      <c r="M24" s="259"/>
    </row>
    <row r="25" spans="1:14" x14ac:dyDescent="0.2">
      <c r="A25" s="205"/>
      <c r="B25" s="130"/>
      <c r="C25" s="130" t="s">
        <v>538</v>
      </c>
      <c r="D25" s="130"/>
      <c r="E25" s="130"/>
      <c r="F25" s="130"/>
      <c r="G25" s="130"/>
      <c r="H25" s="130"/>
      <c r="I25" s="130"/>
      <c r="J25" s="124"/>
    </row>
    <row r="26" spans="1:14" x14ac:dyDescent="0.2">
      <c r="A26" s="205"/>
      <c r="B26" s="130"/>
      <c r="C26" s="130"/>
      <c r="D26" s="130"/>
      <c r="E26" s="130"/>
      <c r="F26" s="130"/>
      <c r="G26" s="130"/>
      <c r="H26" s="130"/>
      <c r="I26" s="130"/>
      <c r="J26" s="124"/>
    </row>
    <row r="27" spans="1:14" x14ac:dyDescent="0.2">
      <c r="A27" s="205"/>
      <c r="B27" s="130"/>
      <c r="C27" s="132" t="s">
        <v>537</v>
      </c>
      <c r="D27" s="130"/>
      <c r="E27" s="130"/>
      <c r="F27" s="130"/>
      <c r="G27" s="130"/>
      <c r="H27" s="130"/>
      <c r="I27" s="130"/>
      <c r="J27" s="124"/>
      <c r="M27" s="258"/>
    </row>
    <row r="28" spans="1:14" ht="17" thickBot="1" x14ac:dyDescent="0.25">
      <c r="A28" s="205"/>
      <c r="B28" s="130"/>
      <c r="C28" s="132"/>
      <c r="D28" s="130"/>
      <c r="E28" s="130"/>
      <c r="F28" s="130"/>
      <c r="G28" s="130"/>
      <c r="H28" s="130"/>
      <c r="I28" s="130"/>
      <c r="J28" s="124"/>
    </row>
    <row r="29" spans="1:14" ht="17" thickBot="1" x14ac:dyDescent="0.25">
      <c r="A29" s="219" t="s">
        <v>140</v>
      </c>
      <c r="B29" s="164"/>
      <c r="C29" s="218"/>
      <c r="D29" s="164"/>
      <c r="E29" s="164"/>
      <c r="F29" s="164"/>
      <c r="G29" s="164"/>
      <c r="H29" s="164"/>
      <c r="I29" s="164"/>
      <c r="J29" s="163"/>
    </row>
    <row r="30" spans="1:14" x14ac:dyDescent="0.2">
      <c r="L30" s="159"/>
      <c r="M30" s="277"/>
    </row>
    <row r="32" spans="1:14" x14ac:dyDescent="0.2">
      <c r="D32" s="251"/>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1562B-FB74-A54A-A0EE-DD8BC4B6CEC1}">
  <dimension ref="A1:T63"/>
  <sheetViews>
    <sheetView zoomScaleNormal="100" workbookViewId="0"/>
  </sheetViews>
  <sheetFormatPr baseColWidth="10" defaultColWidth="10.83203125" defaultRowHeight="16" outlineLevelCol="1" x14ac:dyDescent="0.2"/>
  <cols>
    <col min="1" max="1" width="4.83203125" style="196" customWidth="1"/>
    <col min="2" max="2" width="10.83203125" style="196"/>
    <col min="3" max="3" width="10.83203125" style="196" customWidth="1"/>
    <col min="4" max="7" width="10.83203125" style="196"/>
    <col min="8" max="8" width="10.83203125" style="196" customWidth="1"/>
    <col min="9" max="10" width="11.5" style="196" customWidth="1"/>
    <col min="11" max="11" width="10.83203125" style="196"/>
    <col min="12" max="12" width="12" style="196" bestFit="1" customWidth="1"/>
    <col min="13" max="19" width="10.83203125" style="196" hidden="1" customWidth="1" outlineLevel="1"/>
    <col min="20" max="20" width="10.83203125" style="196" collapsed="1"/>
    <col min="21" max="16384" width="10.83203125" style="196"/>
  </cols>
  <sheetData>
    <row r="1" spans="1:19" ht="19" x14ac:dyDescent="0.25">
      <c r="A1" s="157" t="s">
        <v>383</v>
      </c>
      <c r="B1" s="156"/>
      <c r="C1" s="155"/>
      <c r="D1" s="155"/>
      <c r="E1" s="155"/>
      <c r="F1" s="216"/>
      <c r="G1" s="216"/>
      <c r="H1" s="216"/>
      <c r="I1" s="216"/>
      <c r="J1" s="215"/>
      <c r="L1" s="112" t="s">
        <v>382</v>
      </c>
    </row>
    <row r="2" spans="1:19" x14ac:dyDescent="0.2">
      <c r="A2" s="205"/>
      <c r="B2" s="198"/>
      <c r="C2" s="198"/>
      <c r="D2" s="198"/>
      <c r="E2" s="198"/>
      <c r="F2" s="198"/>
      <c r="G2" s="198"/>
      <c r="H2" s="198"/>
      <c r="I2" s="198"/>
      <c r="J2" s="203"/>
    </row>
    <row r="3" spans="1:19" x14ac:dyDescent="0.2">
      <c r="A3" s="205"/>
      <c r="B3" s="208" t="s">
        <v>381</v>
      </c>
      <c r="C3" s="198"/>
      <c r="D3" s="198"/>
      <c r="E3" s="198"/>
      <c r="F3" s="198"/>
      <c r="G3" s="198"/>
      <c r="H3" s="198"/>
      <c r="I3" s="198"/>
      <c r="J3" s="203"/>
      <c r="M3" s="209" t="s">
        <v>381</v>
      </c>
    </row>
    <row r="4" spans="1:19" x14ac:dyDescent="0.2">
      <c r="A4" s="205"/>
      <c r="B4" s="198"/>
      <c r="C4" s="198"/>
      <c r="D4" s="198"/>
      <c r="E4" s="198"/>
      <c r="F4" s="198"/>
      <c r="G4" s="198"/>
      <c r="H4" s="198"/>
      <c r="I4" s="198"/>
      <c r="J4" s="203"/>
      <c r="M4" s="210"/>
    </row>
    <row r="5" spans="1:19" x14ac:dyDescent="0.2">
      <c r="A5" s="205"/>
      <c r="B5" s="214" t="s">
        <v>380</v>
      </c>
      <c r="C5" s="198"/>
      <c r="D5" s="198"/>
      <c r="E5" s="198"/>
      <c r="F5" s="198"/>
      <c r="G5" s="198"/>
      <c r="H5" s="198"/>
      <c r="I5" s="198"/>
      <c r="J5" s="203"/>
      <c r="M5" s="210" t="s">
        <v>379</v>
      </c>
    </row>
    <row r="6" spans="1:19" x14ac:dyDescent="0.2">
      <c r="A6" s="205"/>
      <c r="B6" s="198"/>
      <c r="C6" s="198"/>
      <c r="D6" s="198"/>
      <c r="E6" s="198"/>
      <c r="F6" s="198"/>
      <c r="G6" s="198"/>
      <c r="H6" s="198"/>
      <c r="I6" s="198"/>
      <c r="J6" s="203"/>
      <c r="M6" s="210" t="s">
        <v>378</v>
      </c>
    </row>
    <row r="7" spans="1:19" x14ac:dyDescent="0.2">
      <c r="A7" s="205"/>
      <c r="B7" s="167" t="s">
        <v>377</v>
      </c>
      <c r="C7" s="198"/>
      <c r="D7" s="198"/>
      <c r="E7" s="198"/>
      <c r="F7" s="212"/>
      <c r="G7" s="212"/>
      <c r="H7" s="198"/>
      <c r="I7" s="198"/>
      <c r="J7" s="203"/>
      <c r="M7" s="210" t="s">
        <v>376</v>
      </c>
    </row>
    <row r="8" spans="1:19" x14ac:dyDescent="0.2">
      <c r="A8" s="205"/>
      <c r="B8" s="167" t="s">
        <v>375</v>
      </c>
      <c r="C8" s="198"/>
      <c r="D8" s="198"/>
      <c r="E8" s="198"/>
      <c r="F8" s="212"/>
      <c r="G8" s="212"/>
      <c r="H8" s="198"/>
      <c r="I8" s="198"/>
      <c r="J8" s="203"/>
    </row>
    <row r="9" spans="1:19" x14ac:dyDescent="0.2">
      <c r="A9" s="205"/>
      <c r="B9" s="167" t="s">
        <v>374</v>
      </c>
      <c r="C9" s="198"/>
      <c r="D9" s="198"/>
      <c r="E9" s="198"/>
      <c r="F9" s="212"/>
      <c r="G9" s="198"/>
      <c r="H9" s="198"/>
      <c r="I9" s="198"/>
      <c r="J9" s="203"/>
      <c r="M9" s="209" t="s">
        <v>373</v>
      </c>
    </row>
    <row r="10" spans="1:19" x14ac:dyDescent="0.2">
      <c r="A10" s="205"/>
      <c r="B10" s="167"/>
      <c r="C10" s="198"/>
      <c r="D10" s="198"/>
      <c r="E10" s="198"/>
      <c r="F10" s="212"/>
      <c r="G10" s="198"/>
      <c r="H10" s="198"/>
      <c r="I10" s="198"/>
      <c r="J10" s="203"/>
    </row>
    <row r="11" spans="1:19" x14ac:dyDescent="0.2">
      <c r="A11" s="205"/>
      <c r="B11" s="208" t="s">
        <v>373</v>
      </c>
      <c r="C11" s="198"/>
      <c r="D11" s="198"/>
      <c r="E11" s="212"/>
      <c r="F11" s="211"/>
      <c r="G11" s="198"/>
      <c r="H11" s="198"/>
      <c r="I11" s="198"/>
      <c r="J11" s="203"/>
      <c r="M11" s="213" t="s">
        <v>372</v>
      </c>
    </row>
    <row r="12" spans="1:19" x14ac:dyDescent="0.2">
      <c r="A12" s="205"/>
      <c r="B12" s="198"/>
      <c r="C12" s="198"/>
      <c r="D12" s="198"/>
      <c r="E12" s="212"/>
      <c r="F12" s="211"/>
      <c r="G12" s="198"/>
      <c r="H12" s="198"/>
      <c r="I12" s="198"/>
      <c r="J12" s="203"/>
    </row>
    <row r="13" spans="1:19" x14ac:dyDescent="0.2">
      <c r="A13" s="205"/>
      <c r="B13" s="325" t="s">
        <v>371</v>
      </c>
      <c r="C13" s="325"/>
      <c r="D13" s="325"/>
      <c r="E13" s="325"/>
      <c r="F13" s="325"/>
      <c r="G13" s="325"/>
      <c r="H13" s="325"/>
      <c r="I13" s="325"/>
      <c r="J13" s="203"/>
      <c r="M13" s="329" t="s">
        <v>370</v>
      </c>
      <c r="N13" s="329"/>
      <c r="O13" s="329"/>
      <c r="P13" s="329"/>
      <c r="Q13" s="329"/>
      <c r="R13" s="329"/>
      <c r="S13" s="329"/>
    </row>
    <row r="14" spans="1:19" x14ac:dyDescent="0.2">
      <c r="A14" s="205"/>
      <c r="B14" s="325"/>
      <c r="C14" s="325"/>
      <c r="D14" s="325"/>
      <c r="E14" s="325"/>
      <c r="F14" s="325"/>
      <c r="G14" s="325"/>
      <c r="H14" s="325"/>
      <c r="I14" s="325"/>
      <c r="J14" s="203"/>
      <c r="M14" s="329"/>
      <c r="N14" s="329"/>
      <c r="O14" s="329"/>
      <c r="P14" s="329"/>
      <c r="Q14" s="329"/>
      <c r="R14" s="329"/>
      <c r="S14" s="329"/>
    </row>
    <row r="15" spans="1:19" x14ac:dyDescent="0.2">
      <c r="A15" s="205"/>
      <c r="B15" s="325"/>
      <c r="C15" s="325"/>
      <c r="D15" s="325"/>
      <c r="E15" s="325"/>
      <c r="F15" s="325"/>
      <c r="G15" s="325"/>
      <c r="H15" s="325"/>
      <c r="I15" s="325"/>
      <c r="J15" s="203"/>
    </row>
    <row r="16" spans="1:19" x14ac:dyDescent="0.2">
      <c r="A16" s="205"/>
      <c r="B16" s="325"/>
      <c r="C16" s="325"/>
      <c r="D16" s="325"/>
      <c r="E16" s="325"/>
      <c r="F16" s="325"/>
      <c r="G16" s="325"/>
      <c r="H16" s="325"/>
      <c r="I16" s="325"/>
      <c r="J16" s="203"/>
      <c r="M16" s="330" t="s">
        <v>369</v>
      </c>
      <c r="N16" s="330"/>
      <c r="O16" s="330"/>
      <c r="P16" s="330"/>
      <c r="Q16" s="330"/>
      <c r="R16" s="330"/>
      <c r="S16" s="330"/>
    </row>
    <row r="17" spans="1:19" x14ac:dyDescent="0.2">
      <c r="A17" s="205"/>
      <c r="B17" s="198"/>
      <c r="C17" s="198"/>
      <c r="D17" s="198"/>
      <c r="E17" s="198"/>
      <c r="F17" s="198"/>
      <c r="G17" s="198"/>
      <c r="H17" s="198"/>
      <c r="I17" s="198"/>
      <c r="J17" s="203"/>
      <c r="M17" s="330"/>
      <c r="N17" s="330"/>
      <c r="O17" s="330"/>
      <c r="P17" s="330"/>
      <c r="Q17" s="330"/>
      <c r="R17" s="330"/>
      <c r="S17" s="330"/>
    </row>
    <row r="18" spans="1:19" x14ac:dyDescent="0.2">
      <c r="A18" s="205"/>
      <c r="B18" s="198"/>
      <c r="C18" s="198"/>
      <c r="D18" s="198"/>
      <c r="E18" s="198"/>
      <c r="F18" s="198"/>
      <c r="G18" s="198"/>
      <c r="H18" s="198"/>
      <c r="I18" s="198"/>
      <c r="J18" s="203"/>
    </row>
    <row r="19" spans="1:19" x14ac:dyDescent="0.2">
      <c r="A19" s="205"/>
      <c r="B19" s="208" t="s">
        <v>368</v>
      </c>
      <c r="C19" s="198"/>
      <c r="D19" s="198"/>
      <c r="E19" s="198"/>
      <c r="F19" s="198"/>
      <c r="G19" s="198"/>
      <c r="H19" s="198"/>
      <c r="I19" s="198"/>
      <c r="J19" s="203"/>
      <c r="M19" s="209" t="s">
        <v>368</v>
      </c>
    </row>
    <row r="20" spans="1:19" x14ac:dyDescent="0.2">
      <c r="A20" s="205"/>
      <c r="B20" s="198"/>
      <c r="C20" s="198"/>
      <c r="D20" s="198"/>
      <c r="E20" s="198"/>
      <c r="F20" s="198"/>
      <c r="G20" s="198"/>
      <c r="H20" s="198"/>
      <c r="I20" s="198"/>
      <c r="J20" s="203"/>
    </row>
    <row r="21" spans="1:19" ht="15.75" customHeight="1" x14ac:dyDescent="0.2">
      <c r="A21" s="205"/>
      <c r="B21" s="326" t="s">
        <v>367</v>
      </c>
      <c r="C21" s="326"/>
      <c r="D21" s="326"/>
      <c r="E21" s="326"/>
      <c r="F21" s="326"/>
      <c r="G21" s="326"/>
      <c r="H21" s="326"/>
      <c r="I21" s="326"/>
      <c r="J21" s="203"/>
      <c r="M21" s="330" t="s">
        <v>366</v>
      </c>
      <c r="N21" s="330"/>
      <c r="O21" s="330"/>
      <c r="P21" s="330"/>
      <c r="Q21" s="330"/>
      <c r="R21" s="330"/>
      <c r="S21" s="330"/>
    </row>
    <row r="22" spans="1:19" x14ac:dyDescent="0.2">
      <c r="A22" s="205"/>
      <c r="B22" s="326"/>
      <c r="C22" s="326"/>
      <c r="D22" s="326"/>
      <c r="E22" s="326"/>
      <c r="F22" s="326"/>
      <c r="G22" s="326"/>
      <c r="H22" s="326"/>
      <c r="I22" s="326"/>
      <c r="J22" s="203"/>
      <c r="M22" s="330"/>
      <c r="N22" s="330"/>
      <c r="O22" s="330"/>
      <c r="P22" s="330"/>
      <c r="Q22" s="330"/>
      <c r="R22" s="330"/>
      <c r="S22" s="330"/>
    </row>
    <row r="23" spans="1:19" x14ac:dyDescent="0.2">
      <c r="A23" s="205"/>
      <c r="B23" s="326"/>
      <c r="C23" s="326"/>
      <c r="D23" s="326"/>
      <c r="E23" s="326"/>
      <c r="F23" s="326"/>
      <c r="G23" s="326"/>
      <c r="H23" s="326"/>
      <c r="I23" s="326"/>
      <c r="J23" s="203"/>
    </row>
    <row r="24" spans="1:19" x14ac:dyDescent="0.2">
      <c r="A24" s="205"/>
      <c r="B24" s="198"/>
      <c r="C24" s="198"/>
      <c r="D24" s="198"/>
      <c r="E24" s="198"/>
      <c r="F24" s="198"/>
      <c r="G24" s="198"/>
      <c r="H24" s="198"/>
      <c r="I24" s="198"/>
      <c r="J24" s="203"/>
      <c r="M24" s="330" t="s">
        <v>365</v>
      </c>
      <c r="N24" s="330"/>
      <c r="O24" s="330"/>
      <c r="P24" s="330"/>
      <c r="Q24" s="330"/>
      <c r="R24" s="330"/>
      <c r="S24" s="330"/>
    </row>
    <row r="25" spans="1:19" x14ac:dyDescent="0.2">
      <c r="A25" s="205"/>
      <c r="B25" s="208" t="s">
        <v>364</v>
      </c>
      <c r="C25" s="198"/>
      <c r="D25" s="198"/>
      <c r="E25" s="198"/>
      <c r="F25" s="198"/>
      <c r="G25" s="198"/>
      <c r="H25" s="198"/>
      <c r="I25" s="198"/>
      <c r="J25" s="203"/>
      <c r="M25" s="330"/>
      <c r="N25" s="330"/>
      <c r="O25" s="330"/>
      <c r="P25" s="330"/>
      <c r="Q25" s="330"/>
      <c r="R25" s="330"/>
      <c r="S25" s="330"/>
    </row>
    <row r="26" spans="1:19" x14ac:dyDescent="0.2">
      <c r="A26" s="205"/>
      <c r="B26" s="198"/>
      <c r="C26" s="198"/>
      <c r="D26" s="198"/>
      <c r="E26" s="198"/>
      <c r="F26" s="198"/>
      <c r="G26" s="198"/>
      <c r="H26" s="198"/>
      <c r="I26" s="198"/>
      <c r="J26" s="203"/>
    </row>
    <row r="27" spans="1:19" x14ac:dyDescent="0.2">
      <c r="A27" s="205"/>
      <c r="B27" s="204" t="s">
        <v>298</v>
      </c>
      <c r="C27" s="198"/>
      <c r="D27" s="198"/>
      <c r="E27" s="198"/>
      <c r="F27" s="198"/>
      <c r="G27" s="198"/>
      <c r="H27" s="198"/>
      <c r="I27" s="198"/>
      <c r="J27" s="203"/>
      <c r="M27" s="209" t="s">
        <v>364</v>
      </c>
    </row>
    <row r="28" spans="1:19" x14ac:dyDescent="0.2">
      <c r="A28" s="205"/>
      <c r="B28" s="198"/>
      <c r="C28" s="198"/>
      <c r="D28" s="198"/>
      <c r="E28" s="198"/>
      <c r="F28" s="198"/>
      <c r="G28" s="198"/>
      <c r="H28" s="198"/>
      <c r="I28" s="198"/>
      <c r="J28" s="203"/>
    </row>
    <row r="29" spans="1:19" x14ac:dyDescent="0.2">
      <c r="A29" s="205"/>
      <c r="B29" s="207" t="s">
        <v>363</v>
      </c>
      <c r="C29" s="198"/>
      <c r="D29" s="198"/>
      <c r="E29" s="198"/>
      <c r="F29" s="198"/>
      <c r="G29" s="198"/>
      <c r="H29" s="198"/>
      <c r="I29" s="198"/>
      <c r="J29" s="203"/>
      <c r="M29" s="206" t="s">
        <v>278</v>
      </c>
    </row>
    <row r="30" spans="1:19" x14ac:dyDescent="0.2">
      <c r="A30" s="205"/>
      <c r="B30" s="207" t="s">
        <v>352</v>
      </c>
      <c r="C30" s="198"/>
      <c r="D30" s="198"/>
      <c r="E30" s="198"/>
      <c r="F30" s="198"/>
      <c r="G30" s="198"/>
      <c r="H30" s="198"/>
      <c r="I30" s="198"/>
      <c r="J30" s="203"/>
    </row>
    <row r="31" spans="1:19" x14ac:dyDescent="0.2">
      <c r="A31" s="205"/>
      <c r="B31" s="207" t="s">
        <v>362</v>
      </c>
      <c r="C31" s="198"/>
      <c r="D31" s="198"/>
      <c r="E31" s="198"/>
      <c r="F31" s="198"/>
      <c r="G31" s="198"/>
      <c r="H31" s="198"/>
      <c r="I31" s="198"/>
      <c r="J31" s="203"/>
      <c r="M31" s="199" t="s">
        <v>361</v>
      </c>
    </row>
    <row r="32" spans="1:19" x14ac:dyDescent="0.2">
      <c r="A32" s="205"/>
      <c r="B32" s="198"/>
      <c r="C32" s="198"/>
      <c r="D32" s="198"/>
      <c r="E32" s="198"/>
      <c r="F32" s="198"/>
      <c r="G32" s="198"/>
      <c r="H32" s="198"/>
      <c r="I32" s="198"/>
      <c r="J32" s="203"/>
    </row>
    <row r="33" spans="1:19" x14ac:dyDescent="0.2">
      <c r="A33" s="205"/>
      <c r="B33" s="198" t="s">
        <v>0</v>
      </c>
      <c r="C33" s="204"/>
      <c r="D33" s="198"/>
      <c r="E33" s="198"/>
      <c r="F33" s="198"/>
      <c r="G33" s="198"/>
      <c r="H33" s="198"/>
      <c r="I33" s="198"/>
      <c r="J33" s="203"/>
      <c r="M33" s="206" t="s">
        <v>254</v>
      </c>
    </row>
    <row r="34" spans="1:19" x14ac:dyDescent="0.2">
      <c r="A34" s="205"/>
      <c r="B34" s="198" t="s">
        <v>360</v>
      </c>
      <c r="C34" s="204"/>
      <c r="D34" s="198"/>
      <c r="E34" s="198"/>
      <c r="F34" s="198"/>
      <c r="G34" s="198"/>
      <c r="H34" s="198"/>
      <c r="I34" s="198"/>
      <c r="J34" s="203"/>
    </row>
    <row r="35" spans="1:19" x14ac:dyDescent="0.2">
      <c r="A35" s="205"/>
      <c r="B35" s="198"/>
      <c r="C35" s="198"/>
      <c r="D35" s="198"/>
      <c r="E35" s="198"/>
      <c r="F35" s="198"/>
      <c r="G35" s="198"/>
      <c r="H35" s="198"/>
      <c r="I35" s="198"/>
      <c r="J35" s="203"/>
      <c r="M35" s="210" t="s">
        <v>359</v>
      </c>
    </row>
    <row r="36" spans="1:19" x14ac:dyDescent="0.2">
      <c r="A36" s="205"/>
      <c r="B36" s="198" t="s">
        <v>1</v>
      </c>
      <c r="C36" s="204"/>
      <c r="D36" s="198"/>
      <c r="E36" s="198"/>
      <c r="F36" s="198"/>
      <c r="G36" s="198"/>
      <c r="H36" s="198"/>
      <c r="I36" s="198"/>
      <c r="J36" s="203"/>
      <c r="M36" s="210" t="s">
        <v>358</v>
      </c>
    </row>
    <row r="37" spans="1:19" x14ac:dyDescent="0.2">
      <c r="A37" s="205"/>
      <c r="B37" s="327" t="s">
        <v>357</v>
      </c>
      <c r="C37" s="327"/>
      <c r="D37" s="327"/>
      <c r="E37" s="327"/>
      <c r="F37" s="327"/>
      <c r="G37" s="327"/>
      <c r="H37" s="327"/>
      <c r="I37" s="327"/>
      <c r="J37" s="203"/>
      <c r="M37" s="210" t="s">
        <v>356</v>
      </c>
    </row>
    <row r="38" spans="1:19" x14ac:dyDescent="0.2">
      <c r="A38" s="205"/>
      <c r="B38" s="327"/>
      <c r="C38" s="327"/>
      <c r="D38" s="327"/>
      <c r="E38" s="327"/>
      <c r="F38" s="327"/>
      <c r="G38" s="327"/>
      <c r="H38" s="327"/>
      <c r="I38" s="327"/>
      <c r="J38" s="203"/>
    </row>
    <row r="39" spans="1:19" x14ac:dyDescent="0.2">
      <c r="A39" s="205"/>
      <c r="B39" s="198"/>
      <c r="C39" s="198"/>
      <c r="D39" s="198"/>
      <c r="E39" s="198"/>
      <c r="F39" s="198"/>
      <c r="G39" s="198"/>
      <c r="H39" s="198"/>
      <c r="I39" s="198"/>
      <c r="J39" s="203"/>
      <c r="M39" s="209" t="s">
        <v>355</v>
      </c>
    </row>
    <row r="40" spans="1:19" x14ac:dyDescent="0.2">
      <c r="A40" s="205"/>
      <c r="B40" s="208" t="s">
        <v>355</v>
      </c>
      <c r="C40" s="198"/>
      <c r="D40" s="198"/>
      <c r="E40" s="198"/>
      <c r="F40" s="198"/>
      <c r="G40" s="198"/>
      <c r="H40" s="198"/>
      <c r="I40" s="198"/>
      <c r="J40" s="203"/>
    </row>
    <row r="41" spans="1:19" x14ac:dyDescent="0.2">
      <c r="A41" s="205"/>
      <c r="B41" s="198"/>
      <c r="C41" s="198"/>
      <c r="D41" s="198"/>
      <c r="E41" s="198"/>
      <c r="F41" s="198"/>
      <c r="G41" s="198"/>
      <c r="H41" s="198"/>
      <c r="I41" s="198"/>
      <c r="J41" s="203"/>
      <c r="M41" s="206" t="s">
        <v>278</v>
      </c>
    </row>
    <row r="42" spans="1:19" x14ac:dyDescent="0.2">
      <c r="A42" s="205"/>
      <c r="B42" s="204" t="s">
        <v>298</v>
      </c>
      <c r="C42" s="198"/>
      <c r="D42" s="198"/>
      <c r="E42" s="198"/>
      <c r="F42" s="198"/>
      <c r="G42" s="198"/>
      <c r="H42" s="198"/>
      <c r="I42" s="198"/>
      <c r="J42" s="203"/>
    </row>
    <row r="43" spans="1:19" x14ac:dyDescent="0.2">
      <c r="A43" s="205"/>
      <c r="B43" s="198"/>
      <c r="C43" s="198"/>
      <c r="D43" s="198"/>
      <c r="E43" s="198"/>
      <c r="F43" s="198"/>
      <c r="G43" s="198"/>
      <c r="H43" s="198"/>
      <c r="I43" s="198"/>
      <c r="J43" s="203"/>
      <c r="M43" s="328" t="s">
        <v>354</v>
      </c>
      <c r="N43" s="328"/>
      <c r="O43" s="328"/>
      <c r="P43" s="328"/>
      <c r="Q43" s="328"/>
      <c r="R43" s="328"/>
      <c r="S43" s="328"/>
    </row>
    <row r="44" spans="1:19" x14ac:dyDescent="0.2">
      <c r="A44" s="205"/>
      <c r="B44" s="207" t="s">
        <v>353</v>
      </c>
      <c r="C44" s="198"/>
      <c r="D44" s="198"/>
      <c r="E44" s="198"/>
      <c r="F44" s="198"/>
      <c r="G44" s="198"/>
      <c r="H44" s="198"/>
      <c r="I44" s="198"/>
      <c r="J44" s="203"/>
      <c r="M44" s="328"/>
      <c r="N44" s="328"/>
      <c r="O44" s="328"/>
      <c r="P44" s="328"/>
      <c r="Q44" s="328"/>
      <c r="R44" s="328"/>
      <c r="S44" s="328"/>
    </row>
    <row r="45" spans="1:19" x14ac:dyDescent="0.2">
      <c r="A45" s="205"/>
      <c r="B45" s="207" t="s">
        <v>352</v>
      </c>
      <c r="C45" s="198"/>
      <c r="D45" s="198"/>
      <c r="E45" s="198"/>
      <c r="F45" s="198"/>
      <c r="G45" s="198"/>
      <c r="H45" s="198"/>
      <c r="I45" s="198"/>
      <c r="J45" s="203"/>
      <c r="M45" s="328"/>
      <c r="N45" s="328"/>
      <c r="O45" s="328"/>
      <c r="P45" s="328"/>
      <c r="Q45" s="328"/>
      <c r="R45" s="328"/>
      <c r="S45" s="328"/>
    </row>
    <row r="46" spans="1:19" x14ac:dyDescent="0.2">
      <c r="A46" s="205"/>
      <c r="B46" s="207" t="s">
        <v>351</v>
      </c>
      <c r="C46" s="198"/>
      <c r="D46" s="198"/>
      <c r="E46" s="198"/>
      <c r="F46" s="198"/>
      <c r="G46" s="198"/>
      <c r="H46" s="198"/>
      <c r="I46" s="198"/>
      <c r="J46" s="203"/>
      <c r="M46" s="328"/>
      <c r="N46" s="328"/>
      <c r="O46" s="328"/>
      <c r="P46" s="328"/>
      <c r="Q46" s="328"/>
      <c r="R46" s="328"/>
      <c r="S46" s="328"/>
    </row>
    <row r="47" spans="1:19" x14ac:dyDescent="0.2">
      <c r="A47" s="205"/>
      <c r="B47" s="207" t="s">
        <v>350</v>
      </c>
      <c r="C47" s="198"/>
      <c r="D47" s="198"/>
      <c r="E47" s="198"/>
      <c r="F47" s="198"/>
      <c r="G47" s="198"/>
      <c r="H47" s="198"/>
      <c r="I47" s="198"/>
      <c r="J47" s="203"/>
    </row>
    <row r="48" spans="1:19" x14ac:dyDescent="0.2">
      <c r="A48" s="205"/>
      <c r="B48" s="198"/>
      <c r="C48" s="198"/>
      <c r="D48" s="198"/>
      <c r="E48" s="198"/>
      <c r="F48" s="198"/>
      <c r="G48" s="198"/>
      <c r="H48" s="198"/>
      <c r="I48" s="198"/>
      <c r="J48" s="203"/>
      <c r="M48" s="206" t="s">
        <v>254</v>
      </c>
    </row>
    <row r="49" spans="1:19" x14ac:dyDescent="0.2">
      <c r="A49" s="205"/>
      <c r="B49" s="198" t="s">
        <v>0</v>
      </c>
      <c r="C49" s="204"/>
      <c r="D49" s="198"/>
      <c r="E49" s="198"/>
      <c r="F49" s="198"/>
      <c r="G49" s="198"/>
      <c r="H49" s="198"/>
      <c r="I49" s="198"/>
      <c r="J49" s="203"/>
    </row>
    <row r="50" spans="1:19" x14ac:dyDescent="0.2">
      <c r="A50" s="205"/>
      <c r="B50" s="327" t="s">
        <v>349</v>
      </c>
      <c r="C50" s="327"/>
      <c r="D50" s="327"/>
      <c r="E50" s="327"/>
      <c r="F50" s="327"/>
      <c r="G50" s="327"/>
      <c r="H50" s="327"/>
      <c r="I50" s="327"/>
      <c r="J50" s="203"/>
      <c r="M50" s="199" t="s">
        <v>348</v>
      </c>
    </row>
    <row r="51" spans="1:19" x14ac:dyDescent="0.2">
      <c r="A51" s="205"/>
      <c r="B51" s="327"/>
      <c r="C51" s="327"/>
      <c r="D51" s="327"/>
      <c r="E51" s="327"/>
      <c r="F51" s="327"/>
      <c r="G51" s="327"/>
      <c r="H51" s="327"/>
      <c r="I51" s="327"/>
      <c r="J51" s="203"/>
    </row>
    <row r="52" spans="1:19" x14ac:dyDescent="0.2">
      <c r="A52" s="205"/>
      <c r="B52" s="134"/>
      <c r="C52" s="198"/>
      <c r="D52" s="198"/>
      <c r="E52" s="198"/>
      <c r="F52" s="198"/>
      <c r="G52" s="198"/>
      <c r="H52" s="198"/>
      <c r="I52" s="198"/>
      <c r="J52" s="203"/>
      <c r="N52" s="328" t="s">
        <v>347</v>
      </c>
      <c r="O52" s="328"/>
      <c r="P52" s="328"/>
      <c r="Q52" s="328"/>
      <c r="R52" s="328"/>
      <c r="S52" s="328"/>
    </row>
    <row r="53" spans="1:19" x14ac:dyDescent="0.2">
      <c r="A53" s="205"/>
      <c r="B53" s="198" t="s">
        <v>1</v>
      </c>
      <c r="C53" s="204"/>
      <c r="D53" s="198"/>
      <c r="E53" s="198"/>
      <c r="F53" s="198"/>
      <c r="G53" s="198"/>
      <c r="H53" s="198"/>
      <c r="I53" s="198"/>
      <c r="J53" s="203"/>
      <c r="N53" s="328"/>
      <c r="O53" s="328"/>
      <c r="P53" s="328"/>
      <c r="Q53" s="328"/>
      <c r="R53" s="328"/>
      <c r="S53" s="328"/>
    </row>
    <row r="54" spans="1:19" x14ac:dyDescent="0.2">
      <c r="A54" s="205"/>
      <c r="B54" s="198" t="s">
        <v>346</v>
      </c>
      <c r="C54" s="204"/>
      <c r="D54" s="198"/>
      <c r="E54" s="198"/>
      <c r="F54" s="198"/>
      <c r="G54" s="198"/>
      <c r="H54" s="198"/>
      <c r="I54" s="198"/>
      <c r="J54" s="203"/>
    </row>
    <row r="55" spans="1:19" ht="17" thickBot="1" x14ac:dyDescent="0.25">
      <c r="A55" s="202"/>
      <c r="B55" s="201"/>
      <c r="C55" s="201"/>
      <c r="D55" s="201"/>
      <c r="E55" s="201"/>
      <c r="F55" s="201"/>
      <c r="G55" s="201"/>
      <c r="H55" s="201"/>
      <c r="I55" s="201"/>
      <c r="J55" s="200"/>
      <c r="M55" s="196" t="s">
        <v>345</v>
      </c>
    </row>
    <row r="57" spans="1:19" x14ac:dyDescent="0.2">
      <c r="N57" s="199" t="s">
        <v>344</v>
      </c>
    </row>
    <row r="59" spans="1:19" x14ac:dyDescent="0.2">
      <c r="M59" s="196" t="s">
        <v>343</v>
      </c>
    </row>
    <row r="61" spans="1:19" x14ac:dyDescent="0.2">
      <c r="M61" s="196" t="s">
        <v>342</v>
      </c>
    </row>
    <row r="63" spans="1:19" x14ac:dyDescent="0.2">
      <c r="N63" s="199" t="s">
        <v>341</v>
      </c>
    </row>
  </sheetData>
  <mergeCells count="10">
    <mergeCell ref="B13:I16"/>
    <mergeCell ref="B21:I23"/>
    <mergeCell ref="B37:I38"/>
    <mergeCell ref="B50:I51"/>
    <mergeCell ref="N52:S53"/>
    <mergeCell ref="M13:S14"/>
    <mergeCell ref="M16:S17"/>
    <mergeCell ref="M21:S22"/>
    <mergeCell ref="M24:S25"/>
    <mergeCell ref="M43:S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Overview</vt:lpstr>
      <vt:lpstr>Q #1</vt:lpstr>
      <vt:lpstr>Q #2</vt:lpstr>
      <vt:lpstr>Q #3</vt:lpstr>
      <vt:lpstr>Q #4</vt:lpstr>
      <vt:lpstr>Q #5</vt:lpstr>
      <vt:lpstr>Q #6</vt:lpstr>
      <vt:lpstr>Q #7</vt:lpstr>
      <vt:lpstr>Q #8</vt:lpstr>
      <vt:lpstr>Q #9</vt:lpstr>
      <vt:lpstr>Q #10</vt:lpstr>
      <vt:lpstr>Q #11</vt:lpstr>
      <vt:lpstr>Q #12</vt:lpstr>
      <vt:lpstr>Q #13</vt:lpstr>
      <vt:lpstr>Q #14</vt:lpstr>
      <vt:lpstr>Q #15</vt:lpstr>
      <vt:lpstr>2011 #1</vt:lpstr>
      <vt:lpstr>2012 #4</vt:lpstr>
      <vt:lpstr>2014 #1</vt:lpstr>
      <vt:lpstr>2016 #2</vt:lpstr>
      <vt:lpstr>2017 #2</vt:lpstr>
      <vt:lpstr>2018 #4</vt:lpstr>
      <vt:lpstr>Essay Problems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2026-04-23T13:11:18Z</dcterms:modified>
</cp:coreProperties>
</file>