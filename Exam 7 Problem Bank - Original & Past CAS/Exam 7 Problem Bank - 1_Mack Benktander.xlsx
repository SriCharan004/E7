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Problem Bank/Exam 7 Problem Bank - Original &amp; Past CAS/"/>
    </mc:Choice>
  </mc:AlternateContent>
  <xr:revisionPtr revIDLastSave="0" documentId="13_ncr:1_{2EFFEFB7-DE90-5141-9BB8-595EF3DEDB2F}" xr6:coauthVersionLast="47" xr6:coauthVersionMax="47" xr10:uidLastSave="{00000000-0000-0000-0000-000000000000}"/>
  <bookViews>
    <workbookView xWindow="160" yWindow="660" windowWidth="26560" windowHeight="20780" xr2:uid="{B2F629C4-F532-0048-94B5-6129BC4B4200}"/>
  </bookViews>
  <sheets>
    <sheet name="Overview" sheetId="4" r:id="rId1"/>
    <sheet name="Q #1" sheetId="1" r:id="rId2"/>
    <sheet name="Q #2" sheetId="2" r:id="rId3"/>
    <sheet name="Q #3" sheetId="3" r:id="rId4"/>
    <sheet name="Q #4" sheetId="5" r:id="rId5"/>
    <sheet name="Q #5" sheetId="6" r:id="rId6"/>
    <sheet name="Q #6" sheetId="7" r:id="rId7"/>
    <sheet name="Q #7" sheetId="8" r:id="rId8"/>
    <sheet name="Q #8" sheetId="13" r:id="rId9"/>
    <sheet name="2012 #1" sheetId="10" r:id="rId10"/>
    <sheet name="2013 #4" sheetId="11" r:id="rId11"/>
    <sheet name="2018 #5"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5" i="2" l="1"/>
  <c r="N11" i="2"/>
  <c r="O6" i="13" l="1"/>
  <c r="O7" i="13" s="1"/>
  <c r="N6" i="13"/>
  <c r="N9" i="13"/>
  <c r="N12" i="13"/>
  <c r="M8" i="12"/>
  <c r="M9" i="12"/>
  <c r="M19" i="12"/>
  <c r="M4" i="11"/>
  <c r="M5" i="11"/>
  <c r="M7" i="11"/>
  <c r="M14" i="11" s="1"/>
  <c r="M4" i="10"/>
  <c r="M6" i="10"/>
  <c r="M7" i="10"/>
  <c r="M9" i="10"/>
  <c r="M11" i="10"/>
  <c r="M15" i="10"/>
  <c r="M16" i="10"/>
  <c r="M20" i="10" s="1"/>
  <c r="M18" i="10"/>
  <c r="M25" i="10" s="1"/>
  <c r="N7" i="13" l="1"/>
  <c r="N10" i="13" s="1"/>
  <c r="N13" i="13" s="1"/>
  <c r="N15" i="13" s="1"/>
  <c r="N3" i="8"/>
  <c r="N5" i="7"/>
  <c r="N6" i="7"/>
  <c r="N8" i="7"/>
  <c r="N5" i="6"/>
  <c r="N6" i="6" s="1"/>
  <c r="N7" i="6" s="1"/>
  <c r="N11" i="6"/>
  <c r="N3" i="5"/>
  <c r="N5" i="5" s="1"/>
  <c r="M7" i="1" l="1"/>
  <c r="M4" i="1"/>
  <c r="N17" i="3" l="1"/>
  <c r="N21" i="3" s="1"/>
  <c r="N25" i="3" s="1"/>
  <c r="N16" i="2"/>
  <c r="O6" i="2"/>
  <c r="N6" i="2"/>
  <c r="P6" i="2"/>
  <c r="P7" i="2" s="1"/>
  <c r="P8" i="2" s="1"/>
  <c r="M2" i="1"/>
  <c r="O7" i="2" l="1"/>
  <c r="N7" i="2" l="1"/>
  <c r="O8" i="2"/>
  <c r="N8" i="2" l="1"/>
  <c r="O21" i="2" s="1"/>
  <c r="N19" i="2"/>
  <c r="N10" i="2"/>
</calcChain>
</file>

<file path=xl/sharedStrings.xml><?xml version="1.0" encoding="utf-8"?>
<sst xmlns="http://schemas.openxmlformats.org/spreadsheetml/2006/main" count="361" uniqueCount="252">
  <si>
    <t>a.</t>
  </si>
  <si>
    <t>b.</t>
  </si>
  <si>
    <t>c.</t>
  </si>
  <si>
    <t>Part a</t>
  </si>
  <si>
    <t>Part b</t>
  </si>
  <si>
    <t>Part c</t>
  </si>
  <si>
    <t>Given the following information:</t>
  </si>
  <si>
    <t>Accident Year</t>
  </si>
  <si>
    <t>12 Months</t>
  </si>
  <si>
    <t>24 Months</t>
  </si>
  <si>
    <t>36 Months</t>
  </si>
  <si>
    <t>Earned Premium</t>
  </si>
  <si>
    <t>Cumulative Paid Losses ($000)</t>
  </si>
  <si>
    <t>12-Ult</t>
  </si>
  <si>
    <t>24-Ult</t>
  </si>
  <si>
    <t>36-Ult</t>
  </si>
  <si>
    <t>Calculate the ultimate loss estimate for accident year 2014 using the Benktander method.</t>
  </si>
  <si>
    <t xml:space="preserve">%Unpaid = </t>
  </si>
  <si>
    <t xml:space="preserve">Ult_BF(2014) = </t>
  </si>
  <si>
    <t xml:space="preserve">Ult_GB(2014) = </t>
  </si>
  <si>
    <t>Reported Losses</t>
  </si>
  <si>
    <t>Calculate the estimated ultimate losses for accident year 2015 using the Benktander method.</t>
  </si>
  <si>
    <t>between the chain ladder estimate and an a priori ultimate loss estimate. Calculate the credibility placed</t>
  </si>
  <si>
    <t>on the chain ladder estimate.</t>
  </si>
  <si>
    <t>Demonstrate how the estimated ultimate losses in part a can be calculated as a credibility mixture model</t>
  </si>
  <si>
    <t>Calculate LDFs:</t>
  </si>
  <si>
    <t>24-36</t>
  </si>
  <si>
    <t>LDF</t>
  </si>
  <si>
    <t>CDF</t>
  </si>
  <si>
    <t>12-24</t>
  </si>
  <si>
    <t xml:space="preserve">Ult_GB(2015) = </t>
  </si>
  <si>
    <t xml:space="preserve">Ult_BF(2015) = </t>
  </si>
  <si>
    <t xml:space="preserve">Ult_CL(2015) = </t>
  </si>
  <si>
    <t xml:space="preserve">U_0(2015) = </t>
  </si>
  <si>
    <t>a priori ultimate</t>
  </si>
  <si>
    <t xml:space="preserve">Credibility on CL estimate = </t>
  </si>
  <si>
    <t>(same as answer in part a)</t>
  </si>
  <si>
    <t>48 Months</t>
  </si>
  <si>
    <t>% Reported</t>
  </si>
  <si>
    <t>Reported Chain Ladder</t>
  </si>
  <si>
    <t>Reported Benktander</t>
  </si>
  <si>
    <t>Reported Bornhuetter-Ferguson</t>
  </si>
  <si>
    <t>not given</t>
  </si>
  <si>
    <t>Estimated Ultimate Loss ($000)</t>
  </si>
  <si>
    <t>Selected Reporting Pattern</t>
  </si>
  <si>
    <t>Cumulative Reported Loss ($000)</t>
  </si>
  <si>
    <t>than the Benktander ultimate loss and discuss why.</t>
  </si>
  <si>
    <t>For each accident year, identify whether the Bornhuetter-Ferguson ultimate loss is greater than or less</t>
  </si>
  <si>
    <t>Briefly discuss one advantage and disadvantage of the Benktander method compared to the chain ladder method.</t>
  </si>
  <si>
    <t>Calculate the selected loss ratio used for accident year 2016.</t>
  </si>
  <si>
    <t>AY</t>
  </si>
  <si>
    <r>
      <t>U</t>
    </r>
    <r>
      <rPr>
        <vertAlign val="subscript"/>
        <sz val="12"/>
        <color rgb="FF000000"/>
        <rFont val="Calibri"/>
        <family val="2"/>
      </rPr>
      <t>BF</t>
    </r>
  </si>
  <si>
    <r>
      <t>Lower than U</t>
    </r>
    <r>
      <rPr>
        <vertAlign val="subscript"/>
        <sz val="12"/>
        <color rgb="FF000000"/>
        <rFont val="Calibri"/>
        <family val="2"/>
      </rPr>
      <t>GB</t>
    </r>
  </si>
  <si>
    <r>
      <t>Higher than U</t>
    </r>
    <r>
      <rPr>
        <vertAlign val="subscript"/>
        <sz val="12"/>
        <color rgb="FF000000"/>
        <rFont val="Calibri"/>
        <family val="2"/>
      </rPr>
      <t>GB</t>
    </r>
  </si>
  <si>
    <t>8,835 = 2,980 + (1-.34)*U_BF</t>
  </si>
  <si>
    <t xml:space="preserve">U_BF = </t>
  </si>
  <si>
    <t xml:space="preserve">U_0 = </t>
  </si>
  <si>
    <t>Calculate ELR:</t>
  </si>
  <si>
    <t xml:space="preserve">ELR = </t>
  </si>
  <si>
    <t>Advantage</t>
  </si>
  <si>
    <t>Disadvantage</t>
  </si>
  <si>
    <t>Outperforms the chain ladder method in many situations with a mean squared error close to the optimal credibility reserve.</t>
  </si>
  <si>
    <t>Different actuaries may arrive at different results because of subjectivity in selecting U_0.</t>
  </si>
  <si>
    <t>SHOW ALL WORK.</t>
  </si>
  <si>
    <t>Solution -&gt;</t>
  </si>
  <si>
    <t>The Benktander reserve is a credibility mixture of the chain ladder and BF reserves where the credibility is the %Reported. Therefore, the Benktander ultimate will always be between the chain ladder and BF ultimates (assuming %Reported is between 0% and 100%).</t>
  </si>
  <si>
    <t>Selected Cumulative Development Factors</t>
  </si>
  <si>
    <t>RF Mack Benktander - 3</t>
  </si>
  <si>
    <t>RF Mack Benktander -  2</t>
  </si>
  <si>
    <t>RF Mack Benktander -  1</t>
  </si>
  <si>
    <t>Mack Benktander - Benktander Method</t>
  </si>
  <si>
    <t>Discussion</t>
  </si>
  <si>
    <t>Recipe</t>
  </si>
  <si>
    <t>•  Expected Loss Ratio</t>
  </si>
  <si>
    <t>•  Cumulative development factor to ultimate =</t>
  </si>
  <si>
    <t>•  Expected Loss Ratio =</t>
  </si>
  <si>
    <t>For part b, we want to view the Benktander method as a "credibility mixture model between the chain ladder estimate and an a priori ultimate loss estimate." The formulation below for the Benktander method does this:</t>
  </si>
  <si>
    <t>Overview</t>
  </si>
  <si>
    <t>www.RisingFellow.com</t>
  </si>
  <si>
    <t>Original Practice Problems</t>
  </si>
  <si>
    <t>Past CAS Problems</t>
  </si>
  <si>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</si>
  <si>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</si>
  <si>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</si>
  <si>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Calculate the accident year 2012 ultimate loss based on the Bornhuetter/Ferguson method.</t>
  </si>
  <si>
    <t>• Ultimate loss based on the Benktander method</t>
  </si>
  <si>
    <t>• Ultimate loss based on the chain-ladder method</t>
  </si>
  <si>
    <t>&lt;-U_GB=(1-q_k)U_CL + q_kU_BF</t>
  </si>
  <si>
    <t>U_BF =</t>
  </si>
  <si>
    <t>• 12-ultimate cumulative paid LDF</t>
  </si>
  <si>
    <t>&lt;-1-1/LDF</t>
  </si>
  <si>
    <t>q_k =</t>
  </si>
  <si>
    <t>Given the following information for accident year 2012 as of December 31, 2012:</t>
  </si>
  <si>
    <t>RF Mack Benktander - 4</t>
  </si>
  <si>
    <t>As the BF procedure is done iteratively, the ultimate estimate approaches the chain ladder estimate. See the Discussion sectio in the Cookbook recipe.</t>
  </si>
  <si>
    <t xml:space="preserve">Calculate </t>
  </si>
  <si>
    <t>&lt;-U^(inf) = U_CL = C_k/p_k</t>
  </si>
  <si>
    <t>U^(inf)</t>
  </si>
  <si>
    <t>Part b:</t>
  </si>
  <si>
    <t>&lt;-U^(3) = C_k + q_kU_GB</t>
  </si>
  <si>
    <t>U^(3) =</t>
  </si>
  <si>
    <t>&lt;-U^(2) = U_GB = C_k + q_kU_BF</t>
  </si>
  <si>
    <t>U^(2) =</t>
  </si>
  <si>
    <t>&lt;-U^(1) = U_BF = C_k + q_kU_0</t>
  </si>
  <si>
    <t>U^(1) =</t>
  </si>
  <si>
    <t>Part a:</t>
  </si>
  <si>
    <t>RF Mack Benktander - 5</t>
  </si>
  <si>
    <t>With c = pk, the Esa Hovinen reserve equals the benktander reserve. The Esa Hovinin reserve is a credibility mixture of the CL and BF reserves. It's discussed very briefly at the bottom of pg. 335 in the source text.</t>
  </si>
  <si>
    <r>
      <t>Using a credibility weight of c = p</t>
    </r>
    <r>
      <rPr>
        <vertAlign val="subscript"/>
        <sz val="12"/>
        <color theme="1"/>
        <rFont val="Calibri (Body)"/>
      </rPr>
      <t>k</t>
    </r>
    <r>
      <rPr>
        <sz val="12"/>
        <color theme="1"/>
        <rFont val="Calibri"/>
        <family val="2"/>
        <scheme val="minor"/>
      </rPr>
      <t xml:space="preserve"> , calculate the accident year 2012 Esa Hovinen reserve.</t>
    </r>
  </si>
  <si>
    <t>R_EH =</t>
  </si>
  <si>
    <t>&lt;-C_k = U_CL - R_CL</t>
  </si>
  <si>
    <t>C_k =</t>
  </si>
  <si>
    <t>• Reserve based on the chain-ladder method</t>
  </si>
  <si>
    <t>&lt;-U_CL = R_CL/q_k</t>
  </si>
  <si>
    <t>U_CL =</t>
  </si>
  <si>
    <t>When c = p_k, R_EH = R_GB = U_GB - C_k</t>
  </si>
  <si>
    <t>RF Mack Benktander - 6</t>
  </si>
  <si>
    <t>Look at pg. 337 in the source text, which points out that if c* &gt; p_k/2, then the Benktander reserve has a smaller MSE.</t>
  </si>
  <si>
    <t>Thus, the Benktander has a smaller MSE</t>
  </si>
  <si>
    <t>Identify which reserve has a smaller MSE: Benktander or Bornhuetter/Ferguson.</t>
  </si>
  <si>
    <t>In this case, c* = 0.32 &gt; 0.60/2</t>
  </si>
  <si>
    <t>If c* &gt; p_k/2, then the Benktander reserve has a smaller MSE</t>
  </si>
  <si>
    <t>&lt;-U_CL = C_k/p_k</t>
  </si>
  <si>
    <t>p_k =</t>
  </si>
  <si>
    <t>RF Mack Benktander - 7</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</si>
  <si>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</si>
  <si>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</si>
  <si>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 xml:space="preserve">Mack (Benktander) – Benktander Method </t>
  </si>
  <si>
    <t>Part a is straightforward application of the different methods. To solve part b you need to set up a system of equations and solve for the incremental loss in 2012 so that: 
U_GB = U_BF + 50k.</t>
  </si>
  <si>
    <t>x =</t>
  </si>
  <si>
    <t>1,450,000 + x + 50,000</t>
  </si>
  <si>
    <t xml:space="preserve">1,280,000 + 1.4x = </t>
  </si>
  <si>
    <r>
      <t>Ult</t>
    </r>
    <r>
      <rPr>
        <vertAlign val="subscript"/>
        <sz val="12"/>
        <color theme="1"/>
        <rFont val="Calibri"/>
        <family val="2"/>
      </rPr>
      <t xml:space="preserve">BF </t>
    </r>
    <r>
      <rPr>
        <sz val="12"/>
        <color theme="1"/>
        <rFont val="Calibri"/>
        <family val="2"/>
      </rPr>
      <t xml:space="preserve"> + 50 k</t>
    </r>
  </si>
  <si>
    <r>
      <t>Ult</t>
    </r>
    <r>
      <rPr>
        <vertAlign val="subscript"/>
        <sz val="12"/>
        <color theme="1"/>
        <rFont val="Calibri"/>
        <family val="2"/>
      </rPr>
      <t xml:space="preserve">GB </t>
    </r>
    <r>
      <rPr>
        <sz val="12"/>
        <color theme="1"/>
        <rFont val="Calibri"/>
        <family val="2"/>
      </rPr>
      <t>=</t>
    </r>
  </si>
  <si>
    <t>selected development factors remain the same.</t>
  </si>
  <si>
    <t>ultimate loss estimate for accident year 2011, as of December 31, 2012. Assume all</t>
  </si>
  <si>
    <t>+ 1.4x</t>
  </si>
  <si>
    <t>Benktander ultimate loss estimate being $50,000 greater than the Bornhuetter-Ferguson</t>
  </si>
  <si>
    <r>
      <t>(700k + x) + 0.4 * Ult</t>
    </r>
    <r>
      <rPr>
        <vertAlign val="subscript"/>
        <sz val="12"/>
        <color theme="1"/>
        <rFont val="Calibri"/>
        <family val="2"/>
      </rPr>
      <t>BF</t>
    </r>
  </si>
  <si>
    <t>Determine the accident year 2011 incremental paid loss in 2012 that would result in the</t>
  </si>
  <si>
    <t>1.5 points</t>
  </si>
  <si>
    <t>+ x</t>
  </si>
  <si>
    <r>
      <t>Ult</t>
    </r>
    <r>
      <rPr>
        <vertAlign val="subscript"/>
        <sz val="12"/>
        <color theme="1"/>
        <rFont val="Calibri"/>
        <family val="2"/>
      </rPr>
      <t xml:space="preserve">BF </t>
    </r>
    <r>
      <rPr>
        <sz val="12"/>
        <color theme="1"/>
        <rFont val="Calibri"/>
        <family val="2"/>
      </rPr>
      <t>=</t>
    </r>
  </si>
  <si>
    <t>iii. Benktander</t>
  </si>
  <si>
    <r>
      <t>q</t>
    </r>
    <r>
      <rPr>
        <vertAlign val="subscript"/>
        <sz val="12"/>
        <color rgb="FF000000"/>
        <rFont val="Calibri"/>
        <family val="2"/>
      </rPr>
      <t>24</t>
    </r>
    <r>
      <rPr>
        <sz val="12"/>
        <color rgb="FF000000"/>
        <rFont val="Calibri"/>
        <family val="2"/>
      </rPr>
      <t xml:space="preserve"> = </t>
    </r>
  </si>
  <si>
    <t>ii. Bornhuetter-Ferguson</t>
  </si>
  <si>
    <r>
      <t>CDF</t>
    </r>
    <r>
      <rPr>
        <vertAlign val="subscript"/>
        <sz val="12"/>
        <color theme="1"/>
        <rFont val="Calibri"/>
        <family val="2"/>
      </rPr>
      <t>24-ult</t>
    </r>
    <r>
      <rPr>
        <sz val="12"/>
        <color theme="1"/>
        <rFont val="Calibri"/>
        <family val="2"/>
      </rPr>
      <t xml:space="preserve"> =</t>
    </r>
  </si>
  <si>
    <t>i. Chain ladder</t>
  </si>
  <si>
    <t>Part b.</t>
  </si>
  <si>
    <t>each of the following three methods:</t>
  </si>
  <si>
    <t>Calculate accident year 2011 ultimate loss estimates as of December 31, 2011 using</t>
  </si>
  <si>
    <t>1.25 points</t>
  </si>
  <si>
    <t>⇽ Benktander Ultimate</t>
  </si>
  <si>
    <t>•  12-ultimate cumulative paid LDF:</t>
  </si>
  <si>
    <t>⇽ BF Ultimate</t>
  </si>
  <si>
    <t>•  12-24 month paid link ratio:</t>
  </si>
  <si>
    <t>•  Initial expected loss ratio:</t>
  </si>
  <si>
    <r>
      <t>U</t>
    </r>
    <r>
      <rPr>
        <vertAlign val="subscript"/>
        <sz val="12"/>
        <color rgb="FF000000"/>
        <rFont val="Calibri"/>
        <family val="2"/>
      </rPr>
      <t>0</t>
    </r>
    <r>
      <rPr>
        <sz val="12"/>
        <color rgb="FF000000"/>
        <rFont val="Calibri"/>
        <family val="2"/>
      </rPr>
      <t xml:space="preserve"> = </t>
    </r>
  </si>
  <si>
    <t>•  2011 earned premium:</t>
  </si>
  <si>
    <r>
      <t>q</t>
    </r>
    <r>
      <rPr>
        <vertAlign val="subscript"/>
        <sz val="12"/>
        <color rgb="FF000000"/>
        <rFont val="Calibri"/>
        <family val="2"/>
      </rPr>
      <t>12</t>
    </r>
    <r>
      <rPr>
        <sz val="12"/>
        <color rgb="FF000000"/>
        <rFont val="Calibri"/>
        <family val="2"/>
      </rPr>
      <t xml:space="preserve"> = </t>
    </r>
  </si>
  <si>
    <t>•  Accident year 2011 paid loss:</t>
  </si>
  <si>
    <t>⇽ CL Ultimate</t>
  </si>
  <si>
    <r>
      <t>Ult</t>
    </r>
    <r>
      <rPr>
        <vertAlign val="subscript"/>
        <sz val="12"/>
        <color theme="1"/>
        <rFont val="Calibri"/>
        <family val="2"/>
      </rPr>
      <t xml:space="preserve">CL </t>
    </r>
    <r>
      <rPr>
        <sz val="12"/>
        <color theme="1"/>
        <rFont val="Calibri"/>
        <family val="2"/>
      </rPr>
      <t>=</t>
    </r>
  </si>
  <si>
    <t>Given the following information for accident year 2011 as of December 31, 2011:</t>
  </si>
  <si>
    <t>Part a.</t>
  </si>
  <si>
    <t>Points:</t>
  </si>
  <si>
    <t>Q #1</t>
  </si>
  <si>
    <t>Exam 7</t>
  </si>
  <si>
    <t>Spring 2012</t>
  </si>
  <si>
    <t>Source:</t>
  </si>
  <si>
    <t>number of iterations approaches infinity.</t>
  </si>
  <si>
    <t>multiple iterations. Deduce the ultimate loss estimate that will be produced as the</t>
  </si>
  <si>
    <t>For accident year 2011, suppose that the Bornhuetter-Ferguson method is performed over</t>
  </si>
  <si>
    <t>0.5 point</t>
  </si>
  <si>
    <t>the ultimate loss estimates shown above.</t>
  </si>
  <si>
    <t>Calculate the 24-month-to-ultimate cumulative development factor that would result in</t>
  </si>
  <si>
    <t>Part a is a rather contrived question to make a Benktander problem harder. Instead of directly calculating the Benktander estimate, you’re given the ultimate loss estimates and need to back into the CDF.  For this type of problem, just set up the formulas for the method, plug in the values that you have, and solve for the missing value(s).
According to the Examiners’ Report, part b didn’t specifically ask for the chain-ladder ultimate, so the calculation isn’t needed for full credit. The key piece of information is to point out that the loss estimate approaches the chain ladder estimate as the number of iterations of the BF method approaches infinity.
One sample solution includes the full derivation showing that the loss estimate approaches the Chain Ladder estimate. This is overkill and a waste of time for this problem. The question prompt and the 0.5 point value are hints that the exam writer is asking for a simpler answer.</t>
  </si>
  <si>
    <t xml:space="preserve"> Ultimate</t>
  </si>
  <si>
    <t xml:space="preserve"> Fermson  Ultimate</t>
  </si>
  <si>
    <t>Year</t>
  </si>
  <si>
    <t>Benktander</t>
  </si>
  <si>
    <t xml:space="preserve">Bornhuetter- </t>
  </si>
  <si>
    <t xml:space="preserve">Accident </t>
  </si>
  <si>
    <r>
      <t>U</t>
    </r>
    <r>
      <rPr>
        <vertAlign val="subscript"/>
        <sz val="12"/>
        <color theme="1"/>
        <rFont val="Calibri"/>
        <family val="2"/>
        <scheme val="minor"/>
      </rPr>
      <t>CL</t>
    </r>
    <r>
      <rPr>
        <sz val="12"/>
        <color theme="1"/>
        <rFont val="Calibri"/>
        <family val="2"/>
        <scheme val="minor"/>
      </rPr>
      <t xml:space="preserve"> =</t>
    </r>
  </si>
  <si>
    <t>Calculated Ultimate Loss ($000)</t>
  </si>
  <si>
    <t>As the number of iterations of the BF method increases to infinity, the ultimate loss estimate approaches the chain ladder estimate.</t>
  </si>
  <si>
    <r>
      <t>CDF</t>
    </r>
    <r>
      <rPr>
        <vertAlign val="subscript"/>
        <sz val="12"/>
        <color theme="1"/>
        <rFont val="Calibri"/>
        <family val="2"/>
        <scheme val="minor"/>
      </rPr>
      <t>24-ult</t>
    </r>
    <r>
      <rPr>
        <sz val="12"/>
        <color theme="1"/>
        <rFont val="Calibri"/>
        <family val="2"/>
        <scheme val="minor"/>
      </rPr>
      <t xml:space="preserve"> =</t>
    </r>
  </si>
  <si>
    <t xml:space="preserve">Accident  </t>
  </si>
  <si>
    <t>Cumulative Paid Loss ($000)</t>
  </si>
  <si>
    <r>
      <t>p</t>
    </r>
    <r>
      <rPr>
        <vertAlign val="subscript"/>
        <sz val="12"/>
        <color theme="1"/>
        <rFont val="Calibri"/>
        <family val="2"/>
        <scheme val="minor"/>
      </rPr>
      <t>k</t>
    </r>
    <r>
      <rPr>
        <sz val="12"/>
        <color theme="1"/>
        <rFont val="Calibri"/>
        <family val="2"/>
        <scheme val="minor"/>
      </rPr>
      <t xml:space="preserve"> =</t>
    </r>
  </si>
  <si>
    <r>
      <t>q</t>
    </r>
    <r>
      <rPr>
        <vertAlign val="subscript"/>
        <sz val="12"/>
        <color theme="1"/>
        <rFont val="Calibri"/>
        <family val="2"/>
        <scheme val="minor"/>
      </rPr>
      <t>k</t>
    </r>
    <r>
      <rPr>
        <sz val="12"/>
        <color theme="1"/>
        <rFont val="Calibri"/>
        <family val="2"/>
        <scheme val="minor"/>
      </rPr>
      <t xml:space="preserve"> =</t>
    </r>
  </si>
  <si>
    <t>Q #4</t>
  </si>
  <si>
    <t>Spring 2013</t>
  </si>
  <si>
    <t>Mack (Benktander) - Benktander Method</t>
  </si>
  <si>
    <t>Since the BF IBNR does not respond to actual loss performance, the downward development will not affect IBNR produced by the BF method. If the downward development represents real trends (such as increased sal/sub), then the BF method will overstate the IBNR.</t>
  </si>
  <si>
    <t>Part c.</t>
  </si>
  <si>
    <t>Since the Benktander estimate is a weighting of the CL estimate and the BF estimate, the Benktander estimate is greater than the BF estimate when the CL estimate is greater than the BF estimate.</t>
  </si>
  <si>
    <t>losses develop downward.</t>
  </si>
  <si>
    <t>Explain why it may not be appropriate to use the Bornhuetter-Ferguson method when</t>
  </si>
  <si>
    <t>x</t>
  </si>
  <si>
    <t>Bornhuetter-Ferguson ultimate loss estimate as of December 31, 2018.</t>
  </si>
  <si>
    <t>Thus, (850 + x) + (2110 + x)*(1-0.533) = 2110 + x - 100; solve for x</t>
  </si>
  <si>
    <t>Briefly describe when the Benktander ultimate loss estimate would be greater than the</t>
  </si>
  <si>
    <t>0.25 point</t>
  </si>
  <si>
    <t>We want U_GB to be 100 less than U_BF</t>
  </si>
  <si>
    <t>development factors are unchanged.</t>
  </si>
  <si>
    <t>ultimate loss estimate for accident year 2017 as of December 31, 2018. Assume all</t>
  </si>
  <si>
    <t>U_GB = Loss_k + U_BF*q_k = (850 + x) + (2110 + x)*(1-0.533)</t>
  </si>
  <si>
    <t>Benktander ultimate loss estimate being $100,000 less than the Bornhuetter-Ferguson</t>
  </si>
  <si>
    <t>Determine the accident year 2017 incremental paid loss in 2018 that would result in the</t>
  </si>
  <si>
    <t>U_BF = (850 + x) + 2700(1-0.533) = 2110 + x</t>
  </si>
  <si>
    <t xml:space="preserve">•  12-ultimate cumulative paid LDF </t>
  </si>
  <si>
    <t>&lt;-1/LDF_(24-Ult)</t>
  </si>
  <si>
    <t xml:space="preserve">•  12-24 month incremental paid link ratio = </t>
  </si>
  <si>
    <t>&lt;-ELR*EP</t>
  </si>
  <si>
    <t>U_0 =</t>
  </si>
  <si>
    <t xml:space="preserve">•  Initial expected loss ratio = </t>
  </si>
  <si>
    <t>850 + x</t>
  </si>
  <si>
    <t>Loss_k =</t>
  </si>
  <si>
    <t xml:space="preserve">•  2017 earned premium = </t>
  </si>
  <si>
    <t>•  Accident year 2017 paid loss =</t>
  </si>
  <si>
    <t>U_BF = Loss_k + U_0*q_k</t>
  </si>
  <si>
    <t>Given the following information about accident year 2017 as of December 31, 2017:</t>
  </si>
  <si>
    <t>Q #5</t>
  </si>
  <si>
    <t>Spring 2018</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</si>
  <si>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</si>
  <si>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Calculate the accident year 2010 ultimate loss based on the Benktander method.</t>
  </si>
  <si>
    <t>• The 48-ultimate LDF is:</t>
  </si>
  <si>
    <t>U_GB =</t>
  </si>
  <si>
    <t>• The expected loss ratio for each year is:</t>
  </si>
  <si>
    <t>• The 2010 earned premium is:</t>
  </si>
  <si>
    <t>48 mo.</t>
  </si>
  <si>
    <t>36 mo.</t>
  </si>
  <si>
    <t>24 mo.</t>
  </si>
  <si>
    <t>12 mo.</t>
  </si>
  <si>
    <t>Cumulative Paid Losses ($)</t>
  </si>
  <si>
    <t>Given the following information for an insurer as of December 31, 2012:</t>
  </si>
  <si>
    <t>RF Mack Benktander - 8</t>
  </si>
  <si>
    <t>36-48</t>
  </si>
  <si>
    <t>48-Ult</t>
  </si>
  <si>
    <t>Calculate LDFs (we just need the 36-Ult CDF):</t>
  </si>
  <si>
    <t>⇽ %Unpaid</t>
  </si>
  <si>
    <t>⇽ a priori ultimate</t>
  </si>
  <si>
    <r>
      <t>⇽ U</t>
    </r>
    <r>
      <rPr>
        <vertAlign val="subscript"/>
        <sz val="12"/>
        <color theme="1"/>
        <rFont val="Calibri (Body)"/>
      </rPr>
      <t>GB</t>
    </r>
    <r>
      <rPr>
        <sz val="12"/>
        <color theme="1"/>
        <rFont val="Calibri"/>
        <family val="2"/>
        <scheme val="minor"/>
      </rPr>
      <t xml:space="preserve"> = C</t>
    </r>
    <r>
      <rPr>
        <vertAlign val="subscript"/>
        <sz val="12"/>
        <color theme="1"/>
        <rFont val="Calibri (Body)"/>
      </rPr>
      <t>k</t>
    </r>
    <r>
      <rPr>
        <sz val="12"/>
        <color theme="1"/>
        <rFont val="Calibri"/>
        <family val="2"/>
        <scheme val="minor"/>
      </rPr>
      <t xml:space="preserve"> + q</t>
    </r>
    <r>
      <rPr>
        <vertAlign val="subscript"/>
        <sz val="12"/>
        <color theme="1"/>
        <rFont val="Calibri (Body)"/>
      </rPr>
      <t>k</t>
    </r>
    <r>
      <rPr>
        <sz val="12"/>
        <color theme="1"/>
        <rFont val="Calibri"/>
        <family val="2"/>
        <scheme val="minor"/>
      </rPr>
      <t xml:space="preserve"> * U</t>
    </r>
    <r>
      <rPr>
        <vertAlign val="subscript"/>
        <sz val="12"/>
        <color theme="1"/>
        <rFont val="Calibri (Body)"/>
      </rPr>
      <t>BF</t>
    </r>
  </si>
  <si>
    <r>
      <t>⇽ U</t>
    </r>
    <r>
      <rPr>
        <vertAlign val="subscript"/>
        <sz val="12"/>
        <color theme="1"/>
        <rFont val="Calibri (Body)"/>
      </rPr>
      <t>BF</t>
    </r>
    <r>
      <rPr>
        <sz val="12"/>
        <color theme="1"/>
        <rFont val="Calibri"/>
        <family val="2"/>
        <scheme val="minor"/>
      </rPr>
      <t xml:space="preserve"> = C</t>
    </r>
    <r>
      <rPr>
        <vertAlign val="subscript"/>
        <sz val="12"/>
        <color theme="1"/>
        <rFont val="Calibri (Body)"/>
      </rPr>
      <t>k</t>
    </r>
    <r>
      <rPr>
        <sz val="12"/>
        <color theme="1"/>
        <rFont val="Calibri"/>
        <family val="2"/>
        <scheme val="minor"/>
      </rPr>
      <t xml:space="preserve"> + q</t>
    </r>
    <r>
      <rPr>
        <vertAlign val="subscript"/>
        <sz val="12"/>
        <color theme="1"/>
        <rFont val="Calibri (Body)"/>
      </rPr>
      <t>k</t>
    </r>
    <r>
      <rPr>
        <sz val="12"/>
        <color theme="1"/>
        <rFont val="Calibri"/>
        <family val="2"/>
        <scheme val="minor"/>
      </rPr>
      <t xml:space="preserve"> * U</t>
    </r>
    <r>
      <rPr>
        <vertAlign val="subscript"/>
        <sz val="12"/>
        <color theme="1"/>
        <rFont val="Calibri (Body)"/>
      </rPr>
      <t>0</t>
    </r>
  </si>
  <si>
    <t>⇽ Loss-to-date for 2010</t>
  </si>
  <si>
    <t>As you can see in this problem, the Benktander method is simply a second iteration of the BF method. See the problem video in the course for a more detailed look at this problem and the Benktander method.</t>
  </si>
  <si>
    <r>
      <t xml:space="preserve">Part c seems to be testing a small section from the Brosius paper (pg. 3-4): 
"This method, like ours, seeks a compromise between the link ratio and budgeted loss methods. However, our approach allows b, the coefficient of x, to vary as needed. Bornhuetter and Ferguson always have b=1, which can be a real limitation; in particular Salzmann </t>
    </r>
    <r>
      <rPr>
        <i/>
        <u/>
        <sz val="12"/>
        <color theme="1"/>
        <rFont val="Calibri (Body)"/>
      </rPr>
      <t>warns against using the Bornhuetter-Ferguson method when losses develop downward</t>
    </r>
    <r>
      <rPr>
        <sz val="12"/>
        <color theme="1"/>
        <rFont val="Calibri"/>
        <family val="2"/>
        <scheme val="minor"/>
      </rPr>
      <t>"</t>
    </r>
  </si>
  <si>
    <t>Calculate U_BF for 2016 based on U_GB</t>
  </si>
  <si>
    <t>Calculate U_0 for 2016 based on U_BF</t>
  </si>
  <si>
    <t>For part b, note that q_k is the % unreported, so q_12 = 1 - .34 = .66.</t>
  </si>
  <si>
    <t>% Unpaid (q_k)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</si>
</sst>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3" formatCode="_(* #,##0.00_);_(* \(#,##0.00\);_(* &quot;-&quot;??_);_(@_)"/>
    <numFmt numFmtId="164" formatCode="0.000"/>
    <numFmt numFmtId="165" formatCode="0.0%"/>
    <numFmt numFmtId="166" formatCode="#,#00&quot; k + x&quot;"/>
    <numFmt numFmtId="167" formatCode="[$$-409]#,##0"/>
    <numFmt numFmtId="168" formatCode="_(* #,##0_);_(* \(#,##0\);_(* &quot;-&quot;??_);_(@_)"/>
  </numFmts>
  <fonts count="30"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2"/>
      <color rgb="FFFF0000"/>
      <name val="Calibri"/>
      <family val="2"/>
    </font>
    <font>
      <b/>
      <u/>
      <sz val="12"/>
      <color theme="1"/>
      <name val="Calibri"/>
      <family val="2"/>
    </font>
    <font>
      <sz val="11"/>
      <color theme="1"/>
      <name val="Calibri"/>
      <family val="2"/>
    </font>
    <font>
      <u/>
      <sz val="12"/>
      <color theme="1"/>
      <name val="Calibri"/>
      <family val="2"/>
    </font>
    <font>
      <sz val="12"/>
      <color rgb="FF000000"/>
      <name val="Calibri"/>
      <family val="2"/>
    </font>
    <font>
      <b/>
      <sz val="12"/>
      <color theme="1"/>
      <name val="Calibri"/>
      <family val="2"/>
    </font>
    <font>
      <sz val="12"/>
      <name val="Calibri"/>
      <family val="2"/>
    </font>
    <font>
      <vertAlign val="subscript"/>
      <sz val="12"/>
      <color rgb="FF000000"/>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b/>
      <u/>
      <sz val="12"/>
      <color theme="1"/>
      <name val="Calibri (Body)"/>
    </font>
    <font>
      <b/>
      <sz val="14"/>
      <color theme="1"/>
      <name val="Calibri"/>
      <family val="2"/>
      <scheme val="minor"/>
    </font>
    <font>
      <b/>
      <sz val="12"/>
      <color theme="1"/>
      <name val="Calibri"/>
      <family val="2"/>
      <scheme val="minor"/>
    </font>
    <font>
      <vertAlign val="subscript"/>
      <sz val="12"/>
      <color theme="1"/>
      <name val="Calibri (Body)"/>
    </font>
    <font>
      <vertAlign val="subscript"/>
      <sz val="12"/>
      <color theme="1"/>
      <name val="Calibri"/>
      <family val="2"/>
    </font>
    <font>
      <vertAlign val="subscript"/>
      <sz val="12"/>
      <color theme="1"/>
      <name val="Calibri"/>
      <family val="2"/>
      <scheme val="minor"/>
    </font>
    <font>
      <sz val="8"/>
      <name val="Calibri"/>
      <family val="2"/>
      <scheme val="minor"/>
    </font>
    <font>
      <i/>
      <u/>
      <sz val="12"/>
      <color theme="1"/>
      <name val="Calibri (Body)"/>
    </font>
  </fonts>
  <fills count="3">
    <fill>
      <patternFill patternType="none"/>
    </fill>
    <fill>
      <patternFill patternType="gray125"/>
    </fill>
    <fill>
      <patternFill patternType="solid">
        <fgColor theme="0" tint="-4.9989318521683403E-2"/>
        <bgColor indexed="64"/>
      </patternFill>
    </fill>
  </fills>
  <borders count="26">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8" fillId="0" borderId="0" applyFont="0" applyFill="0" applyBorder="0" applyAlignment="0" applyProtection="0"/>
    <xf numFmtId="43" fontId="8" fillId="0" borderId="0" applyFont="0" applyFill="0" applyBorder="0" applyAlignment="0" applyProtection="0"/>
    <xf numFmtId="0" fontId="18" fillId="0" borderId="0"/>
    <xf numFmtId="0" fontId="5" fillId="0" borderId="0"/>
    <xf numFmtId="0" fontId="19" fillId="0" borderId="0" applyNumberFormat="0" applyFill="0" applyBorder="0" applyAlignment="0" applyProtection="0"/>
  </cellStyleXfs>
  <cellXfs count="188">
    <xf numFmtId="0" fontId="0" fillId="0" borderId="0" xfId="0"/>
    <xf numFmtId="0" fontId="9" fillId="2" borderId="1" xfId="0" applyFont="1" applyFill="1" applyBorder="1"/>
    <xf numFmtId="2" fontId="10" fillId="2" borderId="1" xfId="0" applyNumberFormat="1" applyFont="1" applyFill="1" applyBorder="1" applyAlignment="1">
      <alignment horizontal="left"/>
    </xf>
    <xf numFmtId="0" fontId="9" fillId="0" borderId="0" xfId="0" applyFont="1"/>
    <xf numFmtId="0" fontId="11" fillId="0" borderId="0" xfId="0" applyFont="1"/>
    <xf numFmtId="0" fontId="12" fillId="0" borderId="0" xfId="0" applyFont="1"/>
    <xf numFmtId="0" fontId="13" fillId="2" borderId="0" xfId="0" applyFont="1" applyFill="1"/>
    <xf numFmtId="0" fontId="14" fillId="2" borderId="0" xfId="0" applyFont="1" applyFill="1" applyAlignment="1">
      <alignment horizontal="center" vertical="center" wrapText="1"/>
    </xf>
    <xf numFmtId="3" fontId="14" fillId="2" borderId="0" xfId="0" applyNumberFormat="1" applyFont="1" applyFill="1" applyAlignment="1">
      <alignment horizontal="center" vertical="center" wrapText="1"/>
    </xf>
    <xf numFmtId="0" fontId="15" fillId="0" borderId="0" xfId="0" applyFont="1"/>
    <xf numFmtId="3" fontId="15" fillId="0" borderId="0" xfId="0" applyNumberFormat="1" applyFont="1"/>
    <xf numFmtId="3" fontId="16"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2" fontId="14" fillId="0" borderId="0" xfId="0" applyNumberFormat="1" applyFont="1" applyAlignment="1">
      <alignment horizontal="center" vertical="center" wrapText="1"/>
    </xf>
    <xf numFmtId="164" fontId="14" fillId="0" borderId="0" xfId="0" applyNumberFormat="1" applyFont="1" applyAlignment="1">
      <alignment horizontal="center" vertical="center" wrapText="1"/>
    </xf>
    <xf numFmtId="9" fontId="14" fillId="2" borderId="0" xfId="0" applyNumberFormat="1" applyFont="1" applyFill="1" applyAlignment="1">
      <alignment horizontal="center" vertical="center" wrapText="1"/>
    </xf>
    <xf numFmtId="0" fontId="14" fillId="0" borderId="5" xfId="0" applyFont="1" applyBorder="1" applyAlignment="1">
      <alignment horizontal="center" vertical="center" wrapText="1"/>
    </xf>
    <xf numFmtId="0" fontId="14" fillId="0" borderId="4" xfId="0" applyFont="1" applyBorder="1" applyAlignment="1">
      <alignment horizontal="center" vertical="center" wrapText="1"/>
    </xf>
    <xf numFmtId="0" fontId="15" fillId="2" borderId="6" xfId="0" applyFont="1" applyFill="1" applyBorder="1" applyAlignment="1">
      <alignment horizontal="center" vertical="center"/>
    </xf>
    <xf numFmtId="0" fontId="14" fillId="2" borderId="3"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4" fillId="2" borderId="3" xfId="0" applyFont="1" applyFill="1" applyBorder="1" applyAlignment="1">
      <alignment horizontal="center" wrapText="1"/>
    </xf>
    <xf numFmtId="0" fontId="13" fillId="2" borderId="0" xfId="0" applyFont="1" applyFill="1" applyAlignment="1">
      <alignment horizontal="center"/>
    </xf>
    <xf numFmtId="0" fontId="14" fillId="0" borderId="3" xfId="0" applyFont="1" applyBorder="1" applyAlignment="1">
      <alignment horizontal="center" vertical="center" wrapText="1"/>
    </xf>
    <xf numFmtId="0" fontId="7" fillId="2" borderId="6" xfId="0" applyFont="1" applyFill="1" applyBorder="1" applyAlignment="1">
      <alignment horizontal="center" vertical="center"/>
    </xf>
    <xf numFmtId="0" fontId="7" fillId="2" borderId="0" xfId="0" applyFont="1" applyFill="1"/>
    <xf numFmtId="0" fontId="7" fillId="2" borderId="2" xfId="0" applyFont="1" applyFill="1" applyBorder="1"/>
    <xf numFmtId="0" fontId="7" fillId="0" borderId="0" xfId="0" applyFont="1"/>
    <xf numFmtId="165" fontId="7" fillId="0" borderId="0" xfId="1" applyNumberFormat="1" applyFont="1"/>
    <xf numFmtId="3" fontId="7" fillId="0" borderId="0" xfId="0" applyNumberFormat="1" applyFont="1"/>
    <xf numFmtId="9" fontId="7" fillId="2" borderId="0" xfId="0" applyNumberFormat="1" applyFont="1" applyFill="1" applyAlignment="1">
      <alignment horizontal="left"/>
    </xf>
    <xf numFmtId="164" fontId="7" fillId="0" borderId="0" xfId="0" applyNumberFormat="1" applyFont="1"/>
    <xf numFmtId="0" fontId="7" fillId="0" borderId="0" xfId="0" quotePrefix="1" applyFont="1"/>
    <xf numFmtId="0" fontId="7" fillId="0" borderId="0" xfId="0" applyFont="1" applyAlignment="1">
      <alignment vertical="center"/>
    </xf>
    <xf numFmtId="3" fontId="7" fillId="0" borderId="0" xfId="0" applyNumberFormat="1" applyFont="1" applyAlignment="1">
      <alignment vertical="center"/>
    </xf>
    <xf numFmtId="2" fontId="7" fillId="2" borderId="0" xfId="0" applyNumberFormat="1" applyFont="1" applyFill="1" applyAlignment="1">
      <alignment horizontal="center"/>
    </xf>
    <xf numFmtId="9" fontId="7" fillId="2" borderId="0" xfId="0" applyNumberFormat="1" applyFont="1" applyFill="1" applyAlignment="1">
      <alignment horizontal="center"/>
    </xf>
    <xf numFmtId="16" fontId="14" fillId="0" borderId="3" xfId="0" quotePrefix="1" applyNumberFormat="1" applyFont="1" applyBorder="1" applyAlignment="1">
      <alignment horizontal="center" vertical="center" wrapText="1"/>
    </xf>
    <xf numFmtId="0" fontId="6" fillId="0" borderId="0" xfId="0" applyFont="1"/>
    <xf numFmtId="0" fontId="6" fillId="0" borderId="7" xfId="0" applyFont="1" applyBorder="1"/>
    <xf numFmtId="3" fontId="6" fillId="0" borderId="9" xfId="0" applyNumberFormat="1" applyFont="1" applyBorder="1"/>
    <xf numFmtId="0" fontId="6" fillId="2" borderId="0" xfId="0" quotePrefix="1" applyFont="1" applyFill="1"/>
    <xf numFmtId="0" fontId="6" fillId="0" borderId="8" xfId="0" applyFont="1" applyBorder="1"/>
    <xf numFmtId="165" fontId="6" fillId="0" borderId="9" xfId="1" applyNumberFormat="1" applyFont="1" applyBorder="1"/>
    <xf numFmtId="0" fontId="5" fillId="0" borderId="10" xfId="3" applyFont="1" applyBorder="1" applyAlignment="1">
      <alignment horizontal="center" vertical="center"/>
    </xf>
    <xf numFmtId="0" fontId="5" fillId="0" borderId="6" xfId="3" applyFont="1" applyBorder="1" applyAlignment="1">
      <alignment vertical="center" wrapText="1"/>
    </xf>
    <xf numFmtId="0" fontId="15" fillId="0" borderId="6" xfId="3" applyFont="1" applyBorder="1" applyAlignment="1">
      <alignment horizontal="center" vertical="center"/>
    </xf>
    <xf numFmtId="0" fontId="5" fillId="0" borderId="11" xfId="3" applyFont="1" applyBorder="1" applyAlignment="1">
      <alignment horizontal="center" vertical="center"/>
    </xf>
    <xf numFmtId="0" fontId="5" fillId="0" borderId="0" xfId="3" applyFont="1" applyAlignment="1">
      <alignment horizontal="center" vertical="center"/>
    </xf>
    <xf numFmtId="0" fontId="5" fillId="0" borderId="1" xfId="4" applyBorder="1"/>
    <xf numFmtId="0" fontId="5" fillId="0" borderId="0" xfId="4"/>
    <xf numFmtId="0" fontId="5" fillId="0" borderId="2" xfId="4" applyBorder="1"/>
    <xf numFmtId="0" fontId="19" fillId="0" borderId="0" xfId="5" applyBorder="1"/>
    <xf numFmtId="0" fontId="20" fillId="0" borderId="0" xfId="4" applyFont="1"/>
    <xf numFmtId="0" fontId="5" fillId="0" borderId="0" xfId="4" applyAlignment="1">
      <alignment horizontal="left" vertical="top"/>
    </xf>
    <xf numFmtId="0" fontId="21" fillId="0" borderId="0" xfId="4" applyFont="1"/>
    <xf numFmtId="0" fontId="10" fillId="0" borderId="0" xfId="4" applyFont="1" applyAlignment="1">
      <alignment horizontal="left" vertical="top"/>
    </xf>
    <xf numFmtId="0" fontId="5" fillId="0" borderId="12" xfId="3" applyFont="1" applyBorder="1" applyAlignment="1">
      <alignment horizontal="center" vertical="center"/>
    </xf>
    <xf numFmtId="0" fontId="5" fillId="0" borderId="13" xfId="3" applyFont="1" applyBorder="1" applyAlignment="1">
      <alignment horizontal="center" vertical="center"/>
    </xf>
    <xf numFmtId="0" fontId="5" fillId="0" borderId="14" xfId="3" applyFont="1" applyBorder="1" applyAlignment="1">
      <alignment horizontal="center" vertical="center"/>
    </xf>
    <xf numFmtId="0" fontId="22" fillId="0" borderId="0" xfId="0" applyFont="1"/>
    <xf numFmtId="0" fontId="0" fillId="2" borderId="9" xfId="0" applyFill="1" applyBorder="1"/>
    <xf numFmtId="0" fontId="0" fillId="2" borderId="8" xfId="0" applyFill="1" applyBorder="1"/>
    <xf numFmtId="6" fontId="0" fillId="2" borderId="8" xfId="0" applyNumberFormat="1" applyFill="1" applyBorder="1"/>
    <xf numFmtId="0" fontId="0" fillId="2" borderId="8" xfId="0" quotePrefix="1" applyFill="1" applyBorder="1"/>
    <xf numFmtId="0" fontId="0" fillId="2" borderId="7" xfId="0" applyFill="1" applyBorder="1"/>
    <xf numFmtId="0" fontId="23" fillId="0" borderId="0" xfId="0" applyFont="1"/>
    <xf numFmtId="0" fontId="0" fillId="2" borderId="2" xfId="0" applyFill="1" applyBorder="1"/>
    <xf numFmtId="0" fontId="0" fillId="2" borderId="0" xfId="0" applyFill="1"/>
    <xf numFmtId="6" fontId="0" fillId="2" borderId="0" xfId="0" applyNumberFormat="1" applyFill="1"/>
    <xf numFmtId="0" fontId="0" fillId="2" borderId="0" xfId="0" quotePrefix="1" applyFill="1"/>
    <xf numFmtId="0" fontId="0" fillId="2" borderId="1" xfId="0" applyFill="1" applyBorder="1"/>
    <xf numFmtId="0" fontId="24" fillId="0" borderId="0" xfId="0" applyFont="1"/>
    <xf numFmtId="6" fontId="0" fillId="2" borderId="0" xfId="0" applyNumberFormat="1" applyFill="1" applyAlignment="1">
      <alignment horizontal="center"/>
    </xf>
    <xf numFmtId="6" fontId="0" fillId="0" borderId="9" xfId="0" applyNumberFormat="1" applyBorder="1"/>
    <xf numFmtId="0" fontId="0" fillId="0" borderId="7" xfId="0" applyBorder="1"/>
    <xf numFmtId="2" fontId="0" fillId="2" borderId="0" xfId="0" applyNumberFormat="1" applyFill="1" applyAlignment="1">
      <alignment horizontal="center"/>
    </xf>
    <xf numFmtId="0" fontId="0" fillId="2" borderId="0" xfId="0" applyFill="1" applyAlignment="1">
      <alignment horizontal="center"/>
    </xf>
    <xf numFmtId="0" fontId="0" fillId="2" borderId="11" xfId="0" applyFill="1" applyBorder="1"/>
    <xf numFmtId="0" fontId="0" fillId="2" borderId="6" xfId="0" applyFill="1" applyBorder="1"/>
    <xf numFmtId="0" fontId="0" fillId="2" borderId="6" xfId="0" applyFill="1" applyBorder="1" applyAlignment="1">
      <alignment horizontal="center"/>
    </xf>
    <xf numFmtId="0" fontId="24" fillId="2" borderId="6" xfId="0" applyFont="1" applyFill="1" applyBorder="1"/>
    <xf numFmtId="0" fontId="23" fillId="2" borderId="10" xfId="0" applyFont="1" applyFill="1" applyBorder="1"/>
    <xf numFmtId="0" fontId="22" fillId="2" borderId="0" xfId="0" applyFont="1" applyFill="1"/>
    <xf numFmtId="6" fontId="0" fillId="0" borderId="0" xfId="0" applyNumberFormat="1"/>
    <xf numFmtId="0" fontId="0" fillId="2" borderId="0" xfId="0" applyFill="1" applyAlignment="1">
      <alignment horizontal="left"/>
    </xf>
    <xf numFmtId="3" fontId="0" fillId="0" borderId="9" xfId="0" applyNumberFormat="1" applyBorder="1"/>
    <xf numFmtId="3" fontId="0" fillId="0" borderId="0" xfId="0" applyNumberFormat="1"/>
    <xf numFmtId="0" fontId="22" fillId="2" borderId="8" xfId="0" applyFont="1" applyFill="1" applyBorder="1"/>
    <xf numFmtId="0" fontId="0" fillId="2" borderId="0" xfId="0" quotePrefix="1" applyFill="1" applyAlignment="1">
      <alignment vertical="top"/>
    </xf>
    <xf numFmtId="0" fontId="0" fillId="0" borderId="9" xfId="0" applyBorder="1"/>
    <xf numFmtId="0" fontId="0" fillId="0" borderId="8" xfId="0" applyBorder="1"/>
    <xf numFmtId="8" fontId="24" fillId="0" borderId="0" xfId="0" applyNumberFormat="1" applyFont="1"/>
    <xf numFmtId="8" fontId="0" fillId="0" borderId="0" xfId="0" applyNumberFormat="1"/>
    <xf numFmtId="164" fontId="0" fillId="0" borderId="0" xfId="0" applyNumberFormat="1"/>
    <xf numFmtId="0" fontId="0" fillId="0" borderId="0" xfId="0" applyAlignment="1">
      <alignment horizontal="left"/>
    </xf>
    <xf numFmtId="0" fontId="5" fillId="0" borderId="0" xfId="0" applyFont="1" applyAlignment="1">
      <alignment wrapText="1"/>
    </xf>
    <xf numFmtId="0" fontId="5" fillId="0" borderId="0" xfId="0" applyFont="1"/>
    <xf numFmtId="0" fontId="9" fillId="0" borderId="0" xfId="0" applyFont="1" applyAlignment="1">
      <alignment vertical="center"/>
    </xf>
    <xf numFmtId="3" fontId="5" fillId="0" borderId="9" xfId="0" applyNumberFormat="1" applyFont="1" applyBorder="1" applyAlignment="1">
      <alignment horizontal="center" vertical="center"/>
    </xf>
    <xf numFmtId="0" fontId="5" fillId="0" borderId="7" xfId="0" applyFont="1" applyBorder="1" applyAlignment="1">
      <alignment horizontal="center" vertical="center"/>
    </xf>
    <xf numFmtId="0" fontId="5" fillId="0" borderId="0" xfId="0" applyFont="1" applyAlignment="1">
      <alignment horizontal="center" vertical="center"/>
    </xf>
    <xf numFmtId="0" fontId="0" fillId="2" borderId="7" xfId="0" applyFill="1" applyBorder="1" applyAlignment="1">
      <alignment horizontal="left"/>
    </xf>
    <xf numFmtId="0" fontId="5" fillId="0" borderId="0" xfId="0" applyFont="1" applyAlignment="1">
      <alignment horizontal="left" vertical="center"/>
    </xf>
    <xf numFmtId="0" fontId="5" fillId="0" borderId="0" xfId="0" applyFont="1" applyAlignment="1">
      <alignment horizontal="right"/>
    </xf>
    <xf numFmtId="0" fontId="0" fillId="2" borderId="1" xfId="0" applyFill="1" applyBorder="1" applyAlignment="1">
      <alignment horizontal="left"/>
    </xf>
    <xf numFmtId="166" fontId="5" fillId="0" borderId="0" xfId="0" applyNumberFormat="1" applyFont="1" applyAlignment="1">
      <alignment horizontal="center"/>
    </xf>
    <xf numFmtId="0" fontId="5" fillId="0" borderId="0" xfId="0" applyFont="1" applyAlignment="1">
      <alignment horizontal="center"/>
    </xf>
    <xf numFmtId="0" fontId="5" fillId="0" borderId="0" xfId="0" quotePrefix="1" applyFont="1"/>
    <xf numFmtId="3" fontId="5" fillId="0" borderId="0" xfId="0" applyNumberFormat="1" applyFont="1" applyAlignment="1">
      <alignment horizontal="right" vertical="center"/>
    </xf>
    <xf numFmtId="0" fontId="14" fillId="0" borderId="0" xfId="0" applyFont="1" applyAlignment="1">
      <alignment horizontal="center" vertical="center"/>
    </xf>
    <xf numFmtId="164" fontId="5" fillId="0" borderId="0" xfId="0" applyNumberFormat="1" applyFont="1" applyAlignment="1">
      <alignment horizontal="center" vertical="center"/>
    </xf>
    <xf numFmtId="3" fontId="5" fillId="0" borderId="9" xfId="0" applyNumberFormat="1" applyFont="1" applyBorder="1" applyAlignment="1">
      <alignment horizontal="right" vertical="center"/>
    </xf>
    <xf numFmtId="0" fontId="14" fillId="0" borderId="0" xfId="0" applyFont="1" applyAlignment="1">
      <alignment horizontal="justify" vertical="center"/>
    </xf>
    <xf numFmtId="2" fontId="0" fillId="2" borderId="0" xfId="0" applyNumberFormat="1" applyFill="1" applyAlignment="1">
      <alignment horizontal="right"/>
    </xf>
    <xf numFmtId="165" fontId="0" fillId="2" borderId="0" xfId="0" applyNumberFormat="1" applyFill="1" applyAlignment="1">
      <alignment horizontal="right"/>
    </xf>
    <xf numFmtId="167" fontId="0" fillId="2" borderId="0" xfId="0" applyNumberFormat="1" applyFill="1" applyAlignment="1">
      <alignment horizontal="right"/>
    </xf>
    <xf numFmtId="2" fontId="24" fillId="2" borderId="0" xfId="0" applyNumberFormat="1" applyFont="1" applyFill="1" applyAlignment="1">
      <alignment horizontal="center"/>
    </xf>
    <xf numFmtId="0" fontId="24" fillId="2" borderId="0" xfId="0" applyFont="1" applyFill="1"/>
    <xf numFmtId="0" fontId="0" fillId="2" borderId="10" xfId="0" applyFill="1" applyBorder="1" applyAlignment="1">
      <alignment horizontal="left"/>
    </xf>
    <xf numFmtId="0" fontId="23" fillId="0" borderId="0" xfId="0" applyFont="1" applyAlignment="1">
      <alignment vertical="center"/>
    </xf>
    <xf numFmtId="3" fontId="0" fillId="2" borderId="5" xfId="0" applyNumberFormat="1" applyFill="1" applyBorder="1" applyAlignment="1">
      <alignment horizontal="center"/>
    </xf>
    <xf numFmtId="3" fontId="0" fillId="2" borderId="3" xfId="0" applyNumberFormat="1" applyFill="1" applyBorder="1" applyAlignment="1">
      <alignment horizontal="center"/>
    </xf>
    <xf numFmtId="0" fontId="0" fillId="2" borderId="15" xfId="0" applyFill="1" applyBorder="1" applyAlignment="1">
      <alignment horizontal="center"/>
    </xf>
    <xf numFmtId="3" fontId="0" fillId="2" borderId="4" xfId="0" applyNumberFormat="1" applyFill="1" applyBorder="1" applyAlignment="1">
      <alignment horizontal="center"/>
    </xf>
    <xf numFmtId="3" fontId="0" fillId="2" borderId="0" xfId="0" applyNumberFormat="1" applyFill="1" applyAlignment="1">
      <alignment horizontal="center"/>
    </xf>
    <xf numFmtId="0" fontId="0" fillId="2" borderId="16" xfId="0" applyFill="1" applyBorder="1" applyAlignment="1">
      <alignment horizontal="center"/>
    </xf>
    <xf numFmtId="3" fontId="0" fillId="2" borderId="17" xfId="0" applyNumberFormat="1" applyFill="1" applyBorder="1" applyAlignment="1">
      <alignment horizontal="center"/>
    </xf>
    <xf numFmtId="3" fontId="0" fillId="2" borderId="18" xfId="0" applyNumberFormat="1" applyFill="1" applyBorder="1" applyAlignment="1">
      <alignment horizontal="center"/>
    </xf>
    <xf numFmtId="0" fontId="0" fillId="2" borderId="19" xfId="0" applyFill="1" applyBorder="1" applyAlignment="1">
      <alignment horizontal="center"/>
    </xf>
    <xf numFmtId="0" fontId="0" fillId="0" borderId="0" xfId="0" applyAlignment="1">
      <alignment horizontal="center"/>
    </xf>
    <xf numFmtId="0" fontId="0" fillId="2" borderId="5" xfId="0" applyFill="1" applyBorder="1" applyAlignment="1">
      <alignment horizontal="center" vertical="top"/>
    </xf>
    <xf numFmtId="0" fontId="0" fillId="2" borderId="20" xfId="0" applyFill="1" applyBorder="1" applyAlignment="1">
      <alignment horizontal="center" wrapText="1"/>
    </xf>
    <xf numFmtId="0" fontId="0" fillId="2" borderId="20" xfId="0" applyFill="1" applyBorder="1" applyAlignment="1">
      <alignment horizontal="center" vertical="top"/>
    </xf>
    <xf numFmtId="0" fontId="0" fillId="2" borderId="17" xfId="0" applyFill="1" applyBorder="1" applyAlignment="1">
      <alignment horizontal="center"/>
    </xf>
    <xf numFmtId="0" fontId="0" fillId="2" borderId="21" xfId="0" applyFill="1" applyBorder="1" applyAlignment="1">
      <alignment horizontal="center"/>
    </xf>
    <xf numFmtId="3" fontId="0" fillId="0" borderId="9" xfId="0" applyNumberFormat="1" applyBorder="1" applyAlignment="1">
      <alignment horizontal="center"/>
    </xf>
    <xf numFmtId="0" fontId="0" fillId="0" borderId="7" xfId="0" applyBorder="1" applyAlignment="1">
      <alignment horizontal="center"/>
    </xf>
    <xf numFmtId="0" fontId="0" fillId="2" borderId="5" xfId="0" applyFill="1" applyBorder="1" applyAlignment="1">
      <alignment horizontal="center"/>
    </xf>
    <xf numFmtId="0" fontId="0" fillId="2" borderId="3" xfId="0" applyFill="1" applyBorder="1" applyAlignment="1">
      <alignment horizontal="center"/>
    </xf>
    <xf numFmtId="164" fontId="0" fillId="0" borderId="9" xfId="0" applyNumberFormat="1" applyBorder="1" applyAlignment="1">
      <alignment horizontal="center"/>
    </xf>
    <xf numFmtId="0" fontId="0" fillId="2" borderId="18" xfId="0" applyFill="1" applyBorder="1" applyAlignment="1">
      <alignment horizontal="center"/>
    </xf>
    <xf numFmtId="164" fontId="0" fillId="0" borderId="0" xfId="0" applyNumberFormat="1" applyAlignment="1">
      <alignment horizontal="center"/>
    </xf>
    <xf numFmtId="0" fontId="0" fillId="0" borderId="0" xfId="0" applyAlignment="1">
      <alignment horizontal="center" vertical="center"/>
    </xf>
    <xf numFmtId="43" fontId="0" fillId="0" borderId="0" xfId="2" applyFont="1"/>
    <xf numFmtId="164" fontId="0" fillId="0" borderId="9" xfId="0" applyNumberFormat="1" applyBorder="1"/>
    <xf numFmtId="6" fontId="0" fillId="0" borderId="0" xfId="0" applyNumberFormat="1" applyAlignment="1">
      <alignment horizontal="center"/>
    </xf>
    <xf numFmtId="165" fontId="0" fillId="2" borderId="0" xfId="0" applyNumberFormat="1" applyFill="1" applyAlignment="1">
      <alignment horizontal="center"/>
    </xf>
    <xf numFmtId="167" fontId="0" fillId="2" borderId="0" xfId="0" applyNumberFormat="1" applyFill="1" applyAlignment="1">
      <alignment horizontal="center"/>
    </xf>
    <xf numFmtId="168" fontId="0" fillId="0" borderId="0" xfId="2" applyNumberFormat="1" applyFont="1"/>
    <xf numFmtId="9" fontId="0" fillId="2" borderId="0" xfId="0" applyNumberFormat="1" applyFill="1" applyAlignment="1">
      <alignment horizontal="center"/>
    </xf>
    <xf numFmtId="0" fontId="0" fillId="2" borderId="25" xfId="0" applyFill="1" applyBorder="1" applyAlignment="1">
      <alignment horizontal="center"/>
    </xf>
    <xf numFmtId="0" fontId="3" fillId="0" borderId="0" xfId="0" applyFont="1"/>
    <xf numFmtId="0" fontId="2" fillId="0" borderId="0" xfId="0" applyFont="1"/>
    <xf numFmtId="0" fontId="5" fillId="0" borderId="0" xfId="4" applyAlignment="1">
      <alignment horizontal="left" vertical="top" wrapText="1"/>
    </xf>
    <xf numFmtId="0" fontId="5" fillId="0" borderId="0" xfId="4" applyAlignment="1">
      <alignment horizontal="left" vertical="top"/>
    </xf>
    <xf numFmtId="0" fontId="4" fillId="0" borderId="0" xfId="4" applyFont="1" applyAlignment="1">
      <alignment horizontal="left" vertical="top" wrapText="1"/>
    </xf>
    <xf numFmtId="0" fontId="15" fillId="2" borderId="7" xfId="0" applyFont="1" applyFill="1" applyBorder="1" applyAlignment="1">
      <alignment horizontal="left"/>
    </xf>
    <xf numFmtId="0" fontId="15" fillId="2" borderId="8" xfId="0" applyFont="1" applyFill="1" applyBorder="1" applyAlignment="1">
      <alignment horizontal="left"/>
    </xf>
    <xf numFmtId="0" fontId="15" fillId="2" borderId="9" xfId="0" applyFont="1" applyFill="1" applyBorder="1" applyAlignment="1">
      <alignment horizontal="left"/>
    </xf>
    <xf numFmtId="0" fontId="14" fillId="2" borderId="0" xfId="0" applyFont="1" applyFill="1" applyAlignment="1">
      <alignment horizontal="center" vertical="center" wrapText="1"/>
    </xf>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2" borderId="0" xfId="0" applyFont="1" applyFill="1" applyAlignment="1">
      <alignment horizontal="center"/>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6" fillId="0" borderId="0" xfId="0" applyFont="1" applyAlignment="1">
      <alignment horizontal="left" vertical="top" wrapText="1"/>
    </xf>
    <xf numFmtId="0" fontId="7" fillId="0" borderId="0" xfId="0" applyFont="1" applyAlignment="1">
      <alignment horizontal="left" wrapText="1"/>
    </xf>
    <xf numFmtId="0" fontId="14" fillId="0" borderId="0" xfId="0" applyFont="1" applyAlignment="1">
      <alignment horizontal="center" vertical="center" wrapText="1"/>
    </xf>
    <xf numFmtId="0" fontId="14" fillId="0" borderId="3" xfId="0" applyFont="1" applyBorder="1" applyAlignment="1">
      <alignment horizontal="center" vertical="center" wrapText="1"/>
    </xf>
    <xf numFmtId="0" fontId="14" fillId="2" borderId="0" xfId="0" applyFont="1" applyFill="1" applyAlignment="1">
      <alignment horizontal="center" wrapText="1"/>
    </xf>
    <xf numFmtId="0" fontId="14" fillId="2" borderId="3" xfId="0" applyFont="1" applyFill="1" applyBorder="1" applyAlignment="1">
      <alignment horizontal="center" wrapText="1"/>
    </xf>
    <xf numFmtId="0" fontId="14" fillId="2" borderId="4" xfId="0" applyFont="1" applyFill="1" applyBorder="1" applyAlignment="1">
      <alignment horizontal="center" wrapText="1"/>
    </xf>
    <xf numFmtId="0" fontId="14" fillId="2" borderId="5" xfId="0" applyFont="1" applyFill="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2" borderId="23" xfId="0" applyFill="1" applyBorder="1" applyAlignment="1">
      <alignment horizontal="center"/>
    </xf>
    <xf numFmtId="0" fontId="0" fillId="2" borderId="22" xfId="0" applyFill="1" applyBorder="1" applyAlignment="1">
      <alignment horizontal="center"/>
    </xf>
    <xf numFmtId="0" fontId="5" fillId="0" borderId="0" xfId="0" applyFont="1" applyAlignment="1">
      <alignment horizontal="left" vertical="center" wrapText="1"/>
    </xf>
    <xf numFmtId="0" fontId="0" fillId="2" borderId="19" xfId="0" applyFill="1" applyBorder="1" applyAlignment="1">
      <alignment horizontal="center"/>
    </xf>
    <xf numFmtId="0" fontId="0" fillId="2" borderId="24" xfId="0" applyFill="1" applyBorder="1" applyAlignment="1">
      <alignment horizontal="center"/>
    </xf>
    <xf numFmtId="0" fontId="0" fillId="0" borderId="0" xfId="0" applyAlignment="1">
      <alignment horizontal="left" vertical="center" wrapText="1"/>
    </xf>
    <xf numFmtId="165" fontId="7" fillId="0" borderId="0" xfId="1" applyNumberFormat="1" applyFont="1" applyAlignment="1">
      <alignment horizontal="center"/>
    </xf>
    <xf numFmtId="0" fontId="1" fillId="0" borderId="0" xfId="0" applyFont="1" applyAlignment="1">
      <alignment horizontal="left" vertical="top" wrapText="1"/>
    </xf>
  </cellXfs>
  <cellStyles count="6">
    <cellStyle name="Comma" xfId="2" builtinId="3"/>
    <cellStyle name="Hyperlink 2" xfId="5" xr:uid="{64D0EE8B-9981-1644-9E45-A7B2AAB85E70}"/>
    <cellStyle name="Normal" xfId="0" builtinId="0"/>
    <cellStyle name="Normal 2 2" xfId="3" xr:uid="{BD169C90-AE30-0B40-9B21-12C1CD249E89}"/>
    <cellStyle name="Normal 4" xfId="4" xr:uid="{903EF279-B01D-CB40-87D7-A93D37DEDF3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9CA8EC3A-B6B7-2043-AEB1-456F5D813805}"/>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6</xdr:row>
      <xdr:rowOff>0</xdr:rowOff>
    </xdr:from>
    <xdr:to>
      <xdr:col>15</xdr:col>
      <xdr:colOff>381000</xdr:colOff>
      <xdr:row>7</xdr:row>
      <xdr:rowOff>14665</xdr:rowOff>
    </xdr:to>
    <mc:AlternateContent xmlns:mc="http://schemas.openxmlformats.org/markup-compatibility/2006">
      <mc:Choice xmlns:a14="http://schemas.microsoft.com/office/drawing/2010/main" Requires="a14">
        <xdr:sp macro="" textlink="">
          <xdr:nvSpPr>
            <xdr:cNvPr id="2" name="TextBox 2">
              <a:extLst>
                <a:ext uri="{FF2B5EF4-FFF2-40B4-BE49-F238E27FC236}">
                  <a16:creationId xmlns:a16="http://schemas.microsoft.com/office/drawing/2014/main" id="{6448D142-1851-364E-9BA0-09795B1DBB39}"/>
                </a:ext>
              </a:extLst>
            </xdr:cNvPr>
            <xdr:cNvSpPr txBox="1"/>
          </xdr:nvSpPr>
          <xdr:spPr>
            <a:xfrm>
              <a:off x="11023600" y="1270000"/>
              <a:ext cx="1206500" cy="24326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𝐺𝐵</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𝐵𝐹</m:t>
                        </m:r>
                      </m:sub>
                    </m:sSub>
                    <m:r>
                      <m:rPr>
                        <m:nor/>
                      </m:rPr>
                      <a:rPr lang="en-US">
                        <a:effectLst/>
                      </a:rPr>
                      <m:t> </m:t>
                    </m:r>
                  </m:oMath>
                </m:oMathPara>
              </a14:m>
              <a:endParaRPr lang="en-US" sz="1100">
                <a:solidFill>
                  <a:schemeClr val="tx1"/>
                </a:solidFill>
                <a:effectLst/>
                <a:latin typeface="+mn-lt"/>
                <a:ea typeface="+mn-ea"/>
                <a:cs typeface="+mn-cs"/>
              </a:endParaRPr>
            </a:p>
          </xdr:txBody>
        </xdr:sp>
      </mc:Choice>
      <mc:Fallback>
        <xdr:sp macro="" textlink="">
          <xdr:nvSpPr>
            <xdr:cNvPr id="2" name="TextBox 2">
              <a:extLst>
                <a:ext uri="{FF2B5EF4-FFF2-40B4-BE49-F238E27FC236}">
                  <a16:creationId xmlns:a16="http://schemas.microsoft.com/office/drawing/2014/main" id="{6448D142-1851-364E-9BA0-09795B1DBB39}"/>
                </a:ext>
              </a:extLst>
            </xdr:cNvPr>
            <xdr:cNvSpPr txBox="1"/>
          </xdr:nvSpPr>
          <xdr:spPr>
            <a:xfrm>
              <a:off x="11023600" y="1270000"/>
              <a:ext cx="1206500" cy="24326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𝑈_𝐺𝐵=𝐶_𝑘+𝑞_𝑘 𝑈_𝐵𝐹 "</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twoCellAnchor>
  <xdr:twoCellAnchor>
    <xdr:from>
      <xdr:col>14</xdr:col>
      <xdr:colOff>0</xdr:colOff>
      <xdr:row>3</xdr:row>
      <xdr:rowOff>0</xdr:rowOff>
    </xdr:from>
    <xdr:to>
      <xdr:col>15</xdr:col>
      <xdr:colOff>412750</xdr:colOff>
      <xdr:row>4</xdr:row>
      <xdr:rowOff>63500</xdr:rowOff>
    </xdr:to>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A4FCFAAE-BFD2-3E41-8D9C-357DF3391452}"/>
                </a:ext>
              </a:extLst>
            </xdr:cNvPr>
            <xdr:cNvSpPr txBox="1"/>
          </xdr:nvSpPr>
          <xdr:spPr>
            <a:xfrm>
              <a:off x="11023600" y="647700"/>
              <a:ext cx="1238250" cy="2667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𝐵𝐹</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0</m:t>
                        </m:r>
                      </m:sub>
                    </m:sSub>
                  </m:oMath>
                </m:oMathPara>
              </a14:m>
              <a:endParaRPr lang="en-US" sz="1100">
                <a:solidFill>
                  <a:schemeClr val="tx1"/>
                </a:solidFill>
                <a:effectLst/>
                <a:latin typeface="+mn-lt"/>
                <a:ea typeface="+mn-ea"/>
                <a:cs typeface="+mn-cs"/>
              </a:endParaRPr>
            </a:p>
          </xdr:txBody>
        </xdr:sp>
      </mc:Choice>
      <mc:Fallback>
        <xdr:sp macro="" textlink="">
          <xdr:nvSpPr>
            <xdr:cNvPr id="3" name="TextBox 2">
              <a:extLst>
                <a:ext uri="{FF2B5EF4-FFF2-40B4-BE49-F238E27FC236}">
                  <a16:creationId xmlns:a16="http://schemas.microsoft.com/office/drawing/2014/main" id="{A4FCFAAE-BFD2-3E41-8D9C-357DF3391452}"/>
                </a:ext>
              </a:extLst>
            </xdr:cNvPr>
            <xdr:cNvSpPr txBox="1"/>
          </xdr:nvSpPr>
          <xdr:spPr>
            <a:xfrm>
              <a:off x="11023600" y="647700"/>
              <a:ext cx="1238250" cy="2667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𝑈_𝐵𝐹=𝐶_𝑘+𝑞_𝑘 𝑈_0</a:t>
              </a:r>
              <a:endParaRPr lang="en-US" sz="1100">
                <a:solidFill>
                  <a:schemeClr val="tx1"/>
                </a:solidFill>
                <a:effectLst/>
                <a:latin typeface="+mn-lt"/>
                <a:ea typeface="+mn-ea"/>
                <a:cs typeface="+mn-cs"/>
              </a:endParaRP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711200</xdr:colOff>
      <xdr:row>28</xdr:row>
      <xdr:rowOff>12699</xdr:rowOff>
    </xdr:from>
    <xdr:to>
      <xdr:col>14</xdr:col>
      <xdr:colOff>25400</xdr:colOff>
      <xdr:row>29</xdr:row>
      <xdr:rowOff>92963</xdr:rowOff>
    </xdr:to>
    <mc:AlternateContent xmlns:mc="http://schemas.openxmlformats.org/markup-compatibility/2006">
      <mc:Choice xmlns:a14="http://schemas.microsoft.com/office/drawing/2010/main" Requires="a14">
        <xdr:sp macro="" textlink="">
          <xdr:nvSpPr>
            <xdr:cNvPr id="2" name="TextBox 2">
              <a:extLst>
                <a:ext uri="{FF2B5EF4-FFF2-40B4-BE49-F238E27FC236}">
                  <a16:creationId xmlns:a16="http://schemas.microsoft.com/office/drawing/2014/main" id="{E6C1244D-F683-A044-AB23-37F271D02465}"/>
                </a:ext>
              </a:extLst>
            </xdr:cNvPr>
            <xdr:cNvSpPr txBox="1"/>
          </xdr:nvSpPr>
          <xdr:spPr>
            <a:xfrm>
              <a:off x="9093200" y="5918199"/>
              <a:ext cx="2120900" cy="28346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200" i="1">
                            <a:solidFill>
                              <a:schemeClr val="tx1"/>
                            </a:solidFill>
                            <a:effectLst/>
                            <a:latin typeface="Cambria Math" panose="02040503050406030204" pitchFamily="18" charset="0"/>
                            <a:ea typeface="+mn-ea"/>
                            <a:cs typeface="+mn-cs"/>
                          </a:rPr>
                        </m:ctrlPr>
                      </m:sSubPr>
                      <m:e>
                        <m:r>
                          <a:rPr lang="en-US" sz="1200" i="1">
                            <a:solidFill>
                              <a:schemeClr val="tx1"/>
                            </a:solidFill>
                            <a:effectLst/>
                            <a:latin typeface="Cambria Math" panose="02040503050406030204" pitchFamily="18" charset="0"/>
                            <a:ea typeface="+mn-ea"/>
                            <a:cs typeface="+mn-cs"/>
                          </a:rPr>
                          <m:t>𝑈</m:t>
                        </m:r>
                      </m:e>
                      <m:sub>
                        <m:argPr>
                          <m:argSz m:val="-1"/>
                        </m:argPr>
                        <m:r>
                          <a:rPr lang="en-US" sz="1200" i="1">
                            <a:solidFill>
                              <a:schemeClr val="tx1"/>
                            </a:solidFill>
                            <a:effectLst/>
                            <a:latin typeface="Cambria Math" panose="02040503050406030204" pitchFamily="18" charset="0"/>
                            <a:ea typeface="+mn-ea"/>
                            <a:cs typeface="+mn-cs"/>
                          </a:rPr>
                          <m:t>𝐺𝐵</m:t>
                        </m:r>
                      </m:sub>
                    </m:sSub>
                    <m:r>
                      <a:rPr lang="en-US" sz="1200" i="1">
                        <a:solidFill>
                          <a:schemeClr val="tx1"/>
                        </a:solidFill>
                        <a:effectLst/>
                        <a:latin typeface="Cambria Math" panose="02040503050406030204" pitchFamily="18" charset="0"/>
                        <a:ea typeface="+mn-ea"/>
                        <a:cs typeface="+mn-cs"/>
                      </a:rPr>
                      <m:t>=</m:t>
                    </m:r>
                    <m:d>
                      <m:dPr>
                        <m:ctrlPr>
                          <a:rPr lang="en-US" sz="1200" i="1">
                            <a:solidFill>
                              <a:schemeClr val="tx1"/>
                            </a:solidFill>
                            <a:effectLst/>
                            <a:latin typeface="Cambria Math" panose="02040503050406030204" pitchFamily="18" charset="0"/>
                            <a:ea typeface="+mn-ea"/>
                            <a:cs typeface="+mn-cs"/>
                          </a:rPr>
                        </m:ctrlPr>
                      </m:dPr>
                      <m:e>
                        <m:r>
                          <a:rPr lang="en-US" sz="1200" i="1">
                            <a:solidFill>
                              <a:schemeClr val="tx1"/>
                            </a:solidFill>
                            <a:effectLst/>
                            <a:latin typeface="Cambria Math" panose="02040503050406030204" pitchFamily="18" charset="0"/>
                            <a:ea typeface="+mn-ea"/>
                            <a:cs typeface="+mn-cs"/>
                          </a:rPr>
                          <m:t>1−</m:t>
                        </m:r>
                        <m:sSubSup>
                          <m:sSubSupPr>
                            <m:ctrlPr>
                              <a:rPr lang="en-US" sz="1200" i="1">
                                <a:solidFill>
                                  <a:schemeClr val="tx1"/>
                                </a:solidFill>
                                <a:effectLst/>
                                <a:latin typeface="Cambria Math" panose="02040503050406030204" pitchFamily="18" charset="0"/>
                                <a:ea typeface="+mn-ea"/>
                                <a:cs typeface="+mn-cs"/>
                              </a:rPr>
                            </m:ctrlPr>
                          </m:sSubSupPr>
                          <m:e>
                            <m:r>
                              <a:rPr lang="en-US" sz="1200" i="1">
                                <a:solidFill>
                                  <a:schemeClr val="tx1"/>
                                </a:solidFill>
                                <a:effectLst/>
                                <a:latin typeface="Cambria Math" panose="02040503050406030204" pitchFamily="18" charset="0"/>
                                <a:ea typeface="+mn-ea"/>
                                <a:cs typeface="+mn-cs"/>
                              </a:rPr>
                              <m:t>𝑞</m:t>
                            </m:r>
                          </m:e>
                          <m:sub>
                            <m:argPr>
                              <m:argSz m:val="-1"/>
                            </m:argPr>
                            <m:r>
                              <a:rPr lang="en-US" sz="1200" i="1">
                                <a:solidFill>
                                  <a:schemeClr val="tx1"/>
                                </a:solidFill>
                                <a:effectLst/>
                                <a:latin typeface="Cambria Math" panose="02040503050406030204" pitchFamily="18" charset="0"/>
                                <a:ea typeface="+mn-ea"/>
                                <a:cs typeface="+mn-cs"/>
                              </a:rPr>
                              <m:t>𝑘</m:t>
                            </m:r>
                          </m:sub>
                          <m:sup>
                            <m:argPr>
                              <m:argSz m:val="-1"/>
                            </m:argPr>
                            <m:r>
                              <a:rPr lang="en-US" sz="1200" i="1">
                                <a:solidFill>
                                  <a:schemeClr val="tx1"/>
                                </a:solidFill>
                                <a:effectLst/>
                                <a:latin typeface="Cambria Math" panose="02040503050406030204" pitchFamily="18" charset="0"/>
                                <a:ea typeface="+mn-ea"/>
                                <a:cs typeface="+mn-cs"/>
                              </a:rPr>
                              <m:t>2</m:t>
                            </m:r>
                          </m:sup>
                        </m:sSubSup>
                      </m:e>
                    </m:d>
                    <m:sSub>
                      <m:sSubPr>
                        <m:ctrlPr>
                          <a:rPr lang="en-US" sz="1200" i="1">
                            <a:solidFill>
                              <a:schemeClr val="tx1"/>
                            </a:solidFill>
                            <a:effectLst/>
                            <a:latin typeface="Cambria Math" panose="02040503050406030204" pitchFamily="18" charset="0"/>
                            <a:ea typeface="+mn-ea"/>
                            <a:cs typeface="+mn-cs"/>
                          </a:rPr>
                        </m:ctrlPr>
                      </m:sSubPr>
                      <m:e>
                        <m:r>
                          <a:rPr lang="en-US" sz="1200" i="1">
                            <a:solidFill>
                              <a:schemeClr val="tx1"/>
                            </a:solidFill>
                            <a:effectLst/>
                            <a:latin typeface="Cambria Math" panose="02040503050406030204" pitchFamily="18" charset="0"/>
                            <a:ea typeface="+mn-ea"/>
                            <a:cs typeface="+mn-cs"/>
                          </a:rPr>
                          <m:t>𝑈</m:t>
                        </m:r>
                      </m:e>
                      <m:sub>
                        <m:argPr>
                          <m:argSz m:val="-1"/>
                        </m:argPr>
                        <m:r>
                          <a:rPr lang="en-US" sz="1200" i="1">
                            <a:solidFill>
                              <a:schemeClr val="tx1"/>
                            </a:solidFill>
                            <a:effectLst/>
                            <a:latin typeface="Cambria Math" panose="02040503050406030204" pitchFamily="18" charset="0"/>
                            <a:ea typeface="+mn-ea"/>
                            <a:cs typeface="+mn-cs"/>
                          </a:rPr>
                          <m:t>𝐶𝐿</m:t>
                        </m:r>
                      </m:sub>
                    </m:sSub>
                    <m:r>
                      <a:rPr lang="en-US" sz="1200" i="1">
                        <a:solidFill>
                          <a:schemeClr val="tx1"/>
                        </a:solidFill>
                        <a:effectLst/>
                        <a:latin typeface="Cambria Math" panose="02040503050406030204" pitchFamily="18" charset="0"/>
                        <a:ea typeface="+mn-ea"/>
                        <a:cs typeface="+mn-cs"/>
                      </a:rPr>
                      <m:t>+</m:t>
                    </m:r>
                    <m:sSubSup>
                      <m:sSubSupPr>
                        <m:ctrlPr>
                          <a:rPr lang="en-US" sz="1200" i="1">
                            <a:solidFill>
                              <a:schemeClr val="tx1"/>
                            </a:solidFill>
                            <a:effectLst/>
                            <a:latin typeface="Cambria Math" panose="02040503050406030204" pitchFamily="18" charset="0"/>
                            <a:ea typeface="+mn-ea"/>
                            <a:cs typeface="+mn-cs"/>
                          </a:rPr>
                        </m:ctrlPr>
                      </m:sSubSupPr>
                      <m:e>
                        <m:r>
                          <a:rPr lang="en-US" sz="1200" i="1">
                            <a:solidFill>
                              <a:schemeClr val="tx1"/>
                            </a:solidFill>
                            <a:effectLst/>
                            <a:latin typeface="Cambria Math" panose="02040503050406030204" pitchFamily="18" charset="0"/>
                            <a:ea typeface="+mn-ea"/>
                            <a:cs typeface="+mn-cs"/>
                          </a:rPr>
                          <m:t>𝑞</m:t>
                        </m:r>
                      </m:e>
                      <m:sub>
                        <m:argPr>
                          <m:argSz m:val="-1"/>
                        </m:argPr>
                        <m:r>
                          <a:rPr lang="en-US" sz="1200" i="1">
                            <a:solidFill>
                              <a:schemeClr val="tx1"/>
                            </a:solidFill>
                            <a:effectLst/>
                            <a:latin typeface="Cambria Math" panose="02040503050406030204" pitchFamily="18" charset="0"/>
                            <a:ea typeface="+mn-ea"/>
                            <a:cs typeface="+mn-cs"/>
                          </a:rPr>
                          <m:t>𝑘</m:t>
                        </m:r>
                      </m:sub>
                      <m:sup>
                        <m:argPr>
                          <m:argSz m:val="-1"/>
                        </m:argPr>
                        <m:r>
                          <a:rPr lang="en-US" sz="1200" i="1">
                            <a:solidFill>
                              <a:schemeClr val="tx1"/>
                            </a:solidFill>
                            <a:effectLst/>
                            <a:latin typeface="Cambria Math" panose="02040503050406030204" pitchFamily="18" charset="0"/>
                            <a:ea typeface="+mn-ea"/>
                            <a:cs typeface="+mn-cs"/>
                          </a:rPr>
                          <m:t>2</m:t>
                        </m:r>
                      </m:sup>
                    </m:sSubSup>
                    <m:r>
                      <a:rPr lang="en-US" sz="1200" i="1">
                        <a:solidFill>
                          <a:schemeClr val="tx1"/>
                        </a:solidFill>
                        <a:effectLst/>
                        <a:latin typeface="Cambria Math" panose="02040503050406030204" pitchFamily="18" charset="0"/>
                        <a:ea typeface="+mn-ea"/>
                        <a:cs typeface="+mn-cs"/>
                      </a:rPr>
                      <m:t>×</m:t>
                    </m:r>
                    <m:sSub>
                      <m:sSubPr>
                        <m:ctrlPr>
                          <a:rPr lang="en-US" sz="1200" i="1">
                            <a:solidFill>
                              <a:schemeClr val="tx1"/>
                            </a:solidFill>
                            <a:effectLst/>
                            <a:latin typeface="Cambria Math" panose="02040503050406030204" pitchFamily="18" charset="0"/>
                            <a:ea typeface="+mn-ea"/>
                            <a:cs typeface="+mn-cs"/>
                          </a:rPr>
                        </m:ctrlPr>
                      </m:sSubPr>
                      <m:e>
                        <m:r>
                          <a:rPr lang="en-US" sz="1200" i="1">
                            <a:solidFill>
                              <a:schemeClr val="tx1"/>
                            </a:solidFill>
                            <a:effectLst/>
                            <a:latin typeface="Cambria Math" panose="02040503050406030204" pitchFamily="18" charset="0"/>
                            <a:ea typeface="+mn-ea"/>
                            <a:cs typeface="+mn-cs"/>
                          </a:rPr>
                          <m:t>𝑈</m:t>
                        </m:r>
                      </m:e>
                      <m:sub>
                        <m:argPr>
                          <m:argSz m:val="-1"/>
                        </m:argPr>
                        <m:r>
                          <a:rPr lang="en-US" sz="1200" i="1">
                            <a:solidFill>
                              <a:schemeClr val="tx1"/>
                            </a:solidFill>
                            <a:effectLst/>
                            <a:latin typeface="Cambria Math" panose="02040503050406030204" pitchFamily="18" charset="0"/>
                            <a:ea typeface="+mn-ea"/>
                            <a:cs typeface="+mn-cs"/>
                          </a:rPr>
                          <m:t>0</m:t>
                        </m:r>
                      </m:sub>
                    </m:sSub>
                  </m:oMath>
                </m:oMathPara>
              </a14:m>
              <a:endParaRPr lang="en-US" sz="1200">
                <a:solidFill>
                  <a:schemeClr val="tx1"/>
                </a:solidFill>
                <a:effectLst/>
                <a:latin typeface="+mn-lt"/>
                <a:ea typeface="+mn-ea"/>
                <a:cs typeface="+mn-cs"/>
              </a:endParaRPr>
            </a:p>
          </xdr:txBody>
        </xdr:sp>
      </mc:Choice>
      <mc:Fallback>
        <xdr:sp macro="" textlink="">
          <xdr:nvSpPr>
            <xdr:cNvPr id="2" name="TextBox 2">
              <a:extLst>
                <a:ext uri="{FF2B5EF4-FFF2-40B4-BE49-F238E27FC236}">
                  <a16:creationId xmlns:a16="http://schemas.microsoft.com/office/drawing/2014/main" id="{E6C1244D-F683-A044-AB23-37F271D02465}"/>
                </a:ext>
              </a:extLst>
            </xdr:cNvPr>
            <xdr:cNvSpPr txBox="1"/>
          </xdr:nvSpPr>
          <xdr:spPr>
            <a:xfrm>
              <a:off x="9093200" y="5918199"/>
              <a:ext cx="2120900" cy="28346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chemeClr val="tx1"/>
                  </a:solidFill>
                  <a:effectLst/>
                  <a:latin typeface="Cambria Math" panose="02040503050406030204" pitchFamily="18" charset="0"/>
                  <a:ea typeface="+mn-ea"/>
                  <a:cs typeface="+mn-cs"/>
                </a:rPr>
                <a:t>𝑈_𝐺𝐵=(1−𝑞_𝑘^2 ) 𝑈_𝐶𝐿+𝑞_𝑘^2×𝑈_0</a:t>
              </a:r>
              <a:endParaRPr lang="en-US" sz="1200">
                <a:solidFill>
                  <a:schemeClr val="tx1"/>
                </a:solidFill>
                <a:effectLst/>
                <a:latin typeface="+mn-lt"/>
                <a:ea typeface="+mn-ea"/>
                <a:cs typeface="+mn-cs"/>
              </a:endParaRPr>
            </a:p>
          </xdr:txBody>
        </xdr:sp>
      </mc:Fallback>
    </mc:AlternateContent>
    <xdr:clientData/>
  </xdr:twoCellAnchor>
  <xdr:twoCellAnchor>
    <xdr:from>
      <xdr:col>15</xdr:col>
      <xdr:colOff>19050</xdr:colOff>
      <xdr:row>8</xdr:row>
      <xdr:rowOff>177801</xdr:rowOff>
    </xdr:from>
    <xdr:to>
      <xdr:col>16</xdr:col>
      <xdr:colOff>431800</xdr:colOff>
      <xdr:row>10</xdr:row>
      <xdr:rowOff>25401</xdr:rowOff>
    </xdr:to>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FB58789F-C37F-5046-A182-623114B3C24B}"/>
                </a:ext>
              </a:extLst>
            </xdr:cNvPr>
            <xdr:cNvSpPr txBox="1"/>
          </xdr:nvSpPr>
          <xdr:spPr>
            <a:xfrm>
              <a:off x="12033250" y="1892301"/>
              <a:ext cx="1238250" cy="2667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𝐵𝐹</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0</m:t>
                        </m:r>
                      </m:sub>
                    </m:sSub>
                  </m:oMath>
                </m:oMathPara>
              </a14:m>
              <a:endParaRPr lang="en-US" sz="1100">
                <a:solidFill>
                  <a:schemeClr val="tx1"/>
                </a:solidFill>
                <a:effectLst/>
                <a:latin typeface="+mn-lt"/>
                <a:ea typeface="+mn-ea"/>
                <a:cs typeface="+mn-cs"/>
              </a:endParaRPr>
            </a:p>
          </xdr:txBody>
        </xdr:sp>
      </mc:Choice>
      <mc:Fallback>
        <xdr:sp macro="" textlink="">
          <xdr:nvSpPr>
            <xdr:cNvPr id="3" name="TextBox 2">
              <a:extLst>
                <a:ext uri="{FF2B5EF4-FFF2-40B4-BE49-F238E27FC236}">
                  <a16:creationId xmlns:a16="http://schemas.microsoft.com/office/drawing/2014/main" id="{FB58789F-C37F-5046-A182-623114B3C24B}"/>
                </a:ext>
              </a:extLst>
            </xdr:cNvPr>
            <xdr:cNvSpPr txBox="1"/>
          </xdr:nvSpPr>
          <xdr:spPr>
            <a:xfrm>
              <a:off x="12033250" y="1892301"/>
              <a:ext cx="1238250" cy="2667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𝑈_𝐵𝐹=𝐶_𝑘+𝑞_𝑘 𝑈_0</a:t>
              </a:r>
              <a:endParaRPr lang="en-US" sz="1100">
                <a:solidFill>
                  <a:schemeClr val="tx1"/>
                </a:solidFill>
                <a:effectLst/>
                <a:latin typeface="+mn-lt"/>
                <a:ea typeface="+mn-ea"/>
                <a:cs typeface="+mn-cs"/>
              </a:endParaRPr>
            </a:p>
          </xdr:txBody>
        </xdr:sp>
      </mc:Fallback>
    </mc:AlternateContent>
    <xdr:clientData/>
  </xdr:twoCellAnchor>
  <xdr:twoCellAnchor>
    <xdr:from>
      <xdr:col>15</xdr:col>
      <xdr:colOff>50800</xdr:colOff>
      <xdr:row>10</xdr:row>
      <xdr:rowOff>93132</xdr:rowOff>
    </xdr:from>
    <xdr:to>
      <xdr:col>16</xdr:col>
      <xdr:colOff>431800</xdr:colOff>
      <xdr:row>11</xdr:row>
      <xdr:rowOff>120497</xdr:rowOff>
    </xdr:to>
    <mc:AlternateContent xmlns:mc="http://schemas.openxmlformats.org/markup-compatibility/2006">
      <mc:Choice xmlns:a14="http://schemas.microsoft.com/office/drawing/2010/main" Requires="a14">
        <xdr:sp macro="" textlink="">
          <xdr:nvSpPr>
            <xdr:cNvPr id="4" name="TextBox 2">
              <a:extLst>
                <a:ext uri="{FF2B5EF4-FFF2-40B4-BE49-F238E27FC236}">
                  <a16:creationId xmlns:a16="http://schemas.microsoft.com/office/drawing/2014/main" id="{21CFF8C8-FA94-2143-AB6B-B6CA373BC179}"/>
                </a:ext>
              </a:extLst>
            </xdr:cNvPr>
            <xdr:cNvSpPr txBox="1"/>
          </xdr:nvSpPr>
          <xdr:spPr>
            <a:xfrm>
              <a:off x="12065000" y="2226732"/>
              <a:ext cx="1206500" cy="24326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𝐺𝐵</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argPr>
                          <m:argSz m:val="-1"/>
                        </m:argP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𝑞</m:t>
                        </m:r>
                      </m:e>
                      <m:sub>
                        <m:argPr>
                          <m:argSz m:val="-1"/>
                        </m:argPr>
                        <m:r>
                          <a:rPr lang="en-US" sz="1100" i="1">
                            <a:solidFill>
                              <a:schemeClr val="tx1"/>
                            </a:solidFill>
                            <a:effectLst/>
                            <a:latin typeface="Cambria Math" panose="02040503050406030204" pitchFamily="18" charset="0"/>
                            <a:ea typeface="+mn-ea"/>
                            <a:cs typeface="+mn-cs"/>
                          </a:rPr>
                          <m:t>𝑘</m:t>
                        </m:r>
                      </m:sub>
                    </m:s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m:t>
                        </m:r>
                      </m:e>
                      <m:sub>
                        <m:argPr>
                          <m:argSz m:val="-1"/>
                        </m:argPr>
                        <m:r>
                          <a:rPr lang="en-US" sz="1100" i="1">
                            <a:solidFill>
                              <a:schemeClr val="tx1"/>
                            </a:solidFill>
                            <a:effectLst/>
                            <a:latin typeface="Cambria Math" panose="02040503050406030204" pitchFamily="18" charset="0"/>
                            <a:ea typeface="+mn-ea"/>
                            <a:cs typeface="+mn-cs"/>
                          </a:rPr>
                          <m:t>𝐵𝐹</m:t>
                        </m:r>
                      </m:sub>
                    </m:sSub>
                    <m:r>
                      <m:rPr>
                        <m:nor/>
                      </m:rPr>
                      <a:rPr lang="en-US">
                        <a:effectLst/>
                      </a:rPr>
                      <m:t> </m:t>
                    </m:r>
                  </m:oMath>
                </m:oMathPara>
              </a14:m>
              <a:endParaRPr lang="en-US" sz="1100">
                <a:solidFill>
                  <a:schemeClr val="tx1"/>
                </a:solidFill>
                <a:effectLst/>
                <a:latin typeface="+mn-lt"/>
                <a:ea typeface="+mn-ea"/>
                <a:cs typeface="+mn-cs"/>
              </a:endParaRPr>
            </a:p>
          </xdr:txBody>
        </xdr:sp>
      </mc:Choice>
      <mc:Fallback>
        <xdr:sp macro="" textlink="">
          <xdr:nvSpPr>
            <xdr:cNvPr id="4" name="TextBox 2">
              <a:extLst>
                <a:ext uri="{FF2B5EF4-FFF2-40B4-BE49-F238E27FC236}">
                  <a16:creationId xmlns:a16="http://schemas.microsoft.com/office/drawing/2014/main" id="{21CFF8C8-FA94-2143-AB6B-B6CA373BC179}"/>
                </a:ext>
              </a:extLst>
            </xdr:cNvPr>
            <xdr:cNvSpPr txBox="1"/>
          </xdr:nvSpPr>
          <xdr:spPr>
            <a:xfrm>
              <a:off x="12065000" y="2226732"/>
              <a:ext cx="1206500" cy="24326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𝑈_𝐺𝐵=𝐶_𝑘+𝑞_𝑘 𝑈_𝐵𝐹 "</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xdr:col>
      <xdr:colOff>44450</xdr:colOff>
      <xdr:row>5</xdr:row>
      <xdr:rowOff>25400</xdr:rowOff>
    </xdr:from>
    <xdr:ext cx="377283" cy="17209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1B74888-E81E-9E4D-9E40-542283C70BD4}"/>
                </a:ext>
              </a:extLst>
            </xdr:cNvPr>
            <xdr:cNvSpPr txBox="1"/>
          </xdr:nvSpPr>
          <xdr:spPr>
            <a:xfrm>
              <a:off x="882650" y="1041400"/>
              <a:ext cx="37728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𝑘</m:t>
                        </m:r>
                        <m:r>
                          <a:rPr lang="en-US" sz="1100" b="0" i="1">
                            <a:latin typeface="Cambria Math" panose="02040503050406030204" pitchFamily="18" charset="0"/>
                          </a:rPr>
                          <m:t> </m:t>
                        </m:r>
                      </m:sub>
                    </m:sSub>
                    <m:r>
                      <a:rPr lang="en-US" sz="1100" b="0" i="1">
                        <a:latin typeface="Cambria Math" panose="02040503050406030204" pitchFamily="18" charset="0"/>
                      </a:rPr>
                      <m:t>= </m:t>
                    </m:r>
                  </m:oMath>
                </m:oMathPara>
              </a14:m>
              <a:endParaRPr lang="en-US" sz="1100" b="0"/>
            </a:p>
          </xdr:txBody>
        </xdr:sp>
      </mc:Choice>
      <mc:Fallback xmlns="">
        <xdr:sp macro="" textlink="">
          <xdr:nvSpPr>
            <xdr:cNvPr id="2" name="TextBox 1">
              <a:extLst>
                <a:ext uri="{FF2B5EF4-FFF2-40B4-BE49-F238E27FC236}">
                  <a16:creationId xmlns:a16="http://schemas.microsoft.com/office/drawing/2014/main" id="{A1B74888-E81E-9E4D-9E40-542283C70BD4}"/>
                </a:ext>
              </a:extLst>
            </xdr:cNvPr>
            <xdr:cNvSpPr txBox="1"/>
          </xdr:nvSpPr>
          <xdr:spPr>
            <a:xfrm>
              <a:off x="882650" y="1041400"/>
              <a:ext cx="37728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𝐶_(𝑘 )= </a:t>
              </a:r>
              <a:endParaRPr lang="en-US" sz="1100" b="0"/>
            </a:p>
          </xdr:txBody>
        </xdr:sp>
      </mc:Fallback>
    </mc:AlternateContent>
    <xdr:clientData/>
  </xdr:oneCellAnchor>
  <xdr:oneCellAnchor>
    <xdr:from>
      <xdr:col>1</xdr:col>
      <xdr:colOff>31750</xdr:colOff>
      <xdr:row>6</xdr:row>
      <xdr:rowOff>25400</xdr:rowOff>
    </xdr:from>
    <xdr:ext cx="374590" cy="17209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89F1679-418C-6B45-8960-004CE554D1FC}"/>
                </a:ext>
              </a:extLst>
            </xdr:cNvPr>
            <xdr:cNvSpPr txBox="1"/>
          </xdr:nvSpPr>
          <xdr:spPr>
            <a:xfrm>
              <a:off x="869950" y="1244600"/>
              <a:ext cx="37459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𝑞</m:t>
                        </m:r>
                      </m:e>
                      <m:sub>
                        <m:r>
                          <a:rPr lang="en-US" sz="1100" b="0" i="1">
                            <a:latin typeface="Cambria Math" panose="02040503050406030204" pitchFamily="18" charset="0"/>
                          </a:rPr>
                          <m:t>𝑘</m:t>
                        </m:r>
                        <m:r>
                          <a:rPr lang="en-US" sz="1100" b="0" i="1">
                            <a:latin typeface="Cambria Math" panose="02040503050406030204" pitchFamily="18" charset="0"/>
                          </a:rPr>
                          <m:t> </m:t>
                        </m:r>
                      </m:sub>
                    </m:sSub>
                    <m:r>
                      <a:rPr lang="en-US" sz="1100" b="0" i="1">
                        <a:latin typeface="Cambria Math" panose="02040503050406030204" pitchFamily="18" charset="0"/>
                      </a:rPr>
                      <m:t>= </m:t>
                    </m:r>
                  </m:oMath>
                </m:oMathPara>
              </a14:m>
              <a:endParaRPr lang="en-US" sz="1100" b="0"/>
            </a:p>
          </xdr:txBody>
        </xdr:sp>
      </mc:Choice>
      <mc:Fallback xmlns="">
        <xdr:sp macro="" textlink="">
          <xdr:nvSpPr>
            <xdr:cNvPr id="3" name="TextBox 2">
              <a:extLst>
                <a:ext uri="{FF2B5EF4-FFF2-40B4-BE49-F238E27FC236}">
                  <a16:creationId xmlns:a16="http://schemas.microsoft.com/office/drawing/2014/main" id="{889F1679-418C-6B45-8960-004CE554D1FC}"/>
                </a:ext>
              </a:extLst>
            </xdr:cNvPr>
            <xdr:cNvSpPr txBox="1"/>
          </xdr:nvSpPr>
          <xdr:spPr>
            <a:xfrm>
              <a:off x="869950" y="1244600"/>
              <a:ext cx="37459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𝑞_(𝑘 )= </a:t>
              </a:r>
              <a:endParaRPr lang="en-US" sz="1100" b="0"/>
            </a:p>
          </xdr:txBody>
        </xdr:sp>
      </mc:Fallback>
    </mc:AlternateContent>
    <xdr:clientData/>
  </xdr:oneCellAnchor>
  <xdr:oneCellAnchor>
    <xdr:from>
      <xdr:col>1</xdr:col>
      <xdr:colOff>628650</xdr:colOff>
      <xdr:row>9</xdr:row>
      <xdr:rowOff>25400</xdr:rowOff>
    </xdr:from>
    <xdr:ext cx="34515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59CEDFD-FCD6-E844-8B52-4F86901EA669}"/>
                </a:ext>
              </a:extLst>
            </xdr:cNvPr>
            <xdr:cNvSpPr txBox="1"/>
          </xdr:nvSpPr>
          <xdr:spPr>
            <a:xfrm>
              <a:off x="1466850" y="1854200"/>
              <a:ext cx="34515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𝑈</m:t>
                        </m:r>
                      </m:e>
                      <m:sub>
                        <m:r>
                          <a:rPr lang="en-US" sz="1100" b="0" i="1">
                            <a:latin typeface="Cambria Math" panose="02040503050406030204" pitchFamily="18" charset="0"/>
                          </a:rPr>
                          <m:t> </m:t>
                        </m:r>
                      </m:sub>
                      <m:sup>
                        <m:r>
                          <a:rPr lang="en-US" sz="1100" b="0" i="1">
                            <a:latin typeface="Cambria Math" panose="02040503050406030204" pitchFamily="18" charset="0"/>
                          </a:rPr>
                          <m:t>(3)</m:t>
                        </m:r>
                      </m:sup>
                    </m:sSubSup>
                    <m:r>
                      <a:rPr lang="en-US" sz="1100" b="0" i="1">
                        <a:latin typeface="Cambria Math" panose="02040503050406030204" pitchFamily="18" charset="0"/>
                      </a:rPr>
                      <m:t> .</m:t>
                    </m:r>
                  </m:oMath>
                </m:oMathPara>
              </a14:m>
              <a:endParaRPr lang="en-US" sz="1100" b="0"/>
            </a:p>
          </xdr:txBody>
        </xdr:sp>
      </mc:Choice>
      <mc:Fallback xmlns="">
        <xdr:sp macro="" textlink="">
          <xdr:nvSpPr>
            <xdr:cNvPr id="4" name="TextBox 3">
              <a:extLst>
                <a:ext uri="{FF2B5EF4-FFF2-40B4-BE49-F238E27FC236}">
                  <a16:creationId xmlns:a16="http://schemas.microsoft.com/office/drawing/2014/main" id="{259CEDFD-FCD6-E844-8B52-4F86901EA669}"/>
                </a:ext>
              </a:extLst>
            </xdr:cNvPr>
            <xdr:cNvSpPr txBox="1"/>
          </xdr:nvSpPr>
          <xdr:spPr>
            <a:xfrm>
              <a:off x="1466850" y="1854200"/>
              <a:ext cx="34515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𝑈_ ^((3))  .</a:t>
              </a:r>
              <a:endParaRPr lang="en-US" sz="1100" b="0"/>
            </a:p>
          </xdr:txBody>
        </xdr:sp>
      </mc:Fallback>
    </mc:AlternateContent>
    <xdr:clientData/>
  </xdr:oneCellAnchor>
  <xdr:oneCellAnchor>
    <xdr:from>
      <xdr:col>1</xdr:col>
      <xdr:colOff>628650</xdr:colOff>
      <xdr:row>12</xdr:row>
      <xdr:rowOff>25400</xdr:rowOff>
    </xdr:from>
    <xdr:ext cx="380745"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1A47182-422B-F042-9BE9-A285B98F0B74}"/>
                </a:ext>
              </a:extLst>
            </xdr:cNvPr>
            <xdr:cNvSpPr txBox="1"/>
          </xdr:nvSpPr>
          <xdr:spPr>
            <a:xfrm>
              <a:off x="1466850" y="2463800"/>
              <a:ext cx="38074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𝑈</m:t>
                        </m:r>
                      </m:e>
                      <m:sub>
                        <m:r>
                          <a:rPr lang="en-US" sz="1100" b="0" i="1">
                            <a:latin typeface="Cambria Math" panose="02040503050406030204" pitchFamily="18" charset="0"/>
                          </a:rPr>
                          <m:t> </m:t>
                        </m:r>
                      </m:sub>
                      <m:sup>
                        <m:r>
                          <a:rPr lang="en-US" sz="1100" b="0" i="1">
                            <a:latin typeface="Cambria Math" panose="02040503050406030204" pitchFamily="18" charset="0"/>
                          </a:rPr>
                          <m:t>(∞)</m:t>
                        </m:r>
                      </m:sup>
                    </m:sSubSup>
                    <m:r>
                      <a:rPr lang="en-US" sz="1100" b="0" i="1">
                        <a:latin typeface="Cambria Math" panose="02040503050406030204" pitchFamily="18" charset="0"/>
                      </a:rPr>
                      <m:t> .</m:t>
                    </m:r>
                  </m:oMath>
                </m:oMathPara>
              </a14:m>
              <a:endParaRPr lang="en-US" sz="1100" b="0"/>
            </a:p>
          </xdr:txBody>
        </xdr:sp>
      </mc:Choice>
      <mc:Fallback xmlns="">
        <xdr:sp macro="" textlink="">
          <xdr:nvSpPr>
            <xdr:cNvPr id="5" name="TextBox 4">
              <a:extLst>
                <a:ext uri="{FF2B5EF4-FFF2-40B4-BE49-F238E27FC236}">
                  <a16:creationId xmlns:a16="http://schemas.microsoft.com/office/drawing/2014/main" id="{51A47182-422B-F042-9BE9-A285B98F0B74}"/>
                </a:ext>
              </a:extLst>
            </xdr:cNvPr>
            <xdr:cNvSpPr txBox="1"/>
          </xdr:nvSpPr>
          <xdr:spPr>
            <a:xfrm>
              <a:off x="1466850" y="2463800"/>
              <a:ext cx="38074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𝑈_ ^((∞))  .</a:t>
              </a:r>
              <a:endParaRPr lang="en-US" sz="1100" b="0"/>
            </a:p>
          </xdr:txBody>
        </xdr:sp>
      </mc:Fallback>
    </mc:AlternateContent>
    <xdr:clientData/>
  </xdr:oneCellAnchor>
  <xdr:oneCellAnchor>
    <xdr:from>
      <xdr:col>1</xdr:col>
      <xdr:colOff>44450</xdr:colOff>
      <xdr:row>4</xdr:row>
      <xdr:rowOff>38100</xdr:rowOff>
    </xdr:from>
    <xdr:ext cx="384208" cy="17209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0767F1C-FE04-CE46-BAFA-4BEE6601218C}"/>
                </a:ext>
              </a:extLst>
            </xdr:cNvPr>
            <xdr:cNvSpPr txBox="1"/>
          </xdr:nvSpPr>
          <xdr:spPr>
            <a:xfrm>
              <a:off x="882650" y="850900"/>
              <a:ext cx="38420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𝑈</m:t>
                        </m:r>
                      </m:e>
                      <m:sub>
                        <m:r>
                          <a:rPr lang="en-US" sz="1100" b="0" i="1">
                            <a:latin typeface="Cambria Math" panose="02040503050406030204" pitchFamily="18" charset="0"/>
                          </a:rPr>
                          <m:t>0 </m:t>
                        </m:r>
                      </m:sub>
                    </m:sSub>
                    <m:r>
                      <a:rPr lang="en-US" sz="1100" b="0" i="1">
                        <a:latin typeface="Cambria Math" panose="02040503050406030204" pitchFamily="18" charset="0"/>
                      </a:rPr>
                      <m:t>= </m:t>
                    </m:r>
                  </m:oMath>
                </m:oMathPara>
              </a14:m>
              <a:endParaRPr lang="en-US" sz="1100" b="0"/>
            </a:p>
          </xdr:txBody>
        </xdr:sp>
      </mc:Choice>
      <mc:Fallback xmlns="">
        <xdr:sp macro="" textlink="">
          <xdr:nvSpPr>
            <xdr:cNvPr id="6" name="TextBox 5">
              <a:extLst>
                <a:ext uri="{FF2B5EF4-FFF2-40B4-BE49-F238E27FC236}">
                  <a16:creationId xmlns:a16="http://schemas.microsoft.com/office/drawing/2014/main" id="{90767F1C-FE04-CE46-BAFA-4BEE6601218C}"/>
                </a:ext>
              </a:extLst>
            </xdr:cNvPr>
            <xdr:cNvSpPr txBox="1"/>
          </xdr:nvSpPr>
          <xdr:spPr>
            <a:xfrm>
              <a:off x="882650" y="850900"/>
              <a:ext cx="38420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𝑈_(0 )= </a:t>
              </a:r>
              <a:endParaRPr lang="en-US" sz="1100" b="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4</xdr:row>
      <xdr:rowOff>12700</xdr:rowOff>
    </xdr:from>
    <xdr:ext cx="65" cy="172227"/>
    <xdr:sp macro="" textlink="">
      <xdr:nvSpPr>
        <xdr:cNvPr id="2" name="TextBox 1">
          <a:extLst>
            <a:ext uri="{FF2B5EF4-FFF2-40B4-BE49-F238E27FC236}">
              <a16:creationId xmlns:a16="http://schemas.microsoft.com/office/drawing/2014/main" id="{3C76EF8F-90BB-B548-A516-667009F42FE4}"/>
            </a:ext>
          </a:extLst>
        </xdr:cNvPr>
        <xdr:cNvSpPr txBox="1"/>
      </xdr:nvSpPr>
      <xdr:spPr>
        <a:xfrm>
          <a:off x="838200" y="825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b="0"/>
        </a:p>
      </xdr:txBody>
    </xdr:sp>
    <xdr:clientData/>
  </xdr:oneCellAnchor>
  <xdr:oneCellAnchor>
    <xdr:from>
      <xdr:col>1</xdr:col>
      <xdr:colOff>19050</xdr:colOff>
      <xdr:row>4</xdr:row>
      <xdr:rowOff>38100</xdr:rowOff>
    </xdr:from>
    <xdr:ext cx="303865" cy="17209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E627493-9D5B-A44E-8E10-8649125DD6DA}"/>
                </a:ext>
              </a:extLst>
            </xdr:cNvPr>
            <xdr:cNvSpPr txBox="1"/>
          </xdr:nvSpPr>
          <xdr:spPr>
            <a:xfrm>
              <a:off x="857250" y="850900"/>
              <a:ext cx="30386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r>
                          <a:rPr lang="en-US" sz="1100" b="0" i="1">
                            <a:latin typeface="Cambria Math" panose="02040503050406030204" pitchFamily="18" charset="0"/>
                          </a:rPr>
                          <m:t>𝑐</m:t>
                        </m:r>
                      </m:e>
                      <m:sup>
                        <m:r>
                          <a:rPr lang="en-US" sz="1100" b="0" i="1">
                            <a:latin typeface="Cambria Math" panose="02040503050406030204" pitchFamily="18" charset="0"/>
                          </a:rPr>
                          <m:t>∗</m:t>
                        </m:r>
                      </m:sup>
                    </m:sSup>
                    <m:r>
                      <a:rPr lang="en-US" sz="1100" b="0" i="1">
                        <a:latin typeface="Cambria Math" panose="02040503050406030204" pitchFamily="18" charset="0"/>
                      </a:rPr>
                      <m:t>=</m:t>
                    </m:r>
                  </m:oMath>
                </m:oMathPara>
              </a14:m>
              <a:endParaRPr lang="en-US" sz="1100"/>
            </a:p>
          </xdr:txBody>
        </xdr:sp>
      </mc:Choice>
      <mc:Fallback xmlns="">
        <xdr:sp macro="" textlink="">
          <xdr:nvSpPr>
            <xdr:cNvPr id="3" name="TextBox 2">
              <a:extLst>
                <a:ext uri="{FF2B5EF4-FFF2-40B4-BE49-F238E27FC236}">
                  <a16:creationId xmlns:a16="http://schemas.microsoft.com/office/drawing/2014/main" id="{EE627493-9D5B-A44E-8E10-8649125DD6DA}"/>
                </a:ext>
              </a:extLst>
            </xdr:cNvPr>
            <xdr:cNvSpPr txBox="1"/>
          </xdr:nvSpPr>
          <xdr:spPr>
            <a:xfrm>
              <a:off x="857250" y="850900"/>
              <a:ext cx="30386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𝑐^∗=</a:t>
              </a:r>
              <a:endParaRPr lang="en-US" sz="1100"/>
            </a:p>
          </xdr:txBody>
        </xdr:sp>
      </mc:Fallback>
    </mc:AlternateContent>
    <xdr:clientData/>
  </xdr:oneCellAnchor>
  <xdr:oneCellAnchor>
    <xdr:from>
      <xdr:col>1</xdr:col>
      <xdr:colOff>6350</xdr:colOff>
      <xdr:row>5</xdr:row>
      <xdr:rowOff>25400</xdr:rowOff>
    </xdr:from>
    <xdr:ext cx="323550" cy="17209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34EFBCF-48BB-EC4E-9D98-BC53815424C6}"/>
                </a:ext>
              </a:extLst>
            </xdr:cNvPr>
            <xdr:cNvSpPr txBox="1"/>
          </xdr:nvSpPr>
          <xdr:spPr>
            <a:xfrm>
              <a:off x="844550" y="1041400"/>
              <a:ext cx="32355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𝑘</m:t>
                        </m:r>
                      </m:sub>
                    </m:sSub>
                    <m:r>
                      <a:rPr lang="en-US" sz="1100" b="0" i="1">
                        <a:latin typeface="Cambria Math" panose="02040503050406030204" pitchFamily="18" charset="0"/>
                      </a:rPr>
                      <m:t>=</m:t>
                    </m:r>
                  </m:oMath>
                </m:oMathPara>
              </a14:m>
              <a:endParaRPr lang="en-US" sz="1100"/>
            </a:p>
          </xdr:txBody>
        </xdr:sp>
      </mc:Choice>
      <mc:Fallback xmlns="">
        <xdr:sp macro="" textlink="">
          <xdr:nvSpPr>
            <xdr:cNvPr id="4" name="TextBox 3">
              <a:extLst>
                <a:ext uri="{FF2B5EF4-FFF2-40B4-BE49-F238E27FC236}">
                  <a16:creationId xmlns:a16="http://schemas.microsoft.com/office/drawing/2014/main" id="{034EFBCF-48BB-EC4E-9D98-BC53815424C6}"/>
                </a:ext>
              </a:extLst>
            </xdr:cNvPr>
            <xdr:cNvSpPr txBox="1"/>
          </xdr:nvSpPr>
          <xdr:spPr>
            <a:xfrm>
              <a:off x="844550" y="1041400"/>
              <a:ext cx="32355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𝐶_𝑘=</a:t>
              </a:r>
              <a:endParaRPr lang="en-US" sz="1100"/>
            </a:p>
          </xdr:txBody>
        </xdr:sp>
      </mc:Fallback>
    </mc:AlternateContent>
    <xdr:clientData/>
  </xdr:oneCellAnchor>
  <xdr:oneCellAnchor>
    <xdr:from>
      <xdr:col>1</xdr:col>
      <xdr:colOff>6350</xdr:colOff>
      <xdr:row>6</xdr:row>
      <xdr:rowOff>25400</xdr:rowOff>
    </xdr:from>
    <xdr:ext cx="392415" cy="17209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A07CCF4-AA54-8541-93B5-899F59445CBB}"/>
                </a:ext>
              </a:extLst>
            </xdr:cNvPr>
            <xdr:cNvSpPr txBox="1"/>
          </xdr:nvSpPr>
          <xdr:spPr>
            <a:xfrm>
              <a:off x="844550" y="1244600"/>
              <a:ext cx="39241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𝑈</m:t>
                        </m:r>
                      </m:e>
                      <m:sub>
                        <m:r>
                          <a:rPr lang="en-US" sz="1100" b="0" i="1">
                            <a:latin typeface="Cambria Math" panose="02040503050406030204" pitchFamily="18" charset="0"/>
                          </a:rPr>
                          <m:t>𝐶𝐿</m:t>
                        </m:r>
                      </m:sub>
                    </m:sSub>
                    <m:r>
                      <a:rPr lang="en-US" sz="1100" b="0" i="1">
                        <a:latin typeface="Cambria Math" panose="02040503050406030204" pitchFamily="18" charset="0"/>
                      </a:rPr>
                      <m:t>=</m:t>
                    </m:r>
                  </m:oMath>
                </m:oMathPara>
              </a14:m>
              <a:endParaRPr lang="en-US" sz="1100"/>
            </a:p>
          </xdr:txBody>
        </xdr:sp>
      </mc:Choice>
      <mc:Fallback xmlns="">
        <xdr:sp macro="" textlink="">
          <xdr:nvSpPr>
            <xdr:cNvPr id="5" name="TextBox 4">
              <a:extLst>
                <a:ext uri="{FF2B5EF4-FFF2-40B4-BE49-F238E27FC236}">
                  <a16:creationId xmlns:a16="http://schemas.microsoft.com/office/drawing/2014/main" id="{1A07CCF4-AA54-8541-93B5-899F59445CBB}"/>
                </a:ext>
              </a:extLst>
            </xdr:cNvPr>
            <xdr:cNvSpPr txBox="1"/>
          </xdr:nvSpPr>
          <xdr:spPr>
            <a:xfrm>
              <a:off x="844550" y="1244600"/>
              <a:ext cx="39241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𝑈_𝐶𝐿=</a:t>
              </a:r>
              <a:endParaRPr lang="en-US" sz="1100"/>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4E4A-2385-A14C-8A49-5609495CEBD1}">
  <sheetPr>
    <tabColor theme="8" tint="0.59999389629810485"/>
  </sheetPr>
  <dimension ref="A1:M52"/>
  <sheetViews>
    <sheetView showGridLines="0" tabSelected="1" topLeftCell="A2" zoomScaleNormal="100" workbookViewId="0"/>
  </sheetViews>
  <sheetFormatPr baseColWidth="10" defaultColWidth="8.5" defaultRowHeight="16" x14ac:dyDescent="0.2"/>
  <cols>
    <col min="1" max="5" width="10.6640625" style="51" customWidth="1"/>
    <col min="6" max="12" width="10.83203125" style="51" customWidth="1"/>
    <col min="13" max="13" width="10.6640625" style="51" customWidth="1"/>
    <col min="14" max="16" width="10" style="51" customWidth="1"/>
    <col min="17" max="16384" width="8.5" style="51"/>
  </cols>
  <sheetData>
    <row r="1" spans="1:13" ht="14.5" customHeight="1" x14ac:dyDescent="0.2">
      <c r="A1" s="47"/>
      <c r="B1" s="48"/>
      <c r="C1" s="48"/>
      <c r="D1" s="48"/>
      <c r="E1" s="48"/>
      <c r="F1" s="48"/>
      <c r="G1" s="48"/>
      <c r="H1" s="48"/>
      <c r="I1" s="48"/>
      <c r="J1" s="48"/>
      <c r="K1" s="48"/>
      <c r="L1" s="49" t="s">
        <v>77</v>
      </c>
      <c r="M1" s="50"/>
    </row>
    <row r="2" spans="1:13" s="53" customFormat="1" x14ac:dyDescent="0.2">
      <c r="A2" s="52"/>
      <c r="M2" s="54"/>
    </row>
    <row r="3" spans="1:13" s="53" customFormat="1" ht="16" customHeight="1" x14ac:dyDescent="0.2">
      <c r="A3" s="52"/>
      <c r="M3" s="54"/>
    </row>
    <row r="4" spans="1:13" s="53" customFormat="1" ht="16" customHeight="1" x14ac:dyDescent="0.2">
      <c r="A4" s="52"/>
      <c r="M4" s="54"/>
    </row>
    <row r="5" spans="1:13" s="53" customFormat="1" ht="16" customHeight="1" x14ac:dyDescent="0.2">
      <c r="A5" s="52"/>
      <c r="M5" s="54"/>
    </row>
    <row r="6" spans="1:13" s="53" customFormat="1" ht="16" customHeight="1" x14ac:dyDescent="0.2">
      <c r="A6" s="52"/>
      <c r="B6" s="55" t="s">
        <v>78</v>
      </c>
      <c r="M6" s="54"/>
    </row>
    <row r="7" spans="1:13" s="53" customFormat="1" ht="16" customHeight="1" x14ac:dyDescent="0.2">
      <c r="A7" s="52"/>
      <c r="M7" s="54"/>
    </row>
    <row r="8" spans="1:13" s="53" customFormat="1" ht="16" customHeight="1" x14ac:dyDescent="0.25">
      <c r="A8" s="52"/>
      <c r="B8" s="56" t="s">
        <v>79</v>
      </c>
      <c r="M8" s="54"/>
    </row>
    <row r="9" spans="1:13" s="53" customFormat="1" ht="17" customHeight="1" x14ac:dyDescent="0.2">
      <c r="A9" s="52"/>
      <c r="C9" s="157" t="s">
        <v>126</v>
      </c>
      <c r="D9" s="158"/>
      <c r="E9" s="158"/>
      <c r="F9" s="158"/>
      <c r="G9" s="158"/>
      <c r="H9" s="158"/>
      <c r="I9" s="158"/>
      <c r="J9" s="158"/>
      <c r="K9" s="158"/>
      <c r="M9" s="54"/>
    </row>
    <row r="10" spans="1:13" s="53" customFormat="1" x14ac:dyDescent="0.2">
      <c r="A10" s="52"/>
      <c r="C10" s="158"/>
      <c r="D10" s="158"/>
      <c r="E10" s="158"/>
      <c r="F10" s="158"/>
      <c r="G10" s="158"/>
      <c r="H10" s="158"/>
      <c r="I10" s="158"/>
      <c r="J10" s="158"/>
      <c r="K10" s="158"/>
      <c r="M10" s="54"/>
    </row>
    <row r="11" spans="1:13" s="53" customFormat="1" ht="16" customHeight="1" x14ac:dyDescent="0.2">
      <c r="A11" s="52"/>
      <c r="C11" s="158"/>
      <c r="D11" s="158"/>
      <c r="E11" s="158"/>
      <c r="F11" s="158"/>
      <c r="G11" s="158"/>
      <c r="H11" s="158"/>
      <c r="I11" s="158"/>
      <c r="J11" s="158"/>
      <c r="K11" s="158"/>
      <c r="M11" s="54"/>
    </row>
    <row r="12" spans="1:13" s="53" customFormat="1" ht="16" customHeight="1" x14ac:dyDescent="0.2">
      <c r="A12" s="52"/>
      <c r="C12" s="158"/>
      <c r="D12" s="158"/>
      <c r="E12" s="158"/>
      <c r="F12" s="158"/>
      <c r="G12" s="158"/>
      <c r="H12" s="158"/>
      <c r="I12" s="158"/>
      <c r="J12" s="158"/>
      <c r="K12" s="158"/>
      <c r="M12" s="54"/>
    </row>
    <row r="13" spans="1:13" s="53" customFormat="1" ht="16" customHeight="1" x14ac:dyDescent="0.2">
      <c r="A13" s="52"/>
      <c r="C13" s="158"/>
      <c r="D13" s="158"/>
      <c r="E13" s="158"/>
      <c r="F13" s="158"/>
      <c r="G13" s="158"/>
      <c r="H13" s="158"/>
      <c r="I13" s="158"/>
      <c r="J13" s="158"/>
      <c r="K13" s="158"/>
      <c r="M13" s="54"/>
    </row>
    <row r="14" spans="1:13" s="53" customFormat="1" ht="16" customHeight="1" x14ac:dyDescent="0.2">
      <c r="A14" s="52"/>
      <c r="C14" s="158"/>
      <c r="D14" s="158"/>
      <c r="E14" s="158"/>
      <c r="F14" s="158"/>
      <c r="G14" s="158"/>
      <c r="H14" s="158"/>
      <c r="I14" s="158"/>
      <c r="J14" s="158"/>
      <c r="K14" s="158"/>
      <c r="M14" s="54"/>
    </row>
    <row r="15" spans="1:13" s="53" customFormat="1" ht="16" customHeight="1" x14ac:dyDescent="0.2">
      <c r="A15" s="52"/>
      <c r="C15" s="158"/>
      <c r="D15" s="158"/>
      <c r="E15" s="158"/>
      <c r="F15" s="158"/>
      <c r="G15" s="158"/>
      <c r="H15" s="158"/>
      <c r="I15" s="158"/>
      <c r="J15" s="158"/>
      <c r="K15" s="158"/>
      <c r="M15" s="54"/>
    </row>
    <row r="16" spans="1:13" s="53" customFormat="1" ht="16" customHeight="1" x14ac:dyDescent="0.2">
      <c r="A16" s="52"/>
      <c r="C16" s="158"/>
      <c r="D16" s="158"/>
      <c r="E16" s="158"/>
      <c r="F16" s="158"/>
      <c r="G16" s="158"/>
      <c r="H16" s="158"/>
      <c r="I16" s="158"/>
      <c r="J16" s="158"/>
      <c r="K16" s="158"/>
      <c r="M16" s="54"/>
    </row>
    <row r="17" spans="1:13" s="53" customFormat="1" ht="16" customHeight="1" x14ac:dyDescent="0.2">
      <c r="A17" s="52"/>
      <c r="M17" s="54"/>
    </row>
    <row r="18" spans="1:13" s="53" customFormat="1" ht="16" customHeight="1" x14ac:dyDescent="0.25">
      <c r="A18" s="52"/>
      <c r="B18" s="56" t="s">
        <v>80</v>
      </c>
      <c r="M18" s="54"/>
    </row>
    <row r="19" spans="1:13" s="53" customFormat="1" ht="17" customHeight="1" x14ac:dyDescent="0.2">
      <c r="A19" s="52"/>
      <c r="C19" s="157" t="s">
        <v>125</v>
      </c>
      <c r="D19" s="158"/>
      <c r="E19" s="158"/>
      <c r="F19" s="158"/>
      <c r="G19" s="158"/>
      <c r="H19" s="158"/>
      <c r="I19" s="158"/>
      <c r="J19" s="158"/>
      <c r="K19" s="158"/>
      <c r="M19" s="54"/>
    </row>
    <row r="20" spans="1:13" s="53" customFormat="1" x14ac:dyDescent="0.2">
      <c r="A20" s="52"/>
      <c r="C20" s="158"/>
      <c r="D20" s="158"/>
      <c r="E20" s="158"/>
      <c r="F20" s="158"/>
      <c r="G20" s="158"/>
      <c r="H20" s="158"/>
      <c r="I20" s="158"/>
      <c r="J20" s="158"/>
      <c r="K20" s="158"/>
      <c r="M20" s="54"/>
    </row>
    <row r="21" spans="1:13" s="53" customFormat="1" x14ac:dyDescent="0.2">
      <c r="A21" s="52"/>
      <c r="C21" s="158"/>
      <c r="D21" s="158"/>
      <c r="E21" s="158"/>
      <c r="F21" s="158"/>
      <c r="G21" s="158"/>
      <c r="H21" s="158"/>
      <c r="I21" s="158"/>
      <c r="J21" s="158"/>
      <c r="K21" s="158"/>
      <c r="M21" s="54"/>
    </row>
    <row r="22" spans="1:13" s="53" customFormat="1" x14ac:dyDescent="0.2">
      <c r="A22" s="52"/>
      <c r="C22" s="158"/>
      <c r="D22" s="158"/>
      <c r="E22" s="158"/>
      <c r="F22" s="158"/>
      <c r="G22" s="158"/>
      <c r="H22" s="158"/>
      <c r="I22" s="158"/>
      <c r="J22" s="158"/>
      <c r="K22" s="158"/>
      <c r="M22" s="54"/>
    </row>
    <row r="23" spans="1:13" s="53" customFormat="1" x14ac:dyDescent="0.2">
      <c r="A23" s="52"/>
      <c r="C23" s="158"/>
      <c r="D23" s="158"/>
      <c r="E23" s="158"/>
      <c r="F23" s="158"/>
      <c r="G23" s="158"/>
      <c r="H23" s="158"/>
      <c r="I23" s="158"/>
      <c r="J23" s="158"/>
      <c r="K23" s="158"/>
      <c r="M23" s="54"/>
    </row>
    <row r="24" spans="1:13" s="53" customFormat="1" x14ac:dyDescent="0.2">
      <c r="A24" s="52"/>
      <c r="C24" s="158"/>
      <c r="D24" s="158"/>
      <c r="E24" s="158"/>
      <c r="F24" s="158"/>
      <c r="G24" s="158"/>
      <c r="H24" s="158"/>
      <c r="I24" s="158"/>
      <c r="J24" s="158"/>
      <c r="K24" s="158"/>
      <c r="M24" s="54"/>
    </row>
    <row r="25" spans="1:13" s="53" customFormat="1" x14ac:dyDescent="0.2">
      <c r="A25" s="52"/>
      <c r="C25" s="158"/>
      <c r="D25" s="158"/>
      <c r="E25" s="158"/>
      <c r="F25" s="158"/>
      <c r="G25" s="158"/>
      <c r="H25" s="158"/>
      <c r="I25" s="158"/>
      <c r="J25" s="158"/>
      <c r="K25" s="158"/>
      <c r="M25" s="54"/>
    </row>
    <row r="26" spans="1:13" s="53" customFormat="1" x14ac:dyDescent="0.2">
      <c r="A26" s="52"/>
      <c r="C26" s="158"/>
      <c r="D26" s="158"/>
      <c r="E26" s="158"/>
      <c r="F26" s="158"/>
      <c r="G26" s="158"/>
      <c r="H26" s="158"/>
      <c r="I26" s="158"/>
      <c r="J26" s="158"/>
      <c r="K26" s="158"/>
      <c r="M26" s="54"/>
    </row>
    <row r="27" spans="1:13" s="53" customFormat="1" x14ac:dyDescent="0.2">
      <c r="A27" s="52"/>
      <c r="C27" s="158"/>
      <c r="D27" s="158"/>
      <c r="E27" s="158"/>
      <c r="F27" s="158"/>
      <c r="G27" s="158"/>
      <c r="H27" s="158"/>
      <c r="I27" s="158"/>
      <c r="J27" s="158"/>
      <c r="K27" s="158"/>
      <c r="M27" s="54"/>
    </row>
    <row r="28" spans="1:13" s="53" customFormat="1" x14ac:dyDescent="0.2">
      <c r="A28" s="52"/>
      <c r="C28" s="158"/>
      <c r="D28" s="158"/>
      <c r="E28" s="158"/>
      <c r="F28" s="158"/>
      <c r="G28" s="158"/>
      <c r="H28" s="158"/>
      <c r="I28" s="158"/>
      <c r="J28" s="158"/>
      <c r="K28" s="158"/>
      <c r="M28" s="54"/>
    </row>
    <row r="29" spans="1:13" s="53" customFormat="1" x14ac:dyDescent="0.2">
      <c r="A29" s="52"/>
      <c r="C29" s="57"/>
      <c r="D29" s="57"/>
      <c r="E29" s="57"/>
      <c r="F29" s="57"/>
      <c r="G29" s="57"/>
      <c r="H29" s="57"/>
      <c r="I29" s="57"/>
      <c r="J29" s="57"/>
      <c r="K29" s="57"/>
      <c r="M29" s="54"/>
    </row>
    <row r="30" spans="1:13" s="53" customFormat="1" ht="19" x14ac:dyDescent="0.25">
      <c r="A30" s="52"/>
      <c r="C30" s="58" t="s">
        <v>81</v>
      </c>
      <c r="D30" s="57"/>
      <c r="E30" s="57"/>
      <c r="F30" s="57"/>
      <c r="G30" s="57"/>
      <c r="H30" s="57"/>
      <c r="I30" s="57"/>
      <c r="J30" s="57"/>
      <c r="K30" s="57"/>
      <c r="M30" s="54"/>
    </row>
    <row r="31" spans="1:13" s="53" customFormat="1" x14ac:dyDescent="0.2">
      <c r="A31" s="52"/>
      <c r="C31" s="157" t="s">
        <v>82</v>
      </c>
      <c r="D31" s="157"/>
      <c r="E31" s="157"/>
      <c r="F31" s="157"/>
      <c r="G31" s="157"/>
      <c r="H31" s="157"/>
      <c r="I31" s="157"/>
      <c r="J31" s="157"/>
      <c r="K31" s="157"/>
      <c r="M31" s="54"/>
    </row>
    <row r="32" spans="1:13" s="53" customFormat="1" x14ac:dyDescent="0.2">
      <c r="A32" s="52"/>
      <c r="C32" s="157"/>
      <c r="D32" s="157"/>
      <c r="E32" s="157"/>
      <c r="F32" s="157"/>
      <c r="G32" s="157"/>
      <c r="H32" s="157"/>
      <c r="I32" s="157"/>
      <c r="J32" s="157"/>
      <c r="K32" s="157"/>
      <c r="M32" s="54"/>
    </row>
    <row r="33" spans="1:13" s="53" customFormat="1" x14ac:dyDescent="0.2">
      <c r="A33" s="52"/>
      <c r="C33" s="157"/>
      <c r="D33" s="157"/>
      <c r="E33" s="157"/>
      <c r="F33" s="157"/>
      <c r="G33" s="157"/>
      <c r="H33" s="157"/>
      <c r="I33" s="157"/>
      <c r="J33" s="157"/>
      <c r="K33" s="157"/>
      <c r="M33" s="54"/>
    </row>
    <row r="34" spans="1:13" s="53" customFormat="1" x14ac:dyDescent="0.2">
      <c r="A34" s="52"/>
      <c r="C34" s="157"/>
      <c r="D34" s="157"/>
      <c r="E34" s="157"/>
      <c r="F34" s="157"/>
      <c r="G34" s="157"/>
      <c r="H34" s="157"/>
      <c r="I34" s="157"/>
      <c r="J34" s="157"/>
      <c r="K34" s="157"/>
      <c r="M34" s="54"/>
    </row>
    <row r="35" spans="1:13" s="53" customFormat="1" x14ac:dyDescent="0.2">
      <c r="A35" s="52"/>
      <c r="C35" s="157"/>
      <c r="D35" s="157"/>
      <c r="E35" s="157"/>
      <c r="F35" s="157"/>
      <c r="G35" s="157"/>
      <c r="H35" s="157"/>
      <c r="I35" s="157"/>
      <c r="J35" s="157"/>
      <c r="K35" s="157"/>
      <c r="M35" s="54"/>
    </row>
    <row r="36" spans="1:13" s="53" customFormat="1" x14ac:dyDescent="0.2">
      <c r="A36" s="52"/>
      <c r="C36" s="157"/>
      <c r="D36" s="157"/>
      <c r="E36" s="157"/>
      <c r="F36" s="157"/>
      <c r="G36" s="157"/>
      <c r="H36" s="157"/>
      <c r="I36" s="157"/>
      <c r="J36" s="157"/>
      <c r="K36" s="157"/>
      <c r="M36" s="54"/>
    </row>
    <row r="37" spans="1:13" s="53" customFormat="1" x14ac:dyDescent="0.2">
      <c r="A37" s="52"/>
      <c r="C37" s="157"/>
      <c r="D37" s="157"/>
      <c r="E37" s="157"/>
      <c r="F37" s="157"/>
      <c r="G37" s="157"/>
      <c r="H37" s="157"/>
      <c r="I37" s="157"/>
      <c r="J37" s="157"/>
      <c r="K37" s="157"/>
      <c r="M37" s="54"/>
    </row>
    <row r="38" spans="1:13" s="53" customFormat="1" x14ac:dyDescent="0.2">
      <c r="A38" s="52"/>
      <c r="C38" s="157"/>
      <c r="D38" s="157"/>
      <c r="E38" s="157"/>
      <c r="F38" s="157"/>
      <c r="G38" s="157"/>
      <c r="H38" s="157"/>
      <c r="I38" s="157"/>
      <c r="J38" s="157"/>
      <c r="K38" s="157"/>
      <c r="M38" s="54"/>
    </row>
    <row r="39" spans="1:13" s="53" customFormat="1" x14ac:dyDescent="0.2">
      <c r="A39" s="52"/>
      <c r="C39" s="157"/>
      <c r="D39" s="157"/>
      <c r="E39" s="157"/>
      <c r="F39" s="157"/>
      <c r="G39" s="157"/>
      <c r="H39" s="157"/>
      <c r="I39" s="157"/>
      <c r="J39" s="157"/>
      <c r="K39" s="157"/>
      <c r="M39" s="54"/>
    </row>
    <row r="40" spans="1:13" s="53" customFormat="1" x14ac:dyDescent="0.2">
      <c r="A40" s="52"/>
      <c r="C40" s="59"/>
      <c r="D40" s="59"/>
      <c r="E40" s="59"/>
      <c r="F40" s="59"/>
      <c r="G40" s="59"/>
      <c r="H40" s="59"/>
      <c r="I40" s="59"/>
      <c r="J40" s="59"/>
      <c r="K40" s="59"/>
      <c r="M40" s="54"/>
    </row>
    <row r="41" spans="1:13" s="53" customFormat="1" ht="21" x14ac:dyDescent="0.25">
      <c r="A41" s="52"/>
      <c r="B41" s="56" t="s">
        <v>83</v>
      </c>
      <c r="M41" s="54"/>
    </row>
    <row r="42" spans="1:13" s="53" customFormat="1" x14ac:dyDescent="0.2">
      <c r="A42" s="52"/>
      <c r="C42" s="159" t="s">
        <v>225</v>
      </c>
      <c r="D42" s="158"/>
      <c r="E42" s="158"/>
      <c r="F42" s="158"/>
      <c r="G42" s="158"/>
      <c r="H42" s="158"/>
      <c r="I42" s="158"/>
      <c r="J42" s="158"/>
      <c r="K42" s="158"/>
      <c r="M42" s="54"/>
    </row>
    <row r="43" spans="1:13" s="53" customFormat="1" x14ac:dyDescent="0.2">
      <c r="A43" s="52"/>
      <c r="C43" s="158"/>
      <c r="D43" s="158"/>
      <c r="E43" s="158"/>
      <c r="F43" s="158"/>
      <c r="G43" s="158"/>
      <c r="H43" s="158"/>
      <c r="I43" s="158"/>
      <c r="J43" s="158"/>
      <c r="K43" s="158"/>
      <c r="M43" s="54"/>
    </row>
    <row r="44" spans="1:13" s="53" customFormat="1" x14ac:dyDescent="0.2">
      <c r="A44" s="52"/>
      <c r="C44" s="158"/>
      <c r="D44" s="158"/>
      <c r="E44" s="158"/>
      <c r="F44" s="158"/>
      <c r="G44" s="158"/>
      <c r="H44" s="158"/>
      <c r="I44" s="158"/>
      <c r="J44" s="158"/>
      <c r="K44" s="158"/>
      <c r="M44" s="54"/>
    </row>
    <row r="45" spans="1:13" s="53" customFormat="1" x14ac:dyDescent="0.2">
      <c r="A45" s="52"/>
      <c r="C45" s="158"/>
      <c r="D45" s="158"/>
      <c r="E45" s="158"/>
      <c r="F45" s="158"/>
      <c r="G45" s="158"/>
      <c r="H45" s="158"/>
      <c r="I45" s="158"/>
      <c r="J45" s="158"/>
      <c r="K45" s="158"/>
      <c r="M45" s="54"/>
    </row>
    <row r="46" spans="1:13" s="53" customFormat="1" x14ac:dyDescent="0.2">
      <c r="A46" s="52"/>
      <c r="C46" s="158"/>
      <c r="D46" s="158"/>
      <c r="E46" s="158"/>
      <c r="F46" s="158"/>
      <c r="G46" s="158"/>
      <c r="H46" s="158"/>
      <c r="I46" s="158"/>
      <c r="J46" s="158"/>
      <c r="K46" s="158"/>
      <c r="M46" s="54"/>
    </row>
    <row r="47" spans="1:13" s="53" customFormat="1" x14ac:dyDescent="0.2">
      <c r="A47" s="52"/>
      <c r="C47" s="158"/>
      <c r="D47" s="158"/>
      <c r="E47" s="158"/>
      <c r="F47" s="158"/>
      <c r="G47" s="158"/>
      <c r="H47" s="158"/>
      <c r="I47" s="158"/>
      <c r="J47" s="158"/>
      <c r="K47" s="158"/>
      <c r="M47" s="54"/>
    </row>
    <row r="48" spans="1:13" s="53" customFormat="1" x14ac:dyDescent="0.2">
      <c r="A48" s="52"/>
      <c r="C48" s="158"/>
      <c r="D48" s="158"/>
      <c r="E48" s="158"/>
      <c r="F48" s="158"/>
      <c r="G48" s="158"/>
      <c r="H48" s="158"/>
      <c r="I48" s="158"/>
      <c r="J48" s="158"/>
      <c r="K48" s="158"/>
      <c r="M48" s="54"/>
    </row>
    <row r="49" spans="1:13" s="53" customFormat="1" x14ac:dyDescent="0.2">
      <c r="A49" s="52"/>
      <c r="C49" s="158"/>
      <c r="D49" s="158"/>
      <c r="E49" s="158"/>
      <c r="F49" s="158"/>
      <c r="G49" s="158"/>
      <c r="H49" s="158"/>
      <c r="I49" s="158"/>
      <c r="J49" s="158"/>
      <c r="K49" s="158"/>
      <c r="M49" s="54"/>
    </row>
    <row r="50" spans="1:13" s="53" customFormat="1" x14ac:dyDescent="0.2">
      <c r="A50" s="52"/>
      <c r="C50" s="158"/>
      <c r="D50" s="158"/>
      <c r="E50" s="158"/>
      <c r="F50" s="158"/>
      <c r="G50" s="158"/>
      <c r="H50" s="158"/>
      <c r="I50" s="158"/>
      <c r="J50" s="158"/>
      <c r="K50" s="158"/>
      <c r="M50" s="54"/>
    </row>
    <row r="51" spans="1:13" s="53" customFormat="1" x14ac:dyDescent="0.2">
      <c r="A51" s="52"/>
      <c r="C51" s="59"/>
      <c r="D51" s="59"/>
      <c r="E51" s="59"/>
      <c r="F51" s="59"/>
      <c r="G51" s="59"/>
      <c r="H51" s="59"/>
      <c r="I51" s="59"/>
      <c r="J51" s="59"/>
      <c r="K51" s="59"/>
      <c r="M51" s="54"/>
    </row>
    <row r="52" spans="1:13" ht="17" thickBot="1" x14ac:dyDescent="0.25">
      <c r="A52" s="60"/>
      <c r="B52" s="61"/>
      <c r="C52" s="61"/>
      <c r="D52" s="61"/>
      <c r="E52" s="61"/>
      <c r="F52" s="61"/>
      <c r="G52" s="61"/>
      <c r="H52" s="61"/>
      <c r="I52" s="61"/>
      <c r="J52" s="61"/>
      <c r="K52" s="61"/>
      <c r="L52" s="61"/>
      <c r="M52" s="62"/>
    </row>
  </sheetData>
  <mergeCells count="4">
    <mergeCell ref="C9:K16"/>
    <mergeCell ref="C19:K28"/>
    <mergeCell ref="C31:K39"/>
    <mergeCell ref="C42:K50"/>
  </mergeCells>
  <hyperlinks>
    <hyperlink ref="B6" r:id="rId1" xr:uid="{23FDC08F-0107-CF4F-A62E-29B67FD8058B}"/>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M191"/>
  <sheetViews>
    <sheetView zoomScaleNormal="100" workbookViewId="0"/>
  </sheetViews>
  <sheetFormatPr baseColWidth="10" defaultColWidth="10.83203125" defaultRowHeight="16" outlineLevelCol="1" x14ac:dyDescent="0.2"/>
  <cols>
    <col min="1" max="1" width="4.6640625" style="30" customWidth="1"/>
    <col min="2" max="3" width="10.83203125" style="30" customWidth="1"/>
    <col min="4" max="5" width="10.83203125" style="30"/>
    <col min="6" max="6" width="6.5" style="30" customWidth="1"/>
    <col min="7" max="10" width="10.83203125" style="30"/>
    <col min="11" max="11" width="11.5" style="30" bestFit="1" customWidth="1"/>
    <col min="12" max="12" width="13.6640625" style="30" hidden="1" customWidth="1" outlineLevel="1"/>
    <col min="13" max="14" width="10.83203125" style="30" hidden="1" customWidth="1" outlineLevel="1"/>
    <col min="15" max="16" width="0" style="30" hidden="1" customWidth="1" outlineLevel="1"/>
    <col min="17" max="17" width="10.83203125" style="30" collapsed="1"/>
    <col min="18" max="16384" width="10.83203125" style="30"/>
  </cols>
  <sheetData>
    <row r="1" spans="1:13" ht="19" x14ac:dyDescent="0.25">
      <c r="A1" s="1" t="s">
        <v>69</v>
      </c>
      <c r="B1" s="18"/>
      <c r="C1" s="27"/>
      <c r="D1" s="27"/>
      <c r="E1" s="27"/>
      <c r="F1" s="28"/>
      <c r="G1" s="28"/>
      <c r="H1" s="28"/>
      <c r="I1" s="28"/>
      <c r="J1" s="29"/>
      <c r="K1" s="3" t="s">
        <v>64</v>
      </c>
    </row>
    <row r="2" spans="1:13" x14ac:dyDescent="0.2">
      <c r="A2" s="2"/>
      <c r="B2" s="28"/>
      <c r="C2" s="28"/>
      <c r="D2" s="28"/>
      <c r="E2" s="28"/>
      <c r="F2" s="28"/>
      <c r="G2" s="28"/>
      <c r="H2" s="28"/>
      <c r="I2" s="28"/>
      <c r="J2" s="29"/>
      <c r="L2" s="30" t="s">
        <v>17</v>
      </c>
      <c r="M2" s="31">
        <f>1-1/$C$15</f>
        <v>0.67741935483870974</v>
      </c>
    </row>
    <row r="3" spans="1:13" x14ac:dyDescent="0.2">
      <c r="A3" s="2"/>
      <c r="B3" s="28" t="s">
        <v>6</v>
      </c>
      <c r="C3" s="28"/>
      <c r="D3" s="28"/>
      <c r="E3" s="28"/>
      <c r="F3" s="28"/>
      <c r="G3" s="28"/>
      <c r="H3" s="28"/>
      <c r="I3" s="28"/>
      <c r="J3" s="29"/>
    </row>
    <row r="4" spans="1:13" x14ac:dyDescent="0.2">
      <c r="A4" s="2"/>
      <c r="B4" s="28"/>
      <c r="C4" s="28"/>
      <c r="D4" s="28"/>
      <c r="E4" s="28"/>
      <c r="F4" s="28"/>
      <c r="G4" s="28"/>
      <c r="H4" s="28"/>
      <c r="I4" s="28"/>
      <c r="J4" s="29"/>
      <c r="L4" s="30" t="s">
        <v>18</v>
      </c>
      <c r="M4" s="32">
        <f>$C$10+$M$2*G10*D17</f>
        <v>4741.9354838709678</v>
      </c>
    </row>
    <row r="5" spans="1:13" x14ac:dyDescent="0.2">
      <c r="A5" s="2"/>
      <c r="B5" s="28"/>
      <c r="C5" s="6" t="s">
        <v>12</v>
      </c>
      <c r="D5" s="28"/>
      <c r="E5" s="28"/>
      <c r="F5" s="28"/>
      <c r="G5" s="28"/>
      <c r="H5" s="28"/>
      <c r="I5" s="28"/>
      <c r="J5" s="29"/>
    </row>
    <row r="6" spans="1:13" ht="17" thickBot="1" x14ac:dyDescent="0.25">
      <c r="A6" s="2"/>
      <c r="B6" s="165" t="s">
        <v>7</v>
      </c>
      <c r="C6" s="6"/>
      <c r="D6" s="28"/>
      <c r="E6" s="28"/>
      <c r="F6" s="28"/>
      <c r="G6" s="163" t="s">
        <v>11</v>
      </c>
      <c r="H6" s="28"/>
      <c r="I6" s="28"/>
      <c r="J6" s="29"/>
      <c r="L6" s="9"/>
      <c r="M6" s="10"/>
    </row>
    <row r="7" spans="1:13" ht="18" thickBot="1" x14ac:dyDescent="0.25">
      <c r="A7" s="2"/>
      <c r="B7" s="166"/>
      <c r="C7" s="19" t="s">
        <v>8</v>
      </c>
      <c r="D7" s="19" t="s">
        <v>9</v>
      </c>
      <c r="E7" s="19" t="s">
        <v>10</v>
      </c>
      <c r="F7" s="19"/>
      <c r="G7" s="164"/>
      <c r="H7" s="28"/>
      <c r="I7" s="28"/>
      <c r="J7" s="29"/>
      <c r="L7" s="42" t="s">
        <v>19</v>
      </c>
      <c r="M7" s="43">
        <f>$C$10+$M$2*M4</f>
        <v>5312.2788761706561</v>
      </c>
    </row>
    <row r="8" spans="1:13" x14ac:dyDescent="0.2">
      <c r="A8" s="2"/>
      <c r="B8" s="21">
        <v>2012</v>
      </c>
      <c r="C8" s="7">
        <v>800</v>
      </c>
      <c r="D8" s="8">
        <v>1700</v>
      </c>
      <c r="E8" s="8">
        <v>2550</v>
      </c>
      <c r="F8" s="7"/>
      <c r="G8" s="8">
        <v>4000</v>
      </c>
      <c r="H8" s="28"/>
      <c r="I8" s="28"/>
      <c r="J8" s="29"/>
    </row>
    <row r="9" spans="1:13" x14ac:dyDescent="0.2">
      <c r="A9" s="2"/>
      <c r="B9" s="21">
        <v>2013</v>
      </c>
      <c r="C9" s="8">
        <v>1700</v>
      </c>
      <c r="D9" s="8">
        <v>2800</v>
      </c>
      <c r="E9" s="7"/>
      <c r="F9" s="7"/>
      <c r="G9" s="8">
        <v>4600</v>
      </c>
      <c r="H9" s="28"/>
      <c r="I9" s="28"/>
      <c r="J9" s="29"/>
    </row>
    <row r="10" spans="1:13" ht="19" x14ac:dyDescent="0.25">
      <c r="A10" s="2"/>
      <c r="B10" s="21">
        <v>2014</v>
      </c>
      <c r="C10" s="8">
        <v>2100</v>
      </c>
      <c r="D10" s="7"/>
      <c r="E10" s="7"/>
      <c r="F10" s="7"/>
      <c r="G10" s="8">
        <v>5200</v>
      </c>
      <c r="H10" s="28"/>
      <c r="I10" s="28"/>
      <c r="J10" s="29"/>
      <c r="L10" s="3" t="s">
        <v>72</v>
      </c>
    </row>
    <row r="11" spans="1:13" x14ac:dyDescent="0.2">
      <c r="A11" s="2"/>
      <c r="B11" s="28"/>
      <c r="C11" s="28"/>
      <c r="D11" s="28"/>
      <c r="E11" s="28"/>
      <c r="F11" s="28"/>
      <c r="G11" s="28"/>
      <c r="H11" s="28"/>
      <c r="I11" s="28"/>
      <c r="J11" s="29"/>
      <c r="L11" s="41" t="s">
        <v>70</v>
      </c>
    </row>
    <row r="12" spans="1:13" x14ac:dyDescent="0.2">
      <c r="A12" s="2"/>
      <c r="B12" s="28"/>
      <c r="C12" s="28"/>
      <c r="D12" s="28"/>
      <c r="E12" s="28"/>
      <c r="F12" s="28"/>
      <c r="G12" s="28"/>
      <c r="H12" s="28"/>
      <c r="I12" s="28"/>
      <c r="J12" s="29"/>
    </row>
    <row r="13" spans="1:13" x14ac:dyDescent="0.2">
      <c r="A13" s="2"/>
      <c r="B13" s="28"/>
      <c r="C13" s="6" t="s">
        <v>66</v>
      </c>
      <c r="D13" s="28"/>
      <c r="E13" s="28"/>
      <c r="F13" s="28"/>
      <c r="G13" s="28"/>
      <c r="H13" s="28"/>
      <c r="I13" s="28"/>
      <c r="J13" s="29"/>
    </row>
    <row r="14" spans="1:13" ht="17" x14ac:dyDescent="0.2">
      <c r="A14" s="2"/>
      <c r="B14" s="28"/>
      <c r="C14" s="19" t="s">
        <v>13</v>
      </c>
      <c r="D14" s="19" t="s">
        <v>14</v>
      </c>
      <c r="E14" s="19" t="s">
        <v>15</v>
      </c>
      <c r="F14" s="28"/>
      <c r="G14" s="28"/>
      <c r="H14" s="28"/>
      <c r="I14" s="28"/>
      <c r="J14" s="29"/>
    </row>
    <row r="15" spans="1:13" x14ac:dyDescent="0.2">
      <c r="A15" s="2"/>
      <c r="B15" s="28"/>
      <c r="C15" s="7">
        <v>3.1</v>
      </c>
      <c r="D15" s="7">
        <v>1.7250000000000001</v>
      </c>
      <c r="E15" s="7">
        <v>1.1499999999999999</v>
      </c>
      <c r="F15" s="28"/>
      <c r="G15" s="28"/>
      <c r="H15" s="28"/>
      <c r="I15" s="28"/>
      <c r="J15" s="29"/>
    </row>
    <row r="16" spans="1:13" x14ac:dyDescent="0.2">
      <c r="A16" s="2"/>
      <c r="B16" s="28"/>
      <c r="C16" s="28"/>
      <c r="D16" s="28"/>
      <c r="E16" s="28"/>
      <c r="F16" s="28"/>
      <c r="G16" s="28"/>
      <c r="H16" s="28"/>
      <c r="I16" s="28"/>
      <c r="J16" s="29"/>
    </row>
    <row r="17" spans="1:12" x14ac:dyDescent="0.2">
      <c r="A17" s="2"/>
      <c r="B17" s="44" t="s">
        <v>73</v>
      </c>
      <c r="C17" s="28"/>
      <c r="D17" s="33">
        <v>0.75</v>
      </c>
      <c r="E17" s="28"/>
      <c r="F17" s="28"/>
      <c r="G17" s="28"/>
      <c r="H17" s="28"/>
      <c r="I17" s="28"/>
      <c r="J17" s="29"/>
    </row>
    <row r="18" spans="1:12" x14ac:dyDescent="0.2">
      <c r="A18" s="2"/>
      <c r="B18" s="28"/>
      <c r="C18" s="28"/>
      <c r="D18" s="28"/>
      <c r="E18" s="28"/>
      <c r="F18" s="28"/>
      <c r="G18" s="28"/>
      <c r="H18" s="28"/>
      <c r="I18" s="28"/>
      <c r="J18" s="29"/>
    </row>
    <row r="19" spans="1:12" x14ac:dyDescent="0.2">
      <c r="A19" s="2"/>
      <c r="B19" s="28"/>
      <c r="C19" s="28"/>
      <c r="D19" s="28"/>
      <c r="E19" s="28"/>
      <c r="F19" s="28"/>
      <c r="G19" s="28"/>
      <c r="H19" s="28"/>
      <c r="I19" s="28"/>
      <c r="J19" s="29"/>
    </row>
    <row r="20" spans="1:12" x14ac:dyDescent="0.2">
      <c r="A20" s="2"/>
      <c r="B20" s="28" t="s">
        <v>16</v>
      </c>
      <c r="C20" s="28"/>
      <c r="D20" s="28"/>
      <c r="E20" s="28"/>
      <c r="F20" s="28"/>
      <c r="G20" s="28"/>
      <c r="H20" s="28"/>
      <c r="I20" s="28"/>
      <c r="J20" s="29"/>
    </row>
    <row r="21" spans="1:12" ht="17" thickBot="1" x14ac:dyDescent="0.25">
      <c r="A21" s="2"/>
      <c r="B21" s="28"/>
      <c r="C21" s="28"/>
      <c r="D21" s="28"/>
      <c r="E21" s="28"/>
      <c r="F21" s="28"/>
      <c r="G21" s="28"/>
      <c r="H21" s="28"/>
      <c r="I21" s="28"/>
      <c r="J21" s="29"/>
    </row>
    <row r="22" spans="1:12" ht="17" thickBot="1" x14ac:dyDescent="0.25">
      <c r="A22" s="160" t="s">
        <v>63</v>
      </c>
      <c r="B22" s="161"/>
      <c r="C22" s="161"/>
      <c r="D22" s="161"/>
      <c r="E22" s="161"/>
      <c r="F22" s="161"/>
      <c r="G22" s="161"/>
      <c r="H22" s="161"/>
      <c r="I22" s="161"/>
      <c r="J22" s="162"/>
    </row>
    <row r="24" spans="1:12" ht="19" x14ac:dyDescent="0.25">
      <c r="A24" s="3"/>
    </row>
    <row r="25" spans="1:12" x14ac:dyDescent="0.2">
      <c r="A25" s="4"/>
      <c r="C25" s="34"/>
    </row>
    <row r="28" spans="1:12" x14ac:dyDescent="0.2">
      <c r="L28" s="5"/>
    </row>
    <row r="29" spans="1:12" x14ac:dyDescent="0.2">
      <c r="L29" s="5"/>
    </row>
    <row r="30" spans="1:12" x14ac:dyDescent="0.2">
      <c r="L30" s="5"/>
    </row>
    <row r="31" spans="1:12" x14ac:dyDescent="0.2">
      <c r="L31" s="5"/>
    </row>
    <row r="32" spans="1:12" x14ac:dyDescent="0.2">
      <c r="L32" s="5"/>
    </row>
    <row r="33" spans="1:12" x14ac:dyDescent="0.2">
      <c r="L33" s="5"/>
    </row>
    <row r="34" spans="1:12" x14ac:dyDescent="0.2">
      <c r="L34" s="5"/>
    </row>
    <row r="35" spans="1:12" x14ac:dyDescent="0.2">
      <c r="L35" s="5"/>
    </row>
    <row r="36" spans="1:12" x14ac:dyDescent="0.2">
      <c r="A36" s="4"/>
      <c r="C36" s="34"/>
      <c r="L36" s="5"/>
    </row>
    <row r="47" spans="1:12" x14ac:dyDescent="0.2">
      <c r="A47" s="4"/>
      <c r="C47" s="34"/>
    </row>
    <row r="49" spans="12:14" x14ac:dyDescent="0.2">
      <c r="M49" s="34"/>
    </row>
    <row r="50" spans="12:14" x14ac:dyDescent="0.2">
      <c r="L50" s="5"/>
      <c r="M50" s="5"/>
      <c r="N50" s="5"/>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M59" s="34"/>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M69" s="34"/>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M79" s="34"/>
    </row>
    <row r="80" spans="12:14" x14ac:dyDescent="0.2">
      <c r="L80" s="5"/>
      <c r="M80" s="5"/>
      <c r="N80" s="5"/>
    </row>
    <row r="81" spans="1:65" x14ac:dyDescent="0.2">
      <c r="L81" s="5"/>
      <c r="M81" s="5"/>
      <c r="N81" s="5"/>
    </row>
    <row r="82" spans="1:65" x14ac:dyDescent="0.2">
      <c r="L82" s="5"/>
      <c r="M82" s="5"/>
      <c r="N82" s="5"/>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A89" s="5"/>
      <c r="B89" s="5"/>
      <c r="C89" s="5"/>
      <c r="D89" s="5"/>
      <c r="E89" s="5"/>
      <c r="F89" s="5"/>
      <c r="G89" s="5"/>
      <c r="H89" s="5"/>
      <c r="I89" s="5"/>
      <c r="J89" s="5"/>
      <c r="M89" s="34"/>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sheetData>
  <mergeCells count="3">
    <mergeCell ref="A22:J22"/>
    <mergeCell ref="G6:G7"/>
    <mergeCell ref="B6:B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M193"/>
  <sheetViews>
    <sheetView zoomScaleNormal="100" workbookViewId="0"/>
  </sheetViews>
  <sheetFormatPr baseColWidth="10" defaultColWidth="10.83203125" defaultRowHeight="16" outlineLevelCol="1" x14ac:dyDescent="0.2"/>
  <cols>
    <col min="1" max="1" width="4.6640625" style="30" customWidth="1"/>
    <col min="2" max="4" width="10.83203125" style="30" customWidth="1"/>
    <col min="5" max="6" width="10.83203125" style="30"/>
    <col min="7" max="7" width="7.1640625" style="30" customWidth="1"/>
    <col min="8" max="10" width="10.83203125" style="30"/>
    <col min="11" max="11" width="11.5" style="30" bestFit="1" customWidth="1"/>
    <col min="12" max="12" width="10.83203125" style="30" hidden="1" customWidth="1" outlineLevel="1"/>
    <col min="13" max="13" width="14.1640625" style="30" hidden="1" customWidth="1" outlineLevel="1"/>
    <col min="14" max="14" width="11.83203125" style="30" hidden="1" customWidth="1" outlineLevel="1"/>
    <col min="15" max="18" width="10.83203125" style="30" hidden="1" customWidth="1" outlineLevel="1"/>
    <col min="19" max="19" width="10.83203125" style="30" collapsed="1"/>
    <col min="20" max="16384" width="10.83203125" style="30"/>
  </cols>
  <sheetData>
    <row r="1" spans="1:16" ht="19" x14ac:dyDescent="0.25">
      <c r="A1" s="1" t="s">
        <v>68</v>
      </c>
      <c r="B1" s="18"/>
      <c r="C1" s="27"/>
      <c r="D1" s="27"/>
      <c r="E1" s="27"/>
      <c r="F1" s="28"/>
      <c r="G1" s="28"/>
      <c r="H1" s="28"/>
      <c r="I1" s="28"/>
      <c r="J1" s="29"/>
      <c r="K1" s="3" t="s">
        <v>64</v>
      </c>
    </row>
    <row r="2" spans="1:16" x14ac:dyDescent="0.2">
      <c r="A2" s="2"/>
      <c r="B2" s="28"/>
      <c r="C2" s="28"/>
      <c r="D2" s="28"/>
      <c r="E2" s="28"/>
      <c r="F2" s="28"/>
      <c r="G2" s="28"/>
      <c r="H2" s="28"/>
      <c r="I2" s="28"/>
      <c r="J2" s="29"/>
      <c r="L2" s="9" t="s">
        <v>3</v>
      </c>
      <c r="N2" s="34"/>
    </row>
    <row r="3" spans="1:16" x14ac:dyDescent="0.2">
      <c r="A3" s="2"/>
      <c r="B3" s="28" t="s">
        <v>6</v>
      </c>
      <c r="C3" s="28"/>
      <c r="D3" s="28"/>
      <c r="E3" s="28"/>
      <c r="F3" s="28"/>
      <c r="G3" s="28"/>
      <c r="H3" s="28"/>
      <c r="I3" s="28"/>
      <c r="J3" s="29"/>
      <c r="M3" s="30" t="s">
        <v>25</v>
      </c>
    </row>
    <row r="4" spans="1:16" x14ac:dyDescent="0.2">
      <c r="A4" s="2"/>
      <c r="B4" s="28"/>
      <c r="C4" s="28"/>
      <c r="D4" s="28"/>
      <c r="E4" s="28"/>
      <c r="F4" s="28"/>
      <c r="G4" s="28"/>
      <c r="H4" s="28"/>
      <c r="I4" s="28"/>
      <c r="J4" s="29"/>
    </row>
    <row r="5" spans="1:16" ht="17" x14ac:dyDescent="0.2">
      <c r="A5" s="2"/>
      <c r="B5" s="28"/>
      <c r="C5" s="28"/>
      <c r="D5" s="167" t="s">
        <v>20</v>
      </c>
      <c r="E5" s="167"/>
      <c r="F5" s="167"/>
      <c r="G5" s="28"/>
      <c r="H5" s="28"/>
      <c r="I5" s="28"/>
      <c r="J5" s="29"/>
      <c r="M5" s="16"/>
      <c r="N5" s="40" t="s">
        <v>29</v>
      </c>
      <c r="O5" s="26" t="s">
        <v>26</v>
      </c>
      <c r="P5" s="26" t="s">
        <v>15</v>
      </c>
    </row>
    <row r="6" spans="1:16" ht="17" x14ac:dyDescent="0.2">
      <c r="A6" s="2"/>
      <c r="B6" s="28"/>
      <c r="C6" s="168" t="s">
        <v>7</v>
      </c>
      <c r="D6" s="25"/>
      <c r="E6" s="25"/>
      <c r="F6" s="25"/>
      <c r="G6" s="28"/>
      <c r="H6" s="163" t="s">
        <v>11</v>
      </c>
      <c r="I6" s="28"/>
      <c r="J6" s="29"/>
      <c r="M6" s="17" t="s">
        <v>27</v>
      </c>
      <c r="N6" s="14">
        <f>SUM(E8:E9)/SUM(D8:D9)</f>
        <v>1.9166666666666667</v>
      </c>
      <c r="O6" s="14">
        <f>F8/E8</f>
        <v>1.2159090909090908</v>
      </c>
      <c r="P6" s="13">
        <f>F13</f>
        <v>1.1000000000000001</v>
      </c>
    </row>
    <row r="7" spans="1:16" ht="17" x14ac:dyDescent="0.2">
      <c r="A7" s="2"/>
      <c r="B7" s="28"/>
      <c r="C7" s="169"/>
      <c r="D7" s="22" t="s">
        <v>8</v>
      </c>
      <c r="E7" s="22" t="s">
        <v>9</v>
      </c>
      <c r="F7" s="22" t="s">
        <v>10</v>
      </c>
      <c r="G7" s="22"/>
      <c r="H7" s="164"/>
      <c r="I7" s="28"/>
      <c r="J7" s="29"/>
      <c r="M7" s="17" t="s">
        <v>28</v>
      </c>
      <c r="N7" s="14">
        <f>O7*N6</f>
        <v>2.5635416666666666</v>
      </c>
      <c r="O7" s="14">
        <f>P7*O6</f>
        <v>1.3374999999999999</v>
      </c>
      <c r="P7" s="13">
        <f>P6</f>
        <v>1.1000000000000001</v>
      </c>
    </row>
    <row r="8" spans="1:16" ht="17" x14ac:dyDescent="0.2">
      <c r="A8" s="2"/>
      <c r="B8" s="28"/>
      <c r="C8" s="23">
        <v>2013</v>
      </c>
      <c r="D8" s="11">
        <v>18400</v>
      </c>
      <c r="E8" s="11">
        <v>35200</v>
      </c>
      <c r="F8" s="11">
        <v>42800</v>
      </c>
      <c r="G8" s="12"/>
      <c r="H8" s="8">
        <v>55000</v>
      </c>
      <c r="I8" s="28"/>
      <c r="J8" s="29"/>
      <c r="M8" s="17" t="s">
        <v>251</v>
      </c>
      <c r="N8" s="186">
        <f>1-1/N7</f>
        <v>0.60991466883380741</v>
      </c>
      <c r="O8" s="186">
        <f t="shared" ref="O8:P8" si="0">1-1/O7</f>
        <v>0.25233644859813076</v>
      </c>
      <c r="P8" s="186">
        <f t="shared" si="0"/>
        <v>9.0909090909090939E-2</v>
      </c>
    </row>
    <row r="9" spans="1:16" x14ac:dyDescent="0.2">
      <c r="A9" s="2"/>
      <c r="B9" s="28"/>
      <c r="C9" s="23">
        <v>2014</v>
      </c>
      <c r="D9" s="11">
        <v>17600</v>
      </c>
      <c r="E9" s="11">
        <v>33800</v>
      </c>
      <c r="F9" s="12"/>
      <c r="G9" s="12"/>
      <c r="H9" s="8">
        <v>57000</v>
      </c>
      <c r="I9" s="28"/>
      <c r="J9" s="29"/>
    </row>
    <row r="10" spans="1:16" ht="17" thickBot="1" x14ac:dyDescent="0.25">
      <c r="A10" s="2"/>
      <c r="B10" s="28"/>
      <c r="C10" s="23">
        <v>2015</v>
      </c>
      <c r="D10" s="11">
        <v>22400</v>
      </c>
      <c r="E10" s="12"/>
      <c r="F10" s="12"/>
      <c r="G10" s="12"/>
      <c r="H10" s="8">
        <v>59000</v>
      </c>
      <c r="I10" s="28"/>
      <c r="J10" s="29"/>
      <c r="M10" s="30" t="s">
        <v>31</v>
      </c>
      <c r="N10" s="32">
        <f>$D$10+N8*H10*F14</f>
        <v>52987.22064201544</v>
      </c>
    </row>
    <row r="11" spans="1:16" ht="17" thickBot="1" x14ac:dyDescent="0.25">
      <c r="A11" s="2"/>
      <c r="B11" s="28"/>
      <c r="C11" s="28"/>
      <c r="D11" s="28"/>
      <c r="E11" s="28"/>
      <c r="F11" s="28"/>
      <c r="G11" s="28"/>
      <c r="H11" s="28"/>
      <c r="I11" s="28"/>
      <c r="J11" s="29"/>
      <c r="M11" s="42" t="s">
        <v>30</v>
      </c>
      <c r="N11" s="43">
        <f>$D$10+N8*N10</f>
        <v>54717.683130298727</v>
      </c>
    </row>
    <row r="12" spans="1:16" x14ac:dyDescent="0.2">
      <c r="A12" s="2"/>
      <c r="B12" s="28"/>
      <c r="C12" s="28"/>
      <c r="D12" s="28"/>
      <c r="E12" s="28"/>
      <c r="F12" s="28"/>
      <c r="G12" s="28"/>
      <c r="H12" s="28"/>
      <c r="I12" s="28"/>
      <c r="J12" s="29"/>
    </row>
    <row r="13" spans="1:16" x14ac:dyDescent="0.2">
      <c r="A13" s="2"/>
      <c r="B13" s="44" t="s">
        <v>74</v>
      </c>
      <c r="C13" s="28"/>
      <c r="D13" s="28"/>
      <c r="E13" s="28"/>
      <c r="F13" s="38">
        <v>1.1000000000000001</v>
      </c>
      <c r="G13" s="28"/>
      <c r="H13" s="28"/>
      <c r="I13" s="28"/>
      <c r="J13" s="29"/>
    </row>
    <row r="14" spans="1:16" x14ac:dyDescent="0.2">
      <c r="A14" s="2"/>
      <c r="B14" s="44" t="s">
        <v>75</v>
      </c>
      <c r="C14" s="28"/>
      <c r="D14" s="28"/>
      <c r="E14" s="28"/>
      <c r="F14" s="39">
        <v>0.85</v>
      </c>
      <c r="G14" s="28"/>
      <c r="H14" s="28"/>
      <c r="I14" s="28"/>
      <c r="J14" s="29"/>
      <c r="L14" s="9" t="s">
        <v>4</v>
      </c>
      <c r="N14" s="34"/>
    </row>
    <row r="15" spans="1:16" x14ac:dyDescent="0.2">
      <c r="A15" s="2"/>
      <c r="B15" s="28"/>
      <c r="C15" s="28"/>
      <c r="D15" s="28"/>
      <c r="E15" s="28"/>
      <c r="F15" s="28"/>
      <c r="G15" s="28"/>
      <c r="H15" s="28"/>
      <c r="I15" s="28"/>
      <c r="J15" s="29"/>
      <c r="M15" s="30" t="s">
        <v>32</v>
      </c>
      <c r="N15" s="32">
        <f>D10*N7</f>
        <v>57423.333333333328</v>
      </c>
    </row>
    <row r="16" spans="1:16" x14ac:dyDescent="0.2">
      <c r="A16" s="2"/>
      <c r="B16" s="28"/>
      <c r="C16" s="28"/>
      <c r="D16" s="28"/>
      <c r="E16" s="28"/>
      <c r="F16" s="28"/>
      <c r="G16" s="28"/>
      <c r="H16" s="28"/>
      <c r="I16" s="28"/>
      <c r="J16" s="29"/>
      <c r="M16" s="30" t="s">
        <v>33</v>
      </c>
      <c r="N16" s="32">
        <f>H10*F14</f>
        <v>50150</v>
      </c>
      <c r="O16" s="30" t="s">
        <v>34</v>
      </c>
    </row>
    <row r="17" spans="1:18" x14ac:dyDescent="0.2">
      <c r="A17" s="28" t="s">
        <v>0</v>
      </c>
      <c r="B17" s="28" t="s">
        <v>21</v>
      </c>
      <c r="C17" s="28"/>
      <c r="D17" s="28"/>
      <c r="E17" s="28"/>
      <c r="F17" s="28"/>
      <c r="G17" s="28"/>
      <c r="H17" s="28"/>
      <c r="I17" s="28"/>
      <c r="J17" s="29"/>
    </row>
    <row r="18" spans="1:18" ht="17" thickBot="1" x14ac:dyDescent="0.25">
      <c r="A18" s="2"/>
      <c r="B18" s="28"/>
      <c r="C18" s="28"/>
      <c r="D18" s="28"/>
      <c r="E18" s="28"/>
      <c r="F18" s="28"/>
      <c r="G18" s="28"/>
      <c r="H18" s="28"/>
      <c r="I18" s="28"/>
      <c r="J18" s="29"/>
    </row>
    <row r="19" spans="1:18" ht="17" thickBot="1" x14ac:dyDescent="0.25">
      <c r="A19" s="28" t="s">
        <v>1</v>
      </c>
      <c r="B19" s="28" t="s">
        <v>24</v>
      </c>
      <c r="C19" s="28"/>
      <c r="D19" s="28"/>
      <c r="E19" s="28"/>
      <c r="F19" s="28"/>
      <c r="G19" s="28"/>
      <c r="H19" s="28"/>
      <c r="I19" s="28"/>
      <c r="J19" s="29"/>
      <c r="M19" s="42" t="s">
        <v>30</v>
      </c>
      <c r="N19" s="43">
        <f>(1-$N$8^2)*N15+$N$8^2*N16</f>
        <v>54717.683130298727</v>
      </c>
      <c r="O19" s="30" t="s">
        <v>36</v>
      </c>
    </row>
    <row r="20" spans="1:18" ht="17" thickBot="1" x14ac:dyDescent="0.25">
      <c r="A20" s="2"/>
      <c r="B20" s="28" t="s">
        <v>22</v>
      </c>
      <c r="C20" s="28"/>
      <c r="D20" s="28"/>
      <c r="E20" s="28"/>
      <c r="F20" s="28"/>
      <c r="G20" s="28"/>
      <c r="H20" s="28"/>
      <c r="I20" s="28"/>
      <c r="J20" s="29"/>
    </row>
    <row r="21" spans="1:18" ht="17" thickBot="1" x14ac:dyDescent="0.25">
      <c r="A21" s="2"/>
      <c r="B21" s="28" t="s">
        <v>23</v>
      </c>
      <c r="C21" s="28"/>
      <c r="D21" s="28"/>
      <c r="E21" s="28"/>
      <c r="F21" s="28"/>
      <c r="G21" s="28"/>
      <c r="H21" s="28"/>
      <c r="I21" s="28"/>
      <c r="J21" s="29"/>
      <c r="M21" s="42" t="s">
        <v>35</v>
      </c>
      <c r="N21" s="45"/>
      <c r="O21" s="46">
        <f>(1-N8^2)</f>
        <v>0.62800409674134705</v>
      </c>
    </row>
    <row r="22" spans="1:18" ht="17" thickBot="1" x14ac:dyDescent="0.25">
      <c r="A22" s="2"/>
      <c r="B22" s="28"/>
      <c r="C22" s="28"/>
      <c r="D22" s="28"/>
      <c r="E22" s="28"/>
      <c r="F22" s="28"/>
      <c r="G22" s="28"/>
      <c r="H22" s="28"/>
      <c r="I22" s="28"/>
      <c r="J22" s="29"/>
    </row>
    <row r="23" spans="1:18" ht="17" thickBot="1" x14ac:dyDescent="0.25">
      <c r="A23" s="160" t="s">
        <v>63</v>
      </c>
      <c r="B23" s="161"/>
      <c r="C23" s="161"/>
      <c r="D23" s="161"/>
      <c r="E23" s="161"/>
      <c r="F23" s="161"/>
      <c r="G23" s="161"/>
      <c r="H23" s="161"/>
      <c r="I23" s="161"/>
      <c r="J23" s="162"/>
    </row>
    <row r="24" spans="1:18" ht="19" x14ac:dyDescent="0.25">
      <c r="L24" s="3" t="s">
        <v>71</v>
      </c>
    </row>
    <row r="25" spans="1:18" ht="16" customHeight="1" x14ac:dyDescent="0.25">
      <c r="A25" s="3"/>
      <c r="L25" s="187" t="s">
        <v>76</v>
      </c>
      <c r="M25" s="170"/>
      <c r="N25" s="170"/>
      <c r="O25" s="170"/>
      <c r="P25" s="170"/>
      <c r="Q25" s="170"/>
      <c r="R25" s="170"/>
    </row>
    <row r="26" spans="1:18" x14ac:dyDescent="0.2">
      <c r="L26" s="170"/>
      <c r="M26" s="170"/>
      <c r="N26" s="170"/>
      <c r="O26" s="170"/>
      <c r="P26" s="170"/>
      <c r="Q26" s="170"/>
      <c r="R26" s="170"/>
    </row>
    <row r="27" spans="1:18" x14ac:dyDescent="0.2">
      <c r="L27" s="170"/>
      <c r="M27" s="170"/>
      <c r="N27" s="170"/>
      <c r="O27" s="170"/>
      <c r="P27" s="170"/>
      <c r="Q27" s="170"/>
      <c r="R27" s="170"/>
    </row>
    <row r="32" spans="1:18" ht="19" x14ac:dyDescent="0.25">
      <c r="L32" s="3" t="s">
        <v>72</v>
      </c>
    </row>
    <row r="33" spans="1:12" x14ac:dyDescent="0.2">
      <c r="L33" s="41" t="s">
        <v>70</v>
      </c>
    </row>
    <row r="34" spans="1:12" x14ac:dyDescent="0.2">
      <c r="L34" s="5"/>
    </row>
    <row r="35" spans="1:12" x14ac:dyDescent="0.2">
      <c r="L35" s="5"/>
    </row>
    <row r="36" spans="1:12" x14ac:dyDescent="0.2">
      <c r="L36" s="5"/>
    </row>
    <row r="37" spans="1:12" x14ac:dyDescent="0.2">
      <c r="L37" s="5"/>
    </row>
    <row r="38" spans="1:12" x14ac:dyDescent="0.2">
      <c r="L38" s="5"/>
    </row>
    <row r="48" spans="1:12" x14ac:dyDescent="0.2">
      <c r="A48" s="4"/>
      <c r="C48" s="34"/>
    </row>
    <row r="51" spans="12:14" x14ac:dyDescent="0.2">
      <c r="M51" s="34"/>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M61" s="34"/>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M71" s="34"/>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M81" s="34"/>
    </row>
    <row r="82" spans="1:65" x14ac:dyDescent="0.2">
      <c r="L82" s="5"/>
      <c r="M82" s="5"/>
      <c r="N82" s="5"/>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L89" s="5"/>
      <c r="M89" s="5"/>
      <c r="N89" s="5"/>
    </row>
    <row r="90" spans="1:65" x14ac:dyDescent="0.2">
      <c r="A90" s="5"/>
      <c r="B90" s="5"/>
      <c r="C90" s="5"/>
      <c r="D90" s="5"/>
      <c r="E90" s="5"/>
      <c r="F90" s="5"/>
      <c r="G90" s="5"/>
      <c r="H90" s="5"/>
      <c r="I90" s="5"/>
      <c r="J90" s="5"/>
      <c r="L90" s="5"/>
      <c r="M90" s="5"/>
      <c r="N90" s="5"/>
    </row>
    <row r="91" spans="1:65" x14ac:dyDescent="0.2">
      <c r="A91" s="5"/>
      <c r="B91" s="5"/>
      <c r="C91" s="5"/>
      <c r="D91" s="5"/>
      <c r="E91" s="5"/>
      <c r="F91" s="5"/>
      <c r="G91" s="5"/>
      <c r="H91" s="5"/>
      <c r="I91" s="5"/>
      <c r="J91" s="5"/>
      <c r="M91" s="34"/>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1:65" x14ac:dyDescent="0.2">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sheetData>
  <mergeCells count="5">
    <mergeCell ref="D5:F5"/>
    <mergeCell ref="A23:J23"/>
    <mergeCell ref="H6:H7"/>
    <mergeCell ref="C6:C7"/>
    <mergeCell ref="L25:R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206"/>
  <sheetViews>
    <sheetView zoomScaleNormal="100" workbookViewId="0"/>
  </sheetViews>
  <sheetFormatPr baseColWidth="10" defaultColWidth="10.83203125" defaultRowHeight="16" outlineLevelCol="1" x14ac:dyDescent="0.2"/>
  <cols>
    <col min="1" max="1" width="4.6640625" style="30" customWidth="1"/>
    <col min="2" max="2" width="10.83203125" style="30"/>
    <col min="3" max="3" width="10.83203125" style="30" customWidth="1"/>
    <col min="4" max="10" width="10.83203125" style="30"/>
    <col min="11" max="11" width="11.5" style="30" bestFit="1" customWidth="1"/>
    <col min="12" max="20" width="10.83203125" style="30" hidden="1" customWidth="1" outlineLevel="1"/>
    <col min="21" max="21" width="10.83203125" style="30" collapsed="1"/>
    <col min="22" max="16384" width="10.83203125" style="30"/>
  </cols>
  <sheetData>
    <row r="1" spans="1:20" ht="19" x14ac:dyDescent="0.25">
      <c r="A1" s="1" t="s">
        <v>67</v>
      </c>
      <c r="B1" s="18"/>
      <c r="C1" s="27"/>
      <c r="D1" s="27"/>
      <c r="E1" s="27"/>
      <c r="F1" s="28"/>
      <c r="G1" s="28"/>
      <c r="H1" s="28"/>
      <c r="I1" s="28"/>
      <c r="J1" s="29"/>
      <c r="K1" s="3" t="s">
        <v>64</v>
      </c>
    </row>
    <row r="2" spans="1:20" x14ac:dyDescent="0.2">
      <c r="A2" s="2"/>
      <c r="B2" s="28"/>
      <c r="C2" s="28"/>
      <c r="D2" s="28"/>
      <c r="E2" s="28"/>
      <c r="F2" s="28"/>
      <c r="G2" s="28"/>
      <c r="H2" s="28"/>
      <c r="I2" s="28"/>
      <c r="J2" s="29"/>
      <c r="L2" s="9" t="s">
        <v>3</v>
      </c>
      <c r="N2" s="34"/>
    </row>
    <row r="3" spans="1:20" ht="17" x14ac:dyDescent="0.2">
      <c r="A3" s="2"/>
      <c r="B3" s="28" t="s">
        <v>6</v>
      </c>
      <c r="C3" s="28"/>
      <c r="D3" s="28"/>
      <c r="E3" s="28"/>
      <c r="F3" s="28"/>
      <c r="G3" s="28"/>
      <c r="H3" s="28"/>
      <c r="I3" s="28"/>
      <c r="J3" s="29"/>
      <c r="M3" s="16" t="s">
        <v>50</v>
      </c>
      <c r="N3" s="173" t="s">
        <v>51</v>
      </c>
      <c r="O3" s="173"/>
    </row>
    <row r="4" spans="1:20" x14ac:dyDescent="0.2">
      <c r="A4" s="2"/>
      <c r="B4" s="28"/>
      <c r="C4" s="28"/>
      <c r="D4" s="28"/>
      <c r="E4" s="28"/>
      <c r="F4" s="28"/>
      <c r="G4" s="28"/>
      <c r="H4" s="28"/>
      <c r="I4" s="28"/>
      <c r="J4" s="29"/>
      <c r="M4" s="17">
        <v>2014</v>
      </c>
      <c r="N4" s="172" t="s">
        <v>52</v>
      </c>
      <c r="O4" s="172"/>
    </row>
    <row r="5" spans="1:20" x14ac:dyDescent="0.2">
      <c r="A5" s="2"/>
      <c r="B5" s="28"/>
      <c r="C5" s="167" t="s">
        <v>45</v>
      </c>
      <c r="D5" s="167"/>
      <c r="E5" s="167"/>
      <c r="F5" s="167"/>
      <c r="G5" s="167"/>
      <c r="H5" s="28"/>
      <c r="I5" s="28"/>
      <c r="J5" s="29"/>
      <c r="M5" s="17">
        <v>2015</v>
      </c>
      <c r="N5" s="172" t="s">
        <v>52</v>
      </c>
      <c r="O5" s="172"/>
    </row>
    <row r="6" spans="1:20" x14ac:dyDescent="0.2">
      <c r="A6" s="2"/>
      <c r="B6" s="28"/>
      <c r="C6" s="176" t="s">
        <v>7</v>
      </c>
      <c r="D6" s="25"/>
      <c r="E6" s="25"/>
      <c r="F6" s="25"/>
      <c r="G6" s="25"/>
      <c r="H6" s="174" t="s">
        <v>11</v>
      </c>
      <c r="I6" s="28"/>
      <c r="J6" s="29"/>
      <c r="M6" s="17">
        <v>2016</v>
      </c>
      <c r="N6" s="172" t="s">
        <v>53</v>
      </c>
      <c r="O6" s="172"/>
    </row>
    <row r="7" spans="1:20" ht="17" x14ac:dyDescent="0.2">
      <c r="A7" s="2"/>
      <c r="B7" s="28"/>
      <c r="C7" s="177"/>
      <c r="D7" s="24" t="s">
        <v>8</v>
      </c>
      <c r="E7" s="24" t="s">
        <v>9</v>
      </c>
      <c r="F7" s="24" t="s">
        <v>10</v>
      </c>
      <c r="G7" s="24"/>
      <c r="H7" s="175"/>
      <c r="I7" s="28"/>
      <c r="J7" s="29"/>
    </row>
    <row r="8" spans="1:20" x14ac:dyDescent="0.2">
      <c r="A8" s="2"/>
      <c r="B8" s="28"/>
      <c r="C8" s="21">
        <v>2014</v>
      </c>
      <c r="D8" s="8">
        <v>2800</v>
      </c>
      <c r="E8" s="8">
        <v>5600</v>
      </c>
      <c r="F8" s="8">
        <v>6700</v>
      </c>
      <c r="G8" s="7"/>
      <c r="H8" s="8">
        <v>12000</v>
      </c>
      <c r="I8" s="28"/>
      <c r="J8" s="29"/>
      <c r="M8" s="171" t="s">
        <v>65</v>
      </c>
      <c r="N8" s="171"/>
      <c r="O8" s="171"/>
      <c r="P8" s="171"/>
      <c r="Q8" s="171"/>
      <c r="R8" s="171"/>
      <c r="S8" s="171"/>
      <c r="T8" s="171"/>
    </row>
    <row r="9" spans="1:20" x14ac:dyDescent="0.2">
      <c r="A9" s="2"/>
      <c r="B9" s="28"/>
      <c r="C9" s="21">
        <v>2015</v>
      </c>
      <c r="D9" s="8">
        <v>3250</v>
      </c>
      <c r="E9" s="8">
        <v>5950</v>
      </c>
      <c r="F9" s="7"/>
      <c r="G9" s="7"/>
      <c r="H9" s="8">
        <v>12500</v>
      </c>
      <c r="I9" s="28"/>
      <c r="J9" s="29"/>
      <c r="M9" s="171"/>
      <c r="N9" s="171"/>
      <c r="O9" s="171"/>
      <c r="P9" s="171"/>
      <c r="Q9" s="171"/>
      <c r="R9" s="171"/>
      <c r="S9" s="171"/>
      <c r="T9" s="171"/>
    </row>
    <row r="10" spans="1:20" x14ac:dyDescent="0.2">
      <c r="A10" s="2"/>
      <c r="B10" s="28"/>
      <c r="C10" s="21">
        <v>2016</v>
      </c>
      <c r="D10" s="8">
        <v>2980</v>
      </c>
      <c r="E10" s="7"/>
      <c r="F10" s="7"/>
      <c r="G10" s="7"/>
      <c r="H10" s="8">
        <v>12750</v>
      </c>
      <c r="I10" s="28"/>
      <c r="J10" s="29"/>
      <c r="M10" s="171"/>
      <c r="N10" s="171"/>
      <c r="O10" s="171"/>
      <c r="P10" s="171"/>
      <c r="Q10" s="171"/>
      <c r="R10" s="171"/>
      <c r="S10" s="171"/>
      <c r="T10" s="171"/>
    </row>
    <row r="11" spans="1:20" x14ac:dyDescent="0.2">
      <c r="A11" s="2"/>
      <c r="B11" s="28"/>
      <c r="C11" s="28"/>
      <c r="D11" s="28"/>
      <c r="E11" s="28"/>
      <c r="F11" s="28"/>
      <c r="G11" s="28"/>
      <c r="H11" s="28"/>
      <c r="I11" s="28"/>
      <c r="J11" s="29"/>
    </row>
    <row r="12" spans="1:20" x14ac:dyDescent="0.2">
      <c r="A12" s="2"/>
      <c r="B12" s="28"/>
      <c r="C12" s="167" t="s">
        <v>44</v>
      </c>
      <c r="D12" s="167"/>
      <c r="E12" s="167"/>
      <c r="F12" s="167"/>
      <c r="G12" s="167"/>
      <c r="H12" s="28"/>
      <c r="I12" s="28"/>
      <c r="J12" s="29"/>
    </row>
    <row r="13" spans="1:20" ht="17" x14ac:dyDescent="0.2">
      <c r="A13" s="2"/>
      <c r="B13" s="28"/>
      <c r="C13" s="20"/>
      <c r="D13" s="19" t="s">
        <v>8</v>
      </c>
      <c r="E13" s="19" t="s">
        <v>9</v>
      </c>
      <c r="F13" s="19" t="s">
        <v>10</v>
      </c>
      <c r="G13" s="19" t="s">
        <v>37</v>
      </c>
      <c r="H13" s="28"/>
      <c r="I13" s="28"/>
      <c r="J13" s="29"/>
      <c r="L13" s="9" t="s">
        <v>4</v>
      </c>
      <c r="N13" s="34"/>
    </row>
    <row r="14" spans="1:20" ht="17" x14ac:dyDescent="0.2">
      <c r="A14" s="2"/>
      <c r="B14" s="28"/>
      <c r="C14" s="21" t="s">
        <v>38</v>
      </c>
      <c r="D14" s="15">
        <v>0.34</v>
      </c>
      <c r="E14" s="15">
        <v>0.65</v>
      </c>
      <c r="F14" s="15">
        <v>0.75</v>
      </c>
      <c r="G14" s="15">
        <v>0.83</v>
      </c>
      <c r="H14" s="28"/>
      <c r="I14" s="28"/>
      <c r="J14" s="29"/>
      <c r="M14" s="156" t="s">
        <v>248</v>
      </c>
    </row>
    <row r="15" spans="1:20" x14ac:dyDescent="0.2">
      <c r="A15" s="2"/>
      <c r="B15" s="28"/>
      <c r="C15" s="28"/>
      <c r="D15" s="28"/>
      <c r="E15" s="28"/>
      <c r="F15" s="28"/>
      <c r="G15" s="28"/>
      <c r="H15" s="28"/>
      <c r="I15" s="28"/>
      <c r="J15" s="29"/>
      <c r="M15" s="35" t="s">
        <v>54</v>
      </c>
    </row>
    <row r="16" spans="1:20" x14ac:dyDescent="0.2">
      <c r="A16" s="2"/>
      <c r="B16" s="28"/>
      <c r="C16" s="167" t="s">
        <v>43</v>
      </c>
      <c r="D16" s="167"/>
      <c r="E16" s="167"/>
      <c r="F16" s="167"/>
      <c r="G16" s="28"/>
      <c r="H16" s="28"/>
      <c r="I16" s="28"/>
      <c r="J16" s="29"/>
    </row>
    <row r="17" spans="1:20" x14ac:dyDescent="0.2">
      <c r="A17" s="2"/>
      <c r="B17" s="28"/>
      <c r="C17" s="176" t="s">
        <v>7</v>
      </c>
      <c r="D17" s="163" t="s">
        <v>39</v>
      </c>
      <c r="E17" s="25"/>
      <c r="F17" s="163" t="s">
        <v>41</v>
      </c>
      <c r="G17" s="28"/>
      <c r="H17" s="28"/>
      <c r="I17" s="28"/>
      <c r="J17" s="29"/>
      <c r="M17" s="36" t="s">
        <v>55</v>
      </c>
      <c r="N17" s="37">
        <f>($E$22-$D$10)/(1-$D$14)</f>
        <v>8871.2121212121219</v>
      </c>
    </row>
    <row r="18" spans="1:20" x14ac:dyDescent="0.2">
      <c r="A18" s="2"/>
      <c r="B18" s="28"/>
      <c r="C18" s="176"/>
      <c r="D18" s="163"/>
      <c r="E18" s="174" t="s">
        <v>40</v>
      </c>
      <c r="F18" s="163"/>
      <c r="G18" s="28"/>
      <c r="H18" s="28"/>
      <c r="I18" s="28"/>
      <c r="J18" s="29"/>
    </row>
    <row r="19" spans="1:20" x14ac:dyDescent="0.2">
      <c r="A19" s="2"/>
      <c r="B19" s="28"/>
      <c r="C19" s="177"/>
      <c r="D19" s="164"/>
      <c r="E19" s="175"/>
      <c r="F19" s="164"/>
      <c r="G19" s="28"/>
      <c r="H19" s="28"/>
      <c r="I19" s="28"/>
      <c r="J19" s="29"/>
      <c r="M19" s="156" t="s">
        <v>249</v>
      </c>
    </row>
    <row r="20" spans="1:20" ht="17" x14ac:dyDescent="0.2">
      <c r="A20" s="2"/>
      <c r="B20" s="28"/>
      <c r="C20" s="21">
        <v>2014</v>
      </c>
      <c r="D20" s="8">
        <v>8933</v>
      </c>
      <c r="E20" s="8">
        <v>8915</v>
      </c>
      <c r="F20" s="7" t="s">
        <v>42</v>
      </c>
      <c r="G20" s="28"/>
      <c r="H20" s="28"/>
      <c r="I20" s="28"/>
      <c r="J20" s="29"/>
    </row>
    <row r="21" spans="1:20" ht="17" x14ac:dyDescent="0.2">
      <c r="A21" s="2"/>
      <c r="B21" s="28"/>
      <c r="C21" s="21">
        <v>2015</v>
      </c>
      <c r="D21" s="8">
        <v>9154</v>
      </c>
      <c r="E21" s="8">
        <v>9074</v>
      </c>
      <c r="F21" s="7" t="s">
        <v>42</v>
      </c>
      <c r="G21" s="28"/>
      <c r="H21" s="28"/>
      <c r="I21" s="28"/>
      <c r="J21" s="29"/>
      <c r="M21" s="30" t="s">
        <v>56</v>
      </c>
      <c r="N21" s="32">
        <f>($N$17-$D$10)/(1-$D$14)</f>
        <v>8926.0789715335195</v>
      </c>
    </row>
    <row r="22" spans="1:20" ht="17" x14ac:dyDescent="0.2">
      <c r="A22" s="2"/>
      <c r="B22" s="28"/>
      <c r="C22" s="21">
        <v>2016</v>
      </c>
      <c r="D22" s="8">
        <v>8765</v>
      </c>
      <c r="E22" s="8">
        <v>8835</v>
      </c>
      <c r="F22" s="7" t="s">
        <v>42</v>
      </c>
      <c r="G22" s="28"/>
      <c r="H22" s="28"/>
      <c r="I22" s="28"/>
      <c r="J22" s="29"/>
    </row>
    <row r="23" spans="1:20" x14ac:dyDescent="0.2">
      <c r="A23" s="2"/>
      <c r="B23" s="28"/>
      <c r="C23" s="28"/>
      <c r="D23" s="28"/>
      <c r="E23" s="28"/>
      <c r="F23" s="28"/>
      <c r="G23" s="28"/>
      <c r="H23" s="28"/>
      <c r="I23" s="28"/>
      <c r="J23" s="29"/>
      <c r="M23" s="30" t="s">
        <v>57</v>
      </c>
    </row>
    <row r="24" spans="1:20" ht="17" thickBot="1" x14ac:dyDescent="0.25">
      <c r="A24" s="2"/>
      <c r="B24" s="28"/>
      <c r="C24" s="28"/>
      <c r="D24" s="28"/>
      <c r="E24" s="28"/>
      <c r="F24" s="28"/>
      <c r="G24" s="28"/>
      <c r="H24" s="28"/>
      <c r="I24" s="28"/>
      <c r="J24" s="29"/>
    </row>
    <row r="25" spans="1:20" ht="17" thickBot="1" x14ac:dyDescent="0.25">
      <c r="A25" s="28" t="s">
        <v>0</v>
      </c>
      <c r="B25" s="28" t="s">
        <v>47</v>
      </c>
      <c r="C25" s="28"/>
      <c r="D25" s="28"/>
      <c r="E25" s="28"/>
      <c r="F25" s="28"/>
      <c r="G25" s="28"/>
      <c r="H25" s="28"/>
      <c r="I25" s="28"/>
      <c r="J25" s="29"/>
      <c r="M25" s="42" t="s">
        <v>58</v>
      </c>
      <c r="N25" s="46">
        <f>N21/H10</f>
        <v>0.70008462521831527</v>
      </c>
    </row>
    <row r="26" spans="1:20" x14ac:dyDescent="0.2">
      <c r="A26" s="2"/>
      <c r="B26" s="28" t="s">
        <v>46</v>
      </c>
      <c r="C26" s="28"/>
      <c r="D26" s="28"/>
      <c r="E26" s="28"/>
      <c r="F26" s="28"/>
      <c r="G26" s="28"/>
      <c r="H26" s="28"/>
      <c r="I26" s="28"/>
      <c r="J26" s="29"/>
    </row>
    <row r="27" spans="1:20" x14ac:dyDescent="0.2">
      <c r="A27" s="2"/>
      <c r="B27" s="28"/>
      <c r="C27" s="28"/>
      <c r="D27" s="28"/>
      <c r="E27" s="28"/>
      <c r="F27" s="28"/>
      <c r="G27" s="28"/>
      <c r="H27" s="28"/>
      <c r="I27" s="28"/>
      <c r="J27" s="29"/>
      <c r="L27" s="9" t="s">
        <v>5</v>
      </c>
      <c r="N27" s="34"/>
    </row>
    <row r="28" spans="1:20" x14ac:dyDescent="0.2">
      <c r="A28" s="28" t="s">
        <v>1</v>
      </c>
      <c r="B28" s="28" t="s">
        <v>49</v>
      </c>
      <c r="C28" s="28"/>
      <c r="D28" s="28"/>
      <c r="E28" s="28"/>
      <c r="F28" s="28"/>
      <c r="G28" s="28"/>
      <c r="H28" s="28"/>
      <c r="I28" s="28"/>
      <c r="J28" s="29"/>
      <c r="M28" s="9" t="s">
        <v>59</v>
      </c>
    </row>
    <row r="29" spans="1:20" x14ac:dyDescent="0.2">
      <c r="A29" s="2"/>
      <c r="B29" s="28"/>
      <c r="C29" s="28"/>
      <c r="D29" s="28"/>
      <c r="E29" s="28"/>
      <c r="F29" s="28"/>
      <c r="G29" s="28"/>
      <c r="H29" s="28"/>
      <c r="I29" s="28"/>
      <c r="J29" s="29"/>
      <c r="M29" s="171" t="s">
        <v>61</v>
      </c>
      <c r="N29" s="171"/>
      <c r="O29" s="171"/>
      <c r="P29" s="171"/>
      <c r="Q29" s="171"/>
      <c r="R29" s="171"/>
      <c r="S29" s="171"/>
      <c r="T29" s="171"/>
    </row>
    <row r="30" spans="1:20" x14ac:dyDescent="0.2">
      <c r="A30" s="28" t="s">
        <v>2</v>
      </c>
      <c r="B30" s="28" t="s">
        <v>48</v>
      </c>
      <c r="C30" s="28"/>
      <c r="D30" s="28"/>
      <c r="E30" s="28"/>
      <c r="F30" s="28"/>
      <c r="G30" s="28"/>
      <c r="H30" s="28"/>
      <c r="I30" s="28"/>
      <c r="J30" s="29"/>
      <c r="M30" s="171"/>
      <c r="N30" s="171"/>
      <c r="O30" s="171"/>
      <c r="P30" s="171"/>
      <c r="Q30" s="171"/>
      <c r="R30" s="171"/>
      <c r="S30" s="171"/>
      <c r="T30" s="171"/>
    </row>
    <row r="31" spans="1:20" ht="17" thickBot="1" x14ac:dyDescent="0.25">
      <c r="A31" s="2"/>
      <c r="B31" s="28"/>
      <c r="C31" s="28"/>
      <c r="D31" s="28"/>
      <c r="E31" s="28"/>
      <c r="F31" s="28"/>
      <c r="G31" s="28"/>
      <c r="H31" s="28"/>
      <c r="I31" s="28"/>
      <c r="J31" s="29"/>
    </row>
    <row r="32" spans="1:20" ht="17" thickBot="1" x14ac:dyDescent="0.25">
      <c r="A32" s="160" t="s">
        <v>63</v>
      </c>
      <c r="B32" s="161"/>
      <c r="C32" s="161"/>
      <c r="D32" s="161"/>
      <c r="E32" s="161"/>
      <c r="F32" s="161"/>
      <c r="G32" s="161"/>
      <c r="H32" s="161"/>
      <c r="I32" s="161"/>
      <c r="J32" s="162"/>
      <c r="M32" s="9" t="s">
        <v>60</v>
      </c>
    </row>
    <row r="33" spans="1:13" x14ac:dyDescent="0.2">
      <c r="M33" s="30" t="s">
        <v>62</v>
      </c>
    </row>
    <row r="34" spans="1:13" s="34" customFormat="1" ht="19" x14ac:dyDescent="0.25">
      <c r="A34" s="3"/>
      <c r="B34" s="30"/>
      <c r="C34" s="30"/>
      <c r="D34" s="30"/>
      <c r="E34" s="30"/>
      <c r="F34" s="30"/>
      <c r="G34" s="30"/>
      <c r="H34" s="30"/>
      <c r="I34" s="30"/>
      <c r="J34" s="30"/>
    </row>
    <row r="36" spans="1:13" ht="19" x14ac:dyDescent="0.25">
      <c r="L36" s="3" t="s">
        <v>71</v>
      </c>
    </row>
    <row r="37" spans="1:13" x14ac:dyDescent="0.2">
      <c r="L37" s="156" t="s">
        <v>250</v>
      </c>
    </row>
    <row r="39" spans="1:13" ht="19" customHeight="1" x14ac:dyDescent="0.25">
      <c r="L39" s="3" t="s">
        <v>72</v>
      </c>
    </row>
    <row r="40" spans="1:13" x14ac:dyDescent="0.2">
      <c r="L40" s="41" t="s">
        <v>70</v>
      </c>
    </row>
    <row r="41" spans="1:13" x14ac:dyDescent="0.2">
      <c r="L41" s="5"/>
    </row>
    <row r="42" spans="1:13" x14ac:dyDescent="0.2">
      <c r="L42" s="5"/>
    </row>
    <row r="43" spans="1:13" x14ac:dyDescent="0.2">
      <c r="L43" s="5"/>
    </row>
    <row r="46" spans="1:13" x14ac:dyDescent="0.2">
      <c r="L46" s="5"/>
    </row>
    <row r="47" spans="1:13" x14ac:dyDescent="0.2">
      <c r="L47" s="5"/>
    </row>
    <row r="48" spans="1:13" x14ac:dyDescent="0.2">
      <c r="L48" s="5"/>
    </row>
    <row r="64" spans="13:13" x14ac:dyDescent="0.2">
      <c r="M64" s="34"/>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M74" s="34"/>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2:14" x14ac:dyDescent="0.2">
      <c r="L81" s="5"/>
      <c r="M81" s="5"/>
      <c r="N81" s="5"/>
    </row>
    <row r="82" spans="12:14" x14ac:dyDescent="0.2">
      <c r="L82" s="5"/>
      <c r="M82" s="5"/>
      <c r="N82" s="5"/>
    </row>
    <row r="83" spans="12:14" x14ac:dyDescent="0.2">
      <c r="L83" s="5"/>
      <c r="M83" s="5"/>
      <c r="N83" s="5"/>
    </row>
    <row r="84" spans="12:14" x14ac:dyDescent="0.2">
      <c r="M84" s="34"/>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L89" s="5"/>
      <c r="M89" s="5"/>
      <c r="N89" s="5"/>
    </row>
    <row r="90" spans="12:14" x14ac:dyDescent="0.2">
      <c r="L90" s="5"/>
      <c r="M90" s="5"/>
      <c r="N90" s="5"/>
    </row>
    <row r="91" spans="12:14" x14ac:dyDescent="0.2">
      <c r="L91" s="5"/>
      <c r="M91" s="5"/>
      <c r="N91" s="5"/>
    </row>
    <row r="92" spans="12:14" x14ac:dyDescent="0.2">
      <c r="L92" s="5"/>
      <c r="M92" s="5"/>
      <c r="N92" s="5"/>
    </row>
    <row r="93" spans="12:14" x14ac:dyDescent="0.2">
      <c r="L93" s="5"/>
      <c r="M93" s="5"/>
      <c r="N93" s="5"/>
    </row>
    <row r="94" spans="12:14" x14ac:dyDescent="0.2">
      <c r="M94" s="34"/>
    </row>
    <row r="95" spans="12:14" x14ac:dyDescent="0.2">
      <c r="L95" s="5"/>
      <c r="M95" s="5"/>
      <c r="N95" s="5"/>
    </row>
    <row r="96" spans="12:14" x14ac:dyDescent="0.2">
      <c r="L96" s="5"/>
      <c r="M96" s="5"/>
      <c r="N96" s="5"/>
    </row>
    <row r="97" spans="1:65" x14ac:dyDescent="0.2">
      <c r="L97" s="5"/>
      <c r="M97" s="5"/>
      <c r="N97" s="5"/>
    </row>
    <row r="98" spans="1:65" x14ac:dyDescent="0.2">
      <c r="L98" s="5"/>
      <c r="M98" s="5"/>
      <c r="N98" s="5"/>
    </row>
    <row r="99" spans="1:65" x14ac:dyDescent="0.2">
      <c r="L99" s="5"/>
      <c r="M99" s="5"/>
      <c r="N99" s="5"/>
    </row>
    <row r="100" spans="1:65" x14ac:dyDescent="0.2">
      <c r="L100" s="5"/>
      <c r="M100" s="5"/>
      <c r="N100" s="5"/>
    </row>
    <row r="101" spans="1:65" x14ac:dyDescent="0.2">
      <c r="L101" s="5"/>
      <c r="M101" s="5"/>
      <c r="N101" s="5"/>
    </row>
    <row r="102" spans="1:65" x14ac:dyDescent="0.2">
      <c r="A102" s="5"/>
      <c r="B102" s="5"/>
      <c r="C102" s="5"/>
      <c r="D102" s="5"/>
      <c r="E102" s="5"/>
      <c r="F102" s="5"/>
      <c r="G102" s="5"/>
      <c r="H102" s="5"/>
      <c r="I102" s="5"/>
      <c r="J102" s="5"/>
      <c r="L102" s="5"/>
      <c r="M102" s="5"/>
      <c r="N102" s="5"/>
    </row>
    <row r="103" spans="1:65" x14ac:dyDescent="0.2">
      <c r="A103" s="5"/>
      <c r="B103" s="5"/>
      <c r="C103" s="5"/>
      <c r="D103" s="5"/>
      <c r="E103" s="5"/>
      <c r="F103" s="5"/>
      <c r="G103" s="5"/>
      <c r="H103" s="5"/>
      <c r="I103" s="5"/>
      <c r="J103" s="5"/>
      <c r="L103" s="5"/>
      <c r="M103" s="5"/>
      <c r="N103" s="5"/>
    </row>
    <row r="104" spans="1:65" x14ac:dyDescent="0.2">
      <c r="A104" s="5"/>
      <c r="B104" s="5"/>
      <c r="C104" s="5"/>
      <c r="D104" s="5"/>
      <c r="E104" s="5"/>
      <c r="F104" s="5"/>
      <c r="G104" s="5"/>
      <c r="H104" s="5"/>
      <c r="I104" s="5"/>
      <c r="J104" s="5"/>
      <c r="M104" s="34"/>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row r="205" spans="1:65" x14ac:dyDescent="0.2">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row>
    <row r="206" spans="1:65" x14ac:dyDescent="0.2">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row>
  </sheetData>
  <mergeCells count="16">
    <mergeCell ref="A32:J32"/>
    <mergeCell ref="M29:T30"/>
    <mergeCell ref="M8:T10"/>
    <mergeCell ref="N6:O6"/>
    <mergeCell ref="N3:O3"/>
    <mergeCell ref="C16:F16"/>
    <mergeCell ref="C12:G12"/>
    <mergeCell ref="C5:G5"/>
    <mergeCell ref="N4:O4"/>
    <mergeCell ref="N5:O5"/>
    <mergeCell ref="H6:H7"/>
    <mergeCell ref="C6:C7"/>
    <mergeCell ref="F17:F19"/>
    <mergeCell ref="E18:E19"/>
    <mergeCell ref="D17:D19"/>
    <mergeCell ref="C17:C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EB9F6-95A7-7942-B5DF-3395D1D1A2F9}">
  <dimension ref="A1:S12"/>
  <sheetViews>
    <sheetView workbookViewId="0"/>
  </sheetViews>
  <sheetFormatPr baseColWidth="10" defaultColWidth="11" defaultRowHeight="16" outlineLevelCol="1" x14ac:dyDescent="0.2"/>
  <cols>
    <col min="1" max="1" width="4.5" customWidth="1"/>
    <col min="3" max="10" width="10.83203125" customWidth="1"/>
    <col min="12" max="12" width="11.1640625" bestFit="1" customWidth="1"/>
    <col min="13" max="17" width="10.83203125" hidden="1" customWidth="1" outlineLevel="1"/>
    <col min="18" max="18" width="12" hidden="1" customWidth="1" outlineLevel="1"/>
    <col min="19" max="19" width="11" collapsed="1"/>
  </cols>
  <sheetData>
    <row r="1" spans="1:15" ht="19" x14ac:dyDescent="0.25">
      <c r="A1" s="85" t="s">
        <v>93</v>
      </c>
      <c r="B1" s="84"/>
      <c r="C1" s="83"/>
      <c r="D1" s="83"/>
      <c r="E1" s="83"/>
      <c r="F1" s="82"/>
      <c r="G1" s="82"/>
      <c r="H1" s="82"/>
      <c r="I1" s="82"/>
      <c r="J1" s="81"/>
      <c r="L1" s="69" t="s">
        <v>64</v>
      </c>
    </row>
    <row r="2" spans="1:15" x14ac:dyDescent="0.2">
      <c r="A2" s="74"/>
      <c r="B2" s="71"/>
      <c r="C2" s="71"/>
      <c r="D2" s="71"/>
      <c r="E2" s="71"/>
      <c r="F2" s="71"/>
      <c r="G2" s="71"/>
      <c r="H2" s="71"/>
      <c r="I2" s="71"/>
      <c r="J2" s="70"/>
    </row>
    <row r="3" spans="1:15" x14ac:dyDescent="0.2">
      <c r="A3" s="74"/>
      <c r="B3" s="71" t="s">
        <v>92</v>
      </c>
      <c r="C3" s="80"/>
      <c r="D3" s="71"/>
      <c r="E3" s="71"/>
      <c r="F3" s="71"/>
      <c r="G3" s="71"/>
      <c r="H3" s="71"/>
      <c r="I3" s="71"/>
      <c r="J3" s="70"/>
      <c r="M3" t="s">
        <v>91</v>
      </c>
      <c r="N3">
        <f>1-1/F5</f>
        <v>0.375</v>
      </c>
      <c r="O3" t="s">
        <v>90</v>
      </c>
    </row>
    <row r="4" spans="1:15" ht="17" thickBot="1" x14ac:dyDescent="0.25">
      <c r="A4" s="74"/>
      <c r="B4" s="71"/>
      <c r="C4" s="80"/>
      <c r="D4" s="71"/>
      <c r="E4" s="71"/>
      <c r="F4" s="71"/>
      <c r="G4" s="71"/>
      <c r="H4" s="71"/>
      <c r="I4" s="71"/>
      <c r="J4" s="70"/>
    </row>
    <row r="5" spans="1:15" ht="17" thickBot="1" x14ac:dyDescent="0.25">
      <c r="A5" s="74"/>
      <c r="B5" s="73" t="s">
        <v>89</v>
      </c>
      <c r="C5" s="80"/>
      <c r="D5" s="71"/>
      <c r="E5" s="71"/>
      <c r="F5" s="79">
        <v>1.6</v>
      </c>
      <c r="G5" s="71"/>
      <c r="H5" s="71"/>
      <c r="I5" s="71"/>
      <c r="J5" s="70"/>
      <c r="M5" s="78" t="s">
        <v>88</v>
      </c>
      <c r="N5" s="77">
        <f>(F7-(1-N3)*F6)/N3</f>
        <v>17333.333333333332</v>
      </c>
      <c r="O5" t="s">
        <v>87</v>
      </c>
    </row>
    <row r="6" spans="1:15" x14ac:dyDescent="0.2">
      <c r="A6" s="74"/>
      <c r="B6" s="73" t="s">
        <v>86</v>
      </c>
      <c r="C6" s="71"/>
      <c r="D6" s="71"/>
      <c r="E6" s="71"/>
      <c r="F6" s="76">
        <v>12000</v>
      </c>
      <c r="G6" s="71"/>
      <c r="H6" s="71"/>
      <c r="I6" s="71"/>
      <c r="J6" s="70"/>
      <c r="M6" s="75"/>
    </row>
    <row r="7" spans="1:15" x14ac:dyDescent="0.2">
      <c r="A7" s="74"/>
      <c r="B7" s="73" t="s">
        <v>85</v>
      </c>
      <c r="C7" s="71"/>
      <c r="D7" s="71"/>
      <c r="E7" s="71"/>
      <c r="F7" s="76">
        <v>14000</v>
      </c>
      <c r="G7" s="71"/>
      <c r="H7" s="71"/>
      <c r="I7" s="71"/>
      <c r="J7" s="70"/>
      <c r="M7" s="75"/>
    </row>
    <row r="8" spans="1:15" x14ac:dyDescent="0.2">
      <c r="A8" s="74"/>
      <c r="B8" s="73"/>
      <c r="C8" s="71"/>
      <c r="D8" s="71"/>
      <c r="E8" s="71"/>
      <c r="F8" s="72"/>
      <c r="G8" s="71"/>
      <c r="H8" s="71"/>
      <c r="I8" s="71"/>
      <c r="J8" s="70"/>
    </row>
    <row r="9" spans="1:15" x14ac:dyDescent="0.2">
      <c r="A9" s="74"/>
      <c r="B9" s="73" t="s">
        <v>84</v>
      </c>
      <c r="C9" s="71"/>
      <c r="D9" s="71"/>
      <c r="E9" s="71"/>
      <c r="F9" s="72"/>
      <c r="G9" s="71"/>
      <c r="H9" s="71"/>
      <c r="I9" s="71"/>
      <c r="J9" s="70"/>
    </row>
    <row r="10" spans="1:15" ht="20" thickBot="1" x14ac:dyDescent="0.3">
      <c r="A10" s="74"/>
      <c r="B10" s="73"/>
      <c r="C10" s="71"/>
      <c r="D10" s="71"/>
      <c r="E10" s="71"/>
      <c r="F10" s="72"/>
      <c r="G10" s="71"/>
      <c r="H10" s="71"/>
      <c r="I10" s="71"/>
      <c r="J10" s="70"/>
      <c r="M10" s="69" t="s">
        <v>72</v>
      </c>
    </row>
    <row r="11" spans="1:15" ht="17" thickBot="1" x14ac:dyDescent="0.25">
      <c r="A11" s="68" t="s">
        <v>63</v>
      </c>
      <c r="B11" s="67"/>
      <c r="C11" s="65"/>
      <c r="D11" s="65"/>
      <c r="E11" s="65"/>
      <c r="F11" s="66"/>
      <c r="G11" s="65"/>
      <c r="H11" s="65"/>
      <c r="I11" s="65"/>
      <c r="J11" s="64"/>
      <c r="M11" t="s">
        <v>70</v>
      </c>
    </row>
    <row r="12" spans="1:15" x14ac:dyDescent="0.2">
      <c r="B12" s="6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5FDD-1DC1-8647-831C-42F3E70458B3}">
  <dimension ref="A1:S18"/>
  <sheetViews>
    <sheetView workbookViewId="0"/>
  </sheetViews>
  <sheetFormatPr baseColWidth="10" defaultColWidth="11" defaultRowHeight="16" outlineLevelCol="1" x14ac:dyDescent="0.2"/>
  <cols>
    <col min="1" max="1" width="4.5" customWidth="1"/>
    <col min="3" max="3" width="10.83203125" customWidth="1"/>
    <col min="8" max="11" width="10.5" customWidth="1"/>
    <col min="12" max="12" width="11.1640625" bestFit="1" customWidth="1"/>
    <col min="13" max="17" width="10.83203125" hidden="1" customWidth="1" outlineLevel="1"/>
    <col min="18" max="18" width="12" hidden="1" customWidth="1" outlineLevel="1"/>
    <col min="19" max="19" width="11" collapsed="1"/>
  </cols>
  <sheetData>
    <row r="1" spans="1:18" ht="19" x14ac:dyDescent="0.25">
      <c r="A1" s="85" t="s">
        <v>106</v>
      </c>
      <c r="B1" s="84"/>
      <c r="C1" s="83"/>
      <c r="D1" s="83"/>
      <c r="E1" s="83"/>
      <c r="F1" s="82"/>
      <c r="G1" s="82"/>
      <c r="H1" s="82"/>
      <c r="I1" s="82"/>
      <c r="J1" s="81"/>
      <c r="L1" s="69" t="s">
        <v>64</v>
      </c>
    </row>
    <row r="2" spans="1:18" x14ac:dyDescent="0.2">
      <c r="A2" s="74"/>
      <c r="B2" s="71"/>
      <c r="C2" s="71"/>
      <c r="D2" s="71"/>
      <c r="E2" s="71"/>
      <c r="F2" s="71"/>
      <c r="G2" s="71"/>
      <c r="H2" s="71"/>
      <c r="I2" s="71"/>
      <c r="J2" s="70"/>
    </row>
    <row r="3" spans="1:18" x14ac:dyDescent="0.2">
      <c r="A3" s="74"/>
      <c r="B3" s="71" t="s">
        <v>92</v>
      </c>
      <c r="C3" s="71"/>
      <c r="D3" s="71"/>
      <c r="E3" s="71"/>
      <c r="F3" s="71"/>
      <c r="G3" s="71"/>
      <c r="H3" s="71"/>
      <c r="I3" s="71"/>
      <c r="J3" s="70"/>
      <c r="M3" s="75" t="s">
        <v>105</v>
      </c>
    </row>
    <row r="4" spans="1:18" x14ac:dyDescent="0.2">
      <c r="A4" s="74"/>
      <c r="B4" s="71"/>
      <c r="C4" s="71"/>
      <c r="D4" s="71"/>
      <c r="E4" s="71"/>
      <c r="F4" s="71"/>
      <c r="G4" s="71"/>
      <c r="H4" s="71"/>
      <c r="I4" s="71"/>
      <c r="J4" s="70"/>
    </row>
    <row r="5" spans="1:18" x14ac:dyDescent="0.2">
      <c r="A5" s="74"/>
      <c r="B5" s="71"/>
      <c r="C5" s="76">
        <v>5000</v>
      </c>
      <c r="D5" s="71"/>
      <c r="E5" s="71"/>
      <c r="F5" s="71"/>
      <c r="G5" s="71"/>
      <c r="H5" s="71"/>
      <c r="I5" s="71"/>
      <c r="J5" s="70"/>
      <c r="M5" t="s">
        <v>104</v>
      </c>
      <c r="N5" s="90">
        <f>C6+C7*C5</f>
        <v>6000</v>
      </c>
      <c r="O5" t="s">
        <v>103</v>
      </c>
    </row>
    <row r="6" spans="1:18" ht="17" thickBot="1" x14ac:dyDescent="0.25">
      <c r="A6" s="74"/>
      <c r="B6" s="71"/>
      <c r="C6" s="76">
        <v>3000</v>
      </c>
      <c r="D6" s="71"/>
      <c r="E6" s="71"/>
      <c r="F6" s="71"/>
      <c r="G6" s="71"/>
      <c r="H6" s="71"/>
      <c r="I6" s="71"/>
      <c r="J6" s="70"/>
      <c r="M6" t="s">
        <v>102</v>
      </c>
      <c r="N6" s="90">
        <f>C6+C7*N5</f>
        <v>6600</v>
      </c>
      <c r="O6" t="s">
        <v>101</v>
      </c>
    </row>
    <row r="7" spans="1:18" ht="17" thickBot="1" x14ac:dyDescent="0.25">
      <c r="A7" s="74"/>
      <c r="B7" s="71"/>
      <c r="C7" s="79">
        <v>0.6</v>
      </c>
      <c r="D7" s="71"/>
      <c r="E7" s="71"/>
      <c r="F7" s="71"/>
      <c r="G7" s="71"/>
      <c r="H7" s="71"/>
      <c r="I7" s="71"/>
      <c r="J7" s="70"/>
      <c r="M7" s="78" t="s">
        <v>100</v>
      </c>
      <c r="N7" s="89">
        <f>C6+N6*C7</f>
        <v>6960</v>
      </c>
      <c r="O7" t="s">
        <v>99</v>
      </c>
    </row>
    <row r="8" spans="1:18" x14ac:dyDescent="0.2">
      <c r="A8" s="74"/>
      <c r="B8" s="71"/>
      <c r="C8" s="71"/>
      <c r="D8" s="71"/>
      <c r="E8" s="71"/>
      <c r="F8" s="71"/>
      <c r="G8" s="71"/>
      <c r="H8" s="71"/>
      <c r="I8" s="71"/>
      <c r="J8" s="70"/>
      <c r="N8" s="87"/>
    </row>
    <row r="9" spans="1:18" x14ac:dyDescent="0.2">
      <c r="A9" s="74"/>
      <c r="B9" s="88" t="s">
        <v>0</v>
      </c>
      <c r="C9" s="71"/>
      <c r="D9" s="71"/>
      <c r="E9" s="71"/>
      <c r="F9" s="71"/>
      <c r="G9" s="71"/>
      <c r="H9" s="71"/>
      <c r="I9" s="71"/>
      <c r="J9" s="70"/>
      <c r="M9" s="75" t="s">
        <v>98</v>
      </c>
      <c r="N9" s="87"/>
    </row>
    <row r="10" spans="1:18" x14ac:dyDescent="0.2">
      <c r="A10" s="74"/>
      <c r="B10" s="71" t="s">
        <v>95</v>
      </c>
      <c r="C10" s="71"/>
      <c r="D10" s="71"/>
      <c r="E10" s="71"/>
      <c r="F10" s="71"/>
      <c r="G10" s="71"/>
      <c r="H10" s="71"/>
      <c r="I10" s="71"/>
      <c r="J10" s="70"/>
      <c r="N10" s="87"/>
    </row>
    <row r="11" spans="1:18" x14ac:dyDescent="0.2">
      <c r="A11" s="74"/>
      <c r="B11" s="71"/>
      <c r="C11" s="71"/>
      <c r="D11" s="71"/>
      <c r="E11" s="71"/>
      <c r="F11" s="71"/>
      <c r="G11" s="71"/>
      <c r="H11" s="71"/>
      <c r="I11" s="71"/>
      <c r="J11" s="70"/>
      <c r="M11" t="s">
        <v>97</v>
      </c>
      <c r="N11" s="87">
        <f>C6/(1-C7)</f>
        <v>7500</v>
      </c>
      <c r="O11" t="s">
        <v>96</v>
      </c>
    </row>
    <row r="12" spans="1:18" x14ac:dyDescent="0.2">
      <c r="A12" s="74"/>
      <c r="B12" s="88" t="s">
        <v>1</v>
      </c>
      <c r="C12" s="71"/>
      <c r="D12" s="71"/>
      <c r="E12" s="71"/>
      <c r="F12" s="71"/>
      <c r="G12" s="71"/>
      <c r="H12" s="71"/>
      <c r="I12" s="71"/>
      <c r="J12" s="70"/>
      <c r="N12" s="87"/>
    </row>
    <row r="13" spans="1:18" ht="19" x14ac:dyDescent="0.25">
      <c r="A13" s="74"/>
      <c r="B13" s="71" t="s">
        <v>95</v>
      </c>
      <c r="C13" s="71"/>
      <c r="D13" s="71"/>
      <c r="E13" s="71"/>
      <c r="F13" s="72"/>
      <c r="G13" s="71"/>
      <c r="H13" s="71"/>
      <c r="I13" s="71"/>
      <c r="J13" s="70"/>
      <c r="M13" s="69" t="s">
        <v>71</v>
      </c>
      <c r="N13" s="87"/>
    </row>
    <row r="14" spans="1:18" ht="17" thickBot="1" x14ac:dyDescent="0.25">
      <c r="A14" s="74"/>
      <c r="B14" s="86"/>
      <c r="C14" s="71"/>
      <c r="D14" s="71"/>
      <c r="E14" s="71"/>
      <c r="F14" s="71"/>
      <c r="G14" s="71"/>
      <c r="H14" s="71"/>
      <c r="I14" s="71"/>
      <c r="J14" s="70"/>
      <c r="M14" s="178" t="s">
        <v>94</v>
      </c>
      <c r="N14" s="178"/>
      <c r="O14" s="178"/>
      <c r="P14" s="178"/>
      <c r="Q14" s="178"/>
      <c r="R14" s="178"/>
    </row>
    <row r="15" spans="1:18" ht="17" thickBot="1" x14ac:dyDescent="0.25">
      <c r="A15" s="68" t="s">
        <v>63</v>
      </c>
      <c r="B15" s="65"/>
      <c r="C15" s="65"/>
      <c r="D15" s="65"/>
      <c r="E15" s="65"/>
      <c r="F15" s="65"/>
      <c r="G15" s="65"/>
      <c r="H15" s="65"/>
      <c r="I15" s="65"/>
      <c r="J15" s="64"/>
      <c r="M15" s="178"/>
      <c r="N15" s="178"/>
      <c r="O15" s="178"/>
      <c r="P15" s="178"/>
      <c r="Q15" s="178"/>
      <c r="R15" s="178"/>
    </row>
    <row r="17" spans="13:13" ht="19" x14ac:dyDescent="0.25">
      <c r="M17" s="69" t="s">
        <v>72</v>
      </c>
    </row>
    <row r="18" spans="13:13" x14ac:dyDescent="0.2">
      <c r="M18" t="s">
        <v>70</v>
      </c>
    </row>
  </sheetData>
  <mergeCells count="1">
    <mergeCell ref="M14:R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6060D-9456-794D-AA9E-B64B10BE1330}">
  <dimension ref="A1:S15"/>
  <sheetViews>
    <sheetView workbookViewId="0">
      <selection activeCell="A11" sqref="A11"/>
    </sheetView>
  </sheetViews>
  <sheetFormatPr baseColWidth="10" defaultColWidth="11" defaultRowHeight="16" outlineLevelCol="1" x14ac:dyDescent="0.2"/>
  <cols>
    <col min="1" max="1" width="4.5" customWidth="1"/>
    <col min="3" max="3" width="10.6640625" customWidth="1"/>
    <col min="8" max="11" width="10.5" customWidth="1"/>
    <col min="12" max="12" width="11.1640625" bestFit="1" customWidth="1"/>
    <col min="13" max="17" width="10.83203125" hidden="1" customWidth="1" outlineLevel="1"/>
    <col min="18" max="18" width="12" hidden="1" customWidth="1" outlineLevel="1"/>
    <col min="19" max="19" width="11" collapsed="1"/>
  </cols>
  <sheetData>
    <row r="1" spans="1:18" ht="19" x14ac:dyDescent="0.25">
      <c r="A1" s="85" t="s">
        <v>116</v>
      </c>
      <c r="B1" s="84"/>
      <c r="C1" s="83"/>
      <c r="D1" s="83"/>
      <c r="E1" s="83"/>
      <c r="F1" s="82"/>
      <c r="G1" s="82"/>
      <c r="H1" s="82"/>
      <c r="I1" s="82"/>
      <c r="J1" s="81"/>
      <c r="L1" s="69" t="s">
        <v>64</v>
      </c>
    </row>
    <row r="2" spans="1:18" x14ac:dyDescent="0.2">
      <c r="A2" s="74"/>
      <c r="B2" s="71"/>
      <c r="C2" s="71"/>
      <c r="D2" s="71"/>
      <c r="E2" s="71"/>
      <c r="F2" s="71"/>
      <c r="G2" s="71"/>
      <c r="H2" s="71"/>
      <c r="I2" s="71"/>
      <c r="J2" s="70"/>
    </row>
    <row r="3" spans="1:18" x14ac:dyDescent="0.2">
      <c r="A3" s="74"/>
      <c r="B3" s="71" t="s">
        <v>92</v>
      </c>
      <c r="C3" s="80"/>
      <c r="D3" s="71"/>
      <c r="E3" s="71"/>
      <c r="F3" s="71"/>
      <c r="G3" s="71"/>
      <c r="H3" s="71"/>
      <c r="I3" s="71"/>
      <c r="J3" s="70"/>
      <c r="M3" t="s">
        <v>115</v>
      </c>
    </row>
    <row r="4" spans="1:18" x14ac:dyDescent="0.2">
      <c r="A4" s="74"/>
      <c r="B4" s="71"/>
      <c r="C4" s="80"/>
      <c r="D4" s="71"/>
      <c r="E4" s="71"/>
      <c r="F4" s="71"/>
      <c r="G4" s="71"/>
      <c r="H4" s="71"/>
      <c r="I4" s="71"/>
      <c r="J4" s="70"/>
      <c r="N4" s="87"/>
    </row>
    <row r="5" spans="1:18" x14ac:dyDescent="0.2">
      <c r="A5" s="74"/>
      <c r="B5" s="73" t="s">
        <v>89</v>
      </c>
      <c r="C5" s="80"/>
      <c r="D5" s="71"/>
      <c r="E5" s="71"/>
      <c r="F5" s="79">
        <v>2.5</v>
      </c>
      <c r="G5" s="71"/>
      <c r="H5" s="71"/>
      <c r="I5" s="71"/>
      <c r="J5" s="70"/>
      <c r="M5" t="s">
        <v>114</v>
      </c>
      <c r="N5" s="87">
        <f>F6/(1-1/F5)</f>
        <v>6666.666666666667</v>
      </c>
      <c r="O5" t="s">
        <v>113</v>
      </c>
    </row>
    <row r="6" spans="1:18" x14ac:dyDescent="0.2">
      <c r="A6" s="74"/>
      <c r="B6" s="73" t="s">
        <v>112</v>
      </c>
      <c r="C6" s="71"/>
      <c r="D6" s="71"/>
      <c r="E6" s="71"/>
      <c r="F6" s="76">
        <v>4000</v>
      </c>
      <c r="G6" s="71"/>
      <c r="H6" s="71"/>
      <c r="I6" s="71"/>
      <c r="J6" s="70"/>
      <c r="M6" t="s">
        <v>111</v>
      </c>
      <c r="N6" s="87">
        <f>N5-F6</f>
        <v>2666.666666666667</v>
      </c>
      <c r="O6" t="s">
        <v>110</v>
      </c>
    </row>
    <row r="7" spans="1:18" ht="17" thickBot="1" x14ac:dyDescent="0.25">
      <c r="A7" s="74"/>
      <c r="B7" s="73" t="s">
        <v>85</v>
      </c>
      <c r="C7" s="71"/>
      <c r="D7" s="71"/>
      <c r="E7" s="71"/>
      <c r="F7" s="76">
        <v>8000</v>
      </c>
      <c r="G7" s="71"/>
      <c r="H7" s="71"/>
      <c r="I7" s="71"/>
      <c r="J7" s="70"/>
      <c r="M7" s="75"/>
    </row>
    <row r="8" spans="1:18" ht="17" thickBot="1" x14ac:dyDescent="0.25">
      <c r="A8" s="74"/>
      <c r="B8" s="73"/>
      <c r="C8" s="71"/>
      <c r="D8" s="71"/>
      <c r="E8" s="71"/>
      <c r="F8" s="72"/>
      <c r="G8" s="71"/>
      <c r="H8" s="71"/>
      <c r="I8" s="71"/>
      <c r="J8" s="70"/>
      <c r="M8" s="78" t="s">
        <v>109</v>
      </c>
      <c r="N8" s="77">
        <f>F7-N6</f>
        <v>5333.333333333333</v>
      </c>
    </row>
    <row r="9" spans="1:18" ht="16" customHeight="1" x14ac:dyDescent="0.2">
      <c r="A9" s="74"/>
      <c r="B9" s="92" t="s">
        <v>108</v>
      </c>
      <c r="C9" s="92"/>
      <c r="D9" s="92"/>
      <c r="E9" s="92"/>
      <c r="F9" s="92"/>
      <c r="G9" s="92"/>
      <c r="H9" s="92"/>
      <c r="I9" s="92"/>
      <c r="J9" s="70"/>
    </row>
    <row r="10" spans="1:18" ht="17" thickBot="1" x14ac:dyDescent="0.25">
      <c r="A10" s="74"/>
      <c r="B10" s="73"/>
      <c r="C10" s="71"/>
      <c r="D10" s="71"/>
      <c r="E10" s="71"/>
      <c r="F10" s="72"/>
      <c r="G10" s="71"/>
      <c r="H10" s="71"/>
      <c r="I10" s="71"/>
      <c r="J10" s="70"/>
    </row>
    <row r="11" spans="1:18" ht="17" thickBot="1" x14ac:dyDescent="0.25">
      <c r="A11" s="68" t="s">
        <v>63</v>
      </c>
      <c r="B11" s="91"/>
      <c r="C11" s="65"/>
      <c r="D11" s="65"/>
      <c r="E11" s="65"/>
      <c r="F11" s="65"/>
      <c r="G11" s="65"/>
      <c r="H11" s="65"/>
      <c r="I11" s="65"/>
      <c r="J11" s="64"/>
    </row>
    <row r="12" spans="1:18" ht="19" x14ac:dyDescent="0.25">
      <c r="M12" s="69" t="s">
        <v>71</v>
      </c>
    </row>
    <row r="13" spans="1:18" x14ac:dyDescent="0.2">
      <c r="M13" s="179" t="s">
        <v>107</v>
      </c>
      <c r="N13" s="179"/>
      <c r="O13" s="179"/>
      <c r="P13" s="179"/>
      <c r="Q13" s="179"/>
      <c r="R13" s="179"/>
    </row>
    <row r="14" spans="1:18" x14ac:dyDescent="0.2">
      <c r="M14" s="179"/>
      <c r="N14" s="179"/>
      <c r="O14" s="179"/>
      <c r="P14" s="179"/>
      <c r="Q14" s="179"/>
      <c r="R14" s="179"/>
    </row>
    <row r="15" spans="1:18" x14ac:dyDescent="0.2">
      <c r="M15" s="179"/>
      <c r="N15" s="179"/>
      <c r="O15" s="179"/>
      <c r="P15" s="179"/>
      <c r="Q15" s="179"/>
      <c r="R15" s="179"/>
    </row>
  </sheetData>
  <mergeCells count="1">
    <mergeCell ref="M13:R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33889-8A1F-A644-A9DB-6D159D2D5692}">
  <dimension ref="A1:S14"/>
  <sheetViews>
    <sheetView workbookViewId="0"/>
  </sheetViews>
  <sheetFormatPr baseColWidth="10" defaultColWidth="11" defaultRowHeight="16" outlineLevelCol="1" x14ac:dyDescent="0.2"/>
  <cols>
    <col min="1" max="1" width="4.5" customWidth="1"/>
    <col min="3" max="3" width="11" customWidth="1"/>
    <col min="8" max="10" width="11.5" customWidth="1"/>
    <col min="12" max="12" width="11.1640625" bestFit="1" customWidth="1"/>
    <col min="13" max="15" width="11.33203125" hidden="1" customWidth="1" outlineLevel="1"/>
    <col min="16" max="17" width="10.83203125" hidden="1" customWidth="1" outlineLevel="1"/>
    <col min="18" max="18" width="12" hidden="1" customWidth="1" outlineLevel="1"/>
    <col min="19" max="19" width="11" collapsed="1"/>
  </cols>
  <sheetData>
    <row r="1" spans="1:18" ht="19" x14ac:dyDescent="0.25">
      <c r="A1" s="85" t="s">
        <v>124</v>
      </c>
      <c r="B1" s="84"/>
      <c r="C1" s="83"/>
      <c r="D1" s="83"/>
      <c r="E1" s="83"/>
      <c r="F1" s="82"/>
      <c r="G1" s="82"/>
      <c r="H1" s="82"/>
      <c r="I1" s="82"/>
      <c r="J1" s="81"/>
      <c r="L1" s="69" t="s">
        <v>64</v>
      </c>
    </row>
    <row r="2" spans="1:18" x14ac:dyDescent="0.2">
      <c r="A2" s="74"/>
      <c r="B2" s="71"/>
      <c r="C2" s="71"/>
      <c r="D2" s="71"/>
      <c r="E2" s="71"/>
      <c r="F2" s="71"/>
      <c r="G2" s="71"/>
      <c r="H2" s="71"/>
      <c r="I2" s="71"/>
      <c r="J2" s="70"/>
    </row>
    <row r="3" spans="1:18" x14ac:dyDescent="0.2">
      <c r="A3" s="74"/>
      <c r="B3" s="71" t="s">
        <v>92</v>
      </c>
      <c r="C3" s="80"/>
      <c r="D3" s="71"/>
      <c r="E3" s="71"/>
      <c r="F3" s="71"/>
      <c r="G3" s="71"/>
      <c r="H3" s="71"/>
      <c r="I3" s="71"/>
      <c r="J3" s="70"/>
      <c r="M3" t="s">
        <v>123</v>
      </c>
      <c r="N3" s="97">
        <f>C6/C7</f>
        <v>0.6</v>
      </c>
      <c r="O3" t="s">
        <v>122</v>
      </c>
    </row>
    <row r="4" spans="1:18" x14ac:dyDescent="0.2">
      <c r="A4" s="74"/>
      <c r="B4" s="71"/>
      <c r="C4" s="80"/>
      <c r="D4" s="71"/>
      <c r="E4" s="71"/>
      <c r="F4" s="71"/>
      <c r="G4" s="71"/>
      <c r="H4" s="71"/>
      <c r="I4" s="71"/>
      <c r="J4" s="70"/>
      <c r="N4" s="87"/>
    </row>
    <row r="5" spans="1:18" x14ac:dyDescent="0.2">
      <c r="A5" s="74"/>
      <c r="B5" s="73"/>
      <c r="C5" s="80">
        <v>0.32</v>
      </c>
      <c r="D5" s="71"/>
      <c r="E5" s="71"/>
      <c r="F5" s="79"/>
      <c r="G5" s="71"/>
      <c r="H5" s="71"/>
      <c r="I5" s="71"/>
      <c r="J5" s="70"/>
      <c r="M5" t="s">
        <v>121</v>
      </c>
      <c r="N5" s="96"/>
    </row>
    <row r="6" spans="1:18" x14ac:dyDescent="0.2">
      <c r="A6" s="74"/>
      <c r="B6" s="73"/>
      <c r="C6" s="76">
        <v>3000</v>
      </c>
      <c r="D6" s="71"/>
      <c r="E6" s="71"/>
      <c r="F6" s="76"/>
      <c r="G6" s="71"/>
      <c r="H6" s="71"/>
      <c r="I6" s="71"/>
      <c r="J6" s="70"/>
      <c r="N6" s="96"/>
    </row>
    <row r="7" spans="1:18" x14ac:dyDescent="0.2">
      <c r="A7" s="74"/>
      <c r="B7" s="73"/>
      <c r="C7" s="76">
        <v>5000</v>
      </c>
      <c r="D7" s="71"/>
      <c r="E7" s="71"/>
      <c r="F7" s="76"/>
      <c r="G7" s="71"/>
      <c r="H7" s="71"/>
      <c r="I7" s="71"/>
      <c r="J7" s="70"/>
      <c r="M7" t="s">
        <v>120</v>
      </c>
    </row>
    <row r="8" spans="1:18" ht="17" thickBot="1" x14ac:dyDescent="0.25">
      <c r="A8" s="74"/>
      <c r="B8" s="73"/>
      <c r="C8" s="71"/>
      <c r="D8" s="71"/>
      <c r="E8" s="71"/>
      <c r="F8" s="72"/>
      <c r="G8" s="71"/>
      <c r="H8" s="71"/>
      <c r="I8" s="71"/>
      <c r="J8" s="70"/>
      <c r="M8" s="75"/>
      <c r="N8" s="95"/>
    </row>
    <row r="9" spans="1:18" ht="17" thickBot="1" x14ac:dyDescent="0.25">
      <c r="A9" s="74"/>
      <c r="B9" s="73" t="s">
        <v>119</v>
      </c>
      <c r="C9" s="71"/>
      <c r="D9" s="71"/>
      <c r="E9" s="71"/>
      <c r="F9" s="72"/>
      <c r="G9" s="71"/>
      <c r="H9" s="71"/>
      <c r="I9" s="71"/>
      <c r="J9" s="70"/>
      <c r="M9" s="78" t="s">
        <v>118</v>
      </c>
      <c r="N9" s="94"/>
      <c r="O9" s="93"/>
    </row>
    <row r="10" spans="1:18" ht="17" thickBot="1" x14ac:dyDescent="0.25">
      <c r="A10" s="74"/>
      <c r="B10" s="73"/>
      <c r="C10" s="71"/>
      <c r="D10" s="71"/>
      <c r="E10" s="71"/>
      <c r="F10" s="72"/>
      <c r="G10" s="71"/>
      <c r="H10" s="71"/>
      <c r="I10" s="71"/>
      <c r="J10" s="70"/>
    </row>
    <row r="11" spans="1:18" ht="17" thickBot="1" x14ac:dyDescent="0.25">
      <c r="A11" s="68" t="s">
        <v>63</v>
      </c>
      <c r="B11" s="91"/>
      <c r="C11" s="65"/>
      <c r="D11" s="65"/>
      <c r="E11" s="65"/>
      <c r="F11" s="65"/>
      <c r="G11" s="65"/>
      <c r="H11" s="65"/>
      <c r="I11" s="65"/>
      <c r="J11" s="64"/>
    </row>
    <row r="12" spans="1:18" ht="19" x14ac:dyDescent="0.25">
      <c r="M12" s="69" t="s">
        <v>71</v>
      </c>
    </row>
    <row r="13" spans="1:18" x14ac:dyDescent="0.2">
      <c r="M13" s="178" t="s">
        <v>117</v>
      </c>
      <c r="N13" s="178"/>
      <c r="O13" s="178"/>
      <c r="P13" s="178"/>
      <c r="Q13" s="178"/>
      <c r="R13" s="178"/>
    </row>
    <row r="14" spans="1:18" x14ac:dyDescent="0.2">
      <c r="M14" s="178"/>
      <c r="N14" s="178"/>
      <c r="O14" s="178"/>
      <c r="P14" s="178"/>
      <c r="Q14" s="178"/>
      <c r="R14" s="178"/>
    </row>
  </sheetData>
  <mergeCells count="1">
    <mergeCell ref="M13:R1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C98D5-C596-FD40-9343-C8A81DEE2398}">
  <dimension ref="A1:T24"/>
  <sheetViews>
    <sheetView workbookViewId="0"/>
  </sheetViews>
  <sheetFormatPr baseColWidth="10" defaultColWidth="11" defaultRowHeight="16" outlineLevelCol="1" x14ac:dyDescent="0.2"/>
  <cols>
    <col min="1" max="1" width="4.5" customWidth="1"/>
    <col min="2" max="10" width="10.83203125" customWidth="1"/>
    <col min="13" max="18" width="10.83203125" hidden="1" customWidth="1" outlineLevel="1"/>
    <col min="19" max="19" width="12" hidden="1" customWidth="1" outlineLevel="1"/>
    <col min="20" max="20" width="11" collapsed="1"/>
  </cols>
  <sheetData>
    <row r="1" spans="1:16" ht="19" x14ac:dyDescent="0.25">
      <c r="A1" s="85" t="s">
        <v>237</v>
      </c>
      <c r="B1" s="84"/>
      <c r="C1" s="83"/>
      <c r="D1" s="83"/>
      <c r="E1" s="83"/>
      <c r="F1" s="82"/>
      <c r="G1" s="82"/>
      <c r="H1" s="82"/>
      <c r="I1" s="82"/>
      <c r="J1" s="81"/>
      <c r="L1" s="69" t="s">
        <v>64</v>
      </c>
    </row>
    <row r="2" spans="1:16" x14ac:dyDescent="0.2">
      <c r="A2" s="74"/>
      <c r="B2" s="71"/>
      <c r="C2" s="71"/>
      <c r="D2" s="71"/>
      <c r="E2" s="71"/>
      <c r="F2" s="71"/>
      <c r="G2" s="71"/>
      <c r="H2" s="71"/>
      <c r="I2" s="71"/>
      <c r="J2" s="70"/>
    </row>
    <row r="3" spans="1:16" x14ac:dyDescent="0.2">
      <c r="A3" s="74"/>
      <c r="B3" s="71" t="s">
        <v>236</v>
      </c>
      <c r="C3" s="80"/>
      <c r="D3" s="71"/>
      <c r="E3" s="71"/>
      <c r="F3" s="71"/>
      <c r="G3" s="71"/>
      <c r="H3" s="71"/>
      <c r="I3" s="71"/>
      <c r="J3" s="70"/>
      <c r="M3" s="155" t="s">
        <v>240</v>
      </c>
      <c r="N3" s="30"/>
      <c r="O3" s="30"/>
      <c r="P3" s="30"/>
    </row>
    <row r="4" spans="1:16" x14ac:dyDescent="0.2">
      <c r="A4" s="74"/>
      <c r="B4" s="71"/>
      <c r="C4" s="80"/>
      <c r="D4" s="71"/>
      <c r="E4" s="71"/>
      <c r="F4" s="71"/>
      <c r="G4" s="71"/>
      <c r="H4" s="71"/>
      <c r="I4" s="71"/>
      <c r="J4" s="70"/>
      <c r="M4" s="30"/>
      <c r="N4" s="30"/>
    </row>
    <row r="5" spans="1:16" ht="17" x14ac:dyDescent="0.2">
      <c r="A5" s="74"/>
      <c r="B5" s="154"/>
      <c r="C5" s="180" t="s">
        <v>235</v>
      </c>
      <c r="D5" s="180"/>
      <c r="E5" s="180"/>
      <c r="F5" s="181"/>
      <c r="G5" s="71"/>
      <c r="H5" s="71"/>
      <c r="I5" s="71"/>
      <c r="J5" s="70"/>
      <c r="M5" s="16"/>
      <c r="N5" s="26" t="s">
        <v>238</v>
      </c>
      <c r="O5" s="26" t="s">
        <v>239</v>
      </c>
    </row>
    <row r="6" spans="1:16" ht="17" x14ac:dyDescent="0.2">
      <c r="A6" s="74"/>
      <c r="B6" s="126" t="s">
        <v>50</v>
      </c>
      <c r="C6" s="142" t="s">
        <v>234</v>
      </c>
      <c r="D6" s="142" t="s">
        <v>233</v>
      </c>
      <c r="E6" s="142" t="s">
        <v>232</v>
      </c>
      <c r="F6" s="141" t="s">
        <v>231</v>
      </c>
      <c r="G6" s="71"/>
      <c r="H6" s="71"/>
      <c r="I6" s="71"/>
      <c r="J6" s="70"/>
      <c r="M6" s="17" t="s">
        <v>27</v>
      </c>
      <c r="N6" s="145">
        <f>F7/E7</f>
        <v>1.1000000000000001</v>
      </c>
      <c r="O6" s="145">
        <f>E14</f>
        <v>1.05</v>
      </c>
    </row>
    <row r="7" spans="1:16" ht="17" x14ac:dyDescent="0.2">
      <c r="A7" s="74"/>
      <c r="B7" s="132">
        <v>2009</v>
      </c>
      <c r="C7" s="128">
        <v>7000</v>
      </c>
      <c r="D7" s="128">
        <v>10500</v>
      </c>
      <c r="E7" s="128">
        <v>12600</v>
      </c>
      <c r="F7" s="127">
        <v>13860</v>
      </c>
      <c r="G7" s="71"/>
      <c r="H7" s="71"/>
      <c r="I7" s="71"/>
      <c r="J7" s="70"/>
      <c r="M7" s="17" t="s">
        <v>28</v>
      </c>
      <c r="N7" s="14">
        <f>N6*O7</f>
        <v>1.1550000000000002</v>
      </c>
      <c r="O7" s="14">
        <f>O6</f>
        <v>1.05</v>
      </c>
    </row>
    <row r="8" spans="1:16" x14ac:dyDescent="0.2">
      <c r="A8" s="74"/>
      <c r="B8" s="129">
        <v>2010</v>
      </c>
      <c r="C8" s="128">
        <v>8000</v>
      </c>
      <c r="D8" s="128">
        <v>12000</v>
      </c>
      <c r="E8" s="128">
        <v>14400</v>
      </c>
      <c r="F8" s="127"/>
      <c r="G8" s="71"/>
      <c r="H8" s="71"/>
      <c r="I8" s="71"/>
      <c r="J8" s="70"/>
      <c r="M8" s="30"/>
      <c r="N8" s="30"/>
      <c r="O8" s="30"/>
      <c r="P8" s="30"/>
    </row>
    <row r="9" spans="1:16" x14ac:dyDescent="0.2">
      <c r="A9" s="74"/>
      <c r="B9" s="129">
        <v>2011</v>
      </c>
      <c r="C9" s="128">
        <v>9000</v>
      </c>
      <c r="D9" s="128">
        <v>13500</v>
      </c>
      <c r="E9" s="128"/>
      <c r="F9" s="127"/>
      <c r="G9" s="71"/>
      <c r="H9" s="71"/>
      <c r="I9" s="71"/>
      <c r="J9" s="70"/>
      <c r="M9" t="s">
        <v>111</v>
      </c>
      <c r="N9" s="90">
        <f>E8</f>
        <v>14400</v>
      </c>
      <c r="O9" s="155" t="s">
        <v>245</v>
      </c>
    </row>
    <row r="10" spans="1:16" x14ac:dyDescent="0.2">
      <c r="A10" s="74"/>
      <c r="B10" s="126">
        <v>2012</v>
      </c>
      <c r="C10" s="125">
        <v>10000</v>
      </c>
      <c r="D10" s="125"/>
      <c r="E10" s="125"/>
      <c r="F10" s="124"/>
      <c r="G10" s="71"/>
      <c r="H10" s="71"/>
      <c r="I10" s="71"/>
      <c r="J10" s="70"/>
      <c r="M10" t="s">
        <v>91</v>
      </c>
      <c r="N10" s="97">
        <f>1-1/N7</f>
        <v>0.13419913419913443</v>
      </c>
      <c r="O10" s="155" t="s">
        <v>241</v>
      </c>
    </row>
    <row r="11" spans="1:16" x14ac:dyDescent="0.2">
      <c r="A11" s="74"/>
      <c r="B11" s="71"/>
      <c r="C11" s="80"/>
      <c r="D11" s="71"/>
      <c r="E11" s="71"/>
      <c r="F11" s="71"/>
      <c r="G11" s="71"/>
      <c r="H11" s="71"/>
      <c r="I11" s="71"/>
      <c r="J11" s="70"/>
    </row>
    <row r="12" spans="1:16" x14ac:dyDescent="0.2">
      <c r="A12" s="74"/>
      <c r="B12" s="73" t="s">
        <v>230</v>
      </c>
      <c r="C12" s="80"/>
      <c r="D12" s="71"/>
      <c r="E12" s="76">
        <v>25000</v>
      </c>
      <c r="F12" s="79"/>
      <c r="G12" s="71"/>
      <c r="H12" s="71"/>
      <c r="I12" s="71"/>
      <c r="J12" s="70"/>
      <c r="M12" t="s">
        <v>215</v>
      </c>
      <c r="N12" s="87">
        <f>E12*E13</f>
        <v>18750</v>
      </c>
      <c r="O12" s="155" t="s">
        <v>242</v>
      </c>
    </row>
    <row r="13" spans="1:16" ht="18" x14ac:dyDescent="0.25">
      <c r="A13" s="74"/>
      <c r="B13" s="73" t="s">
        <v>229</v>
      </c>
      <c r="C13" s="71"/>
      <c r="D13" s="71"/>
      <c r="E13" s="153">
        <v>0.75</v>
      </c>
      <c r="F13" s="76"/>
      <c r="G13" s="71"/>
      <c r="H13" s="71"/>
      <c r="I13" s="71"/>
      <c r="J13" s="70"/>
      <c r="M13" t="s">
        <v>88</v>
      </c>
      <c r="N13" s="87">
        <f>N9+N10*N12</f>
        <v>16916.23376623377</v>
      </c>
      <c r="O13" t="s">
        <v>244</v>
      </c>
    </row>
    <row r="14" spans="1:16" ht="17" thickBot="1" x14ac:dyDescent="0.25">
      <c r="A14" s="74"/>
      <c r="B14" s="73" t="s">
        <v>227</v>
      </c>
      <c r="C14" s="71"/>
      <c r="D14" s="71"/>
      <c r="E14" s="80">
        <v>1.05</v>
      </c>
      <c r="F14" s="76"/>
      <c r="G14" s="71"/>
      <c r="H14" s="71"/>
      <c r="I14" s="71"/>
      <c r="J14" s="70"/>
    </row>
    <row r="15" spans="1:16" ht="19" thickBot="1" x14ac:dyDescent="0.3">
      <c r="A15" s="74"/>
      <c r="B15" s="73"/>
      <c r="C15" s="71"/>
      <c r="D15" s="71"/>
      <c r="E15" s="71"/>
      <c r="F15" s="72"/>
      <c r="G15" s="71"/>
      <c r="H15" s="71"/>
      <c r="I15" s="71"/>
      <c r="J15" s="70"/>
      <c r="M15" s="78" t="s">
        <v>228</v>
      </c>
      <c r="N15" s="77">
        <f>N9+N10*N13</f>
        <v>16670.143925338736</v>
      </c>
      <c r="O15" t="s">
        <v>243</v>
      </c>
    </row>
    <row r="16" spans="1:16" x14ac:dyDescent="0.2">
      <c r="A16" s="74"/>
      <c r="B16" s="73" t="s">
        <v>226</v>
      </c>
      <c r="C16" s="71"/>
      <c r="D16" s="71"/>
      <c r="E16" s="71"/>
      <c r="F16" s="72"/>
      <c r="G16" s="71"/>
      <c r="H16" s="71"/>
      <c r="I16" s="71"/>
      <c r="J16" s="70"/>
      <c r="M16" s="75"/>
    </row>
    <row r="17" spans="1:19" ht="17" thickBot="1" x14ac:dyDescent="0.25">
      <c r="A17" s="74"/>
      <c r="B17" s="73"/>
      <c r="C17" s="71"/>
      <c r="D17" s="71"/>
      <c r="E17" s="71"/>
      <c r="F17" s="72"/>
      <c r="G17" s="71"/>
      <c r="H17" s="71"/>
      <c r="I17" s="71"/>
      <c r="J17" s="70"/>
      <c r="M17" s="75"/>
    </row>
    <row r="18" spans="1:19" ht="20" thickBot="1" x14ac:dyDescent="0.3">
      <c r="A18" s="68" t="s">
        <v>63</v>
      </c>
      <c r="B18" s="91"/>
      <c r="C18" s="65"/>
      <c r="D18" s="65"/>
      <c r="E18" s="65"/>
      <c r="F18" s="65"/>
      <c r="G18" s="65"/>
      <c r="H18" s="65"/>
      <c r="I18" s="65"/>
      <c r="J18" s="64"/>
      <c r="M18" s="69" t="s">
        <v>71</v>
      </c>
    </row>
    <row r="19" spans="1:19" x14ac:dyDescent="0.2">
      <c r="M19" s="178" t="s">
        <v>246</v>
      </c>
      <c r="N19" s="178"/>
      <c r="O19" s="178"/>
      <c r="P19" s="178"/>
      <c r="Q19" s="178"/>
      <c r="R19" s="178"/>
      <c r="S19" s="178"/>
    </row>
    <row r="20" spans="1:19" x14ac:dyDescent="0.2">
      <c r="M20" s="178"/>
      <c r="N20" s="178"/>
      <c r="O20" s="178"/>
      <c r="P20" s="178"/>
      <c r="Q20" s="178"/>
      <c r="R20" s="178"/>
      <c r="S20" s="178"/>
    </row>
    <row r="21" spans="1:19" x14ac:dyDescent="0.2">
      <c r="M21" s="178"/>
      <c r="N21" s="178"/>
      <c r="O21" s="178"/>
      <c r="P21" s="178"/>
      <c r="Q21" s="178"/>
      <c r="R21" s="178"/>
      <c r="S21" s="178"/>
    </row>
    <row r="23" spans="1:19" ht="19" x14ac:dyDescent="0.25">
      <c r="M23" s="69" t="s">
        <v>72</v>
      </c>
    </row>
    <row r="24" spans="1:19" x14ac:dyDescent="0.2">
      <c r="M24" s="41" t="s">
        <v>70</v>
      </c>
    </row>
  </sheetData>
  <mergeCells count="2">
    <mergeCell ref="C5:F5"/>
    <mergeCell ref="M19:S21"/>
  </mergeCells>
  <phoneticPr fontId="2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84AF-5D13-4D4D-9782-C8A038000CED}">
  <dimension ref="A1:S33"/>
  <sheetViews>
    <sheetView workbookViewId="0">
      <selection activeCell="B1" sqref="B1"/>
    </sheetView>
  </sheetViews>
  <sheetFormatPr baseColWidth="10" defaultColWidth="11" defaultRowHeight="16" outlineLevelCol="1" x14ac:dyDescent="0.2"/>
  <cols>
    <col min="1" max="1" width="4" style="98" customWidth="1"/>
    <col min="2" max="2" width="11.5" customWidth="1"/>
    <col min="12" max="12" width="0" hidden="1" customWidth="1" outlineLevel="1"/>
    <col min="13" max="13" width="10.83203125" hidden="1" customWidth="1" outlineLevel="1"/>
    <col min="14" max="18" width="0" hidden="1" customWidth="1" outlineLevel="1"/>
    <col min="19" max="19" width="11" collapsed="1"/>
  </cols>
  <sheetData>
    <row r="1" spans="1:18" x14ac:dyDescent="0.2">
      <c r="A1" s="122"/>
      <c r="B1" s="84" t="s">
        <v>169</v>
      </c>
      <c r="C1" s="83" t="s">
        <v>168</v>
      </c>
      <c r="D1" s="83" t="s">
        <v>167</v>
      </c>
      <c r="E1" s="83" t="s">
        <v>166</v>
      </c>
      <c r="F1" s="82"/>
      <c r="G1" s="82"/>
      <c r="H1" s="82"/>
      <c r="I1" s="82"/>
      <c r="J1" s="81"/>
      <c r="K1" s="75" t="s">
        <v>64</v>
      </c>
    </row>
    <row r="2" spans="1:18" x14ac:dyDescent="0.2">
      <c r="A2" s="108"/>
      <c r="B2" s="121" t="s">
        <v>165</v>
      </c>
      <c r="C2" s="120">
        <v>2.75</v>
      </c>
      <c r="D2" s="71"/>
      <c r="E2" s="71"/>
      <c r="F2" s="71"/>
      <c r="G2" s="71"/>
      <c r="H2" s="71"/>
      <c r="I2" s="71"/>
      <c r="J2" s="70"/>
      <c r="L2" s="75" t="s">
        <v>164</v>
      </c>
    </row>
    <row r="3" spans="1:18" ht="17" thickBot="1" x14ac:dyDescent="0.25">
      <c r="A3" s="108"/>
      <c r="B3" s="71"/>
      <c r="C3" s="71"/>
      <c r="D3" s="71"/>
      <c r="E3" s="71"/>
      <c r="F3" s="71"/>
      <c r="G3" s="71"/>
      <c r="H3" s="71"/>
      <c r="I3" s="71"/>
      <c r="J3" s="70"/>
      <c r="L3" s="116"/>
      <c r="M3" s="100"/>
      <c r="N3" s="100"/>
      <c r="O3" s="100"/>
      <c r="P3" s="100"/>
      <c r="Q3" s="100"/>
      <c r="R3" s="100"/>
    </row>
    <row r="4" spans="1:18" ht="19" thickBot="1" x14ac:dyDescent="0.25">
      <c r="A4" s="108"/>
      <c r="B4" s="71"/>
      <c r="C4" s="71" t="s">
        <v>163</v>
      </c>
      <c r="D4" s="71"/>
      <c r="E4" s="71"/>
      <c r="F4" s="71"/>
      <c r="G4" s="71"/>
      <c r="H4" s="71"/>
      <c r="I4" s="71"/>
      <c r="J4" s="70"/>
      <c r="L4" s="103" t="s">
        <v>162</v>
      </c>
      <c r="M4" s="115">
        <f>F6*F10</f>
        <v>1750000</v>
      </c>
      <c r="N4" t="s">
        <v>161</v>
      </c>
      <c r="O4" s="100"/>
      <c r="P4" s="100"/>
      <c r="Q4" s="100"/>
      <c r="R4" s="100"/>
    </row>
    <row r="5" spans="1:18" x14ac:dyDescent="0.2">
      <c r="A5" s="108"/>
      <c r="B5" s="71"/>
      <c r="C5" s="71"/>
      <c r="D5" s="71"/>
      <c r="E5" s="71"/>
      <c r="F5" s="71"/>
      <c r="G5" s="71"/>
      <c r="H5" s="71"/>
      <c r="I5" s="71"/>
      <c r="J5" s="70"/>
      <c r="L5" s="116"/>
      <c r="M5" s="107"/>
      <c r="O5" s="100"/>
      <c r="P5" s="100"/>
      <c r="Q5" s="100"/>
      <c r="R5" s="100"/>
    </row>
    <row r="6" spans="1:18" ht="18" x14ac:dyDescent="0.2">
      <c r="A6" s="108"/>
      <c r="B6" s="71"/>
      <c r="C6" s="71" t="s">
        <v>160</v>
      </c>
      <c r="D6" s="71"/>
      <c r="E6" s="71"/>
      <c r="F6" s="119">
        <v>700000</v>
      </c>
      <c r="G6" s="71"/>
      <c r="H6" s="71"/>
      <c r="I6" s="71"/>
      <c r="J6" s="70"/>
      <c r="L6" s="113" t="s">
        <v>159</v>
      </c>
      <c r="M6" s="107">
        <f>(1-1/F10)</f>
        <v>0.6</v>
      </c>
      <c r="O6" s="100"/>
      <c r="P6" s="100"/>
      <c r="Q6" s="100"/>
      <c r="R6" s="100"/>
    </row>
    <row r="7" spans="1:18" ht="18" x14ac:dyDescent="0.2">
      <c r="A7" s="108"/>
      <c r="B7" s="71"/>
      <c r="C7" s="71" t="s">
        <v>158</v>
      </c>
      <c r="D7" s="71"/>
      <c r="E7" s="71"/>
      <c r="F7" s="119">
        <v>3000000</v>
      </c>
      <c r="G7" s="71"/>
      <c r="H7" s="71"/>
      <c r="I7" s="71"/>
      <c r="J7" s="70"/>
      <c r="L7" s="113" t="s">
        <v>157</v>
      </c>
      <c r="M7" s="112">
        <f>F7*F8</f>
        <v>1875000</v>
      </c>
      <c r="N7" s="100"/>
      <c r="O7" s="100"/>
      <c r="P7" s="100"/>
      <c r="Q7" s="100"/>
      <c r="R7" s="100"/>
    </row>
    <row r="8" spans="1:18" ht="17" thickBot="1" x14ac:dyDescent="0.25">
      <c r="A8" s="108"/>
      <c r="B8" s="71"/>
      <c r="C8" s="71" t="s">
        <v>156</v>
      </c>
      <c r="D8" s="71"/>
      <c r="E8" s="71"/>
      <c r="F8" s="118">
        <v>0.625</v>
      </c>
      <c r="G8" s="71"/>
      <c r="H8" s="71"/>
      <c r="I8" s="71"/>
      <c r="J8" s="70"/>
      <c r="L8" s="116"/>
      <c r="M8" s="107"/>
      <c r="N8" s="100"/>
      <c r="O8" s="100"/>
      <c r="P8" s="100"/>
      <c r="Q8" s="100"/>
      <c r="R8" s="100"/>
    </row>
    <row r="9" spans="1:18" ht="19" thickBot="1" x14ac:dyDescent="0.25">
      <c r="A9" s="108"/>
      <c r="B9" s="71"/>
      <c r="C9" s="71" t="s">
        <v>155</v>
      </c>
      <c r="D9" s="71"/>
      <c r="E9" s="71"/>
      <c r="F9" s="117">
        <v>1.5</v>
      </c>
      <c r="G9" s="71"/>
      <c r="H9" s="71"/>
      <c r="I9" s="71"/>
      <c r="J9" s="70"/>
      <c r="L9" s="103" t="s">
        <v>142</v>
      </c>
      <c r="M9" s="115">
        <f>F6+M6*M7</f>
        <v>1825000</v>
      </c>
      <c r="N9" t="s">
        <v>154</v>
      </c>
      <c r="O9" s="100"/>
      <c r="P9" s="100"/>
      <c r="Q9" s="100"/>
      <c r="R9" s="100"/>
    </row>
    <row r="10" spans="1:18" ht="17" thickBot="1" x14ac:dyDescent="0.25">
      <c r="A10" s="108"/>
      <c r="B10" s="71"/>
      <c r="C10" s="71" t="s">
        <v>153</v>
      </c>
      <c r="D10" s="71"/>
      <c r="E10" s="71"/>
      <c r="F10" s="117">
        <v>2.5</v>
      </c>
      <c r="G10" s="71"/>
      <c r="H10" s="71"/>
      <c r="I10" s="71"/>
      <c r="J10" s="70"/>
      <c r="L10" s="116"/>
      <c r="M10" s="107"/>
      <c r="N10" s="100"/>
      <c r="O10" s="100"/>
      <c r="P10" s="100"/>
      <c r="Q10" s="100"/>
      <c r="R10" s="100"/>
    </row>
    <row r="11" spans="1:18" ht="19" thickBot="1" x14ac:dyDescent="0.25">
      <c r="A11" s="108"/>
      <c r="B11" s="71"/>
      <c r="C11" s="71"/>
      <c r="D11" s="71"/>
      <c r="E11" s="71"/>
      <c r="F11" s="71"/>
      <c r="G11" s="71"/>
      <c r="H11" s="71"/>
      <c r="I11" s="71"/>
      <c r="J11" s="70"/>
      <c r="L11" s="103" t="s">
        <v>133</v>
      </c>
      <c r="M11" s="115">
        <f>F6+M6*M9</f>
        <v>1795000</v>
      </c>
      <c r="N11" t="s">
        <v>152</v>
      </c>
      <c r="O11" s="100"/>
      <c r="P11" s="100"/>
      <c r="Q11" s="100"/>
      <c r="R11" s="100"/>
    </row>
    <row r="12" spans="1:18" x14ac:dyDescent="0.2">
      <c r="A12" s="108" t="s">
        <v>0</v>
      </c>
      <c r="B12" s="71" t="s">
        <v>151</v>
      </c>
      <c r="C12" s="71" t="s">
        <v>150</v>
      </c>
      <c r="D12" s="71"/>
      <c r="E12" s="71"/>
      <c r="F12" s="71"/>
      <c r="G12" s="71"/>
      <c r="H12" s="71"/>
      <c r="I12" s="71"/>
      <c r="J12" s="70"/>
      <c r="L12" s="100"/>
      <c r="M12" s="100"/>
      <c r="N12" s="100"/>
      <c r="O12" s="100"/>
      <c r="P12" s="100"/>
      <c r="Q12" s="100"/>
      <c r="R12" s="100"/>
    </row>
    <row r="13" spans="1:18" x14ac:dyDescent="0.2">
      <c r="A13" s="108"/>
      <c r="B13" s="80"/>
      <c r="C13" s="71" t="s">
        <v>149</v>
      </c>
      <c r="D13" s="71"/>
      <c r="E13" s="71"/>
      <c r="F13" s="71"/>
      <c r="G13" s="71"/>
      <c r="H13" s="71"/>
      <c r="I13" s="71"/>
      <c r="J13" s="70"/>
      <c r="L13" s="9" t="s">
        <v>148</v>
      </c>
      <c r="M13" s="100"/>
      <c r="N13" s="100"/>
      <c r="O13" s="100"/>
      <c r="P13" s="100"/>
      <c r="Q13" s="100"/>
      <c r="R13" s="100"/>
    </row>
    <row r="14" spans="1:18" x14ac:dyDescent="0.2">
      <c r="A14" s="108"/>
      <c r="B14" s="80"/>
      <c r="C14" s="71"/>
      <c r="D14" s="71"/>
      <c r="E14" s="71"/>
      <c r="F14" s="71"/>
      <c r="G14" s="71"/>
      <c r="H14" s="71"/>
      <c r="I14" s="71"/>
      <c r="J14" s="70"/>
      <c r="L14" s="100"/>
      <c r="M14" s="100"/>
      <c r="N14" s="100"/>
      <c r="O14" s="100"/>
      <c r="P14" s="100"/>
      <c r="Q14" s="100"/>
      <c r="R14" s="100"/>
    </row>
    <row r="15" spans="1:18" ht="18" x14ac:dyDescent="0.2">
      <c r="A15" s="108"/>
      <c r="B15" s="80"/>
      <c r="C15" s="71" t="s">
        <v>147</v>
      </c>
      <c r="D15" s="71"/>
      <c r="E15" s="71"/>
      <c r="F15" s="71"/>
      <c r="G15" s="71"/>
      <c r="H15" s="71"/>
      <c r="I15" s="71"/>
      <c r="J15" s="70"/>
      <c r="L15" s="104" t="s">
        <v>146</v>
      </c>
      <c r="M15" s="114">
        <f>F10/F9</f>
        <v>1.6666666666666667</v>
      </c>
      <c r="N15" s="100"/>
      <c r="O15" s="100"/>
      <c r="P15" s="100"/>
      <c r="Q15" s="100"/>
      <c r="R15" s="100"/>
    </row>
    <row r="16" spans="1:18" ht="18" x14ac:dyDescent="0.2">
      <c r="A16" s="108"/>
      <c r="B16" s="80"/>
      <c r="C16" s="71" t="s">
        <v>145</v>
      </c>
      <c r="D16" s="71"/>
      <c r="E16" s="71"/>
      <c r="F16" s="71"/>
      <c r="G16" s="71"/>
      <c r="H16" s="71"/>
      <c r="I16" s="71"/>
      <c r="J16" s="70"/>
      <c r="L16" s="113" t="s">
        <v>144</v>
      </c>
      <c r="M16" s="110">
        <f>(1-1/M15)</f>
        <v>0.4</v>
      </c>
      <c r="O16" s="100"/>
      <c r="P16" s="100"/>
      <c r="Q16" s="100"/>
      <c r="R16" s="100"/>
    </row>
    <row r="17" spans="1:18" x14ac:dyDescent="0.2">
      <c r="A17" s="108"/>
      <c r="B17" s="80"/>
      <c r="C17" s="71" t="s">
        <v>143</v>
      </c>
      <c r="D17" s="71"/>
      <c r="E17" s="71"/>
      <c r="F17" s="71"/>
      <c r="G17" s="71"/>
      <c r="H17" s="71"/>
      <c r="I17" s="71"/>
      <c r="J17" s="70"/>
      <c r="N17" s="100"/>
      <c r="O17" s="100"/>
      <c r="P17" s="100"/>
      <c r="Q17" s="100"/>
      <c r="R17" s="100"/>
    </row>
    <row r="18" spans="1:18" ht="18" x14ac:dyDescent="0.2">
      <c r="A18" s="108"/>
      <c r="B18" s="80"/>
      <c r="C18" s="71"/>
      <c r="D18" s="71"/>
      <c r="E18" s="71"/>
      <c r="F18" s="71"/>
      <c r="G18" s="71"/>
      <c r="H18" s="71"/>
      <c r="I18" s="71"/>
      <c r="J18" s="70"/>
      <c r="L18" s="104" t="s">
        <v>142</v>
      </c>
      <c r="M18" s="112">
        <f>F6+M16*M7</f>
        <v>1450000</v>
      </c>
      <c r="N18" s="111" t="s">
        <v>141</v>
      </c>
      <c r="O18" s="100"/>
      <c r="P18" s="100"/>
      <c r="Q18" s="100"/>
      <c r="R18" s="100"/>
    </row>
    <row r="19" spans="1:18" ht="18" x14ac:dyDescent="0.2">
      <c r="A19" s="108" t="s">
        <v>1</v>
      </c>
      <c r="B19" s="88" t="s">
        <v>140</v>
      </c>
      <c r="C19" s="71" t="s">
        <v>139</v>
      </c>
      <c r="D19" s="71"/>
      <c r="E19" s="71"/>
      <c r="F19" s="71"/>
      <c r="G19" s="71"/>
      <c r="H19" s="71"/>
      <c r="I19" s="71"/>
      <c r="J19" s="70"/>
      <c r="L19" s="104" t="s">
        <v>133</v>
      </c>
      <c r="M19" s="106" t="s">
        <v>138</v>
      </c>
      <c r="N19" s="111"/>
      <c r="O19" s="100"/>
      <c r="P19" s="100"/>
      <c r="Q19" s="100"/>
      <c r="R19" s="100"/>
    </row>
    <row r="20" spans="1:18" ht="18" x14ac:dyDescent="0.2">
      <c r="A20" s="108"/>
      <c r="B20" s="80"/>
      <c r="C20" s="71" t="s">
        <v>137</v>
      </c>
      <c r="D20" s="71"/>
      <c r="E20" s="71"/>
      <c r="F20" s="71"/>
      <c r="G20" s="71"/>
      <c r="H20" s="71"/>
      <c r="I20" s="71"/>
      <c r="J20" s="70"/>
      <c r="L20" s="104" t="s">
        <v>133</v>
      </c>
      <c r="M20" s="112">
        <f>F6+M16*M18</f>
        <v>1280000</v>
      </c>
      <c r="N20" s="111" t="s">
        <v>136</v>
      </c>
      <c r="O20" s="100"/>
      <c r="P20" s="100"/>
      <c r="Q20" s="100"/>
      <c r="R20" s="100"/>
    </row>
    <row r="21" spans="1:18" x14ac:dyDescent="0.2">
      <c r="A21" s="108"/>
      <c r="B21" s="80"/>
      <c r="C21" s="71" t="s">
        <v>135</v>
      </c>
      <c r="D21" s="71"/>
      <c r="E21" s="71"/>
      <c r="F21" s="71"/>
      <c r="G21" s="71"/>
      <c r="H21" s="71"/>
      <c r="I21" s="71"/>
      <c r="J21" s="70"/>
      <c r="L21" s="104"/>
      <c r="M21" s="110"/>
      <c r="N21" s="100"/>
      <c r="O21" s="100"/>
      <c r="P21" s="100"/>
      <c r="Q21" s="100"/>
      <c r="R21" s="100"/>
    </row>
    <row r="22" spans="1:18" ht="18" x14ac:dyDescent="0.25">
      <c r="A22" s="108"/>
      <c r="B22" s="80"/>
      <c r="C22" s="71" t="s">
        <v>134</v>
      </c>
      <c r="D22" s="71"/>
      <c r="E22" s="71"/>
      <c r="F22" s="71"/>
      <c r="G22" s="71"/>
      <c r="H22" s="71"/>
      <c r="I22" s="71"/>
      <c r="J22" s="70"/>
      <c r="L22" s="104" t="s">
        <v>133</v>
      </c>
      <c r="M22" s="109" t="s">
        <v>132</v>
      </c>
      <c r="N22" s="100"/>
      <c r="O22" s="100"/>
      <c r="P22" s="100"/>
      <c r="Q22" s="100"/>
      <c r="R22" s="100"/>
    </row>
    <row r="23" spans="1:18" ht="17" thickBot="1" x14ac:dyDescent="0.25">
      <c r="A23" s="108"/>
      <c r="B23" s="80"/>
      <c r="C23" s="71"/>
      <c r="D23" s="71"/>
      <c r="E23" s="71"/>
      <c r="F23" s="71"/>
      <c r="G23" s="71"/>
      <c r="H23" s="71"/>
      <c r="I23" s="71"/>
      <c r="J23" s="70"/>
      <c r="L23" s="107" t="s">
        <v>131</v>
      </c>
      <c r="M23" s="106" t="s">
        <v>130</v>
      </c>
      <c r="N23" s="100"/>
      <c r="P23" s="100"/>
      <c r="Q23" s="100"/>
      <c r="R23" s="100"/>
    </row>
    <row r="24" spans="1:18" ht="17" thickBot="1" x14ac:dyDescent="0.25">
      <c r="A24" s="105" t="s">
        <v>63</v>
      </c>
      <c r="B24" s="65"/>
      <c r="C24" s="67"/>
      <c r="D24" s="65"/>
      <c r="E24" s="65"/>
      <c r="F24" s="65"/>
      <c r="G24" s="65"/>
      <c r="H24" s="65"/>
      <c r="I24" s="65"/>
      <c r="J24" s="64"/>
      <c r="L24" s="104"/>
      <c r="M24" s="100"/>
      <c r="N24" s="100"/>
      <c r="O24" s="100"/>
      <c r="P24" s="100"/>
      <c r="Q24" s="100"/>
      <c r="R24" s="100"/>
    </row>
    <row r="25" spans="1:18" ht="17" thickBot="1" x14ac:dyDescent="0.25">
      <c r="L25" s="103" t="s">
        <v>129</v>
      </c>
      <c r="M25" s="102">
        <f>(M18-M20+50000)/(1.4-1)</f>
        <v>550000.00000000012</v>
      </c>
      <c r="N25" s="100"/>
      <c r="O25" s="100"/>
      <c r="P25" s="100"/>
      <c r="Q25" s="100"/>
      <c r="R25" s="100"/>
    </row>
    <row r="26" spans="1:18" x14ac:dyDescent="0.2">
      <c r="L26" s="100"/>
      <c r="M26" s="100"/>
      <c r="N26" s="100"/>
      <c r="O26" s="100"/>
      <c r="P26" s="100"/>
      <c r="Q26" s="100"/>
      <c r="R26" s="100"/>
    </row>
    <row r="27" spans="1:18" ht="19" x14ac:dyDescent="0.2">
      <c r="L27" s="101" t="s">
        <v>71</v>
      </c>
      <c r="M27" s="100"/>
      <c r="N27" s="100"/>
      <c r="O27" s="100"/>
      <c r="P27" s="100"/>
      <c r="Q27" s="100"/>
      <c r="R27" s="100"/>
    </row>
    <row r="28" spans="1:18" x14ac:dyDescent="0.2">
      <c r="L28" s="182" t="s">
        <v>128</v>
      </c>
      <c r="M28" s="182"/>
      <c r="N28" s="182"/>
      <c r="O28" s="182"/>
      <c r="P28" s="182"/>
      <c r="Q28" s="182"/>
      <c r="R28" s="182"/>
    </row>
    <row r="29" spans="1:18" x14ac:dyDescent="0.2">
      <c r="L29" s="182"/>
      <c r="M29" s="182"/>
      <c r="N29" s="182"/>
      <c r="O29" s="182"/>
      <c r="P29" s="182"/>
      <c r="Q29" s="182"/>
      <c r="R29" s="182"/>
    </row>
    <row r="30" spans="1:18" x14ac:dyDescent="0.2">
      <c r="L30" s="182"/>
      <c r="M30" s="182"/>
      <c r="N30" s="182"/>
      <c r="O30" s="182"/>
      <c r="P30" s="182"/>
      <c r="Q30" s="182"/>
      <c r="R30" s="182"/>
    </row>
    <row r="31" spans="1:18" x14ac:dyDescent="0.2">
      <c r="L31" s="100"/>
      <c r="M31" s="100"/>
      <c r="N31" s="100"/>
      <c r="O31" s="100"/>
      <c r="P31" s="100"/>
      <c r="Q31" s="100"/>
      <c r="R31" s="100"/>
    </row>
    <row r="32" spans="1:18" ht="19" x14ac:dyDescent="0.25">
      <c r="L32" s="3" t="s">
        <v>72</v>
      </c>
      <c r="M32" s="100"/>
      <c r="N32" s="100"/>
      <c r="O32" s="100"/>
      <c r="P32" s="100"/>
      <c r="Q32" s="100"/>
      <c r="R32" s="100"/>
    </row>
    <row r="33" spans="12:18" x14ac:dyDescent="0.2">
      <c r="L33" s="100" t="s">
        <v>127</v>
      </c>
      <c r="M33" s="99"/>
      <c r="N33" s="99"/>
      <c r="O33" s="99"/>
      <c r="P33" s="99"/>
      <c r="Q33" s="99"/>
      <c r="R33" s="99"/>
    </row>
  </sheetData>
  <mergeCells count="1">
    <mergeCell ref="L28:R30"/>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4535F-0799-BE4C-B743-4AAA02F104FB}">
  <dimension ref="A1:S33"/>
  <sheetViews>
    <sheetView workbookViewId="0">
      <selection activeCell="B1" sqref="B1"/>
    </sheetView>
  </sheetViews>
  <sheetFormatPr baseColWidth="10" defaultColWidth="11" defaultRowHeight="16" outlineLevelCol="1" x14ac:dyDescent="0.2"/>
  <cols>
    <col min="1" max="1" width="4" style="98" customWidth="1"/>
    <col min="2" max="2" width="11.5" customWidth="1"/>
    <col min="12" max="12" width="10.83203125" hidden="1" customWidth="1" outlineLevel="1"/>
    <col min="13" max="13" width="13.33203125" hidden="1" customWidth="1" outlineLevel="1"/>
    <col min="14" max="18" width="10.83203125" hidden="1" customWidth="1" outlineLevel="1"/>
    <col min="19" max="19" width="11" collapsed="1"/>
  </cols>
  <sheetData>
    <row r="1" spans="1:18" x14ac:dyDescent="0.2">
      <c r="A1" s="122"/>
      <c r="B1" s="84" t="s">
        <v>169</v>
      </c>
      <c r="C1" s="83" t="s">
        <v>192</v>
      </c>
      <c r="D1" s="83" t="s">
        <v>167</v>
      </c>
      <c r="E1" s="83" t="s">
        <v>191</v>
      </c>
      <c r="F1" s="82"/>
      <c r="G1" s="82"/>
      <c r="H1" s="82"/>
      <c r="I1" s="82"/>
      <c r="J1" s="81"/>
      <c r="K1" s="75" t="s">
        <v>64</v>
      </c>
      <c r="L1" s="75"/>
    </row>
    <row r="2" spans="1:18" x14ac:dyDescent="0.2">
      <c r="A2" s="108"/>
      <c r="B2" s="121" t="s">
        <v>165</v>
      </c>
      <c r="C2" s="120">
        <v>2</v>
      </c>
      <c r="D2" s="71"/>
      <c r="E2" s="71"/>
      <c r="F2" s="71"/>
      <c r="G2" s="71"/>
      <c r="H2" s="71"/>
      <c r="I2" s="71"/>
      <c r="J2" s="70"/>
      <c r="L2" s="75" t="s">
        <v>164</v>
      </c>
    </row>
    <row r="3" spans="1:18" x14ac:dyDescent="0.2">
      <c r="A3" s="108"/>
      <c r="B3" s="71"/>
      <c r="C3" s="71"/>
      <c r="D3" s="71"/>
      <c r="E3" s="71"/>
      <c r="F3" s="71"/>
      <c r="G3" s="71"/>
      <c r="H3" s="71"/>
      <c r="I3" s="71"/>
      <c r="J3" s="70"/>
    </row>
    <row r="4" spans="1:18" ht="18" x14ac:dyDescent="0.2">
      <c r="A4" s="108"/>
      <c r="B4" s="71"/>
      <c r="C4" s="71" t="s">
        <v>6</v>
      </c>
      <c r="D4" s="71"/>
      <c r="E4" s="71"/>
      <c r="F4" s="71"/>
      <c r="G4" s="71"/>
      <c r="H4" s="71"/>
      <c r="I4" s="71"/>
      <c r="J4" s="70"/>
      <c r="L4" s="146" t="s">
        <v>190</v>
      </c>
      <c r="M4" s="145">
        <f>(F19-E11)/E19</f>
        <v>0.14238253440911247</v>
      </c>
    </row>
    <row r="5" spans="1:18" ht="18" x14ac:dyDescent="0.2">
      <c r="A5" s="108"/>
      <c r="B5" s="71"/>
      <c r="C5" s="71"/>
      <c r="D5" s="71"/>
      <c r="E5" s="71"/>
      <c r="F5" s="71"/>
      <c r="G5" s="71"/>
      <c r="H5" s="71"/>
      <c r="I5" s="71"/>
      <c r="J5" s="70"/>
      <c r="L5" s="146" t="s">
        <v>189</v>
      </c>
      <c r="M5" s="145">
        <f>1-M4</f>
        <v>0.85761746559088747</v>
      </c>
    </row>
    <row r="6" spans="1:18" ht="17" thickBot="1" x14ac:dyDescent="0.25">
      <c r="A6" s="108"/>
      <c r="B6" s="71"/>
      <c r="C6" s="183" t="s">
        <v>188</v>
      </c>
      <c r="D6" s="183"/>
      <c r="E6" s="183"/>
      <c r="F6" s="183"/>
      <c r="G6" s="183"/>
      <c r="H6" s="71"/>
      <c r="I6" s="71"/>
      <c r="J6" s="70"/>
      <c r="L6" s="146"/>
      <c r="M6" s="145"/>
    </row>
    <row r="7" spans="1:18" ht="19" thickBot="1" x14ac:dyDescent="0.3">
      <c r="A7" s="108"/>
      <c r="B7" s="71"/>
      <c r="C7" s="132" t="s">
        <v>187</v>
      </c>
      <c r="D7" s="144"/>
      <c r="E7" s="144"/>
      <c r="F7" s="144"/>
      <c r="G7" s="137"/>
      <c r="H7" s="71"/>
      <c r="I7" s="71"/>
      <c r="J7" s="70"/>
      <c r="L7" s="140" t="s">
        <v>186</v>
      </c>
      <c r="M7" s="143">
        <f>1/M5</f>
        <v>1.1660210293303819</v>
      </c>
    </row>
    <row r="8" spans="1:18" x14ac:dyDescent="0.2">
      <c r="A8" s="108"/>
      <c r="B8" s="71"/>
      <c r="C8" s="126" t="s">
        <v>179</v>
      </c>
      <c r="D8" s="142">
        <v>12</v>
      </c>
      <c r="E8" s="142">
        <v>24</v>
      </c>
      <c r="F8" s="142">
        <v>36</v>
      </c>
      <c r="G8" s="141">
        <v>48</v>
      </c>
      <c r="H8" s="71"/>
      <c r="I8" s="71"/>
      <c r="J8" s="70"/>
      <c r="L8" s="133"/>
      <c r="M8" s="133"/>
    </row>
    <row r="9" spans="1:18" x14ac:dyDescent="0.2">
      <c r="A9" s="108"/>
      <c r="B9" s="71"/>
      <c r="C9" s="129">
        <v>2009</v>
      </c>
      <c r="D9" s="128">
        <v>5751</v>
      </c>
      <c r="E9" s="128">
        <v>10640</v>
      </c>
      <c r="F9" s="128">
        <v>11491</v>
      </c>
      <c r="G9" s="127">
        <v>12181</v>
      </c>
      <c r="H9" s="71"/>
      <c r="I9" s="71"/>
      <c r="J9" s="70"/>
      <c r="L9" s="75" t="s">
        <v>148</v>
      </c>
      <c r="M9" s="133"/>
    </row>
    <row r="10" spans="1:18" x14ac:dyDescent="0.2">
      <c r="A10" s="108"/>
      <c r="B10" s="71"/>
      <c r="C10" s="129">
        <v>2010</v>
      </c>
      <c r="D10" s="128">
        <v>5528</v>
      </c>
      <c r="E10" s="128">
        <v>9287</v>
      </c>
      <c r="F10" s="128">
        <v>10680</v>
      </c>
      <c r="G10" s="127"/>
      <c r="H10" s="71"/>
      <c r="I10" s="71"/>
      <c r="J10" s="70"/>
      <c r="L10" s="133"/>
      <c r="M10" s="133"/>
    </row>
    <row r="11" spans="1:18" x14ac:dyDescent="0.2">
      <c r="A11" s="108"/>
      <c r="B11" s="71"/>
      <c r="C11" s="129">
        <v>2011</v>
      </c>
      <c r="D11" s="128">
        <v>4120</v>
      </c>
      <c r="E11" s="128">
        <v>7004</v>
      </c>
      <c r="F11" s="128"/>
      <c r="G11" s="127"/>
      <c r="H11" s="71"/>
      <c r="I11" s="71"/>
      <c r="J11" s="70"/>
      <c r="L11" s="185" t="s">
        <v>185</v>
      </c>
      <c r="M11" s="185"/>
      <c r="N11" s="185"/>
      <c r="O11" s="185"/>
      <c r="P11" s="185"/>
      <c r="Q11" s="185"/>
      <c r="R11" s="185"/>
    </row>
    <row r="12" spans="1:18" x14ac:dyDescent="0.2">
      <c r="A12" s="108"/>
      <c r="B12" s="71"/>
      <c r="C12" s="126">
        <v>2012</v>
      </c>
      <c r="D12" s="125">
        <v>5304</v>
      </c>
      <c r="E12" s="125"/>
      <c r="F12" s="125"/>
      <c r="G12" s="124"/>
      <c r="H12" s="71"/>
      <c r="I12" s="71"/>
      <c r="J12" s="70"/>
      <c r="L12" s="185"/>
      <c r="M12" s="185"/>
      <c r="N12" s="185"/>
      <c r="O12" s="185"/>
      <c r="P12" s="185"/>
      <c r="Q12" s="185"/>
      <c r="R12" s="185"/>
    </row>
    <row r="13" spans="1:18" ht="17" thickBot="1" x14ac:dyDescent="0.25">
      <c r="A13" s="108"/>
      <c r="B13" s="80"/>
      <c r="C13" s="71"/>
      <c r="D13" s="71"/>
      <c r="E13" s="71"/>
      <c r="F13" s="71"/>
      <c r="G13" s="71"/>
      <c r="H13" s="71"/>
      <c r="I13" s="71"/>
      <c r="J13" s="70"/>
      <c r="L13" s="133"/>
      <c r="M13" s="133"/>
    </row>
    <row r="14" spans="1:18" ht="19" thickBot="1" x14ac:dyDescent="0.3">
      <c r="A14" s="108"/>
      <c r="B14" s="80"/>
      <c r="C14" s="80"/>
      <c r="D14" s="184" t="s">
        <v>184</v>
      </c>
      <c r="E14" s="180"/>
      <c r="F14" s="181"/>
      <c r="G14" s="71"/>
      <c r="H14" s="71"/>
      <c r="I14" s="71"/>
      <c r="J14" s="70"/>
      <c r="L14" s="140" t="s">
        <v>183</v>
      </c>
      <c r="M14" s="139">
        <f>E11*M7</f>
        <v>8166.8112894299948</v>
      </c>
    </row>
    <row r="15" spans="1:18" x14ac:dyDescent="0.2">
      <c r="A15" s="108"/>
      <c r="B15" s="80"/>
      <c r="C15" s="80"/>
      <c r="D15" s="138" t="s">
        <v>182</v>
      </c>
      <c r="E15" s="138" t="s">
        <v>181</v>
      </c>
      <c r="F15" s="137" t="s">
        <v>180</v>
      </c>
      <c r="G15" s="71"/>
      <c r="H15" s="71"/>
      <c r="I15" s="71"/>
      <c r="J15" s="70"/>
      <c r="L15" s="133"/>
      <c r="M15" s="133"/>
    </row>
    <row r="16" spans="1:18" ht="18" customHeight="1" x14ac:dyDescent="0.2">
      <c r="A16" s="108"/>
      <c r="B16" s="80"/>
      <c r="C16" s="80"/>
      <c r="D16" s="136" t="s">
        <v>179</v>
      </c>
      <c r="E16" s="135" t="s">
        <v>178</v>
      </c>
      <c r="F16" s="134" t="s">
        <v>177</v>
      </c>
      <c r="G16" s="71"/>
      <c r="H16" s="71"/>
      <c r="I16" s="71"/>
      <c r="J16" s="70"/>
      <c r="L16" s="123" t="s">
        <v>71</v>
      </c>
      <c r="M16" s="133"/>
    </row>
    <row r="17" spans="1:18" x14ac:dyDescent="0.2">
      <c r="A17" s="108"/>
      <c r="B17" s="80"/>
      <c r="C17" s="80"/>
      <c r="D17" s="132">
        <v>2009</v>
      </c>
      <c r="E17" s="131">
        <v>12181</v>
      </c>
      <c r="F17" s="130">
        <v>12181</v>
      </c>
      <c r="G17" s="71"/>
      <c r="H17" s="71"/>
      <c r="I17" s="71"/>
      <c r="J17" s="70"/>
      <c r="L17" s="178" t="s">
        <v>176</v>
      </c>
      <c r="M17" s="178"/>
      <c r="N17" s="178"/>
      <c r="O17" s="178"/>
      <c r="P17" s="178"/>
      <c r="Q17" s="178"/>
      <c r="R17" s="178"/>
    </row>
    <row r="18" spans="1:18" x14ac:dyDescent="0.2">
      <c r="A18" s="108"/>
      <c r="B18" s="80"/>
      <c r="C18" s="80"/>
      <c r="D18" s="129">
        <v>2010</v>
      </c>
      <c r="E18" s="128">
        <v>11246</v>
      </c>
      <c r="F18" s="127">
        <v>11316</v>
      </c>
      <c r="G18" s="71"/>
      <c r="H18" s="71"/>
      <c r="I18" s="71"/>
      <c r="J18" s="70"/>
      <c r="L18" s="178"/>
      <c r="M18" s="178"/>
      <c r="N18" s="178"/>
      <c r="O18" s="178"/>
      <c r="P18" s="178"/>
      <c r="Q18" s="178"/>
      <c r="R18" s="178"/>
    </row>
    <row r="19" spans="1:18" x14ac:dyDescent="0.2">
      <c r="A19" s="108"/>
      <c r="B19" s="80"/>
      <c r="C19" s="80"/>
      <c r="D19" s="129">
        <v>2011</v>
      </c>
      <c r="E19" s="128">
        <v>8428</v>
      </c>
      <c r="F19" s="127">
        <v>8204</v>
      </c>
      <c r="G19" s="71"/>
      <c r="H19" s="71"/>
      <c r="I19" s="71"/>
      <c r="J19" s="70"/>
      <c r="L19" s="178"/>
      <c r="M19" s="178"/>
      <c r="N19" s="178"/>
      <c r="O19" s="178"/>
      <c r="P19" s="178"/>
      <c r="Q19" s="178"/>
      <c r="R19" s="178"/>
    </row>
    <row r="20" spans="1:18" x14ac:dyDescent="0.2">
      <c r="A20" s="108"/>
      <c r="B20" s="80"/>
      <c r="C20" s="80"/>
      <c r="D20" s="126">
        <v>2012</v>
      </c>
      <c r="E20" s="125">
        <v>10403</v>
      </c>
      <c r="F20" s="124">
        <v>10609</v>
      </c>
      <c r="G20" s="71"/>
      <c r="H20" s="71"/>
      <c r="I20" s="71"/>
      <c r="J20" s="70"/>
      <c r="L20" s="178"/>
      <c r="M20" s="178"/>
      <c r="N20" s="178"/>
      <c r="O20" s="178"/>
      <c r="P20" s="178"/>
      <c r="Q20" s="178"/>
      <c r="R20" s="178"/>
    </row>
    <row r="21" spans="1:18" x14ac:dyDescent="0.2">
      <c r="A21" s="108"/>
      <c r="B21" s="80"/>
      <c r="C21" s="71"/>
      <c r="D21" s="71"/>
      <c r="E21" s="71"/>
      <c r="F21" s="71"/>
      <c r="G21" s="71"/>
      <c r="H21" s="71"/>
      <c r="I21" s="71"/>
      <c r="J21" s="70"/>
      <c r="L21" s="178"/>
      <c r="M21" s="178"/>
      <c r="N21" s="178"/>
      <c r="O21" s="178"/>
      <c r="P21" s="178"/>
      <c r="Q21" s="178"/>
      <c r="R21" s="178"/>
    </row>
    <row r="22" spans="1:18" x14ac:dyDescent="0.2">
      <c r="A22" s="108" t="s">
        <v>0</v>
      </c>
      <c r="B22" s="88" t="s">
        <v>140</v>
      </c>
      <c r="C22" s="71" t="s">
        <v>175</v>
      </c>
      <c r="D22" s="71"/>
      <c r="E22" s="71"/>
      <c r="F22" s="71"/>
      <c r="G22" s="71"/>
      <c r="H22" s="71"/>
      <c r="I22" s="71"/>
      <c r="J22" s="70"/>
      <c r="L22" s="178"/>
      <c r="M22" s="178"/>
      <c r="N22" s="178"/>
      <c r="O22" s="178"/>
      <c r="P22" s="178"/>
      <c r="Q22" s="178"/>
      <c r="R22" s="178"/>
    </row>
    <row r="23" spans="1:18" x14ac:dyDescent="0.2">
      <c r="A23" s="108"/>
      <c r="B23" s="71"/>
      <c r="C23" s="71" t="s">
        <v>174</v>
      </c>
      <c r="D23" s="71"/>
      <c r="E23" s="71"/>
      <c r="F23" s="71"/>
      <c r="G23" s="71"/>
      <c r="H23" s="71"/>
      <c r="I23" s="71"/>
      <c r="J23" s="70"/>
      <c r="L23" s="178"/>
      <c r="M23" s="178"/>
      <c r="N23" s="178"/>
      <c r="O23" s="178"/>
      <c r="P23" s="178"/>
      <c r="Q23" s="178"/>
      <c r="R23" s="178"/>
    </row>
    <row r="24" spans="1:18" x14ac:dyDescent="0.2">
      <c r="A24" s="108"/>
      <c r="B24" s="71"/>
      <c r="C24" s="73"/>
      <c r="D24" s="71"/>
      <c r="E24" s="71"/>
      <c r="F24" s="71"/>
      <c r="G24" s="71"/>
      <c r="H24" s="71"/>
      <c r="I24" s="71"/>
      <c r="J24" s="70"/>
      <c r="L24" s="178"/>
      <c r="M24" s="178"/>
      <c r="N24" s="178"/>
      <c r="O24" s="178"/>
      <c r="P24" s="178"/>
      <c r="Q24" s="178"/>
      <c r="R24" s="178"/>
    </row>
    <row r="25" spans="1:18" x14ac:dyDescent="0.2">
      <c r="A25" s="108" t="s">
        <v>1</v>
      </c>
      <c r="B25" s="71" t="s">
        <v>173</v>
      </c>
      <c r="C25" s="73" t="s">
        <v>172</v>
      </c>
      <c r="D25" s="71"/>
      <c r="E25" s="71"/>
      <c r="F25" s="71"/>
      <c r="G25" s="71"/>
      <c r="H25" s="71"/>
      <c r="I25" s="71"/>
      <c r="J25" s="70"/>
      <c r="L25" s="178"/>
      <c r="M25" s="178"/>
      <c r="N25" s="178"/>
      <c r="O25" s="178"/>
      <c r="P25" s="178"/>
      <c r="Q25" s="178"/>
      <c r="R25" s="178"/>
    </row>
    <row r="26" spans="1:18" x14ac:dyDescent="0.2">
      <c r="A26" s="108"/>
      <c r="B26" s="71"/>
      <c r="C26" s="71" t="s">
        <v>171</v>
      </c>
      <c r="D26" s="71"/>
      <c r="E26" s="71"/>
      <c r="F26" s="71"/>
      <c r="G26" s="71"/>
      <c r="H26" s="71"/>
      <c r="I26" s="71"/>
      <c r="J26" s="70"/>
      <c r="L26" s="178"/>
      <c r="M26" s="178"/>
      <c r="N26" s="178"/>
      <c r="O26" s="178"/>
      <c r="P26" s="178"/>
      <c r="Q26" s="178"/>
      <c r="R26" s="178"/>
    </row>
    <row r="27" spans="1:18" x14ac:dyDescent="0.2">
      <c r="A27" s="108"/>
      <c r="B27" s="71"/>
      <c r="C27" s="73" t="s">
        <v>170</v>
      </c>
      <c r="D27" s="71"/>
      <c r="E27" s="71"/>
      <c r="F27" s="71"/>
      <c r="G27" s="71"/>
      <c r="H27" s="71"/>
      <c r="I27" s="71"/>
      <c r="J27" s="70"/>
      <c r="L27" s="178"/>
      <c r="M27" s="178"/>
      <c r="N27" s="178"/>
      <c r="O27" s="178"/>
      <c r="P27" s="178"/>
      <c r="Q27" s="178"/>
      <c r="R27" s="178"/>
    </row>
    <row r="28" spans="1:18" ht="17" thickBot="1" x14ac:dyDescent="0.25">
      <c r="A28" s="108"/>
      <c r="B28" s="71"/>
      <c r="C28" s="71"/>
      <c r="D28" s="71"/>
      <c r="E28" s="71"/>
      <c r="F28" s="71"/>
      <c r="G28" s="71"/>
      <c r="H28" s="71"/>
      <c r="I28" s="71"/>
      <c r="J28" s="70"/>
      <c r="L28" s="178"/>
      <c r="M28" s="178"/>
      <c r="N28" s="178"/>
      <c r="O28" s="178"/>
      <c r="P28" s="178"/>
      <c r="Q28" s="178"/>
      <c r="R28" s="178"/>
    </row>
    <row r="29" spans="1:18" ht="17" thickBot="1" x14ac:dyDescent="0.25">
      <c r="A29" s="105" t="s">
        <v>63</v>
      </c>
      <c r="B29" s="65"/>
      <c r="C29" s="67"/>
      <c r="D29" s="65"/>
      <c r="E29" s="65"/>
      <c r="F29" s="65"/>
      <c r="G29" s="65"/>
      <c r="H29" s="65"/>
      <c r="I29" s="65"/>
      <c r="J29" s="64"/>
      <c r="L29" s="178"/>
      <c r="M29" s="178"/>
      <c r="N29" s="178"/>
      <c r="O29" s="178"/>
      <c r="P29" s="178"/>
      <c r="Q29" s="178"/>
      <c r="R29" s="178"/>
    </row>
    <row r="30" spans="1:18" x14ac:dyDescent="0.2">
      <c r="L30" s="178"/>
      <c r="M30" s="178"/>
      <c r="N30" s="178"/>
      <c r="O30" s="178"/>
      <c r="P30" s="178"/>
      <c r="Q30" s="178"/>
      <c r="R30" s="178"/>
    </row>
    <row r="32" spans="1:18" ht="19" x14ac:dyDescent="0.2">
      <c r="L32" s="123" t="s">
        <v>72</v>
      </c>
    </row>
    <row r="33" spans="12:12" x14ac:dyDescent="0.2">
      <c r="L33" s="100" t="s">
        <v>127</v>
      </c>
    </row>
  </sheetData>
  <mergeCells count="4">
    <mergeCell ref="C6:G6"/>
    <mergeCell ref="D14:F14"/>
    <mergeCell ref="L11:R12"/>
    <mergeCell ref="L17:R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06A53-A765-C44C-A95F-9995920F4FBA}">
  <dimension ref="A1:S43"/>
  <sheetViews>
    <sheetView workbookViewId="0">
      <selection activeCell="B1" sqref="B1"/>
    </sheetView>
  </sheetViews>
  <sheetFormatPr baseColWidth="10" defaultColWidth="11" defaultRowHeight="16" outlineLevelCol="1" x14ac:dyDescent="0.2"/>
  <cols>
    <col min="1" max="1" width="4" style="98" customWidth="1"/>
    <col min="2" max="2" width="11.5" customWidth="1"/>
    <col min="12" max="18" width="10.83203125" hidden="1" customWidth="1" outlineLevel="1"/>
    <col min="19" max="19" width="11" collapsed="1"/>
  </cols>
  <sheetData>
    <row r="1" spans="1:14" x14ac:dyDescent="0.2">
      <c r="A1" s="122"/>
      <c r="B1" s="84" t="s">
        <v>169</v>
      </c>
      <c r="C1" s="83" t="s">
        <v>224</v>
      </c>
      <c r="D1" s="83" t="s">
        <v>167</v>
      </c>
      <c r="E1" s="83" t="s">
        <v>223</v>
      </c>
      <c r="F1" s="82"/>
      <c r="G1" s="82"/>
      <c r="H1" s="82"/>
      <c r="I1" s="82"/>
      <c r="J1" s="81"/>
      <c r="K1" s="75" t="s">
        <v>64</v>
      </c>
      <c r="L1" s="75"/>
    </row>
    <row r="2" spans="1:14" x14ac:dyDescent="0.2">
      <c r="A2" s="108"/>
      <c r="B2" s="121" t="s">
        <v>165</v>
      </c>
      <c r="C2" s="120">
        <v>2.25</v>
      </c>
      <c r="D2" s="71"/>
      <c r="E2" s="71"/>
      <c r="F2" s="71"/>
      <c r="G2" s="71"/>
      <c r="H2" s="71"/>
      <c r="I2" s="71"/>
      <c r="J2" s="70"/>
    </row>
    <row r="3" spans="1:14" x14ac:dyDescent="0.2">
      <c r="A3" s="108"/>
      <c r="B3" s="71"/>
      <c r="C3" s="71"/>
      <c r="D3" s="71"/>
      <c r="E3" s="71"/>
      <c r="F3" s="71"/>
      <c r="G3" s="71"/>
      <c r="H3" s="71"/>
      <c r="I3" s="71"/>
      <c r="J3" s="70"/>
      <c r="L3" s="75" t="s">
        <v>164</v>
      </c>
      <c r="M3" s="152"/>
    </row>
    <row r="4" spans="1:14" x14ac:dyDescent="0.2">
      <c r="A4" s="108"/>
      <c r="B4" s="71"/>
      <c r="C4" s="71" t="s">
        <v>222</v>
      </c>
      <c r="D4" s="71"/>
      <c r="E4" s="71"/>
      <c r="F4" s="71"/>
      <c r="G4" s="71"/>
      <c r="H4" s="71"/>
      <c r="I4" s="71"/>
      <c r="J4" s="70"/>
      <c r="M4" s="152"/>
    </row>
    <row r="5" spans="1:14" x14ac:dyDescent="0.2">
      <c r="A5" s="108"/>
      <c r="B5" s="71"/>
      <c r="C5" s="71"/>
      <c r="D5" s="71"/>
      <c r="E5" s="71"/>
      <c r="F5" s="71"/>
      <c r="G5" s="71"/>
      <c r="H5" s="71"/>
      <c r="I5" s="71"/>
      <c r="J5" s="70"/>
      <c r="L5" t="s">
        <v>221</v>
      </c>
    </row>
    <row r="6" spans="1:14" x14ac:dyDescent="0.2">
      <c r="A6" s="108"/>
      <c r="B6" s="71"/>
      <c r="C6" s="71" t="s">
        <v>220</v>
      </c>
      <c r="D6" s="71"/>
      <c r="E6" s="71"/>
      <c r="F6" s="71"/>
      <c r="G6" s="151">
        <v>850000</v>
      </c>
      <c r="H6" s="71"/>
      <c r="I6" s="71"/>
      <c r="J6" s="70"/>
    </row>
    <row r="7" spans="1:14" x14ac:dyDescent="0.2">
      <c r="A7" s="108"/>
      <c r="B7" s="71"/>
      <c r="C7" s="71" t="s">
        <v>219</v>
      </c>
      <c r="D7" s="71"/>
      <c r="E7" s="71"/>
      <c r="F7" s="71"/>
      <c r="G7" s="151">
        <v>4000000</v>
      </c>
      <c r="H7" s="71"/>
      <c r="I7" s="71"/>
      <c r="J7" s="70"/>
      <c r="L7" t="s">
        <v>218</v>
      </c>
      <c r="M7" s="133" t="s">
        <v>217</v>
      </c>
    </row>
    <row r="8" spans="1:14" x14ac:dyDescent="0.2">
      <c r="A8" s="108"/>
      <c r="B8" s="71"/>
      <c r="C8" s="71" t="s">
        <v>216</v>
      </c>
      <c r="D8" s="71"/>
      <c r="E8" s="71"/>
      <c r="F8" s="71"/>
      <c r="G8" s="150">
        <v>0.67500000000000004</v>
      </c>
      <c r="H8" s="71"/>
      <c r="I8" s="71"/>
      <c r="J8" s="70"/>
      <c r="L8" t="s">
        <v>215</v>
      </c>
      <c r="M8" s="149">
        <f>G7*G8/1000</f>
        <v>2700</v>
      </c>
      <c r="N8" t="s">
        <v>214</v>
      </c>
    </row>
    <row r="9" spans="1:14" x14ac:dyDescent="0.2">
      <c r="A9" s="108"/>
      <c r="B9" s="71"/>
      <c r="C9" s="71" t="s">
        <v>213</v>
      </c>
      <c r="D9" s="71"/>
      <c r="E9" s="71"/>
      <c r="F9" s="71"/>
      <c r="G9" s="79">
        <v>1.6</v>
      </c>
      <c r="H9" s="71"/>
      <c r="I9" s="71"/>
      <c r="J9" s="70"/>
      <c r="L9" t="s">
        <v>123</v>
      </c>
      <c r="M9" s="145">
        <f>1/(G10/G9)</f>
        <v>0.53333333333333333</v>
      </c>
      <c r="N9" t="s">
        <v>212</v>
      </c>
    </row>
    <row r="10" spans="1:14" x14ac:dyDescent="0.2">
      <c r="A10" s="108"/>
      <c r="B10" s="71"/>
      <c r="C10" s="71" t="s">
        <v>211</v>
      </c>
      <c r="D10" s="71"/>
      <c r="E10" s="71"/>
      <c r="F10" s="71"/>
      <c r="G10" s="79">
        <v>3</v>
      </c>
      <c r="H10" s="71"/>
      <c r="I10" s="71"/>
      <c r="J10" s="70"/>
    </row>
    <row r="11" spans="1:14" x14ac:dyDescent="0.2">
      <c r="A11" s="108"/>
      <c r="B11" s="71"/>
      <c r="C11" s="71"/>
      <c r="D11" s="71"/>
      <c r="E11" s="71"/>
      <c r="F11" s="71"/>
      <c r="G11" s="71"/>
      <c r="H11" s="71"/>
      <c r="I11" s="71"/>
      <c r="J11" s="70"/>
      <c r="L11" t="s">
        <v>210</v>
      </c>
    </row>
    <row r="12" spans="1:14" x14ac:dyDescent="0.2">
      <c r="A12" s="108" t="s">
        <v>0</v>
      </c>
      <c r="B12" s="71" t="s">
        <v>140</v>
      </c>
      <c r="C12" s="71" t="s">
        <v>209</v>
      </c>
      <c r="D12" s="71"/>
      <c r="E12" s="71"/>
      <c r="F12" s="71"/>
      <c r="G12" s="71"/>
      <c r="H12" s="71"/>
      <c r="I12" s="71"/>
      <c r="J12" s="70"/>
    </row>
    <row r="13" spans="1:14" x14ac:dyDescent="0.2">
      <c r="A13" s="108"/>
      <c r="B13" s="71"/>
      <c r="C13" s="71" t="s">
        <v>208</v>
      </c>
      <c r="D13" s="71"/>
      <c r="E13" s="71"/>
      <c r="F13" s="71"/>
      <c r="G13" s="71"/>
      <c r="H13" s="71"/>
      <c r="I13" s="71"/>
      <c r="J13" s="70"/>
      <c r="L13" t="s">
        <v>207</v>
      </c>
    </row>
    <row r="14" spans="1:14" x14ac:dyDescent="0.2">
      <c r="A14" s="108"/>
      <c r="B14" s="80"/>
      <c r="C14" s="71" t="s">
        <v>206</v>
      </c>
      <c r="D14" s="71"/>
      <c r="E14" s="71"/>
      <c r="F14" s="71"/>
      <c r="G14" s="71"/>
      <c r="H14" s="71"/>
      <c r="I14" s="71"/>
      <c r="J14" s="70"/>
    </row>
    <row r="15" spans="1:14" x14ac:dyDescent="0.2">
      <c r="A15" s="108"/>
      <c r="B15" s="80"/>
      <c r="C15" s="71" t="s">
        <v>205</v>
      </c>
      <c r="D15" s="71"/>
      <c r="E15" s="71"/>
      <c r="F15" s="71"/>
      <c r="G15" s="71"/>
      <c r="H15" s="71"/>
      <c r="I15" s="71"/>
      <c r="J15" s="70"/>
      <c r="L15" t="s">
        <v>204</v>
      </c>
    </row>
    <row r="16" spans="1:14" x14ac:dyDescent="0.2">
      <c r="A16" s="108"/>
      <c r="B16" s="80"/>
      <c r="C16" s="71"/>
      <c r="D16" s="71"/>
      <c r="E16" s="71"/>
      <c r="F16" s="71"/>
      <c r="G16" s="71"/>
      <c r="H16" s="71"/>
      <c r="I16" s="71"/>
      <c r="J16" s="70"/>
    </row>
    <row r="17" spans="1:18" x14ac:dyDescent="0.2">
      <c r="A17" s="108" t="s">
        <v>1</v>
      </c>
      <c r="B17" s="88" t="s">
        <v>203</v>
      </c>
      <c r="C17" s="71" t="s">
        <v>202</v>
      </c>
      <c r="D17" s="71"/>
      <c r="E17" s="71"/>
      <c r="F17" s="71"/>
      <c r="G17" s="71"/>
      <c r="H17" s="71"/>
      <c r="I17" s="71"/>
      <c r="J17" s="70"/>
      <c r="L17" t="s">
        <v>201</v>
      </c>
    </row>
    <row r="18" spans="1:18" ht="17" thickBot="1" x14ac:dyDescent="0.25">
      <c r="A18" s="108"/>
      <c r="B18" s="80"/>
      <c r="C18" s="71" t="s">
        <v>200</v>
      </c>
      <c r="D18" s="71"/>
      <c r="E18" s="71"/>
      <c r="F18" s="71"/>
      <c r="G18" s="71"/>
      <c r="H18" s="71"/>
      <c r="I18" s="71"/>
      <c r="J18" s="70"/>
    </row>
    <row r="19" spans="1:18" ht="17" thickBot="1" x14ac:dyDescent="0.25">
      <c r="A19" s="108"/>
      <c r="B19" s="80"/>
      <c r="C19" s="71"/>
      <c r="D19" s="71"/>
      <c r="E19" s="71"/>
      <c r="F19" s="71"/>
      <c r="G19" s="71"/>
      <c r="H19" s="71"/>
      <c r="I19" s="71"/>
      <c r="J19" s="70"/>
      <c r="L19" s="78" t="s">
        <v>199</v>
      </c>
      <c r="M19" s="148">
        <f>((2110 - 100) - 850 - 2110*(1-M9))/(1-M9)</f>
        <v>375.71428571428578</v>
      </c>
    </row>
    <row r="20" spans="1:18" x14ac:dyDescent="0.2">
      <c r="A20" s="108" t="s">
        <v>2</v>
      </c>
      <c r="B20" s="88" t="s">
        <v>173</v>
      </c>
      <c r="C20" s="71" t="s">
        <v>198</v>
      </c>
      <c r="D20" s="71"/>
      <c r="E20" s="71"/>
      <c r="F20" s="71"/>
      <c r="G20" s="71"/>
      <c r="H20" s="71"/>
      <c r="I20" s="71"/>
      <c r="J20" s="70"/>
      <c r="M20" s="147"/>
    </row>
    <row r="21" spans="1:18" x14ac:dyDescent="0.2">
      <c r="A21" s="108"/>
      <c r="B21" s="80"/>
      <c r="C21" s="71" t="s">
        <v>197</v>
      </c>
      <c r="D21" s="71"/>
      <c r="E21" s="71"/>
      <c r="F21" s="71"/>
      <c r="G21" s="71"/>
      <c r="H21" s="71"/>
      <c r="I21" s="71"/>
      <c r="J21" s="70"/>
      <c r="L21" s="75" t="s">
        <v>148</v>
      </c>
      <c r="M21" s="147"/>
    </row>
    <row r="22" spans="1:18" ht="17" thickBot="1" x14ac:dyDescent="0.25">
      <c r="A22" s="108"/>
      <c r="B22" s="80"/>
      <c r="C22" s="71"/>
      <c r="D22" s="71"/>
      <c r="E22" s="71"/>
      <c r="F22" s="71"/>
      <c r="G22" s="71"/>
      <c r="H22" s="71"/>
      <c r="I22" s="71"/>
      <c r="J22" s="70"/>
      <c r="L22" s="179" t="s">
        <v>196</v>
      </c>
      <c r="M22" s="179"/>
      <c r="N22" s="179"/>
      <c r="O22" s="179"/>
      <c r="P22" s="179"/>
      <c r="Q22" s="179"/>
      <c r="R22" s="179"/>
    </row>
    <row r="23" spans="1:18" ht="16" customHeight="1" thickBot="1" x14ac:dyDescent="0.25">
      <c r="A23" s="105" t="s">
        <v>63</v>
      </c>
      <c r="B23" s="65"/>
      <c r="C23" s="67"/>
      <c r="D23" s="65"/>
      <c r="E23" s="65"/>
      <c r="F23" s="65"/>
      <c r="G23" s="65"/>
      <c r="H23" s="65"/>
      <c r="I23" s="65"/>
      <c r="J23" s="64"/>
      <c r="L23" s="179"/>
      <c r="M23" s="179"/>
      <c r="N23" s="179"/>
      <c r="O23" s="179"/>
      <c r="P23" s="179"/>
      <c r="Q23" s="179"/>
      <c r="R23" s="179"/>
    </row>
    <row r="24" spans="1:18" x14ac:dyDescent="0.2">
      <c r="L24" s="179"/>
      <c r="M24" s="179"/>
      <c r="N24" s="179"/>
      <c r="O24" s="179"/>
      <c r="P24" s="179"/>
      <c r="Q24" s="179"/>
      <c r="R24" s="179"/>
    </row>
    <row r="26" spans="1:18" x14ac:dyDescent="0.2">
      <c r="L26" s="75" t="s">
        <v>195</v>
      </c>
    </row>
    <row r="27" spans="1:18" x14ac:dyDescent="0.2">
      <c r="L27" s="179" t="s">
        <v>194</v>
      </c>
      <c r="M27" s="179"/>
      <c r="N27" s="179"/>
      <c r="O27" s="179"/>
      <c r="P27" s="179"/>
      <c r="Q27" s="179"/>
      <c r="R27" s="179"/>
    </row>
    <row r="28" spans="1:18" x14ac:dyDescent="0.2">
      <c r="L28" s="179"/>
      <c r="M28" s="179"/>
      <c r="N28" s="179"/>
      <c r="O28" s="179"/>
      <c r="P28" s="179"/>
      <c r="Q28" s="179"/>
      <c r="R28" s="179"/>
    </row>
    <row r="29" spans="1:18" x14ac:dyDescent="0.2">
      <c r="L29" s="179"/>
      <c r="M29" s="179"/>
      <c r="N29" s="179"/>
      <c r="O29" s="179"/>
      <c r="P29" s="179"/>
      <c r="Q29" s="179"/>
      <c r="R29" s="179"/>
    </row>
    <row r="30" spans="1:18" x14ac:dyDescent="0.2">
      <c r="L30" s="179"/>
      <c r="M30" s="179"/>
      <c r="N30" s="179"/>
      <c r="O30" s="179"/>
      <c r="P30" s="179"/>
      <c r="Q30" s="179"/>
      <c r="R30" s="179"/>
    </row>
    <row r="32" spans="1:18" ht="19" x14ac:dyDescent="0.25">
      <c r="L32" s="69" t="s">
        <v>71</v>
      </c>
    </row>
    <row r="33" spans="12:18" x14ac:dyDescent="0.2">
      <c r="L33" s="178" t="s">
        <v>247</v>
      </c>
      <c r="M33" s="178"/>
      <c r="N33" s="178"/>
      <c r="O33" s="178"/>
      <c r="P33" s="178"/>
      <c r="Q33" s="178"/>
      <c r="R33" s="178"/>
    </row>
    <row r="34" spans="12:18" x14ac:dyDescent="0.2">
      <c r="L34" s="178"/>
      <c r="M34" s="178"/>
      <c r="N34" s="178"/>
      <c r="O34" s="178"/>
      <c r="P34" s="178"/>
      <c r="Q34" s="178"/>
      <c r="R34" s="178"/>
    </row>
    <row r="35" spans="12:18" x14ac:dyDescent="0.2">
      <c r="L35" s="178"/>
      <c r="M35" s="178"/>
      <c r="N35" s="178"/>
      <c r="O35" s="178"/>
      <c r="P35" s="178"/>
      <c r="Q35" s="178"/>
      <c r="R35" s="178"/>
    </row>
    <row r="36" spans="12:18" x14ac:dyDescent="0.2">
      <c r="L36" s="178"/>
      <c r="M36" s="178"/>
      <c r="N36" s="178"/>
      <c r="O36" s="178"/>
      <c r="P36" s="178"/>
      <c r="Q36" s="178"/>
      <c r="R36" s="178"/>
    </row>
    <row r="37" spans="12:18" x14ac:dyDescent="0.2">
      <c r="L37" s="178"/>
      <c r="M37" s="178"/>
      <c r="N37" s="178"/>
      <c r="O37" s="178"/>
      <c r="P37" s="178"/>
      <c r="Q37" s="178"/>
      <c r="R37" s="178"/>
    </row>
    <row r="38" spans="12:18" x14ac:dyDescent="0.2">
      <c r="L38" s="178"/>
      <c r="M38" s="178"/>
      <c r="N38" s="178"/>
      <c r="O38" s="178"/>
      <c r="P38" s="178"/>
      <c r="Q38" s="178"/>
      <c r="R38" s="178"/>
    </row>
    <row r="39" spans="12:18" x14ac:dyDescent="0.2">
      <c r="L39" s="178"/>
      <c r="M39" s="178"/>
      <c r="N39" s="178"/>
      <c r="O39" s="178"/>
      <c r="P39" s="178"/>
      <c r="Q39" s="178"/>
      <c r="R39" s="178"/>
    </row>
    <row r="42" spans="12:18" ht="19" x14ac:dyDescent="0.25">
      <c r="L42" s="69" t="s">
        <v>72</v>
      </c>
    </row>
    <row r="43" spans="12:18" x14ac:dyDescent="0.2">
      <c r="L43" t="s">
        <v>193</v>
      </c>
    </row>
  </sheetData>
  <mergeCells count="3">
    <mergeCell ref="L22:R24"/>
    <mergeCell ref="L27:R30"/>
    <mergeCell ref="L33:R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Q #1</vt:lpstr>
      <vt:lpstr>Q #2</vt:lpstr>
      <vt:lpstr>Q #3</vt:lpstr>
      <vt:lpstr>Q #4</vt:lpstr>
      <vt:lpstr>Q #5</vt:lpstr>
      <vt:lpstr>Q #6</vt:lpstr>
      <vt:lpstr>Q #7</vt:lpstr>
      <vt:lpstr>Q #8</vt:lpstr>
      <vt:lpstr>2012 #1</vt:lpstr>
      <vt:lpstr>2013 #4</vt:lpstr>
      <vt:lpstr>2018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2025-10-16T11:24:42Z</dcterms:modified>
</cp:coreProperties>
</file>