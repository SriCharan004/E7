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stephenroll/Library/CloudStorage/Dropbox-RisingFellow/Rising Fellow/_Products/Exam 7/_Problem Bank/Exam 7 Problem Bank - Original &amp; Past CAS/"/>
    </mc:Choice>
  </mc:AlternateContent>
  <xr:revisionPtr revIDLastSave="0" documentId="13_ncr:1_{719B294E-F2D5-1C41-A06A-C9CDC0873BF2}" xr6:coauthVersionLast="47" xr6:coauthVersionMax="47" xr10:uidLastSave="{00000000-0000-0000-0000-000000000000}"/>
  <bookViews>
    <workbookView xWindow="1020" yWindow="960" windowWidth="24460" windowHeight="20520" xr2:uid="{B2F629C4-F532-0048-94B5-6129BC4B4200}"/>
  </bookViews>
  <sheets>
    <sheet name="Overview" sheetId="8" r:id="rId1"/>
    <sheet name="Q #1" sheetId="1" r:id="rId2"/>
    <sheet name="Q #2" sheetId="2" r:id="rId3"/>
    <sheet name="Q #3" sheetId="3" r:id="rId4"/>
    <sheet name="Q #4" sheetId="4" r:id="rId5"/>
    <sheet name="Q #5" sheetId="5" r:id="rId6"/>
    <sheet name="Q #6" sheetId="6" r:id="rId7"/>
    <sheet name="Q #7" sheetId="7" r:id="rId8"/>
    <sheet name="Q #8" sheetId="9" r:id="rId9"/>
    <sheet name="Q #9" sheetId="10" r:id="rId10"/>
    <sheet name="Q #10" sheetId="11" r:id="rId11"/>
    <sheet name="Q #11" sheetId="12" r:id="rId12"/>
    <sheet name="2011 #7" sheetId="22" r:id="rId13"/>
    <sheet name="2011 #9" sheetId="14" r:id="rId14"/>
    <sheet name="2012 #8" sheetId="15" r:id="rId15"/>
    <sheet name="2013 #9" sheetId="16" r:id="rId16"/>
    <sheet name="2014 #10" sheetId="17" r:id="rId17"/>
    <sheet name="2016 #11" sheetId="18" r:id="rId18"/>
    <sheet name="2017 #11" sheetId="19" r:id="rId19"/>
    <sheet name="2018 #15" sheetId="20" r:id="rId20"/>
    <sheet name="2019 #1" sheetId="21" r:id="rId21"/>
    <sheet name="2019 #11" sheetId="23" r:id="rId22"/>
    <sheet name="Essay Problems" sheetId="13" r:id="rId23"/>
  </sheets>
  <externalReferences>
    <externalReference r:id="rId24"/>
  </externalReferences>
  <definedNames>
    <definedName name="DesignMatrix">[1]Data!$B$39:$F$44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2" i="23" l="1"/>
  <c r="M20" i="23"/>
  <c r="M10" i="23"/>
  <c r="M11" i="23" s="1"/>
  <c r="M13" i="23" s="1"/>
  <c r="N32" i="9" l="1"/>
  <c r="N27" i="9"/>
  <c r="N22" i="9"/>
  <c r="N20" i="9"/>
  <c r="N19" i="9"/>
  <c r="M41" i="23"/>
  <c r="M40" i="23"/>
  <c r="N5" i="22" l="1"/>
  <c r="N6" i="22"/>
  <c r="O6" i="21"/>
  <c r="P6" i="21"/>
  <c r="Q6" i="21"/>
  <c r="O7" i="21"/>
  <c r="P7" i="21"/>
  <c r="Q7" i="21"/>
  <c r="O16" i="21"/>
  <c r="O19" i="21"/>
  <c r="P19" i="21"/>
  <c r="Q20" i="21"/>
  <c r="P20" i="21" s="1"/>
  <c r="P21" i="21" s="1"/>
  <c r="Q21" i="21"/>
  <c r="Q22" i="21" s="1"/>
  <c r="P35" i="21"/>
  <c r="P36" i="21"/>
  <c r="P39" i="21" s="1"/>
  <c r="P37" i="21"/>
  <c r="P38" i="21"/>
  <c r="P43" i="21"/>
  <c r="M8" i="19"/>
  <c r="M13" i="19"/>
  <c r="F14" i="19"/>
  <c r="G14" i="19" s="1"/>
  <c r="F15" i="19"/>
  <c r="G15" i="19"/>
  <c r="G16" i="19"/>
  <c r="M36" i="19"/>
  <c r="M5" i="18"/>
  <c r="M9" i="18" s="1"/>
  <c r="M8" i="18"/>
  <c r="M10" i="18"/>
  <c r="M6" i="15"/>
  <c r="M7" i="15"/>
  <c r="M14" i="15" s="1"/>
  <c r="Q10" i="15"/>
  <c r="Q11" i="15" s="1"/>
  <c r="M6" i="14"/>
  <c r="M8" i="14" s="1"/>
  <c r="M14" i="14"/>
  <c r="M42" i="23" l="1"/>
  <c r="M43" i="23" s="1"/>
  <c r="O20" i="21"/>
  <c r="P40" i="21"/>
  <c r="P41" i="21" s="1"/>
  <c r="P45" i="21" s="1"/>
  <c r="P51" i="21" s="1"/>
  <c r="N37" i="19"/>
  <c r="N35" i="19"/>
  <c r="F13" i="19"/>
  <c r="P10" i="15"/>
  <c r="M10" i="14"/>
  <c r="O21" i="21" l="1"/>
  <c r="O28" i="21"/>
  <c r="F12" i="19"/>
  <c r="G12" i="19" s="1"/>
  <c r="G13" i="19"/>
  <c r="P11" i="15"/>
  <c r="O10" i="15"/>
  <c r="O26" i="21" l="1"/>
  <c r="O22" i="21"/>
  <c r="P22" i="21"/>
  <c r="O27" i="21" s="1"/>
  <c r="M12" i="19"/>
  <c r="M35" i="19"/>
  <c r="M14" i="19"/>
  <c r="M37" i="19"/>
  <c r="N10" i="15"/>
  <c r="O11" i="15"/>
  <c r="P12" i="15"/>
  <c r="Q12" i="15"/>
  <c r="P30" i="21" l="1"/>
  <c r="P50" i="21" s="1"/>
  <c r="P52" i="21" s="1"/>
  <c r="M38" i="19"/>
  <c r="N16" i="19"/>
  <c r="N11" i="15"/>
  <c r="O12" i="15" s="1"/>
  <c r="M16" i="15" s="1"/>
  <c r="M10" i="15"/>
  <c r="M11" i="15" s="1"/>
  <c r="M12" i="15" s="1"/>
  <c r="N36" i="19" l="1"/>
  <c r="N38" i="19" s="1"/>
  <c r="N40" i="19"/>
  <c r="M18" i="15"/>
  <c r="M20" i="15" s="1"/>
  <c r="N12" i="15"/>
  <c r="N6" i="11" l="1"/>
  <c r="O6" i="11"/>
  <c r="P6" i="11" s="1"/>
  <c r="Q6" i="11" s="1"/>
  <c r="Q10" i="11" s="1"/>
  <c r="Q11" i="11" s="1"/>
  <c r="Q12" i="11" s="1"/>
  <c r="N17" i="11" s="1"/>
  <c r="N20" i="11" s="1"/>
  <c r="N7" i="11"/>
  <c r="O7" i="11" s="1"/>
  <c r="P7" i="11" s="1"/>
  <c r="P10" i="11" s="1"/>
  <c r="P11" i="11" s="1"/>
  <c r="P12" i="11" s="1"/>
  <c r="N22" i="11" s="1"/>
  <c r="N25" i="11" s="1"/>
  <c r="N8" i="11"/>
  <c r="O8" i="11" s="1"/>
  <c r="N9" i="11"/>
  <c r="N5" i="10"/>
  <c r="N6" i="10"/>
  <c r="N8" i="10"/>
  <c r="N10" i="10"/>
  <c r="N14" i="10"/>
  <c r="N15" i="10"/>
  <c r="N17" i="10"/>
  <c r="N8" i="9"/>
  <c r="O8" i="9" s="1"/>
  <c r="P8" i="9" s="1"/>
  <c r="N9" i="9"/>
  <c r="O9" i="9" s="1"/>
  <c r="P9" i="9" s="1"/>
  <c r="N10" i="9"/>
  <c r="O10" i="9" s="1"/>
  <c r="N11" i="9"/>
  <c r="N33" i="9" l="1"/>
  <c r="O10" i="11"/>
  <c r="O11" i="11" s="1"/>
  <c r="O12" i="11" s="1"/>
  <c r="Q8" i="9"/>
  <c r="Q12" i="9" s="1"/>
  <c r="P12" i="9"/>
  <c r="N38" i="9"/>
  <c r="O12" i="9"/>
  <c r="O13" i="9" s="1"/>
  <c r="O14" i="9" s="1"/>
  <c r="N37" i="9"/>
  <c r="P13" i="9" l="1"/>
  <c r="P14" i="9" s="1"/>
  <c r="N28" i="9"/>
  <c r="Q13" i="9"/>
  <c r="Q14" i="9" s="1"/>
  <c r="N23" i="9" l="1"/>
  <c r="M9" i="4"/>
  <c r="N8" i="4"/>
  <c r="M8" i="4"/>
  <c r="O7" i="4"/>
  <c r="N7" i="4"/>
  <c r="M7" i="4"/>
  <c r="P6" i="4"/>
  <c r="O6" i="4"/>
  <c r="N6" i="4"/>
  <c r="M6" i="4"/>
  <c r="N9" i="4" l="1"/>
  <c r="O8" i="4"/>
  <c r="O9" i="4"/>
  <c r="P7" i="4"/>
  <c r="P8" i="4" s="1"/>
  <c r="N10" i="3"/>
  <c r="S6" i="3"/>
  <c r="S7" i="3"/>
  <c r="S8" i="3"/>
  <c r="S5" i="3"/>
  <c r="O10" i="3"/>
  <c r="P10" i="3"/>
  <c r="Q10" i="3"/>
  <c r="Q11" i="3"/>
  <c r="Q12" i="3" s="1"/>
  <c r="P11" i="3" l="1"/>
  <c r="O11" i="3" s="1"/>
  <c r="O12" i="3" s="1"/>
  <c r="P9" i="4"/>
  <c r="M11" i="4" s="1"/>
  <c r="O10" i="2"/>
  <c r="N10" i="2"/>
  <c r="Q7" i="2"/>
  <c r="Q5" i="2"/>
  <c r="Q6" i="2"/>
  <c r="P6" i="2"/>
  <c r="P7" i="2"/>
  <c r="P5" i="2"/>
  <c r="P11" i="2"/>
  <c r="P12" i="2" s="1"/>
  <c r="P12" i="3" l="1"/>
  <c r="T6" i="3" s="1"/>
  <c r="Q6" i="3" s="1"/>
  <c r="T7" i="3" s="1"/>
  <c r="N11" i="3"/>
  <c r="N12" i="3" s="1"/>
  <c r="O6" i="2"/>
  <c r="N6" i="2" s="1"/>
  <c r="O5" i="2"/>
  <c r="N5" i="2" s="1"/>
  <c r="O7" i="2"/>
  <c r="N7" i="2" s="1"/>
  <c r="O11" i="2"/>
  <c r="O20" i="2"/>
  <c r="Q7" i="3" l="1"/>
  <c r="P7" i="3"/>
  <c r="T8" i="3" s="1"/>
  <c r="Q8" i="3" s="1"/>
  <c r="N11" i="2"/>
  <c r="O12" i="2"/>
  <c r="P27" i="2" s="1"/>
  <c r="P19" i="2"/>
  <c r="N12" i="2" l="1"/>
  <c r="O28" i="2" s="1"/>
  <c r="N50" i="2"/>
  <c r="O8" i="3"/>
  <c r="P8" i="3"/>
  <c r="P28" i="2"/>
  <c r="P13" i="2"/>
  <c r="U19" i="2" s="1"/>
  <c r="U27" i="2" s="1"/>
  <c r="O13" i="2"/>
  <c r="N13" i="2" l="1"/>
  <c r="T20" i="2"/>
  <c r="T28" i="2" s="1"/>
  <c r="N51" i="2"/>
  <c r="N52" i="2" s="1"/>
  <c r="U20" i="2"/>
  <c r="P20" i="2" l="1"/>
  <c r="U28" i="2" s="1"/>
  <c r="V27" i="2" s="1"/>
  <c r="P7" i="6"/>
  <c r="N16" i="6" s="1"/>
  <c r="N17"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M13" authorId="0" shapeId="0" xr:uid="{1911973E-0179-ED40-B17C-8E35A5EA37A2}">
      <text>
        <r>
          <rPr>
            <b/>
            <sz val="10"/>
            <color rgb="FF000000"/>
            <rFont val="Tahoma"/>
            <family val="2"/>
          </rPr>
          <t>Rising Fellow:</t>
        </r>
        <r>
          <rPr>
            <sz val="10"/>
            <color rgb="FF000000"/>
            <rFont val="Tahoma"/>
            <family val="2"/>
          </rPr>
          <t xml:space="preserve">
</t>
        </r>
        <r>
          <rPr>
            <sz val="10"/>
            <color rgb="FF000000"/>
            <rFont val="Tahoma"/>
            <family val="2"/>
          </rPr>
          <t>See the alternative solution in the Discussion section.</t>
        </r>
      </text>
    </comment>
  </commentList>
</comments>
</file>

<file path=xl/sharedStrings.xml><?xml version="1.0" encoding="utf-8"?>
<sst xmlns="http://schemas.openxmlformats.org/spreadsheetml/2006/main" count="963" uniqueCount="639">
  <si>
    <t>a.</t>
  </si>
  <si>
    <t>b.</t>
  </si>
  <si>
    <t>Part a</t>
  </si>
  <si>
    <t>Part b</t>
  </si>
  <si>
    <t>For company ABC, the loss reserve analysis for Personal Auto – Bodily Injury is based on a 10-year loss</t>
  </si>
  <si>
    <t>triangle as of December 31, 2016.</t>
  </si>
  <si>
    <t>Over the years, the payment pattern has changed significantly due to changes in the company’s claims</t>
  </si>
  <si>
    <t>department procedures. For the reserve analysis, the actuary used the chain ladder method and selected 5-year</t>
  </si>
  <si>
    <t>volume-weighted LDFs because of the change in payment pattern.</t>
  </si>
  <si>
    <t>Briefly describe an advantage and disadvantage of using an over-dispersed negative binomial</t>
  </si>
  <si>
    <t>distribution.</t>
  </si>
  <si>
    <t>Given the following information:</t>
  </si>
  <si>
    <t>Accident Year</t>
  </si>
  <si>
    <t>12 Months</t>
  </si>
  <si>
    <t>24 Months</t>
  </si>
  <si>
    <t>36 Months</t>
  </si>
  <si>
    <t>Cumulative Paid Losses</t>
  </si>
  <si>
    <t>•     Incremental losses follow an Over-Dispersed Poisson model with a dispersion factor of:</t>
  </si>
  <si>
    <t>•     Assume no further loss development beyond 36 months</t>
  </si>
  <si>
    <t>The prior distribution of expected losses is a gamma distribution with the following mean and standard</t>
  </si>
  <si>
    <t>deviation by accident year:</t>
  </si>
  <si>
    <t>Mean</t>
  </si>
  <si>
    <t>Standard Deviation</t>
  </si>
  <si>
    <t>Describe how you could modify the model to place more weight on the Bornhuetter-Ferguson method</t>
  </si>
  <si>
    <t>if you were more confident in the expected loss assumptions.</t>
  </si>
  <si>
    <t>Given the following information as of December 31, 2016:</t>
  </si>
  <si>
    <t>48 Months</t>
  </si>
  <si>
    <t>Expected Loss</t>
  </si>
  <si>
    <t>Column Parameters (λ_j)</t>
  </si>
  <si>
    <t>•     Assume there is no further development after 48 months.</t>
  </si>
  <si>
    <t>For a Bayesian model using the Bornhuetter-Ferguson method, incremental losses are assumed to follow</t>
  </si>
  <si>
    <t>an over-dispersed negative binomial distribution with mean:</t>
  </si>
  <si>
    <t>E[C(i,j)] = ( 𝛾(i) - 1 )∑C(m,j)</t>
  </si>
  <si>
    <t>Calculate the observed parameters for the model, 𝛾(i).</t>
  </si>
  <si>
    <t>Identify and fully describe an advantage of this model compared to the Bayesian Bornhuetter-Ferguson</t>
  </si>
  <si>
    <t>model that’s based on the over-dispersed Poisson distribution, as described by Verrall.</t>
  </si>
  <si>
    <t>Incremental Paid Loss</t>
  </si>
  <si>
    <t>A Bayesian approach to the Bornhuetter-Ferguson method models incremental losses with an over-dispersed</t>
  </si>
  <si>
    <t>negative binomial distribution.</t>
  </si>
  <si>
    <t>The model is set up as described by Verrall. It sets improper prior distributions for the column parameters</t>
  </si>
  <si>
    <t>and estimates them first. Then, it applies prior distributions to row parameters, the expected ultimate losses</t>
  </si>
  <si>
    <t>that incorporates the column and row parameters.</t>
  </si>
  <si>
    <t>for each accident year, and estimates them. The model is then reparameterized with a set of parameters, 𝛾(AY),</t>
  </si>
  <si>
    <t>The following are the sampled parameters for iteration #503 of the MCMC simulation:</t>
  </si>
  <si>
    <t>𝛾(AY)</t>
  </si>
  <si>
    <t>Calculate the expected ultimate loss estimate for accident year 2015 and iteration #503.</t>
  </si>
  <si>
    <t>Cumulative Losses</t>
  </si>
  <si>
    <t xml:space="preserve">•     Incremental losses follow an over-dispersed negative binomial distribution: </t>
  </si>
  <si>
    <t>•     D(i,j) is the cumulative losses for accident year i as of development period j.</t>
  </si>
  <si>
    <t>(λ(i,j) - 1) * D(i,j-1)</t>
  </si>
  <si>
    <t>⍴ * λ(i,j) * (λ(i,j) - 1) * D(i,j-1)</t>
  </si>
  <si>
    <t>An actuary has knowledge that the 12-24 month development factor for accident years 2014 and 2015</t>
  </si>
  <si>
    <t>should be:</t>
  </si>
  <si>
    <t>Describe appropriate prior distributions for the development factors λ(i,j), to be used in a Bayesian model</t>
  </si>
  <si>
    <t>that will produce the chain ladder method results with the exception for the prior information above.</t>
  </si>
  <si>
    <t>Specify a prior distribution for the accident year 2015 row parameter, x(2015), that can be used to</t>
  </si>
  <si>
    <t>reproduce the BF method in a stochastic framework using a Bayesian model with MCMC methodology.</t>
  </si>
  <si>
    <t>Expected Losses</t>
  </si>
  <si>
    <t>•     Incremental losses follow an Over-Dispersed Poisson model defined as follows:</t>
  </si>
  <si>
    <t>C(i,j) | x,y,⍴ ~ independent Over-Dispersed Poisson</t>
  </si>
  <si>
    <t>E[C(i,j)] = x(i) * y(j)</t>
  </si>
  <si>
    <t>,∑y(j) = 1</t>
  </si>
  <si>
    <t>An actuary sets up the following Bayesian model using MCMC methodology:</t>
  </si>
  <si>
    <t>•     Incremental claims, C(ij), follow an Over-Dispersed Negative Binomial distribution with mean and variance:</t>
  </si>
  <si>
    <t>E[C(i,j)] = (λ(i,j) - 1) * D(i,j-1)</t>
  </si>
  <si>
    <t>Var[C(i,j)] = ⍴ * λ(i,j) * (λ(i,j) - 1) * D(i,j-1)</t>
  </si>
  <si>
    <t>•     Prior distributions for the development factors, λ(i,j), are set as follows:</t>
  </si>
  <si>
    <t>λ(i,j) = λ(j)</t>
  </si>
  <si>
    <t>λ(1,2) = λ(2,2)</t>
  </si>
  <si>
    <t>λ(3,2) = λ(4,2)</t>
  </si>
  <si>
    <t>for j=3,4 and are set with large variances</t>
  </si>
  <si>
    <t>the prior distribution has a large variance</t>
  </si>
  <si>
    <t>the prior distribution has mean = 1.2, std dev = 0.1</t>
  </si>
  <si>
    <t>Describe how the Bayesian model above will behave and how the prior distribution will impact the model</t>
  </si>
  <si>
    <t>and why the actuary may have made this decision.</t>
  </si>
  <si>
    <t>λ(3), λ(4), λ(1,2), and λ(2,2) have prior distributions with large variances. 
This indicates that the model will reproduce the chain ladder results for these development factors.
For accident years 3 and 4, the prior distribution for the 1-to-2 development factor is set with a mean of 1.2 and a small variance (strong prior), indicating that the actuary is confident that the appropriate development factor here is 1.2. 
This will pull the posterior distribution toward a 1.2 development factor instead of what the data alone indicates. 
The actuary may have made this decision if he believes the 1.865 observed development factor for AY 3 from ages 1-2 is an outlier and doesn’t want it to skew the projected incremental loss projection for AY 4 at age 2 in the Bayesian model.</t>
  </si>
  <si>
    <t>To reproduce the BF method, use strong priors (small variance) for the prior distribution of the row parameter.</t>
  </si>
  <si>
    <t xml:space="preserve">Var(x(2015)) = (CV * Mean)^2 = </t>
  </si>
  <si>
    <t>To do this, I assume a coefficient of variation of:</t>
  </si>
  <si>
    <t>Solve for parameters,</t>
  </si>
  <si>
    <t>x(i) ~ Gamma( ⍺(i), β(i) )</t>
  </si>
  <si>
    <t>β</t>
  </si>
  <si>
    <t>E[ x(2015) ] = ⍺ / β = 1500</t>
  </si>
  <si>
    <t>Var[ x(2015) ] = ⍺ / β^2 = 1500 / β</t>
  </si>
  <si>
    <t xml:space="preserve">β = </t>
  </si>
  <si>
    <t>⍺ =</t>
  </si>
  <si>
    <t>Prior distribution:</t>
  </si>
  <si>
    <t>x(2015) ~ Gamma( ⍺ = 40000, β = 26.67 )</t>
  </si>
  <si>
    <r>
      <t xml:space="preserve">Set </t>
    </r>
    <r>
      <rPr>
        <i/>
        <sz val="12"/>
        <color theme="1"/>
        <rFont val="Calibri"/>
        <family val="2"/>
      </rPr>
      <t>w</t>
    </r>
    <r>
      <rPr>
        <sz val="12"/>
        <color theme="1"/>
        <rFont val="Calibri"/>
        <family val="2"/>
      </rPr>
      <t xml:space="preserve"> to modify β and reflect the credibility weighting between the chain ladder and BF methods:</t>
    </r>
  </si>
  <si>
    <t>•	Larger variance -&gt; Closer to chain ladder method</t>
  </si>
  <si>
    <t>•	Smaller variance  -&gt; Closer to BF method</t>
  </si>
  <si>
    <t xml:space="preserve">The credibility weighting on the chain ladder method will be:	</t>
  </si>
  <si>
    <t>Advantage – The form of the mean is the same as the chain ladder method.</t>
  </si>
  <si>
    <t>Disadvantage - Column sums of incremental losses must be positive (or variance would be negative).</t>
  </si>
  <si>
    <t>E[ IncLoss(AY,d) ] = ( LDF(AY,d) - 1 ) * Loss(AY, d-1)</t>
  </si>
  <si>
    <t>Var[ IncLoss(AY,d) ] = ⍴ * LDF(AY,d) * ( LDF(AY,d) - 1 ) * Loss(AY, d-1)</t>
  </si>
  <si>
    <t>Specify the model parameters:</t>
  </si>
  <si>
    <t xml:space="preserve">LDF(i,j) = LDF(j) </t>
  </si>
  <si>
    <t>LDF(i,j) = LDF(j)'</t>
  </si>
  <si>
    <r>
      <t xml:space="preserve">for all development factors </t>
    </r>
    <r>
      <rPr>
        <i/>
        <sz val="12"/>
        <color theme="1"/>
        <rFont val="Calibri"/>
        <family val="2"/>
      </rPr>
      <t>prior</t>
    </r>
    <r>
      <rPr>
        <sz val="12"/>
        <color theme="1"/>
        <rFont val="Calibri"/>
        <family val="2"/>
      </rPr>
      <t xml:space="preserve"> to the latest 5</t>
    </r>
  </si>
  <si>
    <t>LDF</t>
  </si>
  <si>
    <t>CDF</t>
  </si>
  <si>
    <t>%Paid</t>
  </si>
  <si>
    <t>Inc % Paid</t>
  </si>
  <si>
    <t>Expected Unpaid - Chain Ladder</t>
  </si>
  <si>
    <t>Expected Unpaid - BF</t>
  </si>
  <si>
    <t>Credibility Weights</t>
  </si>
  <si>
    <t>Expected Unpaid - Cred-Wtd</t>
  </si>
  <si>
    <t>Total Unpaid</t>
  </si>
  <si>
    <t>Dispersion</t>
  </si>
  <si>
    <t>⍺ / β</t>
  </si>
  <si>
    <t>⍺ / β^2</t>
  </si>
  <si>
    <t>Calculate Alpha and Beta:</t>
  </si>
  <si>
    <t>⍺</t>
  </si>
  <si>
    <t>Incremental Losses:</t>
  </si>
  <si>
    <t>AY</t>
  </si>
  <si>
    <t>Col Params</t>
  </si>
  <si>
    <t>%Unpaid</t>
  </si>
  <si>
    <t>Loss</t>
  </si>
  <si>
    <t>Expected</t>
  </si>
  <si>
    <t>𝛾</t>
  </si>
  <si>
    <t>𝛾(AY) = 1 + (x(i) * %Unpaid(AY) ) / ∑(IncLoss(Prior AYs)</t>
  </si>
  <si>
    <t>Advantage - The model is fully-stochastic, incorporating randomness in both row &amp; column parameters. 
In the earlier Bayesian BF model, only the row parameters xi (expected losses) are given an a priori distribution and a posterior distribution estimated from the MCMC model to make them stochastic. The LDFs would be used from the chain ladder method directly. 
For the fully-stochastic BF model, we reparameterize the model in terms of gamma parameters (𝛾(AY)) that reflect both the row (x(i)) and column (λ(j)) parameters. Then, we estimate posterior distributions for the gamma parameters using a Bayesian approach with the MCMC model. By simulating values from the posterior distributions of the gamma parameters we can forecast the unpaid  loss estimate for thousands of iterations to create the distribution of unpaid losses.</t>
  </si>
  <si>
    <t>Note: Take a look at Verrall pg. 62 and 63 to better see the context. It takes a few reads to think through.</t>
  </si>
  <si>
    <t>E[ IncLoss(AY,k) ] = ( 𝛾(AY) - 1 ) * ∑IncLoss(AY,k)</t>
  </si>
  <si>
    <t xml:space="preserve">Ult(2015) = </t>
  </si>
  <si>
    <t xml:space="preserve">λ(2012, 12-24) = λ(2013, 12-24) </t>
  </si>
  <si>
    <t>for 24-36mo and 36-48mo development periods</t>
  </si>
  <si>
    <t>Also, set the prior distributions of these parameters to have large variances (vague priors) so that they’ll reflect the data.</t>
  </si>
  <si>
    <t>Incorporate expert opinion by using a prior distribution with a mean of the actuarial selection and a relatively low variance (strong prior):</t>
  </si>
  <si>
    <t xml:space="preserve">λ(2014, 12-24) = λ(2015, 12-24) </t>
  </si>
  <si>
    <t>Total unpaid for 2015 is 4,641.</t>
  </si>
  <si>
    <t>Discussion</t>
  </si>
  <si>
    <t>A prior distribution must be set for each accident year and development period factor. 
If there’s no overriding factor, the variance should be set relatively large so that the model reverts to using the chain ladder LDF.  The model will have the same average reserve estimate as the chain ladder method, but will also produce a distribution of reserves.
If the actuary wants to override a specific LDF, set the prior distribution of the LDF to have a mean of the overriding value (1.2 in this case) and a small variance. A small variance in the prior distribution will pull the model toward the overriding value instead of the LDFs calculated directly from the data.</t>
  </si>
  <si>
    <t>For part a, we must make an assumption for the variance of the a priori estimate. Anything is fine as long as it is small relative to the expected loss. Part b is a question about a key idea from Verrall. The a priori expected losses by accident year are selected by the actuary. Using an expected loss ratio is one way to do this. 
Then, an assumption is made about the variance around that expected loss. A smaller variance draws the model toward the BF model results and a larger variance means we’re less confident in the expected losses and the model reflects the chain ladder model more.</t>
  </si>
  <si>
    <t>Prior distributions for the LDFs must be set for each year and development period. For most of the development periods, we just set the prior distribution of the LDF to have a large variance. Verrall doesn’t specify what the mean should be, but it doesn’t really matter. This results in the model reverting to the results from the chain ladder method.
For the LDFs where we want to incorporate a specific LDF selection, set the prior distribution to have a mean of the selected LDF with a small variance. This will pull the model towards the LDF.
Note, the standard deviation of 0.1 in the solution is just my selection. Anything relatively small compared to the mean value of 1.7 should be fine.</t>
  </si>
  <si>
    <t>For part a, since we just need the total unpaid loss for 2015, we can treat the 12-36 month unpaid loss as one period. This simplifies the final calculations for part a and comes to the same solution.</t>
  </si>
  <si>
    <t>Alternative Method</t>
  </si>
  <si>
    <t>CL Method</t>
  </si>
  <si>
    <t>BF Method</t>
  </si>
  <si>
    <t>Cred-Wtd</t>
  </si>
  <si>
    <t>2015 24&amp;36mo</t>
  </si>
  <si>
    <t>Expected Unpaid loss</t>
  </si>
  <si>
    <t>Same as above</t>
  </si>
  <si>
    <t xml:space="preserve">Take a look at pg. 61 (bottom of first column) and 67-68(starting with “The second case” on pg. 67) in Verrall. Table 7 and Table 8 are the development factors (using the three most recent year) and the Bayesian model results (reserve and prediction error) for this type of model. </t>
  </si>
  <si>
    <t>SHOW ALL WORK.</t>
  </si>
  <si>
    <t>Fully specify a Bayesian model based on the over-dispersed negative binomial distribution that can</t>
  </si>
  <si>
    <t>be used to create a predictive distribution of loss reserves around the actuary’s central estimate.</t>
  </si>
  <si>
    <t>Solution -&gt;</t>
  </si>
  <si>
    <t>Set LDF(j) and LDF(j)' to have prior distributions with large variances (low confidence in a priori estimates) so the posterior distributions of the parameters ( LDF(j) and LDF(j)' ) are estimated primarily from the data.</t>
  </si>
  <si>
    <t>Set the parameters equal to each other for each column for the development factors that we’d like to have revert to the chain ladder method:</t>
  </si>
  <si>
    <t>The forms of the prior distributions should be set so that λ is always greater than 1. This is because if  λ(i,j) &lt; 1, then the variance of incremental losses in the model, ⍴ * λ(i,j) * ( λ(i,j) - 1 ) * D(i, j-1), will be negative and the model won’t work.</t>
  </si>
  <si>
    <t>An actuary believes accident year 2013 should be modeled somewhere between the chain ladder</t>
  </si>
  <si>
    <t>method and the BF method.  Discuss how this can be accomplished within a stochastic framework.</t>
  </si>
  <si>
    <t>Use the same model, but select a larger variance for the prior distribution of the a priori estimate for 2013. x(2013) ~ Gamma( mean = 1350 , variance = w )</t>
  </si>
  <si>
    <t>Modify the prior distribution of the a priori expected losses by decreasing the standard deviation, to reflect the higher confidence in the expected losses. This is done by increasing β(AY), which causes Z(AY,d) to fall and more weight to be placed on the BF method. Also, we would increase ⍺(AY) to keep the mean of the gamma distribution, M(AY), unchanged.</t>
  </si>
  <si>
    <t>Calculate the estimated unpaid loss for accident year 2015 as a credibility-weighted average of the chain ladder and Bornhuetter-Ferguson methods using a Bayesian model.</t>
  </si>
  <si>
    <t>RF Verrall - 1</t>
  </si>
  <si>
    <t>RF Verrall - 2</t>
  </si>
  <si>
    <t>RF Verrall - 3</t>
  </si>
  <si>
    <t>RF Verrall - 4</t>
  </si>
  <si>
    <t>RF Verrall - 5</t>
  </si>
  <si>
    <t>RF Verrall - 6</t>
  </si>
  <si>
    <t>RF Verrall - 7</t>
  </si>
  <si>
    <t>Loss Development Factors</t>
  </si>
  <si>
    <t xml:space="preserve">Mean: </t>
  </si>
  <si>
    <t xml:space="preserve">Variance: </t>
  </si>
  <si>
    <t>for the most recent 5 development factors</t>
  </si>
  <si>
    <t>Verrall - Incorporating Expert Opinion: Chain Ladder</t>
  </si>
  <si>
    <t>Verrall - Bayesian Model for the BF Method</t>
  </si>
  <si>
    <t>Verrall - Fully Stochastic BF Model</t>
  </si>
  <si>
    <t>Verrall - Estimated Reserve from Fully Stochastic BF</t>
  </si>
  <si>
    <t>Recipe</t>
  </si>
  <si>
    <t>•  Set with mean = 1.7, standard deviation = 0.1 (or something on that magnitude)</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</si>
  <si>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</si>
  <si>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</si>
  <si>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</si>
  <si>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</si>
  <si>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</si>
  <si>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</si>
  <si>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</si>
  <si>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</si>
  <si>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</si>
  <si>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The formulas for these are summarized well in the High-Level Summary of the paper.</t>
  </si>
  <si>
    <t>&lt;-sigma_4^2*D_2,3</t>
  </si>
  <si>
    <t>Var(D_2,4) =</t>
  </si>
  <si>
    <t>&lt;-lambda_4*D_2,3</t>
  </si>
  <si>
    <t>E(D_2,4) =</t>
  </si>
  <si>
    <t>Part d:</t>
  </si>
  <si>
    <t>Calculate the mean and variance of           using Mack's model.</t>
  </si>
  <si>
    <t>&lt;-phi_4*D_2,3</t>
  </si>
  <si>
    <t>Var(C_2,4) =</t>
  </si>
  <si>
    <t>d.</t>
  </si>
  <si>
    <t>&lt;-(lambda_4-1)*D_2,3</t>
  </si>
  <si>
    <t>E(C_2,4) =</t>
  </si>
  <si>
    <t>Part c:</t>
  </si>
  <si>
    <t>Calculate the mean and variance of          using the normal approximation to the over-dispersed negative binomial model.</t>
  </si>
  <si>
    <t>c.</t>
  </si>
  <si>
    <t>&lt;-phi*mean*lambda_4</t>
  </si>
  <si>
    <t>Calculate the mean and variance of          using an over-dispersed negative binomial model.</t>
  </si>
  <si>
    <t>Part b:</t>
  </si>
  <si>
    <t>Calculate the mean and variance of          using an over-dispersed Poisson model</t>
  </si>
  <si>
    <t>&lt;-phi*mean</t>
  </si>
  <si>
    <t>&lt;-x_2*y_4</t>
  </si>
  <si>
    <t>•      =</t>
  </si>
  <si>
    <t>% Emerged</t>
  </si>
  <si>
    <t>Age-to-Ultimate</t>
  </si>
  <si>
    <t>•    (Negative Binomial) =</t>
  </si>
  <si>
    <t>Age-to-Age</t>
  </si>
  <si>
    <t xml:space="preserve">•    (Poisson) = </t>
  </si>
  <si>
    <t>48 mo.</t>
  </si>
  <si>
    <t>36 mo.</t>
  </si>
  <si>
    <t>24 mo.</t>
  </si>
  <si>
    <t>12 mo.</t>
  </si>
  <si>
    <t>Create cumulative loss triangle and calculate age-to-age &amp; age-to-ultimate factors:</t>
  </si>
  <si>
    <t>Incremental Paid Losses ($)</t>
  </si>
  <si>
    <t>Part a:</t>
  </si>
  <si>
    <t>Given the following for an insurer as of December 31, 2012:</t>
  </si>
  <si>
    <t>RF Verrall - 8</t>
  </si>
  <si>
    <t>&lt;-Z*CL Estimate + (1-Z)*BF Estimate</t>
  </si>
  <si>
    <t>E(C_3,3) =</t>
  </si>
  <si>
    <t>&lt;-mean of gamma</t>
  </si>
  <si>
    <t>M_3,3 =</t>
  </si>
  <si>
    <t>D_3,2 =</t>
  </si>
  <si>
    <t>Calculate E(C_3,3):</t>
  </si>
  <si>
    <t>&lt;-% Emerged/(beta*phi + % Emerged)</t>
  </si>
  <si>
    <t>Z_3,3 =</t>
  </si>
  <si>
    <t>% Emerged =</t>
  </si>
  <si>
    <t>lambda_4 =</t>
  </si>
  <si>
    <t>lambda_3 =</t>
  </si>
  <si>
    <t>Calculate Z_3,3:</t>
  </si>
  <si>
    <t>RF Verrall - 9</t>
  </si>
  <si>
    <t>From the prior recipe about the fully-stochastic BF model, we reparameterized the model in terms of gamma parameters (γ_AY) that reflect both the row (x_i) and column (λ_j) parameters. 
The reparameterized gamma parameters (γ_AY) are effectively a "flipped" version of how we normally apply the chain-ladder method. Instead of multiplying LDFs by prior cumulative losses across an AY, we multiply gammas by prior cumulative losses down a column.
The details about how a fully stochastic BF model would be run are discussed in the corresponding Cookbook recipe.</t>
  </si>
  <si>
    <t>&lt;-(gamma_3-1)*(C_1,4+E(C_2,4))</t>
  </si>
  <si>
    <t>E(C_3,4) =</t>
  </si>
  <si>
    <t>in same development periods]</t>
  </si>
  <si>
    <t>&lt;-gamma_3 = 1+[BF Reserve]/[Incremental losses for prior Ays</t>
  </si>
  <si>
    <t>gamma_3 =</t>
  </si>
  <si>
    <t>&lt;-(gamma_2-1)*C_1,4</t>
  </si>
  <si>
    <t>Calculate the expected AY 2011 incremental losses at 48 months under the reparameterized model.</t>
  </si>
  <si>
    <t>&lt;-gamma_2 = 1+[BF Reserve]/[Incremental losses for prior Ays</t>
  </si>
  <si>
    <t>gamma_2 =</t>
  </si>
  <si>
    <t>&lt;-always equals 1</t>
  </si>
  <si>
    <t>gamma_1 =</t>
  </si>
  <si>
    <t>Calculate the gammas and expected incremental claims:</t>
  </si>
  <si>
    <t>Age-to-Ult</t>
  </si>
  <si>
    <t>Calculate the % emerged using the standard-chain ladder method:</t>
  </si>
  <si>
    <t>RF Verrall - 10</t>
  </si>
  <si>
    <r>
      <t>Assuming that the prior distributions of the row parameters are gamma with parameters ⍺</t>
    </r>
    <r>
      <rPr>
        <i/>
        <vertAlign val="subscript"/>
        <sz val="12"/>
        <color theme="1"/>
        <rFont val="Calibri (Body)"/>
      </rPr>
      <t>i</t>
    </r>
    <r>
      <rPr>
        <sz val="12"/>
        <color theme="1"/>
        <rFont val="Calibri"/>
        <family val="2"/>
        <scheme val="minor"/>
      </rPr>
      <t xml:space="preserve"> and 𝛽</t>
    </r>
    <r>
      <rPr>
        <vertAlign val="subscript"/>
        <sz val="12"/>
        <color theme="1"/>
        <rFont val="Calibri (Body)"/>
      </rPr>
      <t>i</t>
    </r>
    <r>
      <rPr>
        <sz val="12"/>
        <color theme="1"/>
        <rFont val="Calibri"/>
        <family val="2"/>
        <scheme val="minor"/>
      </rPr>
      <t>, explain how 𝛽</t>
    </r>
    <r>
      <rPr>
        <i/>
        <vertAlign val="subscript"/>
        <sz val="12"/>
        <color theme="1"/>
        <rFont val="Calibri (Body)"/>
      </rPr>
      <t>i</t>
    </r>
    <r>
      <rPr>
        <sz val="12"/>
        <color theme="1"/>
        <rFont val="Calibri"/>
        <family val="2"/>
        <scheme val="minor"/>
      </rPr>
      <t xml:space="preserve"> must change in order to shift the Bayesian mean reserve closer to the Bornhuetter/Ferguson reserve.</t>
    </r>
  </si>
  <si>
    <t>Based on the results above, comment on the size of the variances for the prior distributions of the row parameters.</t>
  </si>
  <si>
    <t>In order to shift the Bayesian mean reserve closer to the BF reserve, must decrease the variances of the prior distributions of the row parameters. This means beta_i must increase since the variance of the gamma distribution is alpha_i/(beta_i^2)</t>
  </si>
  <si>
    <t>Bornhuetter/Ferguson Reserve</t>
  </si>
  <si>
    <t>Bayesian Mean Reserve</t>
  </si>
  <si>
    <t>Chain-Ladder Reserve</t>
  </si>
  <si>
    <t>Since the Bayesian mean reserve is closer to the chain-ladder reserve than the BF reserve, the variances of the prior distributions of the row parameters are large</t>
  </si>
  <si>
    <t>The results are given below:</t>
  </si>
  <si>
    <t>An actuary implements a Bayesian model where prior information is known about the levels of each row.</t>
  </si>
  <si>
    <t>RF Verrall - 11</t>
  </si>
  <si>
    <t>• Using the x_i, re-parameterize the model in terms of gamma_i. We must do this since we defined prior distributions for the column parameters</t>
  </si>
  <si>
    <t>• Define prior distributions for the row parameters x_i. In practice, these are often defined as gamma distributions where the beta parameter controls the level of confidence in the prior information</t>
  </si>
  <si>
    <t>• Define improper prior distributions for the column parameters and estimate the column parameters first. Since we are using improper prior distributions, the estimates will be those implied by the chain-ladder method</t>
  </si>
  <si>
    <t>Question #4</t>
  </si>
  <si>
    <t>2) The prediction error can be obtained directly by calculating the standard deviation of the predictive distribution</t>
  </si>
  <si>
    <t>1) The full predictive distribution can be found using simulation methods</t>
  </si>
  <si>
    <t>Question #3</t>
  </si>
  <si>
    <t>The standard error considers the uncertainty in parameter estimation, whereas the prediction error considers both the uncertainty in parameter estimation and the inherent variability in the data being forecast</t>
  </si>
  <si>
    <t>Fully describe the steps required to implement a Bayesian model for the Bornhuetter/Ferguson method. Assume that prior distributions are defined for the column parameters and the row parameters.</t>
  </si>
  <si>
    <t>Prediction variance = process variance + estimation variance</t>
  </si>
  <si>
    <t>Provide two advantages of Bayesian methods.</t>
  </si>
  <si>
    <t>Question #2</t>
  </si>
  <si>
    <t>Explain the difference between the standard error and the prediction error.</t>
  </si>
  <si>
    <t>Normal approximation to the negative-binomial - additional parameters must be estimated in order to calculate the variance</t>
  </si>
  <si>
    <t>Provide the formula for the prediction variance.</t>
  </si>
  <si>
    <t>Over-dispersed negative-binomial - requires the sum of the incremental values down a column to be positive</t>
  </si>
  <si>
    <t>Mack's Model - no predictive distribution</t>
  </si>
  <si>
    <t>Identify four stochastic models for the chain-ladder technique. For each model, provide one disadvantage.</t>
  </si>
  <si>
    <t>Question #1</t>
  </si>
  <si>
    <t>Solutions -&gt;</t>
  </si>
  <si>
    <t>RF Verrall - Essay Problems</t>
  </si>
  <si>
    <t xml:space="preserve">Verrall – Incorporating Expert Opinion: Chain Ladder </t>
  </si>
  <si>
    <t>chain ladder unpaid claim estimate.</t>
  </si>
  <si>
    <t>Identify a model that is appropriate to fit to the full triangle which would reproduce the</t>
  </si>
  <si>
    <t>0.5 point</t>
  </si>
  <si>
    <t>The normal approximation to the negative binomial distribution can handle negative incremental claims and reproduces the chain ladder method.</t>
  </si>
  <si>
    <t>above.</t>
  </si>
  <si>
    <t>Part c.</t>
  </si>
  <si>
    <r>
      <t xml:space="preserve">Explain why it is </t>
    </r>
    <r>
      <rPr>
        <i/>
        <u/>
        <sz val="12"/>
        <color theme="1"/>
        <rFont val="Calibri"/>
        <family val="2"/>
        <scheme val="minor"/>
      </rPr>
      <t>not</t>
    </r>
    <r>
      <rPr>
        <sz val="12"/>
        <color theme="1"/>
        <rFont val="Calibri"/>
        <family val="2"/>
        <scheme val="minor"/>
      </rPr>
      <t xml:space="preserve"> appropriate to fit a negative binomial model to the full triangle</t>
    </r>
  </si>
  <si>
    <t>0.75 point</t>
  </si>
  <si>
    <t>incremental claim amount for accident year 2007 from 12 to 24 months.</t>
  </si>
  <si>
    <t>There is negative development between 24mo and 36mo, which would imply a negative variance for incremental losses using the formula in part a. This is not possible.</t>
  </si>
  <si>
    <r>
      <t xml:space="preserve">Use the negative binomial model to calculate the mean and variance of </t>
    </r>
    <r>
      <rPr>
        <i/>
        <sz val="12"/>
        <color theme="1"/>
        <rFont val="Calibri"/>
        <family val="2"/>
        <scheme val="minor"/>
      </rPr>
      <t>C</t>
    </r>
    <r>
      <rPr>
        <vertAlign val="subscript"/>
        <sz val="12"/>
        <color theme="1"/>
        <rFont val="Calibri"/>
        <family val="2"/>
        <scheme val="minor"/>
      </rPr>
      <t>2.2</t>
    </r>
    <r>
      <rPr>
        <sz val="12"/>
        <color theme="1"/>
        <rFont val="Calibri"/>
        <family val="2"/>
        <scheme val="minor"/>
      </rPr>
      <t>, the</t>
    </r>
  </si>
  <si>
    <t>1.25 points</t>
  </si>
  <si>
    <r>
      <t>𝜆</t>
    </r>
    <r>
      <rPr>
        <vertAlign val="subscript"/>
        <sz val="12"/>
        <color theme="1"/>
        <rFont val="Calibri"/>
        <family val="2"/>
        <scheme val="minor"/>
      </rPr>
      <t>3</t>
    </r>
    <r>
      <rPr>
        <sz val="12"/>
        <color theme="1"/>
        <rFont val="Calibri"/>
        <family val="2"/>
        <scheme val="minor"/>
      </rPr>
      <t xml:space="preserve"> =</t>
    </r>
  </si>
  <si>
    <r>
      <t xml:space="preserve">• Assume the dispersion parameter, </t>
    </r>
    <r>
      <rPr>
        <sz val="12"/>
        <color theme="1"/>
        <rFont val="Calibri"/>
        <family val="2"/>
      </rPr>
      <t>𝜃</t>
    </r>
    <r>
      <rPr>
        <sz val="12"/>
        <color theme="1"/>
        <rFont val="Calibri"/>
        <family val="2"/>
        <scheme val="minor"/>
      </rPr>
      <t xml:space="preserve"> , is 1.25 for the negative binomial model.</t>
    </r>
  </si>
  <si>
    <t>Part b.</t>
  </si>
  <si>
    <r>
      <t>Var[IncLoss</t>
    </r>
    <r>
      <rPr>
        <vertAlign val="subscript"/>
        <sz val="12"/>
        <color theme="1"/>
        <rFont val="Calibri"/>
        <family val="2"/>
        <scheme val="minor"/>
      </rPr>
      <t>2007,24</t>
    </r>
    <r>
      <rPr>
        <sz val="12"/>
        <color theme="1"/>
        <rFont val="Calibri"/>
        <family val="2"/>
        <scheme val="minor"/>
      </rPr>
      <t>] =</t>
    </r>
  </si>
  <si>
    <r>
      <t>E[IncLoss</t>
    </r>
    <r>
      <rPr>
        <vertAlign val="subscript"/>
        <sz val="12"/>
        <color theme="1"/>
        <rFont val="Calibri"/>
        <family val="2"/>
        <scheme val="minor"/>
      </rPr>
      <t>2007,24</t>
    </r>
    <r>
      <rPr>
        <sz val="12"/>
        <color theme="1"/>
        <rFont val="Calibri"/>
        <family val="2"/>
        <scheme val="minor"/>
      </rPr>
      <t>] =</t>
    </r>
  </si>
  <si>
    <t xml:space="preserve">Year </t>
  </si>
  <si>
    <r>
      <t>𝜆</t>
    </r>
    <r>
      <rPr>
        <vertAlign val="subscript"/>
        <sz val="12"/>
        <color theme="1"/>
        <rFont val="Calibri"/>
        <family val="2"/>
        <scheme val="minor"/>
      </rPr>
      <t>2</t>
    </r>
    <r>
      <rPr>
        <sz val="12"/>
        <color theme="1"/>
        <rFont val="Calibri"/>
        <family val="2"/>
        <scheme val="minor"/>
      </rPr>
      <t xml:space="preserve"> =</t>
    </r>
  </si>
  <si>
    <t xml:space="preserve"> Age of Development in Months</t>
  </si>
  <si>
    <t>Accident</t>
  </si>
  <si>
    <t xml:space="preserve">𝜃 = </t>
  </si>
  <si>
    <t>Given the following triangle of cumulative paid loss data ($000):</t>
  </si>
  <si>
    <t>Part a.</t>
  </si>
  <si>
    <t>Points:</t>
  </si>
  <si>
    <t>Q #9</t>
  </si>
  <si>
    <t>Exam 7</t>
  </si>
  <si>
    <t>Spring 2011</t>
  </si>
  <si>
    <t>Source:</t>
  </si>
  <si>
    <t>ladder method and the Bornhuetter-Ferguson method.</t>
  </si>
  <si>
    <t>Explain how this model can be interpreted as a trade-off between the standard chain</t>
  </si>
  <si>
    <t>emerge between 24 and 36 months of development.</t>
  </si>
  <si>
    <t>Use this model to calculate the incremental losses for accident year 2010 expected to</t>
  </si>
  <si>
    <t>3 points</t>
  </si>
  <si>
    <r>
      <t xml:space="preserve">•  </t>
    </r>
    <r>
      <rPr>
        <i/>
        <sz val="12"/>
        <color theme="1"/>
        <rFont val="Calibri"/>
        <family val="2"/>
        <scheme val="minor"/>
      </rPr>
      <t>D</t>
    </r>
    <r>
      <rPr>
        <i/>
        <vertAlign val="subscript"/>
        <sz val="12"/>
        <color theme="1"/>
        <rFont val="Calibri"/>
        <family val="2"/>
        <scheme val="minor"/>
      </rPr>
      <t>ij</t>
    </r>
    <r>
      <rPr>
        <sz val="12"/>
        <color theme="1"/>
        <rFont val="Calibri"/>
        <family val="2"/>
        <scheme val="minor"/>
      </rPr>
      <t xml:space="preserve"> is the cumulative losses for accident year</t>
    </r>
    <r>
      <rPr>
        <i/>
        <sz val="12"/>
        <color theme="1"/>
        <rFont val="Calibri"/>
        <family val="2"/>
        <scheme val="minor"/>
      </rPr>
      <t xml:space="preserve"> i</t>
    </r>
    <r>
      <rPr>
        <sz val="12"/>
        <color theme="1"/>
        <rFont val="Calibri"/>
        <family val="2"/>
        <scheme val="minor"/>
      </rPr>
      <t xml:space="preserve"> as of development year</t>
    </r>
    <r>
      <rPr>
        <i/>
        <sz val="12"/>
        <color theme="1"/>
        <rFont val="Calibri"/>
        <family val="2"/>
        <scheme val="minor"/>
      </rPr>
      <t xml:space="preserve"> j</t>
    </r>
    <r>
      <rPr>
        <sz val="12"/>
        <color theme="1"/>
        <rFont val="Calibri"/>
        <family val="2"/>
        <scheme val="minor"/>
      </rPr>
      <t>.</t>
    </r>
  </si>
  <si>
    <r>
      <t xml:space="preserve">• </t>
    </r>
    <r>
      <rPr>
        <i/>
        <sz val="12"/>
        <color theme="1"/>
        <rFont val="Calibri"/>
        <family val="2"/>
        <scheme val="minor"/>
      </rPr>
      <t xml:space="preserve"> </t>
    </r>
    <r>
      <rPr>
        <i/>
        <sz val="12"/>
        <color theme="1"/>
        <rFont val="Calibri"/>
        <family val="2"/>
      </rPr>
      <t>λ</t>
    </r>
    <r>
      <rPr>
        <i/>
        <vertAlign val="subscript"/>
        <sz val="12"/>
        <color theme="1"/>
        <rFont val="Calibri"/>
        <family val="2"/>
        <scheme val="minor"/>
      </rPr>
      <t>j</t>
    </r>
    <r>
      <rPr>
        <sz val="12"/>
        <color theme="1"/>
        <rFont val="Calibri"/>
        <family val="2"/>
        <scheme val="minor"/>
      </rPr>
      <t xml:space="preserve"> is the incremental chain ladder loss development factor for development year </t>
    </r>
    <r>
      <rPr>
        <i/>
        <sz val="12"/>
        <color theme="1"/>
        <rFont val="Calibri"/>
        <family val="2"/>
        <scheme val="minor"/>
      </rPr>
      <t>j.</t>
    </r>
  </si>
  <si>
    <t>Where:</t>
  </si>
  <si>
    <r>
      <t xml:space="preserve">The mean of </t>
    </r>
    <r>
      <rPr>
        <i/>
        <sz val="12"/>
        <color theme="1"/>
        <rFont val="Calibri"/>
        <family val="2"/>
        <scheme val="minor"/>
      </rPr>
      <t>C</t>
    </r>
    <r>
      <rPr>
        <i/>
        <vertAlign val="subscript"/>
        <sz val="12"/>
        <color theme="1"/>
        <rFont val="Calibri (Body)"/>
      </rPr>
      <t>ij</t>
    </r>
    <r>
      <rPr>
        <sz val="12"/>
        <color theme="1"/>
        <rFont val="Calibri"/>
        <family val="2"/>
        <scheme val="minor"/>
      </rPr>
      <t xml:space="preserve"> for this Bayesian model is:</t>
    </r>
  </si>
  <si>
    <t xml:space="preserve">Verrall – Bayesian Model for the BF Method </t>
  </si>
  <si>
    <r>
      <t xml:space="preserve">•  The accident year 2010 estimates for </t>
    </r>
    <r>
      <rPr>
        <i/>
        <sz val="12"/>
        <color theme="1"/>
        <rFont val="Calibri"/>
        <family val="2"/>
      </rPr>
      <t>α</t>
    </r>
    <r>
      <rPr>
        <sz val="12"/>
        <color theme="1"/>
        <rFont val="Calibri"/>
        <family val="2"/>
        <scheme val="minor"/>
      </rPr>
      <t xml:space="preserve"> and</t>
    </r>
    <r>
      <rPr>
        <i/>
        <sz val="12"/>
        <color theme="1"/>
        <rFont val="Calibri"/>
        <family val="2"/>
        <scheme val="minor"/>
      </rPr>
      <t xml:space="preserve"> </t>
    </r>
    <r>
      <rPr>
        <i/>
        <sz val="12"/>
        <color theme="1"/>
        <rFont val="Calibri"/>
        <family val="2"/>
      </rPr>
      <t>𝛽</t>
    </r>
    <r>
      <rPr>
        <sz val="12"/>
        <color theme="1"/>
        <rFont val="Calibri"/>
        <family val="2"/>
        <scheme val="minor"/>
      </rPr>
      <t xml:space="preserve"> are 100 and 0.01143 respectively.</t>
    </r>
  </si>
  <si>
    <r>
      <t xml:space="preserve">•  The dispersion parameter, </t>
    </r>
    <r>
      <rPr>
        <i/>
        <sz val="12"/>
        <color theme="1"/>
        <rFont val="Calibri"/>
        <family val="2"/>
      </rPr>
      <t>𝜑</t>
    </r>
    <r>
      <rPr>
        <sz val="12"/>
        <color theme="1"/>
        <rFont val="Calibri"/>
        <family val="2"/>
        <scheme val="minor"/>
      </rPr>
      <t>, for the over-dispersed Poisson distribution is:</t>
    </r>
  </si>
  <si>
    <r>
      <t xml:space="preserve">•  The prior distribution for </t>
    </r>
    <r>
      <rPr>
        <i/>
        <sz val="12"/>
        <color theme="1"/>
        <rFont val="Calibri"/>
        <family val="2"/>
        <scheme val="minor"/>
      </rPr>
      <t>x</t>
    </r>
    <r>
      <rPr>
        <i/>
        <vertAlign val="subscript"/>
        <sz val="12"/>
        <color theme="1"/>
        <rFont val="Calibri"/>
        <family val="2"/>
        <scheme val="minor"/>
      </rPr>
      <t>i</t>
    </r>
    <r>
      <rPr>
        <sz val="12"/>
        <color theme="1"/>
        <rFont val="Calibri"/>
        <family val="2"/>
        <scheme val="minor"/>
      </rPr>
      <t xml:space="preserve"> is gamma with mean </t>
    </r>
    <r>
      <rPr>
        <i/>
        <sz val="12"/>
        <color theme="1"/>
        <rFont val="Calibri"/>
        <family val="2"/>
      </rPr>
      <t>𝛼</t>
    </r>
    <r>
      <rPr>
        <i/>
        <vertAlign val="subscript"/>
        <sz val="12"/>
        <color theme="1"/>
        <rFont val="Calibri"/>
        <family val="2"/>
      </rPr>
      <t>i</t>
    </r>
    <r>
      <rPr>
        <i/>
        <sz val="12"/>
        <color theme="1"/>
        <rFont val="Calibri"/>
        <family val="2"/>
      </rPr>
      <t>/𝛽</t>
    </r>
    <r>
      <rPr>
        <i/>
        <vertAlign val="subscript"/>
        <sz val="12"/>
        <color theme="1"/>
        <rFont val="Calibri"/>
        <family val="2"/>
      </rPr>
      <t>i</t>
    </r>
    <r>
      <rPr>
        <sz val="12"/>
        <color theme="1"/>
        <rFont val="Calibri"/>
        <family val="2"/>
        <scheme val="minor"/>
      </rPr>
      <t xml:space="preserve"> and variance </t>
    </r>
    <r>
      <rPr>
        <i/>
        <sz val="12"/>
        <color theme="1"/>
        <rFont val="Calibri"/>
        <family val="2"/>
        <scheme val="minor"/>
      </rPr>
      <t>𝛼</t>
    </r>
    <r>
      <rPr>
        <i/>
        <vertAlign val="subscript"/>
        <sz val="12"/>
        <color theme="1"/>
        <rFont val="Calibri"/>
        <family val="2"/>
        <scheme val="minor"/>
      </rPr>
      <t>i</t>
    </r>
    <r>
      <rPr>
        <i/>
        <sz val="12"/>
        <color theme="1"/>
        <rFont val="Calibri"/>
        <family val="2"/>
        <scheme val="minor"/>
      </rPr>
      <t>/(𝛽</t>
    </r>
    <r>
      <rPr>
        <i/>
        <vertAlign val="subscript"/>
        <sz val="12"/>
        <color theme="1"/>
        <rFont val="Calibri"/>
        <family val="2"/>
        <scheme val="minor"/>
      </rPr>
      <t>i</t>
    </r>
    <r>
      <rPr>
        <i/>
        <sz val="12"/>
        <color theme="1"/>
        <rFont val="Calibri"/>
        <family val="2"/>
        <scheme val="minor"/>
      </rPr>
      <t>)</t>
    </r>
    <r>
      <rPr>
        <i/>
        <vertAlign val="superscript"/>
        <sz val="12"/>
        <color theme="1"/>
        <rFont val="Calibri"/>
        <family val="2"/>
        <scheme val="minor"/>
      </rPr>
      <t>2</t>
    </r>
    <r>
      <rPr>
        <sz val="12"/>
        <color theme="1"/>
        <rFont val="Calibri"/>
        <family val="2"/>
        <scheme val="minor"/>
      </rPr>
      <t>.</t>
    </r>
  </si>
  <si>
    <t xml:space="preserve">    development year.</t>
  </si>
  <si>
    <r>
      <t>•  The variable</t>
    </r>
    <r>
      <rPr>
        <i/>
        <sz val="12"/>
        <color theme="1"/>
        <rFont val="Calibri"/>
        <family val="2"/>
        <scheme val="minor"/>
      </rPr>
      <t xml:space="preserve"> y</t>
    </r>
    <r>
      <rPr>
        <i/>
        <vertAlign val="subscript"/>
        <sz val="12"/>
        <color theme="1"/>
        <rFont val="Calibri"/>
        <family val="2"/>
        <scheme val="minor"/>
      </rPr>
      <t>i</t>
    </r>
    <r>
      <rPr>
        <sz val="12"/>
        <color theme="1"/>
        <rFont val="Calibri"/>
        <family val="2"/>
        <scheme val="minor"/>
      </rPr>
      <t xml:space="preserve"> represents the proportion of ultimate losses that emerge in</t>
    </r>
  </si>
  <si>
    <r>
      <t>•  The variable</t>
    </r>
    <r>
      <rPr>
        <i/>
        <sz val="12"/>
        <color theme="1"/>
        <rFont val="Calibri"/>
        <family val="2"/>
        <scheme val="minor"/>
      </rPr>
      <t xml:space="preserve"> x</t>
    </r>
    <r>
      <rPr>
        <i/>
        <vertAlign val="subscript"/>
        <sz val="12"/>
        <color theme="1"/>
        <rFont val="Calibri"/>
        <family val="2"/>
        <scheme val="minor"/>
      </rPr>
      <t>i</t>
    </r>
    <r>
      <rPr>
        <sz val="12"/>
        <color theme="1"/>
        <rFont val="Calibri"/>
        <family val="2"/>
        <scheme val="minor"/>
      </rPr>
      <t xml:space="preserve"> represents the expected ultimate losses for accident year i.</t>
    </r>
  </si>
  <si>
    <r>
      <t xml:space="preserve">    and variance </t>
    </r>
    <r>
      <rPr>
        <i/>
        <sz val="12"/>
        <color theme="1"/>
        <rFont val="Calibri"/>
        <family val="2"/>
      </rPr>
      <t>𝜑x</t>
    </r>
    <r>
      <rPr>
        <i/>
        <vertAlign val="subscript"/>
        <sz val="12"/>
        <color theme="1"/>
        <rFont val="Calibri"/>
        <family val="2"/>
      </rPr>
      <t>i</t>
    </r>
    <r>
      <rPr>
        <i/>
        <sz val="12"/>
        <color theme="1"/>
        <rFont val="Calibri"/>
        <family val="2"/>
      </rPr>
      <t>y</t>
    </r>
    <r>
      <rPr>
        <i/>
        <vertAlign val="subscript"/>
        <sz val="12"/>
        <color theme="1"/>
        <rFont val="Calibri"/>
        <family val="2"/>
      </rPr>
      <t>i</t>
    </r>
  </si>
  <si>
    <t>⇽ Z*CL Estimate + (1-Z)*BF Estimate</t>
  </si>
  <si>
    <r>
      <t>E[C</t>
    </r>
    <r>
      <rPr>
        <vertAlign val="superscript"/>
        <sz val="12"/>
        <color theme="1"/>
        <rFont val="Calibri"/>
        <family val="2"/>
        <scheme val="minor"/>
      </rPr>
      <t>cred</t>
    </r>
    <r>
      <rPr>
        <vertAlign val="subscript"/>
        <sz val="12"/>
        <color theme="1"/>
        <rFont val="Calibri"/>
        <family val="2"/>
        <scheme val="minor"/>
      </rPr>
      <t>2010, 24</t>
    </r>
    <r>
      <rPr>
        <sz val="12"/>
        <color theme="1"/>
        <rFont val="Calibri"/>
        <family val="2"/>
        <scheme val="minor"/>
      </rPr>
      <t>] =</t>
    </r>
  </si>
  <si>
    <r>
      <t>•  Incremental losses,</t>
    </r>
    <r>
      <rPr>
        <i/>
        <sz val="12"/>
        <color theme="1"/>
        <rFont val="Calibri"/>
        <family val="2"/>
        <scheme val="minor"/>
      </rPr>
      <t xml:space="preserve"> C</t>
    </r>
    <r>
      <rPr>
        <i/>
        <vertAlign val="subscript"/>
        <sz val="12"/>
        <color theme="1"/>
        <rFont val="Calibri"/>
        <family val="2"/>
        <scheme val="minor"/>
      </rPr>
      <t>ij</t>
    </r>
    <r>
      <rPr>
        <sz val="12"/>
        <color theme="1"/>
        <rFont val="Calibri"/>
        <family val="2"/>
        <scheme val="minor"/>
      </rPr>
      <t>, follow an over-dispersed Poisson distribution with mean x</t>
    </r>
    <r>
      <rPr>
        <vertAlign val="subscript"/>
        <sz val="12"/>
        <color theme="1"/>
        <rFont val="Calibri (Body)"/>
      </rPr>
      <t>i</t>
    </r>
    <r>
      <rPr>
        <sz val="12"/>
        <color theme="1"/>
        <rFont val="Calibri"/>
        <family val="2"/>
        <scheme val="minor"/>
      </rPr>
      <t>y</t>
    </r>
    <r>
      <rPr>
        <vertAlign val="subscript"/>
        <sz val="12"/>
        <color theme="1"/>
        <rFont val="Calibri (Body)"/>
      </rPr>
      <t>j</t>
    </r>
  </si>
  <si>
    <t>⇽ % Emerged/(Beta*Phi + % Emerged)</t>
  </si>
  <si>
    <t>Z =</t>
  </si>
  <si>
    <r>
      <t>E[C</t>
    </r>
    <r>
      <rPr>
        <vertAlign val="superscript"/>
        <sz val="12"/>
        <color theme="1"/>
        <rFont val="Calibri"/>
        <family val="2"/>
        <scheme val="minor"/>
      </rPr>
      <t>BF</t>
    </r>
    <r>
      <rPr>
        <vertAlign val="subscript"/>
        <sz val="12"/>
        <color theme="1"/>
        <rFont val="Calibri"/>
        <family val="2"/>
        <scheme val="minor"/>
      </rPr>
      <t>2010, 36</t>
    </r>
    <r>
      <rPr>
        <sz val="12"/>
        <color theme="1"/>
        <rFont val="Calibri"/>
        <family val="2"/>
        <scheme val="minor"/>
      </rPr>
      <t>] =</t>
    </r>
  </si>
  <si>
    <t>60-Ult
Months</t>
  </si>
  <si>
    <t>48-60 
Months</t>
  </si>
  <si>
    <t>36-48 
Months</t>
  </si>
  <si>
    <t>24-36 
Months</t>
  </si>
  <si>
    <t>12-24 
Months</t>
  </si>
  <si>
    <t>Selected Age-to-Age Link Ratios</t>
  </si>
  <si>
    <r>
      <t>E[C</t>
    </r>
    <r>
      <rPr>
        <vertAlign val="superscript"/>
        <sz val="12"/>
        <color theme="1"/>
        <rFont val="Calibri"/>
        <family val="2"/>
        <scheme val="minor"/>
      </rPr>
      <t>CL</t>
    </r>
    <r>
      <rPr>
        <vertAlign val="subscript"/>
        <sz val="12"/>
        <color theme="1"/>
        <rFont val="Calibri"/>
        <family val="2"/>
        <scheme val="minor"/>
      </rPr>
      <t>2010, 36</t>
    </r>
    <r>
      <rPr>
        <sz val="12"/>
        <color theme="1"/>
        <rFont val="Calibri"/>
        <family val="2"/>
        <scheme val="minor"/>
      </rPr>
      <t>] =</t>
    </r>
  </si>
  <si>
    <r>
      <t>%Paid</t>
    </r>
    <r>
      <rPr>
        <vertAlign val="subscript"/>
        <sz val="12"/>
        <color theme="1"/>
        <rFont val="Calibri"/>
        <family val="2"/>
        <scheme val="minor"/>
      </rPr>
      <t>j</t>
    </r>
  </si>
  <si>
    <r>
      <t>p</t>
    </r>
    <r>
      <rPr>
        <vertAlign val="subscript"/>
        <sz val="12"/>
        <color theme="1"/>
        <rFont val="Calibri"/>
        <family val="2"/>
        <scheme val="minor"/>
      </rPr>
      <t>j</t>
    </r>
  </si>
  <si>
    <r>
      <t>Loss</t>
    </r>
    <r>
      <rPr>
        <vertAlign val="subscript"/>
        <sz val="12"/>
        <color theme="1"/>
        <rFont val="Calibri"/>
        <family val="2"/>
        <scheme val="minor"/>
      </rPr>
      <t>2010,24</t>
    </r>
    <r>
      <rPr>
        <sz val="12"/>
        <color theme="1"/>
        <rFont val="Calibri"/>
        <family val="2"/>
        <scheme val="minor"/>
      </rPr>
      <t xml:space="preserve"> =</t>
    </r>
  </si>
  <si>
    <t>0-12 
Months</t>
  </si>
  <si>
    <t>Accident 
Year</t>
  </si>
  <si>
    <t>⇽ M = α/𝛽</t>
  </si>
  <si>
    <r>
      <t>E[x</t>
    </r>
    <r>
      <rPr>
        <vertAlign val="subscript"/>
        <sz val="12"/>
        <color theme="1"/>
        <rFont val="Calibri"/>
        <family val="2"/>
        <scheme val="minor"/>
      </rPr>
      <t>2010</t>
    </r>
    <r>
      <rPr>
        <sz val="12"/>
        <color theme="1"/>
        <rFont val="Calibri"/>
        <family val="2"/>
        <scheme val="minor"/>
      </rPr>
      <t>] =</t>
    </r>
  </si>
  <si>
    <t>Incremental Incurred Losses ($000}</t>
  </si>
  <si>
    <r>
      <t>𝛽</t>
    </r>
    <r>
      <rPr>
        <vertAlign val="subscript"/>
        <sz val="12"/>
        <color theme="1"/>
        <rFont val="Calibri (Body)"/>
      </rPr>
      <t>2010</t>
    </r>
    <r>
      <rPr>
        <sz val="12"/>
        <color theme="1"/>
        <rFont val="Calibri"/>
        <family val="2"/>
        <scheme val="minor"/>
      </rPr>
      <t xml:space="preserve"> =</t>
    </r>
  </si>
  <si>
    <r>
      <t>α</t>
    </r>
    <r>
      <rPr>
        <vertAlign val="subscript"/>
        <sz val="12"/>
        <color theme="1"/>
        <rFont val="Calibri (Body)"/>
      </rPr>
      <t>2010</t>
    </r>
    <r>
      <rPr>
        <sz val="12"/>
        <color theme="1"/>
        <rFont val="Calibri"/>
        <family val="2"/>
        <scheme val="minor"/>
      </rPr>
      <t xml:space="preserve"> =</t>
    </r>
  </si>
  <si>
    <t>Given the following loss development triangle and selections:</t>
  </si>
  <si>
    <t>Q #8</t>
  </si>
  <si>
    <t>Spring 2012</t>
  </si>
  <si>
    <t>Verrall – Bayesian Model for the BF Method</t>
  </si>
  <si>
    <t xml:space="preserve">Verrall – Incorporating Expert Opinion in the Chain Ladder Method 
</t>
  </si>
  <si>
    <t>We can use row parameters of expected losses for each accident year with a prior distribution for each row parameter. A smaller variance for the row parameters draws the model results closer to the BF method results.</t>
  </si>
  <si>
    <t>Part e.</t>
  </si>
  <si>
    <t>applies to the Bornhuetter-Ferguson method.</t>
  </si>
  <si>
    <t>Discuss a modification to the Bayesian frame work for the chain-ladder method so that it</t>
  </si>
  <si>
    <t>e.</t>
  </si>
  <si>
    <r>
      <rPr>
        <b/>
        <sz val="12"/>
        <color theme="1"/>
        <rFont val="Calibri (Body)"/>
      </rPr>
      <t>Advantage over Bootsrapping</t>
    </r>
    <r>
      <rPr>
        <sz val="12"/>
        <color theme="1"/>
        <rFont val="Calibri"/>
        <family val="2"/>
        <scheme val="minor"/>
      </rPr>
      <t xml:space="preserve"> – The Bayesian approach can incorporate expert opinion in the parameter selection.
</t>
    </r>
    <r>
      <rPr>
        <b/>
        <sz val="12"/>
        <color theme="1"/>
        <rFont val="Calibri"/>
        <family val="2"/>
        <scheme val="minor"/>
      </rPr>
      <t>Advantage over Mack</t>
    </r>
    <r>
      <rPr>
        <sz val="12"/>
        <color theme="1"/>
        <rFont val="Calibri"/>
        <family val="2"/>
        <scheme val="minor"/>
      </rPr>
      <t xml:space="preserve"> – The Bayesian approach gives the full predictive distribution of loss reserves instead of just the first two moments.</t>
    </r>
  </si>
  <si>
    <t>one advantage that a Bayesian approach has over the Mack method.</t>
  </si>
  <si>
    <t>Describe one advantage that a Bayesian approach has over a bootstrapping algorithm and</t>
  </si>
  <si>
    <t>1 point</t>
  </si>
  <si>
    <t>Part d.</t>
  </si>
  <si>
    <t>addressing both the mean and the prediction error.</t>
  </si>
  <si>
    <t>Discuss the effect of the change implemented in part b. above on the simulated results,</t>
  </si>
  <si>
    <r>
      <t>It will pull the model’s LDF</t>
    </r>
    <r>
      <rPr>
        <vertAlign val="subscript"/>
        <sz val="12"/>
        <color theme="1"/>
        <rFont val="Calibri (Body)"/>
      </rPr>
      <t>36-48</t>
    </r>
    <r>
      <rPr>
        <sz val="12"/>
        <color theme="1"/>
        <rFont val="Calibri"/>
        <family val="2"/>
        <scheme val="minor"/>
      </rPr>
      <t xml:space="preserve"> parameter closer to the actuary’s selection. Because a large variance is used for the prior distribution, the prediction error will still be high.</t>
    </r>
  </si>
  <si>
    <t>Describe how to change the prior distributions of the link ratios to adjust for this.</t>
  </si>
  <si>
    <t>this selection than of the all-years weighted averages used for the other maturity intervals.</t>
  </si>
  <si>
    <t>maturity interval with a judgmental selection. However, the actuary is less confident of</t>
  </si>
  <si>
    <t>The actuary decides to override the link ratios suggested by the data for the 36-48 month</t>
  </si>
  <si>
    <r>
      <t>Set the prior distribution of LDF</t>
    </r>
    <r>
      <rPr>
        <vertAlign val="subscript"/>
        <sz val="12"/>
        <color theme="1"/>
        <rFont val="Calibri (Body)"/>
      </rPr>
      <t>36-48</t>
    </r>
    <r>
      <rPr>
        <sz val="12"/>
        <color theme="1"/>
        <rFont val="Calibri"/>
        <family val="2"/>
        <scheme val="minor"/>
      </rPr>
      <t xml:space="preserve"> to have a mean of the actuary’s selection, but use a large variance to reflect the lower confidence in the selection. This means the model will still place weight on the historical data for the 36-48 development.</t>
    </r>
  </si>
  <si>
    <t>link ratios.</t>
  </si>
  <si>
    <t>whether the actuary should select high or low variances for the prior distributions of the</t>
  </si>
  <si>
    <t>To produce results that closely resemble the deterministic chain-ladder outcome, explain</t>
  </si>
  <si>
    <t>ratios.</t>
  </si>
  <si>
    <t>Use a high variance for the prior distribution (weak priors). If we are not confident in our prior estimates, a large variance will place more weight on the chain-ladder estimate.</t>
  </si>
  <si>
    <t>based on the deterministic chain-ladder method using the all-years weighted average link</t>
  </si>
  <si>
    <t>An actuary is considering a Bayesian approach to developing a predictive loss distribution</t>
  </si>
  <si>
    <t>Spring 2013</t>
  </si>
  <si>
    <t>Bornhuetter-Ferguson estimates in a Bayesian model.</t>
  </si>
  <si>
    <r>
      <t>Discuss how the</t>
    </r>
    <r>
      <rPr>
        <i/>
        <sz val="12"/>
        <color theme="1"/>
        <rFont val="Calibri"/>
        <family val="2"/>
        <scheme val="minor"/>
      </rPr>
      <t xml:space="preserve"> 𝛽</t>
    </r>
    <r>
      <rPr>
        <i/>
        <vertAlign val="subscript"/>
        <sz val="12"/>
        <color theme="1"/>
        <rFont val="Calibri"/>
        <family val="2"/>
        <scheme val="minor"/>
      </rPr>
      <t>i</t>
    </r>
    <r>
      <rPr>
        <sz val="12"/>
        <color theme="1"/>
        <rFont val="Calibri"/>
        <family val="2"/>
        <scheme val="minor"/>
      </rPr>
      <t xml:space="preserve"> value influences the trade-off between the chain-ladder and</t>
    </r>
  </si>
  <si>
    <t>In the Bayesian model of the BF method, the estimate is a credibility weighting of the chain ladder and BF estimates with the following credibility weight on the chain ladder method:
By increasing 𝛽, the variance of the prior distribution is decreased. This results in “stronger priors” and a higher weight on the BF method in the final formula.</t>
  </si>
  <si>
    <r>
      <t>𝛽</t>
    </r>
    <r>
      <rPr>
        <i/>
        <vertAlign val="subscript"/>
        <sz val="12"/>
        <color theme="1"/>
        <rFont val="Calibri"/>
        <family val="2"/>
      </rPr>
      <t>i</t>
    </r>
  </si>
  <si>
    <r>
      <t>𝛼</t>
    </r>
    <r>
      <rPr>
        <i/>
        <vertAlign val="subscript"/>
        <sz val="12"/>
        <color theme="1"/>
        <rFont val="Calibri"/>
        <family val="2"/>
      </rPr>
      <t>i</t>
    </r>
  </si>
  <si>
    <t>Given the following parameters and means of three Gamma distributions:</t>
  </si>
  <si>
    <t>predictive reserving model.</t>
  </si>
  <si>
    <t>types of expert opinion that can be used to override the calculated parameters in a</t>
  </si>
  <si>
    <t>Within the context of a stochastic framework for loss reserving, briefly describe two</t>
  </si>
  <si>
    <t>Q #10</t>
  </si>
  <si>
    <t>Spring 2014</t>
  </si>
  <si>
    <t>Verrall – Incorporating Expert Opinion in the Chain Ladder Method (for part a-ii and formula in part b)</t>
  </si>
  <si>
    <t>achieve this.</t>
  </si>
  <si>
    <t>data. Identify and briefly explain which of the three models under consideration would</t>
  </si>
  <si>
    <t>negative sum. The actuary wants to use a model that does not require adjustments to the</t>
  </si>
  <si>
    <t>The loss development triangle being used has a column of incremental values with a</t>
  </si>
  <si>
    <r>
      <t xml:space="preserve">This question draws on the variance formulas of the Over-Dispersed Poisson model and normally distributed model that Verrall briefly mentions at the bottom of pg. 57 and at the top of pg. 59. 
</t>
    </r>
    <r>
      <rPr>
        <b/>
        <sz val="12"/>
        <color theme="1"/>
        <rFont val="Calibri"/>
        <family val="2"/>
        <scheme val="minor"/>
      </rPr>
      <t>Part b</t>
    </r>
    <r>
      <rPr>
        <sz val="12"/>
        <color theme="1"/>
        <rFont val="Calibri"/>
        <family val="2"/>
        <scheme val="minor"/>
      </rPr>
      <t xml:space="preserve"> - The Normal distribution was also accepted as having an immediately apparent connection to the chain ladder method.
Part b and c are discussed at the bottom of pg. 58 and top of pg. 59 directly. </t>
    </r>
  </si>
  <si>
    <t>consideration would achieve this.</t>
  </si>
  <si>
    <t>immediately apparent. Identify and briefly explain which of the three models under</t>
  </si>
  <si>
    <t>The actuary wants to use a model where the connection to the chain ladder method is</t>
  </si>
  <si>
    <r>
      <t xml:space="preserve">iii.  Normally distributed model with </t>
    </r>
    <r>
      <rPr>
        <sz val="12"/>
        <color theme="1"/>
        <rFont val="Calibri"/>
        <family val="2"/>
      </rPr>
      <t>𝜑</t>
    </r>
    <r>
      <rPr>
        <sz val="12"/>
        <color theme="1"/>
        <rFont val="Calibri"/>
        <family val="2"/>
        <scheme val="minor"/>
      </rPr>
      <t xml:space="preserve"> =</t>
    </r>
  </si>
  <si>
    <t>ii.  Over-dispersed negative binomial model with 𝜑 =</t>
  </si>
  <si>
    <t>The normal model should be used here because the ODP and ODNB models do NOT work when there is a negative sum of incremental losses (would result in a negative variance calculation).</t>
  </si>
  <si>
    <r>
      <t xml:space="preserve">i.  Over-dispersed Poisson model with </t>
    </r>
    <r>
      <rPr>
        <sz val="12"/>
        <color theme="1"/>
        <rFont val="Calibri"/>
        <family val="2"/>
      </rPr>
      <t>𝜑</t>
    </r>
    <r>
      <rPr>
        <sz val="12"/>
        <color theme="1"/>
        <rFont val="Calibri"/>
        <family val="2"/>
        <scheme val="minor"/>
      </rPr>
      <t xml:space="preserve"> =</t>
    </r>
  </si>
  <si>
    <t>losses at 24 months.</t>
  </si>
  <si>
    <t>For each of the following distributions, calculate the variance of the accident year 2015</t>
  </si>
  <si>
    <t>1.5 point</t>
  </si>
  <si>
    <t>•  Estimated chain-ladder accident year 2015 losses at 24 months:</t>
  </si>
  <si>
    <r>
      <t>The Over-Dispersed Negative Binomial model has an expected incremental value of:
E[IncLoss] = (lambda</t>
    </r>
    <r>
      <rPr>
        <vertAlign val="subscript"/>
        <sz val="12"/>
        <color theme="1"/>
        <rFont val="Calibri (Body)"/>
      </rPr>
      <t>j</t>
    </r>
    <r>
      <rPr>
        <sz val="12"/>
        <color theme="1"/>
        <rFont val="Calibri"/>
        <family val="2"/>
        <scheme val="minor"/>
      </rPr>
      <t>-1) * D</t>
    </r>
    <r>
      <rPr>
        <vertAlign val="subscript"/>
        <sz val="12"/>
        <color theme="1"/>
        <rFont val="Calibri (Body)"/>
      </rPr>
      <t>i,j-1</t>
    </r>
    <r>
      <rPr>
        <sz val="12"/>
        <color theme="1"/>
        <rFont val="Calibri"/>
        <family val="2"/>
        <scheme val="minor"/>
      </rPr>
      <t xml:space="preserve"> 
This is the same form as the chain ladder method, so the connection is immediately apparent.</t>
    </r>
  </si>
  <si>
    <t>•  Actual accident year 2015 losses at 12 months:</t>
  </si>
  <si>
    <t>⇽ Phi_j*D_i,j-1</t>
  </si>
  <si>
    <t>Normal</t>
  </si>
  <si>
    <t>⇽ phi*lambda*(lambda-1)*D_i,j-1</t>
  </si>
  <si>
    <t>ODNB</t>
  </si>
  <si>
    <t>•  Normal</t>
  </si>
  <si>
    <t>⇽ phi*x_i*y_j = phi*fitted claims</t>
  </si>
  <si>
    <t>ODP</t>
  </si>
  <si>
    <t>•  Over-Dispersed Negative Binomial</t>
  </si>
  <si>
    <t>Variance</t>
  </si>
  <si>
    <t>Dist</t>
  </si>
  <si>
    <t>•  Over-Dispersed Poisson</t>
  </si>
  <si>
    <t>12-24 LDF</t>
  </si>
  <si>
    <t>distributions:</t>
  </si>
  <si>
    <t>An actuary is building a stochastic chain ladder model and is considering the following</t>
  </si>
  <si>
    <t>Q #11</t>
  </si>
  <si>
    <t>Spring 2016</t>
  </si>
  <si>
    <t xml:space="preserve">E[IncLoss] from 24 to 48 = </t>
  </si>
  <si>
    <t xml:space="preserve"> = Z*CL Estimate + (1-Z)*BF Estimate</t>
  </si>
  <si>
    <t>Bayesian</t>
  </si>
  <si>
    <t>to produce IBNR estimates closer to chain ladder indications.</t>
  </si>
  <si>
    <t>Identify and briefly describe what parameter in the model would have to change in order</t>
  </si>
  <si>
    <t xml:space="preserve"> = %Emerged / (beta*phi + %Emerged)</t>
  </si>
  <si>
    <t>Credibility (Z)</t>
  </si>
  <si>
    <t>36 - 48</t>
  </si>
  <si>
    <t>24 - 36</t>
  </si>
  <si>
    <t>and 48 months of development using the model.</t>
  </si>
  <si>
    <t>Expected Incremental Loss</t>
  </si>
  <si>
    <t>Calculate the incremental losses for accident year 2015 expected to emerge between 24</t>
  </si>
  <si>
    <t>2 points</t>
  </si>
  <si>
    <t>Calculate Expected incrementals between 24-36 and 36-48:</t>
  </si>
  <si>
    <r>
      <t xml:space="preserve">• </t>
    </r>
    <r>
      <rPr>
        <i/>
        <sz val="12"/>
        <color theme="1"/>
        <rFont val="Calibri"/>
        <family val="2"/>
        <scheme val="minor"/>
      </rPr>
      <t xml:space="preserve"> D</t>
    </r>
    <r>
      <rPr>
        <i/>
        <vertAlign val="subscript"/>
        <sz val="12"/>
        <color theme="1"/>
        <rFont val="Calibri"/>
        <family val="2"/>
        <scheme val="minor"/>
      </rPr>
      <t>ij</t>
    </r>
    <r>
      <rPr>
        <sz val="12"/>
        <color theme="1"/>
        <rFont val="Calibri"/>
        <family val="2"/>
        <scheme val="minor"/>
      </rPr>
      <t xml:space="preserve"> is the cumulative losses for accident year i as of development year</t>
    </r>
    <r>
      <rPr>
        <i/>
        <sz val="12"/>
        <color theme="1"/>
        <rFont val="Calibri"/>
        <family val="2"/>
        <scheme val="minor"/>
      </rPr>
      <t xml:space="preserve"> j</t>
    </r>
    <r>
      <rPr>
        <sz val="12"/>
        <color theme="1"/>
        <rFont val="Calibri"/>
        <family val="2"/>
        <scheme val="minor"/>
      </rPr>
      <t>.</t>
    </r>
  </si>
  <si>
    <r>
      <t xml:space="preserve">•  </t>
    </r>
    <r>
      <rPr>
        <i/>
        <sz val="12"/>
        <color theme="1"/>
        <rFont val="Calibri"/>
        <family val="2"/>
        <scheme val="minor"/>
      </rPr>
      <t>𝜆</t>
    </r>
    <r>
      <rPr>
        <i/>
        <vertAlign val="subscript"/>
        <sz val="12"/>
        <color theme="1"/>
        <rFont val="Calibri"/>
        <family val="2"/>
        <scheme val="minor"/>
      </rPr>
      <t>j</t>
    </r>
    <r>
      <rPr>
        <vertAlign val="subscript"/>
        <sz val="12"/>
        <color theme="1"/>
        <rFont val="Calibri"/>
        <family val="2"/>
        <scheme val="minor"/>
      </rPr>
      <t xml:space="preserve"> </t>
    </r>
    <r>
      <rPr>
        <sz val="12"/>
        <color theme="1"/>
        <rFont val="Calibri"/>
        <family val="2"/>
        <scheme val="minor"/>
      </rPr>
      <t xml:space="preserve">is the incremental chain ladder loss development factor for development year </t>
    </r>
    <r>
      <rPr>
        <i/>
        <sz val="12"/>
        <color theme="1"/>
        <rFont val="Calibri"/>
        <family val="2"/>
        <scheme val="minor"/>
      </rPr>
      <t>j</t>
    </r>
    <r>
      <rPr>
        <sz val="12"/>
        <color theme="1"/>
        <rFont val="Calibri"/>
        <family val="2"/>
        <scheme val="minor"/>
      </rPr>
      <t>.</t>
    </r>
  </si>
  <si>
    <t>Alternative Solution</t>
  </si>
  <si>
    <t>, where</t>
  </si>
  <si>
    <r>
      <rPr>
        <b/>
        <sz val="12"/>
        <color theme="1"/>
        <rFont val="Calibri"/>
        <family val="2"/>
        <scheme val="minor"/>
      </rPr>
      <t>Part a</t>
    </r>
    <r>
      <rPr>
        <sz val="12"/>
        <color theme="1"/>
        <rFont val="Calibri"/>
        <family val="2"/>
        <scheme val="minor"/>
      </rPr>
      <t xml:space="preserve"> - This could also be done in two steps by calculating the amounts expected to emerge from 24 to 36 and 36 to 48, and then adding those together. See below:</t>
    </r>
  </si>
  <si>
    <r>
      <t xml:space="preserve">•  The mean of </t>
    </r>
    <r>
      <rPr>
        <i/>
        <sz val="12"/>
        <color theme="1"/>
        <rFont val="Calibri"/>
        <family val="2"/>
        <scheme val="minor"/>
      </rPr>
      <t>C</t>
    </r>
    <r>
      <rPr>
        <i/>
        <vertAlign val="subscript"/>
        <sz val="12"/>
        <color theme="1"/>
        <rFont val="Calibri"/>
        <family val="2"/>
        <scheme val="minor"/>
      </rPr>
      <t>ij</t>
    </r>
    <r>
      <rPr>
        <sz val="12"/>
        <color theme="1"/>
        <rFont val="Calibri"/>
        <family val="2"/>
        <scheme val="minor"/>
      </rPr>
      <t xml:space="preserve"> for this Bayesian model is:</t>
    </r>
  </si>
  <si>
    <r>
      <t>•  The dispersion parameter,</t>
    </r>
    <r>
      <rPr>
        <i/>
        <sz val="12"/>
        <color theme="1"/>
        <rFont val="Calibri"/>
        <family val="2"/>
        <scheme val="minor"/>
      </rPr>
      <t xml:space="preserve"> φ</t>
    </r>
    <r>
      <rPr>
        <sz val="12"/>
        <color theme="1"/>
        <rFont val="Calibri"/>
        <family val="2"/>
        <scheme val="minor"/>
      </rPr>
      <t xml:space="preserve">, for the over-dispersed Poisson distribution is </t>
    </r>
  </si>
  <si>
    <r>
      <t xml:space="preserve">•  The prior distribution for </t>
    </r>
    <r>
      <rPr>
        <i/>
        <sz val="12"/>
        <color theme="1"/>
        <rFont val="Calibri"/>
        <family val="2"/>
        <scheme val="minor"/>
      </rPr>
      <t>x</t>
    </r>
    <r>
      <rPr>
        <i/>
        <vertAlign val="subscript"/>
        <sz val="12"/>
        <color theme="1"/>
        <rFont val="Calibri"/>
        <family val="2"/>
        <scheme val="minor"/>
      </rPr>
      <t>i</t>
    </r>
    <r>
      <rPr>
        <sz val="12"/>
        <color theme="1"/>
        <rFont val="Calibri"/>
        <family val="2"/>
        <scheme val="minor"/>
      </rPr>
      <t xml:space="preserve"> is gamma with mean</t>
    </r>
    <r>
      <rPr>
        <i/>
        <sz val="12"/>
        <color theme="1"/>
        <rFont val="Calibri"/>
        <family val="2"/>
        <scheme val="minor"/>
      </rPr>
      <t xml:space="preserve"> 𝛼</t>
    </r>
    <r>
      <rPr>
        <i/>
        <vertAlign val="subscript"/>
        <sz val="12"/>
        <color theme="1"/>
        <rFont val="Calibri"/>
        <family val="2"/>
        <scheme val="minor"/>
      </rPr>
      <t>i</t>
    </r>
    <r>
      <rPr>
        <i/>
        <sz val="12"/>
        <color theme="1"/>
        <rFont val="Calibri"/>
        <family val="2"/>
        <scheme val="minor"/>
      </rPr>
      <t xml:space="preserve"> / 𝛽</t>
    </r>
    <r>
      <rPr>
        <i/>
        <vertAlign val="subscript"/>
        <sz val="12"/>
        <color theme="1"/>
        <rFont val="Calibri"/>
        <family val="2"/>
        <scheme val="minor"/>
      </rPr>
      <t>i</t>
    </r>
    <r>
      <rPr>
        <sz val="12"/>
        <color theme="1"/>
        <rFont val="Calibri"/>
        <family val="2"/>
        <scheme val="minor"/>
      </rPr>
      <t xml:space="preserve"> and variance </t>
    </r>
    <r>
      <rPr>
        <i/>
        <sz val="12"/>
        <color theme="1"/>
        <rFont val="Calibri"/>
        <family val="2"/>
        <scheme val="minor"/>
      </rPr>
      <t>𝛼</t>
    </r>
    <r>
      <rPr>
        <i/>
        <vertAlign val="subscript"/>
        <sz val="12"/>
        <color theme="1"/>
        <rFont val="Calibri"/>
        <family val="2"/>
        <scheme val="minor"/>
      </rPr>
      <t>i</t>
    </r>
    <r>
      <rPr>
        <i/>
        <sz val="12"/>
        <color theme="1"/>
        <rFont val="Calibri"/>
        <family val="2"/>
        <scheme val="minor"/>
      </rPr>
      <t xml:space="preserve"> / 𝛽</t>
    </r>
    <r>
      <rPr>
        <i/>
        <vertAlign val="subscript"/>
        <sz val="12"/>
        <color theme="1"/>
        <rFont val="Calibri"/>
        <family val="2"/>
        <scheme val="minor"/>
      </rPr>
      <t>i</t>
    </r>
    <r>
      <rPr>
        <i/>
        <vertAlign val="superscript"/>
        <sz val="12"/>
        <color theme="1"/>
        <rFont val="Calibri"/>
        <family val="2"/>
        <scheme val="minor"/>
      </rPr>
      <t>2</t>
    </r>
  </si>
  <si>
    <r>
      <t xml:space="preserve">    year </t>
    </r>
    <r>
      <rPr>
        <i/>
        <sz val="12"/>
        <color theme="1"/>
        <rFont val="Calibri"/>
        <family val="2"/>
        <scheme val="minor"/>
      </rPr>
      <t>j</t>
    </r>
    <r>
      <rPr>
        <sz val="12"/>
        <color theme="1"/>
        <rFont val="Calibri"/>
        <family val="2"/>
        <scheme val="minor"/>
      </rPr>
      <t>.</t>
    </r>
  </si>
  <si>
    <r>
      <t xml:space="preserve">•  The variable </t>
    </r>
    <r>
      <rPr>
        <i/>
        <sz val="12"/>
        <color theme="1"/>
        <rFont val="Calibri"/>
        <family val="2"/>
        <scheme val="minor"/>
      </rPr>
      <t>y</t>
    </r>
    <r>
      <rPr>
        <i/>
        <vertAlign val="subscript"/>
        <sz val="12"/>
        <color theme="1"/>
        <rFont val="Calibri"/>
        <family val="2"/>
        <scheme val="minor"/>
      </rPr>
      <t>j</t>
    </r>
    <r>
      <rPr>
        <sz val="12"/>
        <color theme="1"/>
        <rFont val="Calibri"/>
        <family val="2"/>
        <scheme val="minor"/>
      </rPr>
      <t xml:space="preserve"> represents the proportion of ultimate losses that emerge in development</t>
    </r>
  </si>
  <si>
    <r>
      <t xml:space="preserve">In order to produce IBNR estimates closer to the chain-ladder indications, </t>
    </r>
    <r>
      <rPr>
        <b/>
        <sz val="12"/>
        <color theme="1"/>
        <rFont val="Calibri"/>
        <family val="2"/>
        <scheme val="minor"/>
      </rPr>
      <t xml:space="preserve">we need to decrease beta </t>
    </r>
    <r>
      <rPr>
        <sz val="12"/>
        <color theme="1"/>
        <rFont val="Calibri"/>
        <family val="2"/>
        <scheme val="minor"/>
      </rPr>
      <t>so that the credibility weight Z will increase and give more weight to the chain-ladder indications.</t>
    </r>
  </si>
  <si>
    <r>
      <t>•  The variable</t>
    </r>
    <r>
      <rPr>
        <i/>
        <sz val="12"/>
        <color theme="1"/>
        <rFont val="Calibri"/>
        <family val="2"/>
        <scheme val="minor"/>
      </rPr>
      <t xml:space="preserve"> x</t>
    </r>
    <r>
      <rPr>
        <i/>
        <vertAlign val="subscript"/>
        <sz val="12"/>
        <color theme="1"/>
        <rFont val="Calibri"/>
        <family val="2"/>
        <scheme val="minor"/>
      </rPr>
      <t>i</t>
    </r>
    <r>
      <rPr>
        <sz val="12"/>
        <color theme="1"/>
        <rFont val="Calibri"/>
        <family val="2"/>
        <scheme val="minor"/>
      </rPr>
      <t xml:space="preserve"> represents the expected ultimate losses for accident year </t>
    </r>
    <r>
      <rPr>
        <i/>
        <sz val="12"/>
        <color theme="1"/>
        <rFont val="Calibri"/>
        <family val="2"/>
        <scheme val="minor"/>
      </rPr>
      <t>i</t>
    </r>
    <r>
      <rPr>
        <sz val="12"/>
        <color theme="1"/>
        <rFont val="Calibri"/>
        <family val="2"/>
        <scheme val="minor"/>
      </rPr>
      <t>.</t>
    </r>
  </si>
  <si>
    <r>
      <t xml:space="preserve">    variance </t>
    </r>
    <r>
      <rPr>
        <i/>
        <sz val="12"/>
        <color theme="1"/>
        <rFont val="Calibri"/>
        <family val="2"/>
        <scheme val="minor"/>
      </rPr>
      <t>φx</t>
    </r>
    <r>
      <rPr>
        <i/>
        <vertAlign val="subscript"/>
        <sz val="12"/>
        <color theme="1"/>
        <rFont val="Calibri"/>
        <family val="2"/>
        <scheme val="minor"/>
      </rPr>
      <t>i</t>
    </r>
    <r>
      <rPr>
        <i/>
        <sz val="12"/>
        <color theme="1"/>
        <rFont val="Calibri"/>
        <family val="2"/>
        <scheme val="minor"/>
      </rPr>
      <t>y</t>
    </r>
    <r>
      <rPr>
        <i/>
        <vertAlign val="subscript"/>
        <sz val="12"/>
        <color theme="1"/>
        <rFont val="Calibri"/>
        <family val="2"/>
        <scheme val="minor"/>
      </rPr>
      <t>i</t>
    </r>
  </si>
  <si>
    <r>
      <t>•  Incremental losses, C</t>
    </r>
    <r>
      <rPr>
        <vertAlign val="subscript"/>
        <sz val="12"/>
        <color theme="1"/>
        <rFont val="Calibri"/>
        <family val="2"/>
        <scheme val="minor"/>
      </rPr>
      <t>ij</t>
    </r>
    <r>
      <rPr>
        <sz val="12"/>
        <color theme="1"/>
        <rFont val="Calibri"/>
        <family val="2"/>
        <scheme val="minor"/>
      </rPr>
      <t xml:space="preserve">, follow an over-dispersed Poisson distribution with mean </t>
    </r>
    <r>
      <rPr>
        <i/>
        <sz val="12"/>
        <color theme="1"/>
        <rFont val="Calibri"/>
        <family val="2"/>
        <scheme val="minor"/>
      </rPr>
      <t>x</t>
    </r>
    <r>
      <rPr>
        <i/>
        <vertAlign val="subscript"/>
        <sz val="12"/>
        <color theme="1"/>
        <rFont val="Calibri"/>
        <family val="2"/>
        <scheme val="minor"/>
      </rPr>
      <t>i</t>
    </r>
    <r>
      <rPr>
        <i/>
        <sz val="12"/>
        <color theme="1"/>
        <rFont val="Calibri"/>
        <family val="2"/>
        <scheme val="minor"/>
      </rPr>
      <t>y</t>
    </r>
    <r>
      <rPr>
        <i/>
        <vertAlign val="subscript"/>
        <sz val="12"/>
        <color theme="1"/>
        <rFont val="Calibri"/>
        <family val="2"/>
        <scheme val="minor"/>
      </rPr>
      <t>i</t>
    </r>
    <r>
      <rPr>
        <sz val="12"/>
        <color theme="1"/>
        <rFont val="Calibri"/>
        <family val="2"/>
        <scheme val="minor"/>
      </rPr>
      <t xml:space="preserve"> and</t>
    </r>
  </si>
  <si>
    <r>
      <t>E[IncLoss</t>
    </r>
    <r>
      <rPr>
        <vertAlign val="superscript"/>
        <sz val="12"/>
        <color theme="1"/>
        <rFont val="Calibri (Body)"/>
      </rPr>
      <t>BF</t>
    </r>
    <r>
      <rPr>
        <sz val="12"/>
        <color theme="1"/>
        <rFont val="Calibri"/>
        <family val="2"/>
        <scheme val="minor"/>
      </rPr>
      <t xml:space="preserve">] = </t>
    </r>
  </si>
  <si>
    <r>
      <t>E[IncLoss</t>
    </r>
    <r>
      <rPr>
        <vertAlign val="superscript"/>
        <sz val="12"/>
        <color theme="1"/>
        <rFont val="Calibri (Body)"/>
      </rPr>
      <t>CL</t>
    </r>
    <r>
      <rPr>
        <sz val="12"/>
        <color theme="1"/>
        <rFont val="Calibri"/>
        <family val="2"/>
        <scheme val="minor"/>
      </rPr>
      <t xml:space="preserve">] = </t>
    </r>
  </si>
  <si>
    <t>Z</t>
  </si>
  <si>
    <t>For AY 2015 (at 24 months development), expected incremental lossess between 24 and 48 months:</t>
  </si>
  <si>
    <t>% Reported</t>
  </si>
  <si>
    <t>Cumulative 
Development Factor</t>
  </si>
  <si>
    <t>Loss 
Development Factor</t>
  </si>
  <si>
    <t>Age</t>
  </si>
  <si>
    <r>
      <t>M</t>
    </r>
    <r>
      <rPr>
        <vertAlign val="subscript"/>
        <sz val="12"/>
        <color theme="1"/>
        <rFont val="Calibri (Body)"/>
      </rPr>
      <t>2015</t>
    </r>
    <r>
      <rPr>
        <sz val="12"/>
        <color theme="1"/>
        <rFont val="Calibri"/>
        <family val="2"/>
        <scheme val="minor"/>
      </rPr>
      <t xml:space="preserve"> =</t>
    </r>
  </si>
  <si>
    <t>•  The following reported development factors were derived:</t>
  </si>
  <si>
    <t xml:space="preserve">•  Cumulative reported losses at 24 months for accident year 2015: </t>
  </si>
  <si>
    <t>Spring 2017</t>
  </si>
  <si>
    <t>iii. IBNR will be understated due to the negative development of this large claim making its way into the development factors</t>
  </si>
  <si>
    <t>ii. Remove the outlier from the loss data</t>
  </si>
  <si>
    <t>i. Downward development will occur in the loss triangle between the two ages in which the settlement occurs</t>
  </si>
  <si>
    <t>A large claim reserved at $10M ultimately settles favorably for $1M.</t>
  </si>
  <si>
    <t>iii. IBNR might not be appropriate since the risk from catastrophes will not be reflected in the IBNR (catastrophe losses develop differently from non-catastrophe losses)</t>
  </si>
  <si>
    <t>The company's property portfolio has grown rapidly in catastrophe-prone areas.</t>
  </si>
  <si>
    <t>ii. Calculate IBNR for property catastrophe losses separately from property non-catastrophe losses</t>
  </si>
  <si>
    <t>Claims staffing level has increased over the last year relative to the previous four years.</t>
  </si>
  <si>
    <t>i. Increase in loss variability due to more catastrophe events entering the loss data</t>
  </si>
  <si>
    <t>iii. The impact on IBNR estimates if no adjustments are made.</t>
  </si>
  <si>
    <t>ii.  The adjustment that should be made by incorporating expert opinion, and</t>
  </si>
  <si>
    <t>iii. IBNR would be overstated</t>
  </si>
  <si>
    <t>i.   The likely impact on the loss data,</t>
  </si>
  <si>
    <t>ii. Reduce the expected LDF since claims are being paid more quickly</t>
  </si>
  <si>
    <t>i. Speed-up in claims payments for this year</t>
  </si>
  <si>
    <t>For each of the scenarios in parts a., b., and c. below, briefly describe:</t>
  </si>
  <si>
    <t>Q #15</t>
  </si>
  <si>
    <t>Spring 2018</t>
  </si>
  <si>
    <t>NO LONGER ON SYLLABUS</t>
  </si>
  <si>
    <t>g.</t>
  </si>
  <si>
    <t>Calculate the total unpaid losses net of S&amp;S for accident year 2018.</t>
  </si>
  <si>
    <t>f.</t>
  </si>
  <si>
    <t>Brosius - Bayesian Credibility in a Changing System</t>
  </si>
  <si>
    <t>Calculate the total S&amp;S recoveries for accident year 2018 using Bayesian credibility.</t>
  </si>
  <si>
    <t>1.5 points</t>
  </si>
  <si>
    <r>
      <rPr>
        <b/>
        <sz val="12"/>
        <color theme="1"/>
        <rFont val="Calibri"/>
        <family val="2"/>
        <scheme val="minor"/>
      </rPr>
      <t>Part b</t>
    </r>
    <r>
      <rPr>
        <sz val="12"/>
        <color theme="1"/>
        <rFont val="Calibri"/>
        <family val="2"/>
        <scheme val="minor"/>
      </rPr>
      <t xml:space="preserve"> - This could also be done in two steps by calculating the amounts expected to emerge between 12 and 24 and 24 and 36, and then adding those together.</t>
    </r>
  </si>
  <si>
    <t>months using the Bayesian model with the most appropriate prior distribution from part a. above.</t>
  </si>
  <si>
    <t>Calculate the incremental losses gross of S&amp;S for accident year 2018 expected to emerge between 12 and 36</t>
  </si>
  <si>
    <t>the gross loss payment pattern. Justify the selection.</t>
  </si>
  <si>
    <t>Total unpaid losses net of S&amp;S =</t>
  </si>
  <si>
    <t>Select the prior gamma distribution most appropriate to address the concern that the vendor agreement has slowed</t>
  </si>
  <si>
    <t>&lt;-Total S&amp;S recovs - S&amp;S recovs to date</t>
  </si>
  <si>
    <t>Total unrecovered S&amp;S =</t>
  </si>
  <si>
    <t>Total unpaid losses gross of S&amp;S =</t>
  </si>
  <si>
    <t>•  The standard deviation of the percent of S&amp;S recoveries received through 12 months was:</t>
  </si>
  <si>
    <t>•  The expected percent of the S&amp;S recoveries received through 12 months was:</t>
  </si>
  <si>
    <t>Part f.</t>
  </si>
  <si>
    <t>•  The standard deviation of the S&amp;S recoveries was:</t>
  </si>
  <si>
    <t>•  The expected S&amp;S recoveries per accident year were:</t>
  </si>
  <si>
    <t>AY 2018 Total S&amp;S Recoveries =</t>
  </si>
  <si>
    <t>competitors of comparable size to find:</t>
  </si>
  <si>
    <t>To estimate the total S&amp;S recoveries for accident year 2018, the Actuarial department analyzed S&amp;S data from</t>
  </si>
  <si>
    <t>&lt;-The SS recoveries to date for AY 2018; this is found by subtracting the net losses from the gross loss</t>
  </si>
  <si>
    <t>AY 2018 S&amp;S Recoveries at 12mo =</t>
  </si>
  <si>
    <t>&lt;-Var(X/Y)*(Var(Y) + E(Y)^2)</t>
  </si>
  <si>
    <t>EVPV</t>
  </si>
  <si>
    <t>Option 3</t>
  </si>
  <si>
    <t>Option 2</t>
  </si>
  <si>
    <t>Option 1</t>
  </si>
  <si>
    <t>Parameter</t>
  </si>
  <si>
    <t>&lt;-E(X/Y)^2*Var(Y)</t>
  </si>
  <si>
    <t>VHM</t>
  </si>
  <si>
    <t xml:space="preserve">Std Dev % Reported sigma(X/Y) = </t>
  </si>
  <si>
    <t>following prior gamma distributions for the Bayesian model above:</t>
  </si>
  <si>
    <t xml:space="preserve">Expected % Reported E[X/Y] = </t>
  </si>
  <si>
    <t>To estimate the total unpaid losses gross of S&amp;S for accident year 2018, the Actuarial department is considering the</t>
  </si>
  <si>
    <t>Std Dev of Ult Loss sigma_Y =</t>
  </si>
  <si>
    <t xml:space="preserve">Expected Ult Loss E[Y] ($M) = </t>
  </si>
  <si>
    <t>the gross loss payment pattern for calendar year 2018 and will continue in calendar years 2019 and 2020.</t>
  </si>
  <si>
    <t>The Actuarial department believes that the S&amp;S recovery vendor agreement has resulted in a slowdown of</t>
  </si>
  <si>
    <r>
      <t>Part d. (</t>
    </r>
    <r>
      <rPr>
        <b/>
        <i/>
        <sz val="12"/>
        <color theme="1"/>
        <rFont val="Calibri"/>
        <family val="2"/>
        <scheme val="minor"/>
      </rPr>
      <t>Brosius)</t>
    </r>
  </si>
  <si>
    <t xml:space="preserve">Expected Losses from 12 and 36 = </t>
  </si>
  <si>
    <r>
      <t>•  The mean of C</t>
    </r>
    <r>
      <rPr>
        <vertAlign val="subscript"/>
        <sz val="12"/>
        <color theme="1"/>
        <rFont val="Calibri"/>
        <family val="2"/>
        <scheme val="minor"/>
      </rPr>
      <t>ij</t>
    </r>
    <r>
      <rPr>
        <sz val="12"/>
        <color theme="1"/>
        <rFont val="Calibri"/>
        <family val="2"/>
        <scheme val="minor"/>
      </rPr>
      <t xml:space="preserve"> for this Bayesian model is:</t>
    </r>
  </si>
  <si>
    <t xml:space="preserve">    about the losses.</t>
  </si>
  <si>
    <r>
      <t>•  M</t>
    </r>
    <r>
      <rPr>
        <vertAlign val="subscript"/>
        <sz val="12"/>
        <color theme="1"/>
        <rFont val="Calibri"/>
        <family val="2"/>
        <scheme val="minor"/>
      </rPr>
      <t>i</t>
    </r>
    <r>
      <rPr>
        <sz val="12"/>
        <color theme="1"/>
        <rFont val="Calibri"/>
        <family val="2"/>
        <scheme val="minor"/>
      </rPr>
      <t xml:space="preserve"> represents the value for ultimate losses for accident year i that is obtained using expert knowledge</t>
    </r>
  </si>
  <si>
    <r>
      <t>•  D</t>
    </r>
    <r>
      <rPr>
        <vertAlign val="subscript"/>
        <sz val="12"/>
        <color theme="1"/>
        <rFont val="Calibri"/>
        <family val="2"/>
        <scheme val="minor"/>
      </rPr>
      <t>ij</t>
    </r>
    <r>
      <rPr>
        <sz val="12"/>
        <color theme="1"/>
        <rFont val="Calibri"/>
        <family val="2"/>
        <scheme val="minor"/>
      </rPr>
      <t xml:space="preserve"> represents the cumulative losses for accident year i as of development year j.</t>
    </r>
  </si>
  <si>
    <t xml:space="preserve"> = %Paid / (beta*phi + %Paid)</t>
  </si>
  <si>
    <r>
      <t xml:space="preserve">•  </t>
    </r>
    <r>
      <rPr>
        <sz val="12"/>
        <color theme="1"/>
        <rFont val="Calibri"/>
        <family val="2"/>
        <scheme val="minor"/>
      </rPr>
      <t>λ</t>
    </r>
    <r>
      <rPr>
        <vertAlign val="subscript"/>
        <sz val="12"/>
        <color theme="1"/>
        <rFont val="Calibri"/>
        <family val="2"/>
        <scheme val="minor"/>
      </rPr>
      <t>j</t>
    </r>
    <r>
      <rPr>
        <sz val="12"/>
        <color theme="1"/>
        <rFont val="Calibri"/>
        <family val="2"/>
        <scheme val="minor"/>
      </rPr>
      <t xml:space="preserve"> represents the incremental chain ladder loss development factor for development year j.</t>
    </r>
  </si>
  <si>
    <t>•  𝜑 represents the dispersion parameter for the ODP distribution, which is:</t>
  </si>
  <si>
    <t>For AY 2018, expected incremental lossess between 12 and 36 months:</t>
  </si>
  <si>
    <r>
      <t>•  y</t>
    </r>
    <r>
      <rPr>
        <vertAlign val="subscript"/>
        <sz val="12"/>
        <color theme="1"/>
        <rFont val="Calibri"/>
        <family val="2"/>
        <scheme val="minor"/>
      </rPr>
      <t>i</t>
    </r>
    <r>
      <rPr>
        <sz val="12"/>
        <color theme="1"/>
        <rFont val="Calibri"/>
        <family val="2"/>
        <scheme val="minor"/>
      </rPr>
      <t xml:space="preserve"> represents the proportion of ultimate losses that emerge in development year j.</t>
    </r>
  </si>
  <si>
    <r>
      <t>•  x</t>
    </r>
    <r>
      <rPr>
        <vertAlign val="subscript"/>
        <sz val="12"/>
        <color theme="1"/>
        <rFont val="Calibri"/>
        <family val="2"/>
        <scheme val="minor"/>
      </rPr>
      <t>i</t>
    </r>
    <r>
      <rPr>
        <sz val="12"/>
        <color theme="1"/>
        <rFont val="Calibri"/>
        <family val="2"/>
        <scheme val="minor"/>
      </rPr>
      <t xml:space="preserve"> represents the expected ultimate losses for accident year i.</t>
    </r>
  </si>
  <si>
    <r>
      <t xml:space="preserve">     Poisson ("ODP") distribution with mean X</t>
    </r>
    <r>
      <rPr>
        <vertAlign val="subscript"/>
        <sz val="12"/>
        <color theme="1"/>
        <rFont val="Calibri"/>
        <family val="2"/>
        <scheme val="minor"/>
      </rPr>
      <t>i</t>
    </r>
    <r>
      <rPr>
        <sz val="12"/>
        <color theme="1"/>
        <rFont val="Calibri"/>
        <family val="2"/>
        <scheme val="minor"/>
      </rPr>
      <t>Y</t>
    </r>
    <r>
      <rPr>
        <vertAlign val="subscript"/>
        <sz val="12"/>
        <color theme="1"/>
        <rFont val="Calibri"/>
        <family val="2"/>
        <scheme val="minor"/>
      </rPr>
      <t>i</t>
    </r>
    <r>
      <rPr>
        <sz val="12"/>
        <color theme="1"/>
        <rFont val="Calibri"/>
        <family val="2"/>
        <scheme val="minor"/>
      </rPr>
      <t xml:space="preserve"> and variance</t>
    </r>
    <r>
      <rPr>
        <i/>
        <sz val="12"/>
        <color theme="1"/>
        <rFont val="Calibri"/>
        <family val="2"/>
        <scheme val="minor"/>
      </rPr>
      <t xml:space="preserve"> φX</t>
    </r>
    <r>
      <rPr>
        <i/>
        <vertAlign val="subscript"/>
        <sz val="12"/>
        <color theme="1"/>
        <rFont val="Calibri"/>
        <family val="2"/>
        <scheme val="minor"/>
      </rPr>
      <t>i</t>
    </r>
    <r>
      <rPr>
        <i/>
        <sz val="12"/>
        <color theme="1"/>
        <rFont val="Calibri"/>
        <family val="2"/>
        <scheme val="minor"/>
      </rPr>
      <t>Y</t>
    </r>
    <r>
      <rPr>
        <i/>
        <vertAlign val="subscript"/>
        <sz val="12"/>
        <color theme="1"/>
        <rFont val="Calibri"/>
        <family val="2"/>
        <scheme val="minor"/>
      </rPr>
      <t>i</t>
    </r>
    <r>
      <rPr>
        <sz val="12"/>
        <color theme="1"/>
        <rFont val="Calibri"/>
        <family val="2"/>
        <scheme val="minor"/>
      </rPr>
      <t>·</t>
    </r>
  </si>
  <si>
    <r>
      <t>•  C</t>
    </r>
    <r>
      <rPr>
        <vertAlign val="subscript"/>
        <sz val="12"/>
        <color theme="1"/>
        <rFont val="Calibri"/>
        <family val="2"/>
        <scheme val="minor"/>
      </rPr>
      <t>ij</t>
    </r>
    <r>
      <rPr>
        <sz val="12"/>
        <color theme="1"/>
        <rFont val="Calibri"/>
        <family val="2"/>
        <scheme val="minor"/>
      </rPr>
      <t xml:space="preserve"> represents the incremental losses for accident year i as of development year j which follow an over dispersed</t>
    </r>
  </si>
  <si>
    <t>36-Ult</t>
  </si>
  <si>
    <t>24-36</t>
  </si>
  <si>
    <t>12-24</t>
  </si>
  <si>
    <t>Prior to 2018, the Actuarial department estimated unpaid losses using the following Bayesian model:</t>
  </si>
  <si>
    <t>M_2018 =</t>
  </si>
  <si>
    <r>
      <t xml:space="preserve">Part b. </t>
    </r>
    <r>
      <rPr>
        <b/>
        <i/>
        <sz val="12"/>
        <color theme="1"/>
        <rFont val="Calibri"/>
        <family val="2"/>
        <scheme val="minor"/>
      </rPr>
      <t>(Verrall)</t>
    </r>
  </si>
  <si>
    <t>Incremental Paid Loss Net of 
S&amp;S ($000s) as of (months)</t>
  </si>
  <si>
    <t>Incremental Paid Loss Gross of 
S&amp;S ($000s) as of (months)</t>
  </si>
  <si>
    <t>•  Options 2 and 3 are preferable to option 1 because they produce lower variances. The lower variance will put less credibility on the LDF method and more credibility to prior estimate based on the expert opinion about the slowdown.  
•  Based on historical data, a mean of 25,000 is more appropriate. Thus, I choose Option 2.</t>
  </si>
  <si>
    <t>(assume no development after 36 months):</t>
  </si>
  <si>
    <t>The insurance company's IT department generated the following loss development triangles as of December 31, 2018</t>
  </si>
  <si>
    <t>the vendor to pursue all S&amp;S opportunities for accident year 2018.</t>
  </si>
  <si>
    <t>On January 1, 2018, the insurer enters into a one-year agreement with an S&amp;S recovery vendor, requiring</t>
  </si>
  <si>
    <t>An insurance company historically never attempted to recover salvage and subrogation ("S&amp;S") on claims.</t>
  </si>
  <si>
    <r>
      <t>Part a.</t>
    </r>
    <r>
      <rPr>
        <b/>
        <i/>
        <sz val="12"/>
        <color theme="1"/>
        <rFont val="Calibri"/>
        <family val="2"/>
        <scheme val="minor"/>
      </rPr>
      <t xml:space="preserve"> (Verrall)</t>
    </r>
  </si>
  <si>
    <t>Q #1 (modified)</t>
  </si>
  <si>
    <t>Spring 2019</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</si>
  <si>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</si>
  <si>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r>
      <t>Here are some comments from the Examiners’ Report by part:
 a) Low variance was not accepted.
 b) For full credit, you need to mention that the LDF</t>
    </r>
    <r>
      <rPr>
        <vertAlign val="subscript"/>
        <sz val="12"/>
        <color theme="1"/>
        <rFont val="Calibri (Body)"/>
      </rPr>
      <t>36-48</t>
    </r>
    <r>
      <rPr>
        <sz val="12"/>
        <color theme="1"/>
        <rFont val="Calibri"/>
        <family val="2"/>
        <scheme val="minor"/>
      </rPr>
      <t xml:space="preserve"> has a high variance to relect the actuary’s uncertainty with the selected LDF.
 c) For full credit, you had to reflect the change of part b on the mean and prediction error of the simulated results. Take a look at pg. 67 and Table 6 on pg. 68 from Verrall. I think that’s where they’re drawing this from.
 d) The same advantage of incorporating expert opinion could be used for both an advantage over the Bootstrap model and Mack model (see the Examiners Report).
 e) For full credit, you need to discuss the stochastic BF modification used in Verrall, not just the deterministic, non-stochastic BF model.</t>
    </r>
  </si>
  <si>
    <t>Z = %Paid / ( β * ɸ + %Paid )</t>
  </si>
  <si>
    <t>Over-dispersed Poisson - the connection to the chain-ladder technique is not immediately apparent</t>
  </si>
  <si>
    <t>β =</t>
  </si>
  <si>
    <t xml:space="preserve"> = ⍺ / β</t>
  </si>
  <si>
    <r>
      <t>•  The accident year 2015 estimates for</t>
    </r>
    <r>
      <rPr>
        <i/>
        <sz val="12"/>
        <color theme="1"/>
        <rFont val="Calibri"/>
        <family val="2"/>
        <scheme val="minor"/>
      </rPr>
      <t xml:space="preserve"> ⍺</t>
    </r>
    <r>
      <rPr>
        <sz val="12"/>
        <color theme="1"/>
        <rFont val="Calibri"/>
        <family val="2"/>
        <scheme val="minor"/>
      </rPr>
      <t xml:space="preserve"> and </t>
    </r>
    <r>
      <rPr>
        <i/>
        <sz val="12"/>
        <color theme="1"/>
        <rFont val="Calibri"/>
        <family val="2"/>
        <scheme val="minor"/>
      </rPr>
      <t>β</t>
    </r>
    <r>
      <rPr>
        <sz val="12"/>
        <color theme="1"/>
        <rFont val="Calibri"/>
        <family val="2"/>
        <scheme val="minor"/>
      </rPr>
      <t xml:space="preserve"> are 100 and 0.01234 respectively.</t>
    </r>
  </si>
  <si>
    <r>
      <t xml:space="preserve">•  The prior distribution for </t>
    </r>
    <r>
      <rPr>
        <i/>
        <sz val="12"/>
        <color theme="1"/>
        <rFont val="Calibri"/>
        <family val="2"/>
        <scheme val="minor"/>
      </rPr>
      <t>x</t>
    </r>
    <r>
      <rPr>
        <i/>
        <vertAlign val="subscript"/>
        <sz val="12"/>
        <color theme="1"/>
        <rFont val="Calibri"/>
        <family val="2"/>
        <scheme val="minor"/>
      </rPr>
      <t>i</t>
    </r>
    <r>
      <rPr>
        <sz val="12"/>
        <color theme="1"/>
        <rFont val="Calibri"/>
        <family val="2"/>
        <scheme val="minor"/>
      </rPr>
      <t xml:space="preserve"> is gamma with mean</t>
    </r>
    <r>
      <rPr>
        <i/>
        <sz val="12"/>
        <color theme="1"/>
        <rFont val="Calibri"/>
        <family val="2"/>
        <scheme val="minor"/>
      </rPr>
      <t xml:space="preserve"> ⍺</t>
    </r>
    <r>
      <rPr>
        <i/>
        <vertAlign val="subscript"/>
        <sz val="12"/>
        <color theme="1"/>
        <rFont val="Calibri"/>
        <family val="2"/>
        <scheme val="minor"/>
      </rPr>
      <t>i</t>
    </r>
    <r>
      <rPr>
        <i/>
        <sz val="12"/>
        <color theme="1"/>
        <rFont val="Calibri"/>
        <family val="2"/>
        <scheme val="minor"/>
      </rPr>
      <t xml:space="preserve"> / β</t>
    </r>
    <r>
      <rPr>
        <i/>
        <vertAlign val="subscript"/>
        <sz val="12"/>
        <color theme="1"/>
        <rFont val="Calibri"/>
        <family val="2"/>
        <scheme val="minor"/>
      </rPr>
      <t>i</t>
    </r>
    <r>
      <rPr>
        <sz val="12"/>
        <color theme="1"/>
        <rFont val="Calibri"/>
        <family val="2"/>
        <scheme val="minor"/>
      </rPr>
      <t xml:space="preserve"> and variance </t>
    </r>
    <r>
      <rPr>
        <i/>
        <sz val="12"/>
        <color theme="1"/>
        <rFont val="Calibri"/>
        <family val="2"/>
        <scheme val="minor"/>
      </rPr>
      <t>⍺</t>
    </r>
    <r>
      <rPr>
        <i/>
        <vertAlign val="subscript"/>
        <sz val="12"/>
        <color theme="1"/>
        <rFont val="Calibri"/>
        <family val="2"/>
        <scheme val="minor"/>
      </rPr>
      <t>i</t>
    </r>
    <r>
      <rPr>
        <i/>
        <sz val="12"/>
        <color theme="1"/>
        <rFont val="Calibri"/>
        <family val="2"/>
        <scheme val="minor"/>
      </rPr>
      <t xml:space="preserve"> / β</t>
    </r>
    <r>
      <rPr>
        <i/>
        <vertAlign val="subscript"/>
        <sz val="12"/>
        <color theme="1"/>
        <rFont val="Calibri"/>
        <family val="2"/>
        <scheme val="minor"/>
      </rPr>
      <t>i</t>
    </r>
    <r>
      <rPr>
        <i/>
        <vertAlign val="superscript"/>
        <sz val="12"/>
        <color theme="1"/>
        <rFont val="Calibri"/>
        <family val="2"/>
        <scheme val="minor"/>
      </rPr>
      <t>2</t>
    </r>
  </si>
  <si>
    <t>• We can override specific LDFs to select to reflect expert opinion (such as a change in payment pattern due to recent claim process changes).
• We can select an expected loss level for the Bayesian model of the BF method to reflect expert opinion. For instance, we might choose a higher level due to known changes in the company.</t>
  </si>
  <si>
    <t>reported losses when using an over-dispersed Poisson model.</t>
  </si>
  <si>
    <t>Explain why modelling paid losses or claim counts may be preferable to modelling</t>
  </si>
  <si>
    <t>year 2009.</t>
  </si>
  <si>
    <t>Calculate the variance of the 24 to 36 month incremental reported losses for accident</t>
  </si>
  <si>
    <t>•  Expected ultimate losses for accident year 2009 are $.</t>
  </si>
  <si>
    <r>
      <t xml:space="preserve">parameter, </t>
    </r>
    <r>
      <rPr>
        <sz val="12"/>
        <color theme="1"/>
        <rFont val="Calibri"/>
        <family val="2"/>
      </rPr>
      <t>𝜙</t>
    </r>
    <r>
      <rPr>
        <sz val="12"/>
        <color theme="1"/>
        <rFont val="Calibri"/>
        <family val="2"/>
        <scheme val="minor"/>
      </rPr>
      <t xml:space="preserve"> , equal to</t>
    </r>
  </si>
  <si>
    <t>•  The loss emergence follows an over-dispersed Poisson model, with dispersion</t>
  </si>
  <si>
    <t>The variance formula above doesn’t allow for negative expected incremental losses. Paid losses and claim counts are less likely to show negative incremental development, which is more likely for reported losses.</t>
  </si>
  <si>
    <r>
      <rPr>
        <sz val="12"/>
        <color theme="1"/>
        <rFont val="Calibri"/>
        <family val="2"/>
      </rPr>
      <t xml:space="preserve">𝜙 * </t>
    </r>
    <r>
      <rPr>
        <sz val="12"/>
        <color theme="1"/>
        <rFont val="Calibri"/>
        <family val="2"/>
        <scheme val="minor"/>
      </rPr>
      <t>m</t>
    </r>
    <r>
      <rPr>
        <vertAlign val="subscript"/>
        <sz val="12"/>
        <color theme="1"/>
        <rFont val="Calibri"/>
        <family val="2"/>
        <scheme val="minor"/>
      </rPr>
      <t>2009, 36</t>
    </r>
    <r>
      <rPr>
        <sz val="12"/>
        <color theme="1"/>
        <rFont val="Calibri"/>
        <family val="2"/>
        <scheme val="minor"/>
      </rPr>
      <t xml:space="preserve"> =</t>
    </r>
  </si>
  <si>
    <r>
      <t>Var[IncLoss</t>
    </r>
    <r>
      <rPr>
        <vertAlign val="subscript"/>
        <sz val="12"/>
        <color theme="1"/>
        <rFont val="Calibri"/>
        <family val="2"/>
        <scheme val="minor"/>
      </rPr>
      <t>2009,36</t>
    </r>
    <r>
      <rPr>
        <sz val="12"/>
        <color theme="1"/>
        <rFont val="Calibri"/>
        <family val="2"/>
        <scheme val="minor"/>
      </rPr>
      <t xml:space="preserve"> ] =</t>
    </r>
  </si>
  <si>
    <t>Accident Year Age in Months</t>
  </si>
  <si>
    <r>
      <t>m</t>
    </r>
    <r>
      <rPr>
        <vertAlign val="subscript"/>
        <sz val="12"/>
        <color theme="1"/>
        <rFont val="Calibri"/>
        <family val="2"/>
        <scheme val="minor"/>
      </rPr>
      <t>2009, 36</t>
    </r>
    <r>
      <rPr>
        <sz val="12"/>
        <color theme="1"/>
        <rFont val="Calibri"/>
        <family val="2"/>
        <scheme val="minor"/>
      </rPr>
      <t xml:space="preserve"> =</t>
    </r>
  </si>
  <si>
    <r>
      <t>E[IncLoss</t>
    </r>
    <r>
      <rPr>
        <vertAlign val="subscript"/>
        <sz val="12"/>
        <color theme="1"/>
        <rFont val="Calibri"/>
        <family val="2"/>
        <scheme val="minor"/>
      </rPr>
      <t>2009,36</t>
    </r>
    <r>
      <rPr>
        <sz val="12"/>
        <color theme="1"/>
        <rFont val="Calibri"/>
        <family val="2"/>
        <scheme val="minor"/>
      </rPr>
      <t xml:space="preserve"> ] =</t>
    </r>
  </si>
  <si>
    <t>Given the following cumulative reported loss emergence pattern:</t>
  </si>
  <si>
    <t>Q #7</t>
  </si>
  <si>
    <r>
      <t>This model is a credibility-weighting between the incremental unpaid loss estimates from the chain ladder ((lambda_j-1)*D_i,j-1) and Bornhuetter-Ferguson ((lambda_j-1)*M_i/(lambda_j...lambda_n)) methods. The level of credibility is set by adjusting the parameter 𝛽</t>
    </r>
    <r>
      <rPr>
        <vertAlign val="subscript"/>
        <sz val="12"/>
        <color theme="1"/>
        <rFont val="Calibri (Body)"/>
      </rPr>
      <t>AY</t>
    </r>
    <r>
      <rPr>
        <sz val="12"/>
        <color theme="1"/>
        <rFont val="Calibri"/>
        <family val="2"/>
        <scheme val="minor"/>
      </rPr>
      <t>.</t>
    </r>
  </si>
  <si>
    <t>• Bayesian method</t>
  </si>
  <si>
    <t>Briefly describe one advantage of each of the following methods:</t>
  </si>
  <si>
    <r>
      <t>Part b</t>
    </r>
    <r>
      <rPr>
        <sz val="12"/>
        <color theme="1"/>
        <rFont val="Calibri"/>
        <family val="2"/>
        <scheme val="minor"/>
      </rPr>
      <t xml:space="preserve"> - See the "Bayesian Model for the BF Method" recipe and its discussion for some more insight into calculating the Bayesian estimate as a credibility-weighted average of the CL and BF methods.</t>
    </r>
  </si>
  <si>
    <t>•  Produces full predictive distribution rather than just a point estimate</t>
  </si>
  <si>
    <t>•  Incorporates expert opinion into the simulation</t>
  </si>
  <si>
    <r>
      <t xml:space="preserve">Bayesian method </t>
    </r>
    <r>
      <rPr>
        <i/>
        <u/>
        <sz val="12"/>
        <color theme="1"/>
        <rFont val="Calibri"/>
        <family val="2"/>
        <scheme val="minor"/>
      </rPr>
      <t>(one of the following)</t>
    </r>
  </si>
  <si>
    <t>•  Incorporates correlation between accident years</t>
  </si>
  <si>
    <t>Calculate the Bayesian ultimate loss estimate for accident year 2018.</t>
  </si>
  <si>
    <t>Compare the variance of the prior distributions for accident years 2016 and 2017.</t>
  </si>
  <si>
    <r>
      <t xml:space="preserve">•  </t>
    </r>
    <r>
      <rPr>
        <i/>
        <sz val="12"/>
        <color theme="1"/>
        <rFont val="Calibri"/>
        <family val="2"/>
      </rPr>
      <t>𝜓</t>
    </r>
    <r>
      <rPr>
        <i/>
        <vertAlign val="subscript"/>
        <sz val="12"/>
        <color theme="1"/>
        <rFont val="Calibri"/>
        <family val="2"/>
        <scheme val="minor"/>
      </rPr>
      <t>2018</t>
    </r>
    <r>
      <rPr>
        <i/>
        <sz val="12"/>
        <color theme="1"/>
        <rFont val="Calibri"/>
        <family val="2"/>
        <scheme val="minor"/>
      </rPr>
      <t xml:space="preserve"> = </t>
    </r>
  </si>
  <si>
    <t>=  Z*CL Estimate + (1-Z)*BF Estimate</t>
  </si>
  <si>
    <t>Bayesian Ult =</t>
  </si>
  <si>
    <t>= % Emerged/(Beta*Phi + % Emerged)</t>
  </si>
  <si>
    <t>Bayesian 
Ultimate ($000)</t>
  </si>
  <si>
    <t>Bornhuetter-Ferguson
 Ultimate ($000)</t>
  </si>
  <si>
    <t>Chain Ladder
 Ultimate ($000)</t>
  </si>
  <si>
    <t>Incurred 
Losses ($000)</t>
  </si>
  <si>
    <t>Given the following information as of December 31, 2018:</t>
  </si>
  <si>
    <t>The 2017 Bayesian ultimate is much closer to the BF ultimate than the 2016 Bayesian ultimate.  This suggests that the variance of the prior distribution (of x_i) for 2017 is smaller than the variance of the prior distribution for 2016.</t>
  </si>
  <si>
    <t>Alternative Solution (part b)</t>
  </si>
  <si>
    <t>E[Unreported BF] =</t>
  </si>
  <si>
    <t>E[Unreported CL] =</t>
  </si>
  <si>
    <t>E[Unreported Cred] =</t>
  </si>
  <si>
    <r>
      <t xml:space="preserve">xi = Expected </t>
    </r>
    <r>
      <rPr>
        <i/>
        <u/>
        <sz val="12"/>
        <color theme="1"/>
        <rFont val="Calibri (Body)"/>
      </rPr>
      <t>ultimate loss</t>
    </r>
    <r>
      <rPr>
        <sz val="12"/>
        <color theme="1"/>
        <rFont val="Calibri"/>
        <family val="2"/>
        <scheme val="minor"/>
      </rPr>
      <t xml:space="preserve"> for accident year i up to the last development period of the triangle</t>
    </r>
  </si>
  <si>
    <t>yj = % of ultimate loss emerging in development period j</t>
  </si>
  <si>
    <t xml:space="preserve">x_2 = </t>
  </si>
  <si>
    <t xml:space="preserve">y_4 = </t>
  </si>
  <si>
    <t>• Improper gamma distributions have been defined for the column parameters (i.e. the model has been reparameterized)</t>
  </si>
  <si>
    <r>
      <t>• C</t>
    </r>
    <r>
      <rPr>
        <vertAlign val="subscript"/>
        <sz val="12"/>
        <color theme="1"/>
        <rFont val="Calibri (Body)"/>
      </rPr>
      <t>ij</t>
    </r>
    <r>
      <rPr>
        <sz val="12"/>
        <color theme="1"/>
        <rFont val="Calibri"/>
        <family val="2"/>
        <scheme val="minor"/>
      </rPr>
      <t xml:space="preserve"> is an over-dispersed Poisson random variable with mean x</t>
    </r>
    <r>
      <rPr>
        <vertAlign val="subscript"/>
        <sz val="12"/>
        <color theme="1"/>
        <rFont val="Calibri (Body)"/>
      </rPr>
      <t>i</t>
    </r>
    <r>
      <rPr>
        <sz val="12"/>
        <color theme="1"/>
        <rFont val="Calibri"/>
        <family val="2"/>
        <scheme val="minor"/>
      </rPr>
      <t>y</t>
    </r>
    <r>
      <rPr>
        <vertAlign val="subscript"/>
        <sz val="12"/>
        <color theme="1"/>
        <rFont val="Calibri (Body)"/>
      </rPr>
      <t>j</t>
    </r>
    <r>
      <rPr>
        <sz val="12"/>
        <color theme="1"/>
        <rFont val="Calibri"/>
        <family val="2"/>
        <scheme val="minor"/>
      </rPr>
      <t xml:space="preserve"> and variance ѱx</t>
    </r>
    <r>
      <rPr>
        <vertAlign val="subscript"/>
        <sz val="12"/>
        <color theme="1"/>
        <rFont val="Calibri (Body)"/>
      </rPr>
      <t>i</t>
    </r>
    <r>
      <rPr>
        <sz val="12"/>
        <color theme="1"/>
        <rFont val="Calibri"/>
        <family val="2"/>
        <scheme val="minor"/>
      </rPr>
      <t>y</t>
    </r>
    <r>
      <rPr>
        <vertAlign val="subscript"/>
        <sz val="12"/>
        <color theme="1"/>
        <rFont val="Calibri (Body)"/>
      </rPr>
      <t>j</t>
    </r>
  </si>
  <si>
    <r>
      <t>• x</t>
    </r>
    <r>
      <rPr>
        <vertAlign val="subscript"/>
        <sz val="12"/>
        <color theme="1"/>
        <rFont val="Calibri (Body)"/>
      </rPr>
      <t>2</t>
    </r>
    <r>
      <rPr>
        <sz val="12"/>
        <color theme="1"/>
        <rFont val="Calibri"/>
        <family val="2"/>
        <scheme val="minor"/>
      </rPr>
      <t xml:space="preserve"> =</t>
    </r>
  </si>
  <si>
    <r>
      <t>• x</t>
    </r>
    <r>
      <rPr>
        <vertAlign val="subscript"/>
        <sz val="12"/>
        <color theme="1"/>
        <rFont val="Calibri (Body)"/>
      </rPr>
      <t>3</t>
    </r>
    <r>
      <rPr>
        <sz val="12"/>
        <color theme="1"/>
        <rFont val="Calibri"/>
        <family val="2"/>
        <scheme val="minor"/>
      </rPr>
      <t xml:space="preserve"> =</t>
    </r>
  </si>
  <si>
    <r>
      <t>• x</t>
    </r>
    <r>
      <rPr>
        <vertAlign val="subscript"/>
        <sz val="12"/>
        <color theme="1"/>
        <rFont val="Calibri (Body)"/>
      </rPr>
      <t>4</t>
    </r>
    <r>
      <rPr>
        <sz val="12"/>
        <color theme="1"/>
        <rFont val="Calibri"/>
        <family val="2"/>
        <scheme val="minor"/>
      </rPr>
      <t xml:space="preserve"> =</t>
    </r>
  </si>
  <si>
    <t>• Prior distributions have been defined for the row parameters with the means above</t>
  </si>
  <si>
    <r>
      <t>• The prior distribution for x</t>
    </r>
    <r>
      <rPr>
        <vertAlign val="subscript"/>
        <sz val="12"/>
        <color theme="1"/>
        <rFont val="Calibri (Body)"/>
      </rPr>
      <t>i</t>
    </r>
    <r>
      <rPr>
        <sz val="12"/>
        <color theme="1"/>
        <rFont val="Calibri"/>
        <family val="2"/>
        <scheme val="minor"/>
      </rPr>
      <t xml:space="preserve"> is gamma with mean ⍺</t>
    </r>
    <r>
      <rPr>
        <vertAlign val="subscript"/>
        <sz val="12"/>
        <color theme="1"/>
        <rFont val="Calibri (Body)"/>
      </rPr>
      <t>i</t>
    </r>
    <r>
      <rPr>
        <sz val="12"/>
        <color theme="1"/>
        <rFont val="Calibri"/>
        <family val="2"/>
        <scheme val="minor"/>
      </rPr>
      <t>/β</t>
    </r>
    <r>
      <rPr>
        <vertAlign val="subscript"/>
        <sz val="12"/>
        <color theme="1"/>
        <rFont val="Calibri (Body)"/>
      </rPr>
      <t>i</t>
    </r>
    <r>
      <rPr>
        <sz val="12"/>
        <color theme="1"/>
        <rFont val="Calibri"/>
        <family val="2"/>
        <scheme val="minor"/>
      </rPr>
      <t xml:space="preserve"> and variance ⍺</t>
    </r>
    <r>
      <rPr>
        <vertAlign val="subscript"/>
        <sz val="12"/>
        <color theme="1"/>
        <rFont val="Calibri (Body)"/>
      </rPr>
      <t>i</t>
    </r>
    <r>
      <rPr>
        <sz val="12"/>
        <color theme="1"/>
        <rFont val="Calibri"/>
        <family val="2"/>
        <scheme val="minor"/>
      </rPr>
      <t>/β</t>
    </r>
    <r>
      <rPr>
        <vertAlign val="subscript"/>
        <sz val="12"/>
        <color theme="1"/>
        <rFont val="Calibri (Body)"/>
      </rPr>
      <t>i</t>
    </r>
    <r>
      <rPr>
        <vertAlign val="superscript"/>
        <sz val="12"/>
        <color theme="1"/>
        <rFont val="Calibri (Body)"/>
      </rPr>
      <t>2</t>
    </r>
    <r>
      <rPr>
        <sz val="12"/>
        <color theme="1"/>
        <rFont val="Calibri"/>
        <family val="2"/>
        <scheme val="minor"/>
      </rPr>
      <t xml:space="preserve"> </t>
    </r>
  </si>
  <si>
    <t>• ѱ =</t>
  </si>
  <si>
    <r>
      <t>• ⍺</t>
    </r>
    <r>
      <rPr>
        <vertAlign val="subscript"/>
        <sz val="12"/>
        <color theme="1"/>
        <rFont val="Calibri (Body)"/>
      </rPr>
      <t>3</t>
    </r>
    <r>
      <rPr>
        <sz val="12"/>
        <color theme="1"/>
        <rFont val="Calibri"/>
        <family val="2"/>
        <scheme val="minor"/>
      </rPr>
      <t xml:space="preserve"> =</t>
    </r>
  </si>
  <si>
    <r>
      <t>• β</t>
    </r>
    <r>
      <rPr>
        <vertAlign val="subscript"/>
        <sz val="12"/>
        <color theme="1"/>
        <rFont val="Calibri (Body)"/>
      </rPr>
      <t>3</t>
    </r>
    <r>
      <rPr>
        <sz val="12"/>
        <color theme="1"/>
        <rFont val="Calibri"/>
        <family val="2"/>
        <scheme val="minor"/>
      </rPr>
      <t xml:space="preserve"> =</t>
    </r>
  </si>
  <si>
    <r>
      <t>Calculate the mean of C</t>
    </r>
    <r>
      <rPr>
        <vertAlign val="subscript"/>
        <sz val="12"/>
        <color theme="1"/>
        <rFont val="Calibri (Body)"/>
      </rPr>
      <t>3,3</t>
    </r>
    <r>
      <rPr>
        <sz val="12"/>
        <color theme="1"/>
        <rFont val="Calibri"/>
        <family val="2"/>
        <scheme val="minor"/>
      </rPr>
      <t xml:space="preserve"> using a Bayesian approach.</t>
    </r>
  </si>
  <si>
    <t>Modified</t>
  </si>
  <si>
    <t>• Correlated accident year method</t>
  </si>
  <si>
    <r>
      <t xml:space="preserve">Correlated accident year method </t>
    </r>
    <r>
      <rPr>
        <i/>
        <u/>
        <sz val="12"/>
        <color theme="1"/>
        <rFont val="Calibri"/>
        <family val="2"/>
        <scheme val="minor"/>
      </rPr>
      <t>(one of the following)</t>
    </r>
  </si>
  <si>
    <t>Calculate the accident year 2014 correlated accident year log mean ultimate loss given</t>
  </si>
  <si>
    <t>Meyers - Correlated Accident Year (CAY) Model</t>
  </si>
  <si>
    <t>Premium ($000)</t>
  </si>
  <si>
    <t>•  There's no loss development after 72 months</t>
  </si>
  <si>
    <r>
      <t>μ</t>
    </r>
    <r>
      <rPr>
        <vertAlign val="subscript"/>
        <sz val="12"/>
        <color theme="1"/>
        <rFont val="Calibri"/>
        <family val="2"/>
      </rPr>
      <t>2014,6</t>
    </r>
    <r>
      <rPr>
        <sz val="12"/>
        <color theme="1"/>
        <rFont val="Calibri"/>
        <family val="2"/>
      </rPr>
      <t xml:space="preserve"> = </t>
    </r>
  </si>
  <si>
    <r>
      <t>μ</t>
    </r>
    <r>
      <rPr>
        <vertAlign val="subscript"/>
        <sz val="12"/>
        <color theme="1"/>
        <rFont val="Calibri"/>
        <family val="2"/>
      </rPr>
      <t>2013,6</t>
    </r>
    <r>
      <rPr>
        <sz val="12"/>
        <color theme="1"/>
        <rFont val="Calibri"/>
        <family val="2"/>
      </rPr>
      <t xml:space="preserve"> = </t>
    </r>
  </si>
  <si>
    <t>Bayesian Ult (000)=</t>
  </si>
  <si>
    <t>the following parameters that were fit with losses and premiums in ($000):</t>
  </si>
  <si>
    <r>
      <t xml:space="preserve">•  </t>
    </r>
    <r>
      <rPr>
        <sz val="12"/>
        <color theme="1"/>
        <rFont val="Calibri"/>
        <family val="2"/>
      </rPr>
      <t>ρ</t>
    </r>
    <r>
      <rPr>
        <sz val="12"/>
        <color theme="1"/>
        <rFont val="Calibri"/>
        <family val="2"/>
        <scheme val="minor"/>
      </rPr>
      <t xml:space="preserve"> =</t>
    </r>
  </si>
  <si>
    <r>
      <t xml:space="preserve">•  </t>
    </r>
    <r>
      <rPr>
        <sz val="12"/>
        <color theme="1"/>
        <rFont val="Calibri"/>
        <family val="2"/>
      </rPr>
      <t>logelr</t>
    </r>
    <r>
      <rPr>
        <sz val="12"/>
        <color theme="1"/>
        <rFont val="Calibri"/>
        <family val="2"/>
        <scheme val="minor"/>
      </rPr>
      <t xml:space="preserve"> =</t>
    </r>
  </si>
  <si>
    <r>
      <t xml:space="preserve">•  </t>
    </r>
    <r>
      <rPr>
        <sz val="12"/>
        <color theme="1"/>
        <rFont val="Calibri"/>
        <family val="2"/>
      </rPr>
      <t>α</t>
    </r>
    <r>
      <rPr>
        <vertAlign val="subscript"/>
        <sz val="12"/>
        <color theme="1"/>
        <rFont val="Calibri"/>
        <family val="2"/>
        <scheme val="minor"/>
      </rPr>
      <t xml:space="preserve">2013 </t>
    </r>
    <r>
      <rPr>
        <sz val="12"/>
        <color theme="1"/>
        <rFont val="Calibri"/>
        <family val="2"/>
        <scheme val="minor"/>
      </rPr>
      <t>=</t>
    </r>
  </si>
  <si>
    <r>
      <t xml:space="preserve">•  </t>
    </r>
    <r>
      <rPr>
        <sz val="12"/>
        <color theme="1"/>
        <rFont val="Calibri"/>
        <family val="2"/>
      </rPr>
      <t>β</t>
    </r>
    <r>
      <rPr>
        <vertAlign val="subscript"/>
        <sz val="12"/>
        <color theme="1"/>
        <rFont val="Calibri"/>
        <family val="2"/>
      </rPr>
      <t>6</t>
    </r>
    <r>
      <rPr>
        <vertAlign val="subscript"/>
        <sz val="12"/>
        <color theme="1"/>
        <rFont val="Calibri"/>
        <family val="2"/>
        <scheme val="minor"/>
      </rPr>
      <t xml:space="preserve"> </t>
    </r>
    <r>
      <rPr>
        <sz val="12"/>
        <color theme="1"/>
        <rFont val="Calibri"/>
        <family val="2"/>
        <scheme val="minor"/>
      </rPr>
      <t xml:space="preserve">= </t>
    </r>
  </si>
  <si>
    <r>
      <t>•  β</t>
    </r>
    <r>
      <rPr>
        <vertAlign val="subscript"/>
        <sz val="12"/>
        <rFont val="Calibri"/>
        <family val="2"/>
      </rPr>
      <t xml:space="preserve">2018 = </t>
    </r>
  </si>
  <si>
    <r>
      <t>•  ⍺</t>
    </r>
    <r>
      <rPr>
        <vertAlign val="subscript"/>
        <sz val="12"/>
        <color theme="1"/>
        <rFont val="Calibri"/>
        <family val="2"/>
        <scheme val="minor"/>
      </rPr>
      <t xml:space="preserve">2018 </t>
    </r>
    <r>
      <rPr>
        <sz val="12"/>
        <color theme="1"/>
        <rFont val="Calibri"/>
        <family val="2"/>
        <scheme val="minor"/>
      </rPr>
      <t xml:space="preserve">= </t>
    </r>
  </si>
  <si>
    <r>
      <t xml:space="preserve">•  </t>
    </r>
    <r>
      <rPr>
        <sz val="12"/>
        <color theme="1"/>
        <rFont val="Calibri"/>
        <family val="2"/>
      </rPr>
      <t>⍺</t>
    </r>
    <r>
      <rPr>
        <vertAlign val="subscript"/>
        <sz val="12"/>
        <color theme="1"/>
        <rFont val="Calibri"/>
        <family val="2"/>
        <scheme val="minor"/>
      </rPr>
      <t xml:space="preserve">2014 </t>
    </r>
    <r>
      <rPr>
        <sz val="12"/>
        <color theme="1"/>
        <rFont val="Calibri"/>
        <family val="2"/>
        <scheme val="minor"/>
      </rPr>
      <t>=</t>
    </r>
  </si>
  <si>
    <t>•  Can more accurately describe the distribution of reserves than the CRC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</si>
</sst>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_);[Red]\(&quot;$&quot;#,##0\)"/>
    <numFmt numFmtId="43" formatCode="_(* #,##0.00_);_(* \(#,##0.00\);_(* &quot;-&quot;??_);_(@_)"/>
    <numFmt numFmtId="164" formatCode="0.000"/>
    <numFmt numFmtId="165" formatCode="_-* #,##0.000_-;\-* #,##0.000_-;_-* &quot;-&quot;??_-;_-@_-"/>
    <numFmt numFmtId="166" formatCode="_-* #,##0.000000_-;\-* #,##0.000000_-;_-* &quot;-&quot;??_-;_-@_-"/>
    <numFmt numFmtId="167" formatCode="_-* #,##0.0000_-;\-* #,##0.0000_-;_-* &quot;-&quot;??_-;_-@_-"/>
    <numFmt numFmtId="168" formatCode="0.0%"/>
    <numFmt numFmtId="169" formatCode="_-* #,##0_-;\-* #,##0_-;_-* &quot;-&quot;??_-;_-@_-"/>
    <numFmt numFmtId="170" formatCode="_(* #,##0_);_(* \(#,##0\);_(* &quot;-&quot;??_);_(@_)"/>
    <numFmt numFmtId="171" formatCode="0.0"/>
    <numFmt numFmtId="172" formatCode="#,##0.0"/>
    <numFmt numFmtId="173" formatCode="#,##0.000"/>
    <numFmt numFmtId="174" formatCode="_(* #,##0.000_);_(* \(#,##0.000\);_(* &quot;-&quot;??_);_(@_)"/>
    <numFmt numFmtId="175" formatCode="0,000"/>
    <numFmt numFmtId="176" formatCode="0.0000"/>
    <numFmt numFmtId="177" formatCode="[$$-409]#,##0"/>
    <numFmt numFmtId="178" formatCode="0.00000"/>
  </numFmts>
  <fonts count="50"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u/>
      <sz val="12"/>
      <color theme="1"/>
      <name val="Calibri"/>
      <family val="2"/>
    </font>
    <font>
      <sz val="12"/>
      <color rgb="FF000000"/>
      <name val="Calibri"/>
      <family val="2"/>
    </font>
    <font>
      <sz val="12"/>
      <name val="Calibri"/>
      <family val="2"/>
    </font>
    <font>
      <b/>
      <sz val="12"/>
      <color theme="1"/>
      <name val="Calibri"/>
      <family val="2"/>
    </font>
    <font>
      <i/>
      <sz val="12"/>
      <color theme="1"/>
      <name val="Calibri"/>
      <family val="2"/>
    </font>
    <font>
      <b/>
      <sz val="12"/>
      <color rgb="FF000000"/>
      <name val="Calibri"/>
      <family val="2"/>
    </font>
    <font>
      <b/>
      <sz val="12"/>
      <name val="Calibri"/>
      <family val="2"/>
    </font>
    <font>
      <sz val="12"/>
      <color rgb="FFFF0000"/>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sz val="14"/>
      <color theme="1"/>
      <name val="Calibri"/>
      <family val="2"/>
      <scheme val="minor"/>
    </font>
    <font>
      <b/>
      <sz val="12"/>
      <color theme="1"/>
      <name val="Calibri"/>
      <family val="2"/>
      <scheme val="minor"/>
    </font>
    <font>
      <b/>
      <u/>
      <sz val="12"/>
      <color theme="1"/>
      <name val="Calibri (Body)"/>
    </font>
    <font>
      <u/>
      <sz val="12"/>
      <color theme="1"/>
      <name val="Calibri"/>
      <family val="2"/>
      <scheme val="minor"/>
    </font>
    <font>
      <i/>
      <vertAlign val="subscript"/>
      <sz val="12"/>
      <color theme="1"/>
      <name val="Calibri (Body)"/>
    </font>
    <font>
      <vertAlign val="subscript"/>
      <sz val="12"/>
      <color theme="1"/>
      <name val="Calibri (Body)"/>
    </font>
    <font>
      <sz val="12"/>
      <color rgb="FF000000"/>
      <name val="Calibri"/>
      <family val="2"/>
      <scheme val="minor"/>
    </font>
    <font>
      <i/>
      <u/>
      <sz val="12"/>
      <color theme="1"/>
      <name val="Calibri"/>
      <family val="2"/>
      <scheme val="minor"/>
    </font>
    <font>
      <i/>
      <sz val="12"/>
      <color theme="1"/>
      <name val="Calibri"/>
      <family val="2"/>
      <scheme val="minor"/>
    </font>
    <font>
      <vertAlign val="subscript"/>
      <sz val="12"/>
      <color theme="1"/>
      <name val="Calibri"/>
      <family val="2"/>
      <scheme val="minor"/>
    </font>
    <font>
      <i/>
      <vertAlign val="subscript"/>
      <sz val="12"/>
      <color theme="1"/>
      <name val="Calibri"/>
      <family val="2"/>
      <scheme val="minor"/>
    </font>
    <font>
      <i/>
      <vertAlign val="subscript"/>
      <sz val="12"/>
      <color theme="1"/>
      <name val="Calibri"/>
      <family val="2"/>
    </font>
    <font>
      <i/>
      <vertAlign val="superscript"/>
      <sz val="12"/>
      <color theme="1"/>
      <name val="Calibri"/>
      <family val="2"/>
      <scheme val="minor"/>
    </font>
    <font>
      <vertAlign val="superscript"/>
      <sz val="12"/>
      <color theme="1"/>
      <name val="Calibri"/>
      <family val="2"/>
      <scheme val="minor"/>
    </font>
    <font>
      <b/>
      <sz val="12"/>
      <color theme="1"/>
      <name val="Calibri (Body)"/>
    </font>
    <font>
      <u/>
      <sz val="14"/>
      <color theme="1"/>
      <name val="Calibri"/>
      <family val="2"/>
      <scheme val="minor"/>
    </font>
    <font>
      <vertAlign val="superscript"/>
      <sz val="12"/>
      <color theme="1"/>
      <name val="Calibri (Body)"/>
    </font>
    <font>
      <sz val="12"/>
      <color rgb="FFFF0000"/>
      <name val="Calibri"/>
      <family val="2"/>
      <scheme val="minor"/>
    </font>
    <font>
      <b/>
      <i/>
      <sz val="12"/>
      <color theme="1"/>
      <name val="Calibri"/>
      <family val="2"/>
      <scheme val="minor"/>
    </font>
    <font>
      <sz val="10"/>
      <color rgb="FF000000"/>
      <name val="Tahoma"/>
      <family val="2"/>
    </font>
    <font>
      <b/>
      <sz val="10"/>
      <color rgb="FF000000"/>
      <name val="Tahoma"/>
      <family val="2"/>
    </font>
    <font>
      <i/>
      <u/>
      <sz val="12"/>
      <color theme="1"/>
      <name val="Calibri (Body)"/>
    </font>
    <font>
      <sz val="12"/>
      <color theme="1"/>
      <name val="Calibri (Body)"/>
    </font>
    <font>
      <vertAlign val="subscript"/>
      <sz val="12"/>
      <color theme="1"/>
      <name val="Calibri"/>
      <family val="2"/>
    </font>
    <font>
      <vertAlign val="subscript"/>
      <sz val="12"/>
      <name val="Calibri"/>
      <family val="2"/>
    </font>
  </fonts>
  <fills count="3">
    <fill>
      <patternFill patternType="none"/>
    </fill>
    <fill>
      <patternFill patternType="gray125"/>
    </fill>
    <fill>
      <patternFill patternType="solid">
        <fgColor theme="0" tint="-4.9989318521683403E-2"/>
        <bgColor indexed="64"/>
      </patternFill>
    </fill>
  </fills>
  <borders count="35">
    <border>
      <left/>
      <right/>
      <top/>
      <bottom/>
      <diagonal/>
    </border>
    <border>
      <left style="medium">
        <color indexed="64"/>
      </left>
      <right/>
      <top/>
      <bottom/>
      <diagonal/>
    </border>
    <border>
      <left/>
      <right style="medium">
        <color indexed="64"/>
      </right>
      <top/>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indexed="64"/>
      </left>
      <right/>
      <top style="thin">
        <color indexed="64"/>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s>
  <cellStyleXfs count="7">
    <xf numFmtId="0" fontId="0" fillId="0" borderId="0"/>
    <xf numFmtId="43" fontId="9" fillId="0" borderId="0" applyFont="0" applyFill="0" applyBorder="0" applyAlignment="0" applyProtection="0"/>
    <xf numFmtId="9" fontId="9" fillId="0" borderId="0" applyFont="0" applyFill="0" applyBorder="0" applyAlignment="0" applyProtection="0"/>
    <xf numFmtId="0" fontId="21" fillId="0" borderId="0"/>
    <xf numFmtId="0" fontId="5" fillId="0" borderId="0"/>
    <xf numFmtId="0" fontId="22" fillId="0" borderId="0" applyNumberFormat="0" applyFill="0" applyBorder="0" applyAlignment="0" applyProtection="0"/>
    <xf numFmtId="9" fontId="9" fillId="0" borderId="0" applyFont="0" applyFill="0" applyBorder="0" applyAlignment="0" applyProtection="0"/>
  </cellStyleXfs>
  <cellXfs count="383">
    <xf numFmtId="0" fontId="0" fillId="0" borderId="0" xfId="0"/>
    <xf numFmtId="0" fontId="10" fillId="2" borderId="1" xfId="0" applyFont="1" applyFill="1" applyBorder="1"/>
    <xf numFmtId="0" fontId="10" fillId="0" borderId="0" xfId="0" applyFont="1"/>
    <xf numFmtId="0" fontId="11" fillId="0" borderId="0" xfId="0" applyFont="1"/>
    <xf numFmtId="0" fontId="12" fillId="0" borderId="0" xfId="0" applyFont="1"/>
    <xf numFmtId="3" fontId="14" fillId="2" borderId="0" xfId="0" applyNumberFormat="1" applyFont="1" applyFill="1" applyAlignment="1">
      <alignment horizontal="center" vertical="center" wrapText="1"/>
    </xf>
    <xf numFmtId="0" fontId="14" fillId="2" borderId="0" xfId="0" applyFont="1" applyFill="1" applyAlignment="1">
      <alignment horizontal="center" vertical="center" wrapText="1"/>
    </xf>
    <xf numFmtId="0" fontId="15" fillId="2" borderId="0" xfId="0" applyFont="1" applyFill="1" applyAlignment="1">
      <alignment horizontal="justify" vertical="center" wrapText="1"/>
    </xf>
    <xf numFmtId="0" fontId="15" fillId="2" borderId="0" xfId="0" applyFont="1" applyFill="1" applyAlignment="1">
      <alignment horizontal="center" vertical="center" wrapText="1"/>
    </xf>
    <xf numFmtId="0" fontId="15" fillId="0" borderId="3" xfId="0" applyFont="1" applyBorder="1" applyAlignment="1">
      <alignment horizontal="center" vertical="center" wrapText="1"/>
    </xf>
    <xf numFmtId="0" fontId="15" fillId="0" borderId="0" xfId="0" applyFont="1" applyAlignment="1">
      <alignment horizontal="center" vertical="center" wrapText="1"/>
    </xf>
    <xf numFmtId="3" fontId="15" fillId="0" borderId="0" xfId="0" applyNumberFormat="1" applyFont="1" applyAlignment="1">
      <alignment horizontal="center" vertical="center" wrapText="1"/>
    </xf>
    <xf numFmtId="169" fontId="15" fillId="0" borderId="4" xfId="1" applyNumberFormat="1" applyFont="1" applyBorder="1" applyAlignment="1">
      <alignment horizontal="center" vertical="center" wrapText="1"/>
    </xf>
    <xf numFmtId="169" fontId="15" fillId="0" borderId="0" xfId="1" applyNumberFormat="1" applyFont="1" applyAlignment="1">
      <alignment horizontal="center" vertical="center" wrapText="1"/>
    </xf>
    <xf numFmtId="3" fontId="15" fillId="0" borderId="5" xfId="0" applyNumberFormat="1" applyFont="1" applyBorder="1" applyAlignment="1">
      <alignment horizontal="center" vertical="center" wrapText="1"/>
    </xf>
    <xf numFmtId="170" fontId="15" fillId="0" borderId="0" xfId="1" applyNumberFormat="1" applyFont="1" applyAlignment="1">
      <alignment horizontal="center" vertical="center" wrapText="1"/>
    </xf>
    <xf numFmtId="168" fontId="15" fillId="0" borderId="4" xfId="2" applyNumberFormat="1" applyFont="1" applyBorder="1" applyAlignment="1">
      <alignment horizontal="center" vertical="center" wrapText="1"/>
    </xf>
    <xf numFmtId="168" fontId="15" fillId="0" borderId="0" xfId="2" applyNumberFormat="1" applyFont="1" applyAlignment="1">
      <alignment horizontal="center" vertical="center" wrapText="1"/>
    </xf>
    <xf numFmtId="10" fontId="15" fillId="0" borderId="0" xfId="2" applyNumberFormat="1" applyFont="1" applyAlignment="1">
      <alignment horizontal="center" vertical="center" wrapText="1"/>
    </xf>
    <xf numFmtId="0" fontId="16" fillId="2" borderId="16" xfId="0" applyFont="1" applyFill="1" applyBorder="1" applyAlignment="1">
      <alignment horizontal="center" vertical="center"/>
    </xf>
    <xf numFmtId="0" fontId="11" fillId="0" borderId="0" xfId="0" applyFont="1" applyAlignment="1">
      <alignment vertical="center"/>
    </xf>
    <xf numFmtId="0" fontId="16" fillId="0" borderId="0" xfId="0" applyFont="1" applyAlignment="1">
      <alignment vertical="center"/>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3" fontId="15" fillId="2" borderId="0" xfId="0" applyNumberFormat="1" applyFont="1" applyFill="1" applyAlignment="1">
      <alignment horizontal="center" vertical="center" wrapText="1"/>
    </xf>
    <xf numFmtId="0" fontId="18" fillId="0" borderId="0" xfId="0" applyFont="1" applyAlignment="1">
      <alignment vertical="center"/>
    </xf>
    <xf numFmtId="169" fontId="16" fillId="0" borderId="6" xfId="0" applyNumberFormat="1" applyFont="1" applyBorder="1" applyAlignment="1">
      <alignment vertical="center"/>
    </xf>
    <xf numFmtId="0" fontId="10" fillId="0" borderId="0" xfId="0" applyFont="1" applyAlignment="1">
      <alignment vertical="center"/>
    </xf>
    <xf numFmtId="0" fontId="16" fillId="0" borderId="15" xfId="0" applyFont="1" applyBorder="1" applyAlignment="1">
      <alignment vertical="center"/>
    </xf>
    <xf numFmtId="170" fontId="16" fillId="0" borderId="14" xfId="1" applyNumberFormat="1" applyFont="1" applyBorder="1" applyAlignment="1">
      <alignment vertical="center"/>
    </xf>
    <xf numFmtId="0" fontId="12" fillId="0" borderId="0" xfId="0" applyFont="1" applyAlignment="1">
      <alignment vertical="center"/>
    </xf>
    <xf numFmtId="0" fontId="19" fillId="0" borderId="0" xfId="0" applyFont="1" applyAlignment="1">
      <alignment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11" xfId="0" applyFont="1" applyBorder="1" applyAlignment="1">
      <alignment horizontal="center" vertical="center"/>
    </xf>
    <xf numFmtId="0" fontId="15" fillId="0" borderId="9" xfId="0" applyFont="1" applyBorder="1" applyAlignment="1">
      <alignment horizontal="center" vertical="center"/>
    </xf>
    <xf numFmtId="164" fontId="15" fillId="0" borderId="12" xfId="0" applyNumberFormat="1" applyFont="1" applyBorder="1" applyAlignment="1">
      <alignment horizontal="center" vertical="center"/>
    </xf>
    <xf numFmtId="171" fontId="19" fillId="0" borderId="10" xfId="0" applyNumberFormat="1" applyFont="1" applyBorder="1" applyAlignment="1">
      <alignment horizontal="center" vertical="center"/>
    </xf>
    <xf numFmtId="171" fontId="19" fillId="0" borderId="0" xfId="0" applyNumberFormat="1" applyFont="1" applyAlignment="1">
      <alignment horizontal="center" vertical="center"/>
    </xf>
    <xf numFmtId="172" fontId="19" fillId="0" borderId="10" xfId="0" applyNumberFormat="1" applyFont="1" applyBorder="1" applyAlignment="1">
      <alignment horizontal="center" vertical="center"/>
    </xf>
    <xf numFmtId="172" fontId="19" fillId="0" borderId="0" xfId="0" applyNumberFormat="1" applyFont="1" applyAlignment="1">
      <alignment horizontal="center" vertical="center"/>
    </xf>
    <xf numFmtId="164" fontId="15" fillId="0" borderId="13" xfId="0" applyNumberFormat="1" applyFont="1" applyBorder="1" applyAlignment="1">
      <alignment horizontal="center" vertical="center"/>
    </xf>
    <xf numFmtId="0" fontId="15" fillId="0" borderId="0" xfId="0" applyFont="1" applyAlignment="1">
      <alignment vertical="center"/>
    </xf>
    <xf numFmtId="164" fontId="15" fillId="0" borderId="0" xfId="0" applyNumberFormat="1" applyFont="1" applyAlignment="1">
      <alignment vertical="center"/>
    </xf>
    <xf numFmtId="0" fontId="15" fillId="0" borderId="5" xfId="0" applyFont="1" applyBorder="1" applyAlignment="1">
      <alignment vertical="center"/>
    </xf>
    <xf numFmtId="173" fontId="15" fillId="0" borderId="0" xfId="0" applyNumberFormat="1" applyFont="1" applyAlignment="1">
      <alignment vertical="center"/>
    </xf>
    <xf numFmtId="10" fontId="15" fillId="0" borderId="0" xfId="0" applyNumberFormat="1" applyFont="1" applyAlignment="1">
      <alignment vertical="center"/>
    </xf>
    <xf numFmtId="3" fontId="15" fillId="0" borderId="0" xfId="0" applyNumberFormat="1" applyFont="1" applyAlignment="1">
      <alignment horizontal="center" vertical="center"/>
    </xf>
    <xf numFmtId="3" fontId="19" fillId="0" borderId="10" xfId="0" applyNumberFormat="1" applyFont="1" applyBorder="1" applyAlignment="1">
      <alignment horizontal="center" vertical="center"/>
    </xf>
    <xf numFmtId="3" fontId="19" fillId="0" borderId="0" xfId="0" applyNumberFormat="1" applyFont="1" applyAlignment="1">
      <alignment horizontal="center" vertical="center"/>
    </xf>
    <xf numFmtId="10" fontId="16" fillId="0" borderId="0" xfId="0" applyNumberFormat="1" applyFont="1" applyAlignment="1">
      <alignment vertical="center"/>
    </xf>
    <xf numFmtId="0" fontId="16" fillId="0" borderId="0" xfId="0" applyFont="1"/>
    <xf numFmtId="0" fontId="13" fillId="2" borderId="0" xfId="0" applyFont="1" applyFill="1" applyAlignment="1">
      <alignment vertical="center"/>
    </xf>
    <xf numFmtId="0" fontId="14" fillId="2" borderId="3"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5" xfId="0" applyFont="1" applyFill="1" applyBorder="1" applyAlignment="1">
      <alignment horizontal="center" vertical="center" wrapText="1"/>
    </xf>
    <xf numFmtId="164" fontId="15" fillId="2" borderId="0" xfId="0" applyNumberFormat="1" applyFont="1" applyFill="1" applyAlignment="1">
      <alignment horizontal="center" vertical="center"/>
    </xf>
    <xf numFmtId="0" fontId="15" fillId="2" borderId="4"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3" fillId="2" borderId="0" xfId="0" applyFont="1" applyFill="1" applyAlignment="1">
      <alignment horizontal="center" vertical="center"/>
    </xf>
    <xf numFmtId="0" fontId="8" fillId="2" borderId="16" xfId="0" applyFont="1" applyFill="1" applyBorder="1" applyAlignment="1">
      <alignment horizontal="center" vertical="center"/>
    </xf>
    <xf numFmtId="0" fontId="8" fillId="2" borderId="16" xfId="0" applyFont="1" applyFill="1" applyBorder="1"/>
    <xf numFmtId="0" fontId="8" fillId="2" borderId="17" xfId="0" applyFont="1" applyFill="1" applyBorder="1"/>
    <xf numFmtId="0" fontId="8" fillId="0" borderId="0" xfId="0" applyFont="1"/>
    <xf numFmtId="2" fontId="8" fillId="2" borderId="1" xfId="0" applyNumberFormat="1" applyFont="1" applyFill="1" applyBorder="1" applyAlignment="1">
      <alignment horizontal="left"/>
    </xf>
    <xf numFmtId="0" fontId="8" fillId="2" borderId="0" xfId="0" applyFont="1" applyFill="1"/>
    <xf numFmtId="0" fontId="8" fillId="2" borderId="2" xfId="0" applyFont="1" applyFill="1" applyBorder="1"/>
    <xf numFmtId="164" fontId="8" fillId="0" borderId="0" xfId="0" applyNumberFormat="1" applyFont="1"/>
    <xf numFmtId="0" fontId="8" fillId="0" borderId="0" xfId="0" applyFont="1" applyAlignment="1">
      <alignment wrapText="1"/>
    </xf>
    <xf numFmtId="0" fontId="8" fillId="2" borderId="1" xfId="0" applyFont="1" applyFill="1" applyBorder="1"/>
    <xf numFmtId="0" fontId="8" fillId="2" borderId="0" xfId="0" applyFont="1" applyFill="1" applyAlignment="1">
      <alignment vertical="center"/>
    </xf>
    <xf numFmtId="0" fontId="8" fillId="2" borderId="2" xfId="0" applyFont="1" applyFill="1" applyBorder="1" applyAlignment="1">
      <alignment vertical="center"/>
    </xf>
    <xf numFmtId="0" fontId="8" fillId="0" borderId="0" xfId="0" applyFont="1" applyAlignment="1">
      <alignment vertical="center"/>
    </xf>
    <xf numFmtId="2" fontId="8" fillId="2" borderId="1" xfId="0" applyNumberFormat="1" applyFont="1" applyFill="1" applyBorder="1" applyAlignment="1">
      <alignment horizontal="left" vertical="center"/>
    </xf>
    <xf numFmtId="0" fontId="8" fillId="0" borderId="0" xfId="0" applyFont="1" applyAlignment="1">
      <alignment vertical="center" wrapText="1"/>
    </xf>
    <xf numFmtId="164" fontId="8" fillId="0" borderId="0" xfId="0" applyNumberFormat="1" applyFont="1" applyAlignment="1">
      <alignment vertical="center"/>
    </xf>
    <xf numFmtId="2" fontId="8" fillId="2" borderId="0" xfId="0" applyNumberFormat="1" applyFont="1" applyFill="1" applyAlignment="1">
      <alignment horizontal="left" vertical="center"/>
    </xf>
    <xf numFmtId="2" fontId="8" fillId="0" borderId="0" xfId="0" applyNumberFormat="1" applyFont="1" applyAlignment="1">
      <alignment vertical="center"/>
    </xf>
    <xf numFmtId="0" fontId="8" fillId="0" borderId="0" xfId="0" applyFont="1" applyAlignment="1">
      <alignment horizontal="left" vertical="center"/>
    </xf>
    <xf numFmtId="0" fontId="8" fillId="2" borderId="0" xfId="0" quotePrefix="1" applyFont="1" applyFill="1" applyAlignment="1">
      <alignment vertical="center"/>
    </xf>
    <xf numFmtId="0" fontId="8" fillId="2" borderId="0" xfId="0" applyFont="1" applyFill="1" applyAlignment="1">
      <alignment horizontal="left" vertical="center"/>
    </xf>
    <xf numFmtId="0" fontId="8" fillId="0" borderId="0" xfId="0" applyFont="1" applyAlignment="1">
      <alignment horizontal="center" vertical="center"/>
    </xf>
    <xf numFmtId="0" fontId="8" fillId="0" borderId="3" xfId="0" applyFont="1" applyBorder="1" applyAlignment="1">
      <alignment horizontal="center" vertical="center"/>
    </xf>
    <xf numFmtId="170" fontId="8" fillId="0" borderId="0" xfId="1" applyNumberFormat="1" applyFont="1" applyBorder="1" applyAlignment="1">
      <alignment horizontal="center" vertical="center"/>
    </xf>
    <xf numFmtId="0" fontId="8" fillId="2" borderId="0" xfId="0" applyFont="1" applyFill="1" applyAlignment="1">
      <alignment horizontal="center" vertical="center"/>
    </xf>
    <xf numFmtId="164" fontId="8" fillId="2" borderId="0" xfId="0" applyNumberFormat="1" applyFont="1" applyFill="1" applyAlignment="1">
      <alignment horizontal="center" vertical="center"/>
    </xf>
    <xf numFmtId="165" fontId="8" fillId="0" borderId="0" xfId="1" applyNumberFormat="1" applyFont="1" applyAlignment="1">
      <alignment vertical="center"/>
    </xf>
    <xf numFmtId="166" fontId="8" fillId="0" borderId="5" xfId="1" applyNumberFormat="1" applyFont="1" applyBorder="1" applyAlignment="1">
      <alignment vertical="center"/>
    </xf>
    <xf numFmtId="169" fontId="8" fillId="0" borderId="0" xfId="1" applyNumberFormat="1" applyFont="1" applyAlignment="1">
      <alignment vertical="center"/>
    </xf>
    <xf numFmtId="167" fontId="8" fillId="0" borderId="0" xfId="1" applyNumberFormat="1" applyFont="1" applyAlignment="1">
      <alignment vertical="center"/>
    </xf>
    <xf numFmtId="168" fontId="8" fillId="0" borderId="0" xfId="2" applyNumberFormat="1" applyFont="1" applyAlignment="1">
      <alignment vertical="center"/>
    </xf>
    <xf numFmtId="169" fontId="8" fillId="0" borderId="0" xfId="0" applyNumberFormat="1" applyFont="1" applyAlignment="1">
      <alignment vertical="center"/>
    </xf>
    <xf numFmtId="0" fontId="8" fillId="0" borderId="4" xfId="0" applyFont="1" applyBorder="1" applyAlignment="1">
      <alignment vertical="center"/>
    </xf>
    <xf numFmtId="0" fontId="8" fillId="0" borderId="5" xfId="0" applyFont="1" applyBorder="1" applyAlignment="1">
      <alignment vertical="center"/>
    </xf>
    <xf numFmtId="170" fontId="8" fillId="0" borderId="0" xfId="1" applyNumberFormat="1" applyFont="1" applyAlignment="1">
      <alignment vertical="center"/>
    </xf>
    <xf numFmtId="0" fontId="7" fillId="0" borderId="0" xfId="0" applyFont="1"/>
    <xf numFmtId="164" fontId="7" fillId="0" borderId="0" xfId="0" applyNumberFormat="1" applyFont="1"/>
    <xf numFmtId="0" fontId="7" fillId="0" borderId="0" xfId="0" applyFont="1" applyAlignment="1">
      <alignment vertical="center"/>
    </xf>
    <xf numFmtId="0" fontId="8" fillId="0" borderId="0" xfId="0" applyFont="1" applyAlignment="1">
      <alignment horizontal="left" indent="1"/>
    </xf>
    <xf numFmtId="0" fontId="16" fillId="0" borderId="0" xfId="0" applyFont="1" applyAlignment="1">
      <alignment horizontal="left" vertical="center"/>
    </xf>
    <xf numFmtId="0" fontId="6" fillId="2" borderId="0" xfId="0" applyFont="1" applyFill="1" applyAlignment="1">
      <alignment vertical="center"/>
    </xf>
    <xf numFmtId="0" fontId="5" fillId="0" borderId="20" xfId="3" applyFont="1" applyBorder="1" applyAlignment="1">
      <alignment horizontal="center" vertical="center"/>
    </xf>
    <xf numFmtId="0" fontId="5" fillId="0" borderId="16" xfId="3" applyFont="1" applyBorder="1" applyAlignment="1">
      <alignment vertical="center" wrapText="1"/>
    </xf>
    <xf numFmtId="0" fontId="16" fillId="0" borderId="16" xfId="3" applyFont="1" applyBorder="1" applyAlignment="1">
      <alignment horizontal="center" vertical="center"/>
    </xf>
    <xf numFmtId="0" fontId="5" fillId="0" borderId="17" xfId="3" applyFont="1" applyBorder="1" applyAlignment="1">
      <alignment horizontal="center" vertical="center"/>
    </xf>
    <xf numFmtId="0" fontId="5" fillId="0" borderId="0" xfId="3" applyFont="1" applyAlignment="1">
      <alignment horizontal="center" vertical="center"/>
    </xf>
    <xf numFmtId="0" fontId="5" fillId="0" borderId="1" xfId="4" applyBorder="1"/>
    <xf numFmtId="0" fontId="5" fillId="0" borderId="0" xfId="4"/>
    <xf numFmtId="0" fontId="5" fillId="0" borderId="2" xfId="4" applyBorder="1"/>
    <xf numFmtId="0" fontId="22" fillId="0" borderId="0" xfId="5" applyBorder="1"/>
    <xf numFmtId="0" fontId="23" fillId="0" borderId="0" xfId="4" applyFont="1"/>
    <xf numFmtId="0" fontId="5" fillId="0" borderId="0" xfId="4" applyAlignment="1">
      <alignment horizontal="left" vertical="top"/>
    </xf>
    <xf numFmtId="0" fontId="24" fillId="0" borderId="0" xfId="4" applyFont="1"/>
    <xf numFmtId="0" fontId="20" fillId="0" borderId="0" xfId="4" applyFont="1" applyAlignment="1">
      <alignment horizontal="left" vertical="top"/>
    </xf>
    <xf numFmtId="0" fontId="5" fillId="0" borderId="21" xfId="3" applyFont="1" applyBorder="1" applyAlignment="1">
      <alignment horizontal="center" vertical="center"/>
    </xf>
    <xf numFmtId="0" fontId="5" fillId="0" borderId="22" xfId="3" applyFont="1" applyBorder="1" applyAlignment="1">
      <alignment horizontal="center" vertical="center"/>
    </xf>
    <xf numFmtId="0" fontId="5" fillId="0" borderId="23" xfId="3" applyFont="1" applyBorder="1" applyAlignment="1">
      <alignment horizontal="center" vertical="center"/>
    </xf>
    <xf numFmtId="0" fontId="0" fillId="0" borderId="0" xfId="0" applyAlignment="1">
      <alignment horizontal="left"/>
    </xf>
    <xf numFmtId="0" fontId="0" fillId="0" borderId="0" xfId="0" quotePrefix="1"/>
    <xf numFmtId="0" fontId="25" fillId="0" borderId="0" xfId="0" applyFont="1" applyAlignment="1">
      <alignment horizontal="left"/>
    </xf>
    <xf numFmtId="0" fontId="0" fillId="0" borderId="0" xfId="0" applyAlignment="1">
      <alignment horizontal="center"/>
    </xf>
    <xf numFmtId="2" fontId="0" fillId="0" borderId="23" xfId="1" applyNumberFormat="1" applyFont="1" applyFill="1" applyBorder="1" applyAlignment="1">
      <alignment horizontal="center"/>
    </xf>
    <xf numFmtId="0" fontId="0" fillId="0" borderId="21" xfId="0" applyBorder="1" applyAlignment="1">
      <alignment horizontal="left"/>
    </xf>
    <xf numFmtId="2" fontId="0" fillId="0" borderId="17" xfId="1" applyNumberFormat="1" applyFont="1" applyFill="1" applyBorder="1" applyAlignment="1">
      <alignment horizontal="center"/>
    </xf>
    <xf numFmtId="0" fontId="0" fillId="0" borderId="20" xfId="0" applyBorder="1" applyAlignment="1">
      <alignment horizontal="left"/>
    </xf>
    <xf numFmtId="2" fontId="0" fillId="0" borderId="0" xfId="0" applyNumberFormat="1" applyAlignment="1">
      <alignment horizontal="center"/>
    </xf>
    <xf numFmtId="0" fontId="0" fillId="2" borderId="14" xfId="0" applyFill="1" applyBorder="1"/>
    <xf numFmtId="0" fontId="0" fillId="2" borderId="19" xfId="0" applyFill="1" applyBorder="1"/>
    <xf numFmtId="0" fontId="0" fillId="2" borderId="18" xfId="0" applyFill="1" applyBorder="1"/>
    <xf numFmtId="0" fontId="26" fillId="0" borderId="0" xfId="0" applyFont="1" applyAlignment="1">
      <alignment horizontal="left"/>
    </xf>
    <xf numFmtId="0" fontId="0" fillId="2" borderId="2" xfId="0" applyFill="1" applyBorder="1"/>
    <xf numFmtId="0" fontId="0" fillId="2" borderId="0" xfId="0" applyFill="1"/>
    <xf numFmtId="0" fontId="27" fillId="2" borderId="0" xfId="0" applyFont="1" applyFill="1"/>
    <xf numFmtId="0" fontId="0" fillId="2" borderId="1" xfId="0" applyFill="1" applyBorder="1"/>
    <xf numFmtId="3" fontId="0" fillId="0" borderId="0" xfId="0" applyNumberFormat="1" applyAlignment="1">
      <alignment horizontal="center"/>
    </xf>
    <xf numFmtId="0" fontId="0" fillId="2" borderId="0" xfId="0" applyFill="1" applyAlignment="1">
      <alignment horizontal="left"/>
    </xf>
    <xf numFmtId="0" fontId="0" fillId="2" borderId="0" xfId="0" applyFill="1" applyAlignment="1">
      <alignment horizontal="center"/>
    </xf>
    <xf numFmtId="2" fontId="0" fillId="0" borderId="0" xfId="1" applyNumberFormat="1" applyFont="1" applyFill="1" applyAlignment="1">
      <alignment horizontal="center"/>
    </xf>
    <xf numFmtId="174" fontId="0" fillId="0" borderId="0" xfId="1" applyNumberFormat="1" applyFont="1" applyAlignment="1">
      <alignment horizontal="center"/>
    </xf>
    <xf numFmtId="4" fontId="0" fillId="2" borderId="0" xfId="0" applyNumberFormat="1" applyFill="1" applyAlignment="1">
      <alignment horizontal="center"/>
    </xf>
    <xf numFmtId="0" fontId="0" fillId="2" borderId="0" xfId="0" quotePrefix="1" applyFill="1"/>
    <xf numFmtId="164" fontId="0" fillId="0" borderId="0" xfId="0" applyNumberFormat="1" applyAlignment="1">
      <alignment horizontal="center"/>
    </xf>
    <xf numFmtId="174" fontId="0" fillId="0" borderId="0" xfId="1" applyNumberFormat="1" applyFont="1" applyAlignment="1"/>
    <xf numFmtId="164" fontId="0" fillId="0" borderId="3" xfId="0" applyNumberFormat="1" applyBorder="1" applyAlignment="1">
      <alignment horizontal="center"/>
    </xf>
    <xf numFmtId="174" fontId="0" fillId="0" borderId="3" xfId="1" applyNumberFormat="1" applyFont="1" applyBorder="1" applyAlignment="1"/>
    <xf numFmtId="0" fontId="0" fillId="0" borderId="3" xfId="0" applyBorder="1" applyAlignment="1">
      <alignment horizontal="left"/>
    </xf>
    <xf numFmtId="170" fontId="0" fillId="0" borderId="0" xfId="1" applyNumberFormat="1" applyFont="1" applyAlignment="1"/>
    <xf numFmtId="0" fontId="0" fillId="0" borderId="5" xfId="0" applyBorder="1" applyAlignment="1">
      <alignment horizontal="left"/>
    </xf>
    <xf numFmtId="3" fontId="0" fillId="0" borderId="0" xfId="0" applyNumberFormat="1"/>
    <xf numFmtId="0" fontId="0" fillId="2" borderId="4" xfId="0" applyFill="1" applyBorder="1"/>
    <xf numFmtId="0" fontId="0" fillId="2" borderId="3" xfId="0" applyFill="1" applyBorder="1" applyAlignment="1">
      <alignment horizontal="center"/>
    </xf>
    <xf numFmtId="3" fontId="0" fillId="2" borderId="24" xfId="0" applyNumberFormat="1" applyFill="1" applyBorder="1" applyAlignment="1">
      <alignment horizontal="center"/>
    </xf>
    <xf numFmtId="0" fontId="0" fillId="2" borderId="25" xfId="0" applyFill="1" applyBorder="1" applyAlignment="1">
      <alignment horizontal="center"/>
    </xf>
    <xf numFmtId="0" fontId="0" fillId="2" borderId="5" xfId="0" applyFill="1" applyBorder="1"/>
    <xf numFmtId="3" fontId="0" fillId="2" borderId="0" xfId="0" applyNumberFormat="1" applyFill="1" applyAlignment="1">
      <alignment horizontal="center"/>
    </xf>
    <xf numFmtId="3" fontId="0" fillId="2" borderId="26" xfId="0" applyNumberFormat="1" applyFill="1" applyBorder="1" applyAlignment="1">
      <alignment horizontal="center"/>
    </xf>
    <xf numFmtId="0" fontId="0" fillId="2" borderId="27" xfId="0" applyFill="1" applyBorder="1" applyAlignment="1">
      <alignment horizontal="center"/>
    </xf>
    <xf numFmtId="0" fontId="0" fillId="0" borderId="3" xfId="0" applyBorder="1"/>
    <xf numFmtId="170" fontId="0" fillId="0" borderId="3" xfId="1" applyNumberFormat="1" applyFont="1" applyBorder="1" applyAlignment="1"/>
    <xf numFmtId="0" fontId="0" fillId="0" borderId="4" xfId="0" applyBorder="1" applyAlignment="1">
      <alignment horizontal="left"/>
    </xf>
    <xf numFmtId="0" fontId="0" fillId="2" borderId="5" xfId="0" applyFill="1" applyBorder="1" applyAlignment="1">
      <alignment horizontal="center"/>
    </xf>
    <xf numFmtId="0" fontId="0" fillId="2" borderId="28" xfId="0" applyFill="1" applyBorder="1" applyAlignment="1">
      <alignment horizont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31" xfId="0" applyFill="1" applyBorder="1" applyAlignment="1">
      <alignment horizontal="center"/>
    </xf>
    <xf numFmtId="0" fontId="28" fillId="0" borderId="0" xfId="0" applyFont="1" applyAlignment="1">
      <alignment horizontal="left"/>
    </xf>
    <xf numFmtId="0" fontId="25" fillId="0" borderId="0" xfId="0" applyFont="1"/>
    <xf numFmtId="0" fontId="0" fillId="2" borderId="17" xfId="0" applyFill="1" applyBorder="1"/>
    <xf numFmtId="0" fontId="0" fillId="2" borderId="16" xfId="0" applyFill="1" applyBorder="1"/>
    <xf numFmtId="0" fontId="0" fillId="2" borderId="16" xfId="0" applyFill="1" applyBorder="1" applyAlignment="1">
      <alignment horizontal="center"/>
    </xf>
    <xf numFmtId="0" fontId="26" fillId="2" borderId="16" xfId="0" applyFont="1" applyFill="1" applyBorder="1"/>
    <xf numFmtId="0" fontId="25" fillId="2" borderId="20" xfId="0" applyFont="1" applyFill="1" applyBorder="1"/>
    <xf numFmtId="0" fontId="27" fillId="2" borderId="19" xfId="0" applyFont="1" applyFill="1" applyBorder="1"/>
    <xf numFmtId="2" fontId="9" fillId="0" borderId="14" xfId="1" applyNumberFormat="1" applyFont="1" applyBorder="1" applyAlignment="1">
      <alignment horizontal="center"/>
    </xf>
    <xf numFmtId="0" fontId="0" fillId="0" borderId="18" xfId="0" applyBorder="1" applyAlignment="1">
      <alignment horizontal="left"/>
    </xf>
    <xf numFmtId="43" fontId="0" fillId="0" borderId="0" xfId="0" applyNumberFormat="1" applyAlignment="1">
      <alignment horizontal="left"/>
    </xf>
    <xf numFmtId="3" fontId="0" fillId="0" borderId="0" xfId="1" applyNumberFormat="1" applyFont="1" applyAlignment="1">
      <alignment horizontal="center"/>
    </xf>
    <xf numFmtId="43" fontId="0" fillId="0" borderId="0" xfId="0" applyNumberFormat="1"/>
    <xf numFmtId="170" fontId="0" fillId="0" borderId="0" xfId="1" applyNumberFormat="1" applyFont="1" applyAlignment="1">
      <alignment horizontal="center"/>
    </xf>
    <xf numFmtId="3" fontId="0" fillId="0" borderId="0" xfId="0" applyNumberFormat="1" applyAlignment="1">
      <alignment horizontal="left"/>
    </xf>
    <xf numFmtId="3" fontId="0" fillId="2" borderId="3" xfId="0" applyNumberFormat="1" applyFill="1" applyBorder="1" applyAlignment="1">
      <alignment horizontal="center"/>
    </xf>
    <xf numFmtId="9" fontId="0" fillId="0" borderId="0" xfId="2" applyFont="1" applyAlignment="1">
      <alignment horizontal="center"/>
    </xf>
    <xf numFmtId="3" fontId="0" fillId="0" borderId="0" xfId="0" quotePrefix="1" applyNumberFormat="1" applyAlignment="1">
      <alignment horizontal="center"/>
    </xf>
    <xf numFmtId="2" fontId="0" fillId="0" borderId="14" xfId="0" applyNumberFormat="1" applyBorder="1" applyAlignment="1">
      <alignment horizontal="center"/>
    </xf>
    <xf numFmtId="43" fontId="0" fillId="0" borderId="0" xfId="1" applyFont="1" applyAlignment="1">
      <alignment horizontal="center"/>
    </xf>
    <xf numFmtId="2" fontId="0" fillId="0" borderId="0" xfId="1" applyNumberFormat="1" applyFont="1" applyAlignment="1">
      <alignment horizontal="center"/>
    </xf>
    <xf numFmtId="6" fontId="0" fillId="2" borderId="0" xfId="0" applyNumberFormat="1" applyFill="1" applyAlignment="1">
      <alignment horizontal="center"/>
    </xf>
    <xf numFmtId="164" fontId="0" fillId="0" borderId="0" xfId="0" applyNumberFormat="1" applyAlignment="1">
      <alignment horizontal="right"/>
    </xf>
    <xf numFmtId="164" fontId="0" fillId="0" borderId="3" xfId="0" applyNumberFormat="1" applyBorder="1" applyAlignment="1">
      <alignment horizontal="right"/>
    </xf>
    <xf numFmtId="170" fontId="0" fillId="0" borderId="3" xfId="1" applyNumberFormat="1" applyFont="1" applyBorder="1" applyAlignment="1">
      <alignment horizontal="center"/>
    </xf>
    <xf numFmtId="0" fontId="0" fillId="0" borderId="3" xfId="0" applyBorder="1" applyAlignment="1">
      <alignment horizontal="center"/>
    </xf>
    <xf numFmtId="170" fontId="0" fillId="0" borderId="0" xfId="0" applyNumberFormat="1" applyAlignment="1">
      <alignment horizontal="right"/>
    </xf>
    <xf numFmtId="170" fontId="0" fillId="0" borderId="0" xfId="1" applyNumberFormat="1" applyFont="1" applyAlignment="1">
      <alignment horizontal="right"/>
    </xf>
    <xf numFmtId="0" fontId="0" fillId="0" borderId="5" xfId="0" applyBorder="1" applyAlignment="1">
      <alignment horizontal="center"/>
    </xf>
    <xf numFmtId="0" fontId="0" fillId="0" borderId="0" xfId="0" applyAlignment="1">
      <alignment horizontal="right"/>
    </xf>
    <xf numFmtId="0" fontId="0" fillId="0" borderId="3" xfId="0" applyBorder="1" applyAlignment="1">
      <alignment horizontal="right"/>
    </xf>
    <xf numFmtId="170" fontId="0" fillId="0" borderId="3" xfId="1" applyNumberFormat="1" applyFont="1" applyBorder="1" applyAlignment="1">
      <alignment horizontal="right"/>
    </xf>
    <xf numFmtId="0" fontId="0" fillId="0" borderId="4" xfId="0" applyBorder="1" applyAlignment="1">
      <alignment horizontal="center"/>
    </xf>
    <xf numFmtId="168" fontId="0" fillId="0" borderId="0" xfId="0" applyNumberFormat="1"/>
    <xf numFmtId="0" fontId="0" fillId="0" borderId="0" xfId="0" applyAlignment="1">
      <alignment horizontal="left" wrapText="1"/>
    </xf>
    <xf numFmtId="6" fontId="0" fillId="2" borderId="4" xfId="0" applyNumberFormat="1" applyFill="1" applyBorder="1" applyAlignment="1">
      <alignment horizontal="center"/>
    </xf>
    <xf numFmtId="6" fontId="0" fillId="2" borderId="3" xfId="0" applyNumberFormat="1" applyFill="1" applyBorder="1" applyAlignment="1">
      <alignment horizontal="center"/>
    </xf>
    <xf numFmtId="6" fontId="0" fillId="2" borderId="5" xfId="0" applyNumberFormat="1" applyFill="1" applyBorder="1" applyAlignment="1">
      <alignment horizontal="center"/>
    </xf>
    <xf numFmtId="0" fontId="0" fillId="0" borderId="0" xfId="0" applyAlignment="1">
      <alignment wrapText="1"/>
    </xf>
    <xf numFmtId="168" fontId="0" fillId="0" borderId="0" xfId="0" applyNumberFormat="1" applyAlignment="1">
      <alignment wrapText="1"/>
    </xf>
    <xf numFmtId="0" fontId="26" fillId="0" borderId="0" xfId="0" applyFont="1" applyAlignment="1">
      <alignment horizontal="left" wrapText="1"/>
    </xf>
    <xf numFmtId="0" fontId="0" fillId="2" borderId="2" xfId="0" applyFill="1" applyBorder="1" applyAlignment="1">
      <alignment wrapText="1"/>
    </xf>
    <xf numFmtId="0" fontId="0" fillId="2" borderId="0" xfId="0" applyFill="1" applyAlignment="1">
      <alignment wrapText="1"/>
    </xf>
    <xf numFmtId="0" fontId="0" fillId="2" borderId="1" xfId="0" applyFill="1" applyBorder="1" applyAlignment="1">
      <alignment wrapText="1"/>
    </xf>
    <xf numFmtId="0" fontId="0" fillId="0" borderId="0" xfId="0" quotePrefix="1" applyAlignment="1">
      <alignment horizontal="left"/>
    </xf>
    <xf numFmtId="0" fontId="26" fillId="0" borderId="0" xfId="0" quotePrefix="1" applyFont="1" applyAlignment="1">
      <alignment horizontal="left"/>
    </xf>
    <xf numFmtId="0" fontId="0" fillId="2" borderId="23" xfId="0" applyFill="1" applyBorder="1" applyAlignment="1">
      <alignment horizontal="left"/>
    </xf>
    <xf numFmtId="0" fontId="0" fillId="2" borderId="22" xfId="0" applyFill="1" applyBorder="1" applyAlignment="1">
      <alignment horizontal="left"/>
    </xf>
    <xf numFmtId="0" fontId="0" fillId="2" borderId="21" xfId="0" applyFill="1" applyBorder="1" applyAlignment="1">
      <alignment horizontal="left"/>
    </xf>
    <xf numFmtId="0" fontId="0" fillId="2" borderId="2" xfId="0" applyFill="1" applyBorder="1" applyAlignment="1">
      <alignment horizontal="left" wrapText="1"/>
    </xf>
    <xf numFmtId="0" fontId="0" fillId="2" borderId="1" xfId="0" applyFill="1" applyBorder="1" applyAlignment="1">
      <alignment horizontal="left"/>
    </xf>
    <xf numFmtId="0" fontId="0" fillId="2" borderId="2" xfId="0" applyFill="1" applyBorder="1" applyAlignment="1">
      <alignment horizontal="left"/>
    </xf>
    <xf numFmtId="0" fontId="26" fillId="2" borderId="0" xfId="0" applyFont="1" applyFill="1" applyAlignment="1">
      <alignment horizontal="left"/>
    </xf>
    <xf numFmtId="0" fontId="28" fillId="0" borderId="0" xfId="0" quotePrefix="1" applyFont="1" applyAlignment="1">
      <alignment horizontal="left"/>
    </xf>
    <xf numFmtId="0" fontId="31" fillId="2" borderId="2" xfId="0" applyFont="1" applyFill="1" applyBorder="1" applyAlignment="1">
      <alignment horizontal="left" wrapText="1"/>
    </xf>
    <xf numFmtId="0" fontId="0" fillId="2" borderId="17" xfId="0" applyFill="1" applyBorder="1" applyAlignment="1">
      <alignment horizontal="left"/>
    </xf>
    <xf numFmtId="0" fontId="0" fillId="2" borderId="16" xfId="0" applyFill="1" applyBorder="1" applyAlignment="1">
      <alignment horizontal="left"/>
    </xf>
    <xf numFmtId="0" fontId="25" fillId="2" borderId="20" xfId="0" applyFont="1" applyFill="1" applyBorder="1" applyAlignment="1">
      <alignment horizontal="left"/>
    </xf>
    <xf numFmtId="43" fontId="26" fillId="0" borderId="0" xfId="0" applyNumberFormat="1" applyFont="1"/>
    <xf numFmtId="0" fontId="26" fillId="0" borderId="0" xfId="0" applyFont="1"/>
    <xf numFmtId="0" fontId="0" fillId="2" borderId="19" xfId="0" quotePrefix="1" applyFill="1" applyBorder="1"/>
    <xf numFmtId="0" fontId="0" fillId="2" borderId="18" xfId="0" applyFill="1" applyBorder="1" applyAlignment="1">
      <alignment horizontal="left"/>
    </xf>
    <xf numFmtId="0" fontId="0" fillId="0" borderId="0" xfId="0" applyAlignment="1">
      <alignment vertical="top"/>
    </xf>
    <xf numFmtId="0" fontId="25" fillId="0" borderId="0" xfId="0" applyFont="1" applyAlignment="1">
      <alignment vertical="center"/>
    </xf>
    <xf numFmtId="0" fontId="0" fillId="0" borderId="0" xfId="0" applyAlignment="1">
      <alignment horizontal="center" vertical="center"/>
    </xf>
    <xf numFmtId="0" fontId="0" fillId="2" borderId="33" xfId="0" applyFill="1" applyBorder="1" applyAlignment="1">
      <alignment horizontal="center"/>
    </xf>
    <xf numFmtId="0" fontId="0" fillId="2" borderId="4" xfId="0" applyFill="1" applyBorder="1" applyAlignment="1">
      <alignment horizontal="center"/>
    </xf>
    <xf numFmtId="175" fontId="0" fillId="0" borderId="14" xfId="0" applyNumberFormat="1" applyBorder="1" applyAlignment="1">
      <alignment horizontal="center" vertical="center"/>
    </xf>
    <xf numFmtId="0" fontId="0" fillId="0" borderId="18" xfId="0" applyBorder="1"/>
    <xf numFmtId="164" fontId="0" fillId="0" borderId="0" xfId="0" applyNumberFormat="1" applyAlignment="1">
      <alignment horizontal="center" vertical="center"/>
    </xf>
    <xf numFmtId="0" fontId="0" fillId="2" borderId="34" xfId="0" applyFill="1" applyBorder="1" applyAlignment="1">
      <alignment horizontal="center"/>
    </xf>
    <xf numFmtId="2" fontId="26" fillId="2" borderId="0" xfId="0" applyNumberFormat="1" applyFont="1" applyFill="1" applyAlignment="1">
      <alignment horizontal="center"/>
    </xf>
    <xf numFmtId="0" fontId="26" fillId="2" borderId="0" xfId="0" applyFont="1" applyFill="1"/>
    <xf numFmtId="0" fontId="0" fillId="2" borderId="20" xfId="0" applyFill="1" applyBorder="1" applyAlignment="1">
      <alignment horizontal="left"/>
    </xf>
    <xf numFmtId="2" fontId="0" fillId="0" borderId="0" xfId="0" applyNumberFormat="1"/>
    <xf numFmtId="43" fontId="0" fillId="0" borderId="0" xfId="1" applyFont="1"/>
    <xf numFmtId="0" fontId="0" fillId="0" borderId="0" xfId="0" applyAlignment="1">
      <alignment vertical="center"/>
    </xf>
    <xf numFmtId="171" fontId="0" fillId="0" borderId="14" xfId="0" applyNumberFormat="1" applyBorder="1" applyAlignment="1">
      <alignment horizontal="center" vertical="center"/>
    </xf>
    <xf numFmtId="0" fontId="0" fillId="0" borderId="18" xfId="0" applyBorder="1" applyAlignment="1">
      <alignment horizontal="center" vertical="center"/>
    </xf>
    <xf numFmtId="164" fontId="0" fillId="2" borderId="28" xfId="0" applyNumberFormat="1" applyFill="1" applyBorder="1" applyAlignment="1">
      <alignment horizontal="center"/>
    </xf>
    <xf numFmtId="164" fontId="0" fillId="2" borderId="29" xfId="0" applyNumberFormat="1" applyFill="1" applyBorder="1" applyAlignment="1">
      <alignment horizontal="center"/>
    </xf>
    <xf numFmtId="164" fontId="0" fillId="2" borderId="30" xfId="0" applyNumberFormat="1" applyFill="1" applyBorder="1" applyAlignment="1">
      <alignment horizontal="center"/>
    </xf>
    <xf numFmtId="0" fontId="0" fillId="2" borderId="24" xfId="0" applyFill="1" applyBorder="1" applyAlignment="1">
      <alignment horizontal="center"/>
    </xf>
    <xf numFmtId="171" fontId="0" fillId="0" borderId="0" xfId="0" applyNumberFormat="1" applyAlignment="1">
      <alignment horizontal="center" vertical="center"/>
    </xf>
    <xf numFmtId="164" fontId="0" fillId="0" borderId="0" xfId="0" applyNumberFormat="1"/>
    <xf numFmtId="3" fontId="0" fillId="2" borderId="4" xfId="0" applyNumberFormat="1" applyFill="1" applyBorder="1" applyAlignment="1">
      <alignment horizontal="center"/>
    </xf>
    <xf numFmtId="176" fontId="0" fillId="0" borderId="0" xfId="0" applyNumberFormat="1" applyAlignment="1">
      <alignment horizontal="center" vertical="center"/>
    </xf>
    <xf numFmtId="0" fontId="0" fillId="0" borderId="5" xfId="0" applyBorder="1" applyAlignment="1">
      <alignment horizontal="center" vertical="center"/>
    </xf>
    <xf numFmtId="3" fontId="0" fillId="2" borderId="5" xfId="0" applyNumberFormat="1" applyFill="1"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3" fontId="0" fillId="0" borderId="0" xfId="0" applyNumberFormat="1" applyAlignment="1">
      <alignment horizontal="center" vertical="center"/>
    </xf>
    <xf numFmtId="0" fontId="0" fillId="0" borderId="0" xfId="0" applyAlignment="1">
      <alignment vertical="center" wrapText="1"/>
    </xf>
    <xf numFmtId="0" fontId="0" fillId="2" borderId="23" xfId="0" applyFill="1" applyBorder="1"/>
    <xf numFmtId="0" fontId="0" fillId="2" borderId="22" xfId="0" applyFill="1" applyBorder="1"/>
    <xf numFmtId="0" fontId="0" fillId="2" borderId="22" xfId="0" quotePrefix="1" applyFill="1" applyBorder="1"/>
    <xf numFmtId="6" fontId="0" fillId="0" borderId="0" xfId="0" applyNumberFormat="1"/>
    <xf numFmtId="2" fontId="0" fillId="2" borderId="3" xfId="0" applyNumberFormat="1" applyFill="1" applyBorder="1" applyAlignment="1">
      <alignment horizontal="center"/>
    </xf>
    <xf numFmtId="2" fontId="0" fillId="2" borderId="0" xfId="0" applyNumberFormat="1" applyFill="1" applyAlignment="1">
      <alignment horizontal="center"/>
    </xf>
    <xf numFmtId="177" fontId="0" fillId="2" borderId="0" xfId="0" applyNumberFormat="1" applyFill="1" applyAlignment="1">
      <alignment horizontal="left"/>
    </xf>
    <xf numFmtId="38" fontId="0" fillId="0" borderId="0" xfId="0" applyNumberFormat="1" applyAlignment="1">
      <alignment horizontal="center"/>
    </xf>
    <xf numFmtId="0" fontId="0" fillId="0" borderId="5" xfId="0" applyBorder="1"/>
    <xf numFmtId="0" fontId="0" fillId="0" borderId="4" xfId="0" applyBorder="1"/>
    <xf numFmtId="170" fontId="0" fillId="0" borderId="0" xfId="1" applyNumberFormat="1" applyFont="1"/>
    <xf numFmtId="170" fontId="0" fillId="0" borderId="14" xfId="0" applyNumberFormat="1" applyBorder="1" applyAlignment="1">
      <alignment horizontal="center"/>
    </xf>
    <xf numFmtId="0" fontId="0" fillId="0" borderId="19" xfId="0" applyBorder="1"/>
    <xf numFmtId="3" fontId="0" fillId="0" borderId="3" xfId="0" applyNumberFormat="1" applyBorder="1" applyAlignment="1">
      <alignment horizontal="center"/>
    </xf>
    <xf numFmtId="168" fontId="0" fillId="0" borderId="0" xfId="6" applyNumberFormat="1" applyFont="1" applyBorder="1" applyAlignment="1">
      <alignment horizontal="center"/>
    </xf>
    <xf numFmtId="0" fontId="40" fillId="0" borderId="0" xfId="0" applyFont="1"/>
    <xf numFmtId="3" fontId="0" fillId="0" borderId="14" xfId="0" applyNumberFormat="1" applyBorder="1" applyAlignment="1">
      <alignment horizontal="center"/>
    </xf>
    <xf numFmtId="168" fontId="0" fillId="2" borderId="4" xfId="0" applyNumberFormat="1" applyFill="1" applyBorder="1" applyAlignment="1">
      <alignment horizontal="center"/>
    </xf>
    <xf numFmtId="164" fontId="0" fillId="2" borderId="3" xfId="0" applyNumberFormat="1" applyFill="1" applyBorder="1" applyAlignment="1">
      <alignment horizontal="center"/>
    </xf>
    <xf numFmtId="168" fontId="0" fillId="2" borderId="5" xfId="0" applyNumberFormat="1" applyFill="1" applyBorder="1" applyAlignment="1">
      <alignment horizontal="center"/>
    </xf>
    <xf numFmtId="164" fontId="0" fillId="2" borderId="0" xfId="0" applyNumberFormat="1" applyFill="1" applyAlignment="1">
      <alignment horizontal="center"/>
    </xf>
    <xf numFmtId="168" fontId="0" fillId="0" borderId="0" xfId="6" applyNumberFormat="1" applyFont="1" applyAlignment="1">
      <alignment horizontal="center"/>
    </xf>
    <xf numFmtId="0" fontId="4" fillId="0" borderId="0" xfId="0" applyFont="1" applyAlignment="1">
      <alignment horizontal="left" vertical="center"/>
    </xf>
    <xf numFmtId="178" fontId="0" fillId="0" borderId="0" xfId="1" applyNumberFormat="1" applyFont="1" applyAlignment="1">
      <alignment horizontal="center"/>
    </xf>
    <xf numFmtId="6" fontId="0" fillId="2" borderId="0" xfId="0" applyNumberFormat="1" applyFill="1"/>
    <xf numFmtId="0" fontId="0" fillId="2" borderId="0" xfId="0" applyFill="1" applyAlignment="1">
      <alignment horizontal="left" indent="2"/>
    </xf>
    <xf numFmtId="174" fontId="0" fillId="0" borderId="0" xfId="1" applyNumberFormat="1" applyFont="1"/>
    <xf numFmtId="3" fontId="0" fillId="0" borderId="14" xfId="0" applyNumberFormat="1" applyBorder="1"/>
    <xf numFmtId="9" fontId="0" fillId="2" borderId="0" xfId="0" applyNumberFormat="1" applyFill="1" applyAlignment="1">
      <alignment horizontal="center"/>
    </xf>
    <xf numFmtId="0" fontId="42" fillId="0" borderId="0" xfId="0" applyFont="1" applyAlignment="1">
      <alignment vertical="top" wrapText="1"/>
    </xf>
    <xf numFmtId="164" fontId="0" fillId="2" borderId="4" xfId="0" applyNumberFormat="1" applyFill="1" applyBorder="1" applyAlignment="1">
      <alignment horizontal="center"/>
    </xf>
    <xf numFmtId="9" fontId="0" fillId="0" borderId="0" xfId="0" applyNumberFormat="1"/>
    <xf numFmtId="0" fontId="4" fillId="0" borderId="0" xfId="0" applyFont="1"/>
    <xf numFmtId="168" fontId="4" fillId="0" borderId="0" xfId="2" applyNumberFormat="1" applyFont="1" applyAlignment="1">
      <alignment horizontal="center" vertical="center"/>
    </xf>
    <xf numFmtId="0" fontId="4" fillId="0" borderId="5" xfId="0" applyFont="1" applyBorder="1" applyAlignment="1">
      <alignment horizontal="center" vertical="center"/>
    </xf>
    <xf numFmtId="164" fontId="4" fillId="0" borderId="0" xfId="1" applyNumberFormat="1" applyFont="1" applyAlignment="1">
      <alignment horizontal="center" vertical="center"/>
    </xf>
    <xf numFmtId="16" fontId="0" fillId="0" borderId="3" xfId="0" quotePrefix="1" applyNumberFormat="1" applyBorder="1" applyAlignment="1">
      <alignment horizontal="center"/>
    </xf>
    <xf numFmtId="3" fontId="0" fillId="2" borderId="29" xfId="0" applyNumberFormat="1" applyFill="1" applyBorder="1" applyAlignment="1">
      <alignment horizontal="center"/>
    </xf>
    <xf numFmtId="0" fontId="2" fillId="0" borderId="0" xfId="0" applyFont="1" applyAlignment="1">
      <alignment vertical="center"/>
    </xf>
    <xf numFmtId="0" fontId="0" fillId="0" borderId="0" xfId="0" applyAlignment="1">
      <alignment horizontal="left" vertical="center" wrapText="1"/>
    </xf>
    <xf numFmtId="177" fontId="0" fillId="2" borderId="0" xfId="0" applyNumberFormat="1" applyFill="1" applyAlignment="1">
      <alignment horizontal="center"/>
    </xf>
    <xf numFmtId="9" fontId="0" fillId="2" borderId="28" xfId="0" applyNumberFormat="1" applyFill="1" applyBorder="1" applyAlignment="1">
      <alignment horizontal="center"/>
    </xf>
    <xf numFmtId="9" fontId="0" fillId="2" borderId="29" xfId="0" applyNumberFormat="1" applyFill="1" applyBorder="1" applyAlignment="1">
      <alignment horizontal="center"/>
    </xf>
    <xf numFmtId="9" fontId="0" fillId="2" borderId="30" xfId="0" applyNumberFormat="1" applyFill="1" applyBorder="1" applyAlignment="1">
      <alignment horizontal="center"/>
    </xf>
    <xf numFmtId="3" fontId="0" fillId="0" borderId="14" xfId="0" applyNumberFormat="1" applyBorder="1" applyAlignment="1">
      <alignment horizontal="center" vertical="center"/>
    </xf>
    <xf numFmtId="0" fontId="26" fillId="0" borderId="0" xfId="0" applyFont="1" applyAlignment="1">
      <alignment vertical="top" wrapText="1"/>
    </xf>
    <xf numFmtId="0" fontId="0" fillId="2" borderId="0" xfId="0" applyFill="1" applyAlignment="1">
      <alignment horizontal="left" indent="1"/>
    </xf>
    <xf numFmtId="0" fontId="33" fillId="2" borderId="0" xfId="0" applyFont="1" applyFill="1"/>
    <xf numFmtId="0" fontId="28" fillId="0" borderId="0" xfId="0" applyFont="1"/>
    <xf numFmtId="164" fontId="0" fillId="0" borderId="14" xfId="0" applyNumberFormat="1" applyBorder="1" applyAlignment="1">
      <alignment horizontal="center"/>
    </xf>
    <xf numFmtId="0" fontId="0" fillId="2" borderId="0" xfId="0" quotePrefix="1" applyFill="1" applyAlignment="1">
      <alignment horizontal="left" wrapText="1"/>
    </xf>
    <xf numFmtId="0" fontId="0" fillId="2" borderId="0" xfId="0" quotePrefix="1" applyFill="1" applyAlignment="1">
      <alignment horizontal="left"/>
    </xf>
    <xf numFmtId="0" fontId="5" fillId="0" borderId="0" xfId="4" applyAlignment="1">
      <alignment horizontal="left" vertical="top" wrapText="1"/>
    </xf>
    <xf numFmtId="0" fontId="5" fillId="0" borderId="0" xfId="4" applyAlignment="1">
      <alignment horizontal="left" vertical="top"/>
    </xf>
    <xf numFmtId="0" fontId="3" fillId="0" borderId="0" xfId="4" applyFont="1" applyAlignment="1">
      <alignment horizontal="left" vertical="top" wrapText="1"/>
    </xf>
    <xf numFmtId="0" fontId="16" fillId="2" borderId="18" xfId="0" applyFont="1" applyFill="1" applyBorder="1" applyAlignment="1">
      <alignment horizontal="left"/>
    </xf>
    <xf numFmtId="0" fontId="16" fillId="2" borderId="19" xfId="0" applyFont="1" applyFill="1" applyBorder="1" applyAlignment="1">
      <alignment horizontal="left"/>
    </xf>
    <xf numFmtId="0" fontId="16" fillId="2" borderId="14" xfId="0" applyFont="1" applyFill="1" applyBorder="1" applyAlignment="1">
      <alignment horizontal="left"/>
    </xf>
    <xf numFmtId="0" fontId="8" fillId="0" borderId="0" xfId="0" applyFont="1" applyAlignment="1">
      <alignment horizontal="left" wrapText="1"/>
    </xf>
    <xf numFmtId="169" fontId="8" fillId="0" borderId="0" xfId="1" applyNumberFormat="1" applyFont="1" applyBorder="1" applyAlignment="1">
      <alignment horizontal="center" vertical="center" wrapText="1"/>
    </xf>
    <xf numFmtId="169" fontId="8" fillId="0" borderId="3" xfId="1" applyNumberFormat="1" applyFont="1" applyBorder="1" applyAlignment="1">
      <alignment horizontal="center" vertical="center" wrapText="1"/>
    </xf>
    <xf numFmtId="0" fontId="13" fillId="2" borderId="0" xfId="0" applyFont="1" applyFill="1" applyAlignment="1">
      <alignment horizontal="center" vertical="center"/>
    </xf>
    <xf numFmtId="0" fontId="16" fillId="2" borderId="18" xfId="0" applyFont="1" applyFill="1" applyBorder="1" applyAlignment="1">
      <alignment horizontal="left" vertical="center"/>
    </xf>
    <xf numFmtId="0" fontId="16" fillId="2" borderId="19" xfId="0" applyFont="1" applyFill="1" applyBorder="1" applyAlignment="1">
      <alignment horizontal="left" vertical="center"/>
    </xf>
    <xf numFmtId="0" fontId="16" fillId="2" borderId="14" xfId="0" applyFont="1" applyFill="1" applyBorder="1" applyAlignment="1">
      <alignment horizontal="left" vertical="center"/>
    </xf>
    <xf numFmtId="0" fontId="8" fillId="0" borderId="0" xfId="0" applyFont="1" applyAlignment="1">
      <alignment horizontal="left" vertical="center" wrapText="1"/>
    </xf>
    <xf numFmtId="0" fontId="8" fillId="2" borderId="0" xfId="0" applyFont="1" applyFill="1" applyAlignment="1">
      <alignment horizontal="left" vertical="center" wrapText="1"/>
    </xf>
    <xf numFmtId="0" fontId="8" fillId="0" borderId="0" xfId="0" applyFont="1" applyAlignment="1">
      <alignment horizontal="left" vertical="top" wrapText="1"/>
    </xf>
    <xf numFmtId="0" fontId="14" fillId="2" borderId="0" xfId="0" applyFont="1" applyFill="1" applyAlignment="1">
      <alignment horizontal="center" vertical="center" wrapText="1"/>
    </xf>
    <xf numFmtId="0" fontId="14" fillId="2" borderId="3"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8" fillId="0" borderId="0" xfId="0" applyFont="1" applyAlignment="1">
      <alignment vertical="center" wrapText="1"/>
    </xf>
    <xf numFmtId="0" fontId="6" fillId="0" borderId="0" xfId="0" applyFont="1" applyAlignment="1">
      <alignment horizontal="left" vertical="center" wrapText="1"/>
    </xf>
    <xf numFmtId="0" fontId="0" fillId="2" borderId="0" xfId="0" applyFill="1" applyAlignment="1">
      <alignment horizontal="left" wrapText="1"/>
    </xf>
    <xf numFmtId="0" fontId="0" fillId="2" borderId="30" xfId="0" applyFill="1" applyBorder="1" applyAlignment="1">
      <alignment horizontal="center"/>
    </xf>
    <xf numFmtId="0" fontId="0" fillId="2" borderId="29" xfId="0" applyFill="1" applyBorder="1" applyAlignment="1">
      <alignment horizontal="center"/>
    </xf>
    <xf numFmtId="0" fontId="0" fillId="2" borderId="28" xfId="0" applyFill="1" applyBorder="1" applyAlignment="1">
      <alignment horizontal="center"/>
    </xf>
    <xf numFmtId="0" fontId="0" fillId="2" borderId="0" xfId="0" quotePrefix="1" applyFill="1" applyAlignment="1">
      <alignment horizontal="left" wrapText="1"/>
    </xf>
    <xf numFmtId="0" fontId="0" fillId="0" borderId="0" xfId="0" applyAlignment="1">
      <alignment horizontal="left" vertical="top" wrapText="1"/>
    </xf>
    <xf numFmtId="0" fontId="0" fillId="2" borderId="0" xfId="0" applyFill="1"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xf numFmtId="0" fontId="0" fillId="2" borderId="32" xfId="0" applyFill="1" applyBorder="1" applyAlignment="1">
      <alignment horizontal="center" wrapText="1"/>
    </xf>
    <xf numFmtId="0" fontId="0" fillId="2" borderId="5" xfId="0" applyFill="1" applyBorder="1" applyAlignment="1">
      <alignment horizontal="center" wrapText="1"/>
    </xf>
    <xf numFmtId="0" fontId="0" fillId="2" borderId="4" xfId="0" applyFill="1" applyBorder="1" applyAlignment="1">
      <alignment horizontal="center" wrapText="1"/>
    </xf>
    <xf numFmtId="0" fontId="0" fillId="2" borderId="33" xfId="0" applyFill="1" applyBorder="1" applyAlignment="1">
      <alignment horizontal="center" wrapText="1"/>
    </xf>
    <xf numFmtId="0" fontId="0" fillId="2" borderId="0" xfId="0" applyFill="1" applyAlignment="1">
      <alignment horizontal="center" wrapText="1"/>
    </xf>
    <xf numFmtId="0" fontId="0" fillId="2" borderId="3" xfId="0" applyFill="1" applyBorder="1" applyAlignment="1">
      <alignment horizontal="center" wrapText="1"/>
    </xf>
    <xf numFmtId="0" fontId="0" fillId="2" borderId="10" xfId="0" applyFill="1" applyBorder="1" applyAlignment="1">
      <alignment horizontal="center" wrapText="1"/>
    </xf>
    <xf numFmtId="0" fontId="0" fillId="2" borderId="26" xfId="0" applyFill="1" applyBorder="1" applyAlignment="1">
      <alignment horizontal="center" wrapText="1"/>
    </xf>
    <xf numFmtId="0" fontId="0" fillId="2" borderId="24" xfId="0" applyFill="1" applyBorder="1" applyAlignment="1">
      <alignment horizontal="center" wrapText="1"/>
    </xf>
    <xf numFmtId="0" fontId="0" fillId="2" borderId="34" xfId="0" applyFill="1" applyBorder="1" applyAlignment="1">
      <alignment horizontal="center" wrapText="1"/>
    </xf>
    <xf numFmtId="0" fontId="0" fillId="2" borderId="27" xfId="0" applyFill="1" applyBorder="1" applyAlignment="1">
      <alignment horizontal="center" wrapText="1"/>
    </xf>
    <xf numFmtId="0" fontId="0" fillId="2" borderId="25" xfId="0" applyFill="1" applyBorder="1" applyAlignment="1">
      <alignment horizontal="center" wrapText="1"/>
    </xf>
    <xf numFmtId="0" fontId="0" fillId="2" borderId="31" xfId="0" applyFill="1" applyBorder="1" applyAlignment="1">
      <alignment horizontal="center"/>
    </xf>
    <xf numFmtId="0" fontId="0" fillId="2" borderId="24"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25" xfId="0" applyFill="1" applyBorder="1" applyAlignment="1">
      <alignment horizontal="center"/>
    </xf>
    <xf numFmtId="2" fontId="28" fillId="0" borderId="0" xfId="0" applyNumberFormat="1" applyFont="1" applyAlignment="1">
      <alignment horizontal="center"/>
    </xf>
    <xf numFmtId="0" fontId="0" fillId="2" borderId="34" xfId="0" applyFill="1" applyBorder="1" applyAlignment="1">
      <alignment horizontal="center"/>
    </xf>
    <xf numFmtId="0" fontId="0" fillId="2" borderId="27" xfId="0" applyFill="1" applyBorder="1" applyAlignment="1">
      <alignment horizontal="center"/>
    </xf>
    <xf numFmtId="0" fontId="0" fillId="2" borderId="0" xfId="0" applyFill="1" applyAlignment="1">
      <alignment horizontal="center"/>
    </xf>
    <xf numFmtId="0" fontId="0" fillId="2" borderId="32" xfId="0" applyFill="1" applyBorder="1" applyAlignment="1">
      <alignment horizontal="center"/>
    </xf>
    <xf numFmtId="0" fontId="0" fillId="2" borderId="5" xfId="0" applyFill="1" applyBorder="1" applyAlignment="1">
      <alignment horizontal="center"/>
    </xf>
    <xf numFmtId="0" fontId="0" fillId="2" borderId="33" xfId="0" applyFill="1" applyBorder="1" applyAlignment="1">
      <alignment horizontal="center"/>
    </xf>
    <xf numFmtId="0" fontId="0" fillId="0" borderId="18" xfId="0" applyBorder="1" applyAlignment="1">
      <alignment horizontal="left"/>
    </xf>
    <xf numFmtId="0" fontId="0" fillId="0" borderId="19" xfId="0" applyBorder="1" applyAlignment="1">
      <alignment horizontal="left"/>
    </xf>
    <xf numFmtId="0" fontId="26" fillId="0" borderId="0" xfId="0" applyFont="1" applyAlignment="1">
      <alignment horizontal="left" vertical="top" wrapText="1"/>
    </xf>
    <xf numFmtId="0" fontId="0" fillId="0" borderId="0" xfId="0" quotePrefix="1" applyAlignment="1">
      <alignment horizontal="left" wrapText="1"/>
    </xf>
    <xf numFmtId="0" fontId="31" fillId="2" borderId="0" xfId="0" applyFont="1" applyFill="1" applyAlignment="1">
      <alignment horizontal="left" wrapText="1"/>
    </xf>
    <xf numFmtId="0" fontId="0" fillId="0" borderId="0" xfId="0" applyFont="1"/>
    <xf numFmtId="0" fontId="39" fillId="0" borderId="0" xfId="0" applyFont="1"/>
    <xf numFmtId="0" fontId="47" fillId="0" borderId="0" xfId="0" applyFont="1"/>
    <xf numFmtId="0" fontId="1" fillId="2" borderId="0" xfId="0" quotePrefix="1" applyFont="1" applyFill="1"/>
    <xf numFmtId="0" fontId="1" fillId="0" borderId="18" xfId="0" applyFont="1" applyBorder="1" applyAlignment="1">
      <alignment horizontal="center"/>
    </xf>
    <xf numFmtId="3" fontId="0" fillId="2" borderId="5" xfId="0" applyNumberFormat="1" applyFont="1" applyFill="1" applyBorder="1" applyAlignment="1">
      <alignment horizontal="center"/>
    </xf>
    <xf numFmtId="0" fontId="0" fillId="2" borderId="0" xfId="0" applyFont="1" applyFill="1"/>
    <xf numFmtId="0" fontId="15" fillId="2" borderId="0" xfId="0" applyFont="1" applyFill="1" applyBorder="1" applyAlignment="1">
      <alignment horizontal="left" vertical="center" wrapText="1"/>
    </xf>
    <xf numFmtId="0" fontId="1" fillId="0" borderId="0" xfId="0" applyFont="1" applyBorder="1" applyAlignment="1">
      <alignment horizontal="center"/>
    </xf>
    <xf numFmtId="2" fontId="0" fillId="0" borderId="0" xfId="0" applyNumberFormat="1" applyFont="1" applyAlignment="1">
      <alignment horizontal="center"/>
    </xf>
  </cellXfs>
  <cellStyles count="7">
    <cellStyle name="Comma" xfId="1" builtinId="3"/>
    <cellStyle name="Hyperlink 2" xfId="5" xr:uid="{BEF6B9D9-7713-BE4B-B825-A2D0B11CE59F}"/>
    <cellStyle name="Normal" xfId="0" builtinId="0"/>
    <cellStyle name="Normal 2 2" xfId="3" xr:uid="{A0BE4448-DFAB-D74F-AFAC-F3C34A3FBCDE}"/>
    <cellStyle name="Normal 4" xfId="4" xr:uid="{BC75EFC5-B956-9249-8C6C-CC0F14DA3B81}"/>
    <cellStyle name="Percent" xfId="2" builtinId="5"/>
    <cellStyle name="Percent 2" xfId="6" xr:uid="{D840438C-29D5-E847-95EF-123829CDF4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6B3C44D4-38E5-3E47-8404-89DFE24948EF}"/>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107950</xdr:colOff>
      <xdr:row>11</xdr:row>
      <xdr:rowOff>12700</xdr:rowOff>
    </xdr:from>
    <xdr:ext cx="130420"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7BD7C64-70B3-8740-83B0-098B849DFAEC}"/>
                </a:ext>
              </a:extLst>
            </xdr:cNvPr>
            <xdr:cNvSpPr txBox="1"/>
          </xdr:nvSpPr>
          <xdr:spPr>
            <a:xfrm>
              <a:off x="946150" y="2247900"/>
              <a:ext cx="1304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𝜑</m:t>
                    </m:r>
                  </m:oMath>
                </m:oMathPara>
              </a14:m>
              <a:endParaRPr lang="en-US" sz="1100"/>
            </a:p>
          </xdr:txBody>
        </xdr:sp>
      </mc:Choice>
      <mc:Fallback xmlns="">
        <xdr:sp macro="" textlink="">
          <xdr:nvSpPr>
            <xdr:cNvPr id="2" name="TextBox 1">
              <a:extLst>
                <a:ext uri="{FF2B5EF4-FFF2-40B4-BE49-F238E27FC236}">
                  <a16:creationId xmlns:a16="http://schemas.microsoft.com/office/drawing/2014/main" id="{57BD7C64-70B3-8740-83B0-098B849DFAEC}"/>
                </a:ext>
              </a:extLst>
            </xdr:cNvPr>
            <xdr:cNvSpPr txBox="1"/>
          </xdr:nvSpPr>
          <xdr:spPr>
            <a:xfrm>
              <a:off x="946150" y="2247900"/>
              <a:ext cx="1304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𝜑</a:t>
              </a:r>
              <a:endParaRPr lang="en-US" sz="1100"/>
            </a:p>
          </xdr:txBody>
        </xdr:sp>
      </mc:Fallback>
    </mc:AlternateContent>
    <xdr:clientData/>
  </xdr:oneCellAnchor>
  <xdr:oneCellAnchor>
    <xdr:from>
      <xdr:col>1</xdr:col>
      <xdr:colOff>107950</xdr:colOff>
      <xdr:row>12</xdr:row>
      <xdr:rowOff>25400</xdr:rowOff>
    </xdr:from>
    <xdr:ext cx="130420"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A88D20-7586-C34F-A0FC-65CD3810BE80}"/>
                </a:ext>
              </a:extLst>
            </xdr:cNvPr>
            <xdr:cNvSpPr txBox="1"/>
          </xdr:nvSpPr>
          <xdr:spPr>
            <a:xfrm>
              <a:off x="946150" y="2463800"/>
              <a:ext cx="1304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𝜑</m:t>
                    </m:r>
                  </m:oMath>
                </m:oMathPara>
              </a14:m>
              <a:endParaRPr lang="en-US" sz="1100"/>
            </a:p>
          </xdr:txBody>
        </xdr:sp>
      </mc:Choice>
      <mc:Fallback xmlns="">
        <xdr:sp macro="" textlink="">
          <xdr:nvSpPr>
            <xdr:cNvPr id="3" name="TextBox 2">
              <a:extLst>
                <a:ext uri="{FF2B5EF4-FFF2-40B4-BE49-F238E27FC236}">
                  <a16:creationId xmlns:a16="http://schemas.microsoft.com/office/drawing/2014/main" id="{EEA88D20-7586-C34F-A0FC-65CD3810BE80}"/>
                </a:ext>
              </a:extLst>
            </xdr:cNvPr>
            <xdr:cNvSpPr txBox="1"/>
          </xdr:nvSpPr>
          <xdr:spPr>
            <a:xfrm>
              <a:off x="946150" y="2463800"/>
              <a:ext cx="1304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𝜑</a:t>
              </a:r>
              <a:endParaRPr lang="en-US" sz="1100"/>
            </a:p>
          </xdr:txBody>
        </xdr:sp>
      </mc:Fallback>
    </mc:AlternateContent>
    <xdr:clientData/>
  </xdr:oneCellAnchor>
  <xdr:oneCellAnchor>
    <xdr:from>
      <xdr:col>1</xdr:col>
      <xdr:colOff>107950</xdr:colOff>
      <xdr:row>13</xdr:row>
      <xdr:rowOff>12700</xdr:rowOff>
    </xdr:from>
    <xdr:ext cx="187294"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DFC84A6-4F5F-C140-BAB4-7B69961C33FF}"/>
                </a:ext>
              </a:extLst>
            </xdr:cNvPr>
            <xdr:cNvSpPr txBox="1"/>
          </xdr:nvSpPr>
          <xdr:spPr>
            <a:xfrm>
              <a:off x="946150" y="2654300"/>
              <a:ext cx="18729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𝜑</m:t>
                        </m:r>
                      </m:e>
                      <m:sub>
                        <m:r>
                          <a:rPr lang="en-US" sz="1100" b="0" i="1">
                            <a:latin typeface="Cambria Math" panose="02040503050406030204" pitchFamily="18" charset="0"/>
                          </a:rPr>
                          <m:t>4</m:t>
                        </m:r>
                      </m:sub>
                    </m:sSub>
                  </m:oMath>
                </m:oMathPara>
              </a14:m>
              <a:endParaRPr lang="en-US" sz="1100"/>
            </a:p>
          </xdr:txBody>
        </xdr:sp>
      </mc:Choice>
      <mc:Fallback xmlns="">
        <xdr:sp macro="" textlink="">
          <xdr:nvSpPr>
            <xdr:cNvPr id="4" name="TextBox 3">
              <a:extLst>
                <a:ext uri="{FF2B5EF4-FFF2-40B4-BE49-F238E27FC236}">
                  <a16:creationId xmlns:a16="http://schemas.microsoft.com/office/drawing/2014/main" id="{9DFC84A6-4F5F-C140-BAB4-7B69961C33FF}"/>
                </a:ext>
              </a:extLst>
            </xdr:cNvPr>
            <xdr:cNvSpPr txBox="1"/>
          </xdr:nvSpPr>
          <xdr:spPr>
            <a:xfrm>
              <a:off x="946150" y="2654300"/>
              <a:ext cx="18729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𝜑_4</a:t>
              </a:r>
              <a:endParaRPr lang="en-US" sz="1100"/>
            </a:p>
          </xdr:txBody>
        </xdr:sp>
      </mc:Fallback>
    </mc:AlternateContent>
    <xdr:clientData/>
  </xdr:oneCellAnchor>
  <xdr:oneCellAnchor>
    <xdr:from>
      <xdr:col>1</xdr:col>
      <xdr:colOff>107950</xdr:colOff>
      <xdr:row>14</xdr:row>
      <xdr:rowOff>12700</xdr:rowOff>
    </xdr:from>
    <xdr:ext cx="188065" cy="17767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BBCDDCF-74BE-F049-B848-1A3D4A1E0BEC}"/>
                </a:ext>
              </a:extLst>
            </xdr:cNvPr>
            <xdr:cNvSpPr txBox="1"/>
          </xdr:nvSpPr>
          <xdr:spPr>
            <a:xfrm>
              <a:off x="946150" y="2857500"/>
              <a:ext cx="188065" cy="1776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𝜎</m:t>
                        </m:r>
                      </m:e>
                      <m:sub>
                        <m:r>
                          <a:rPr lang="en-US" sz="1100" b="0" i="1">
                            <a:latin typeface="Cambria Math" panose="02040503050406030204" pitchFamily="18" charset="0"/>
                          </a:rPr>
                          <m:t>4</m:t>
                        </m:r>
                      </m:sub>
                      <m:sup>
                        <m:r>
                          <a:rPr lang="en-US" sz="1100" b="0" i="1">
                            <a:latin typeface="Cambria Math" panose="02040503050406030204" pitchFamily="18" charset="0"/>
                          </a:rPr>
                          <m:t>2</m:t>
                        </m:r>
                      </m:sup>
                    </m:sSubSup>
                  </m:oMath>
                </m:oMathPara>
              </a14:m>
              <a:endParaRPr lang="en-US" sz="1100"/>
            </a:p>
          </xdr:txBody>
        </xdr:sp>
      </mc:Choice>
      <mc:Fallback xmlns="">
        <xdr:sp macro="" textlink="">
          <xdr:nvSpPr>
            <xdr:cNvPr id="5" name="TextBox 4">
              <a:extLst>
                <a:ext uri="{FF2B5EF4-FFF2-40B4-BE49-F238E27FC236}">
                  <a16:creationId xmlns:a16="http://schemas.microsoft.com/office/drawing/2014/main" id="{CBBCDDCF-74BE-F049-B848-1A3D4A1E0BEC}"/>
                </a:ext>
              </a:extLst>
            </xdr:cNvPr>
            <xdr:cNvSpPr txBox="1"/>
          </xdr:nvSpPr>
          <xdr:spPr>
            <a:xfrm>
              <a:off x="946150" y="2857500"/>
              <a:ext cx="188065" cy="1776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𝜎_4^2</a:t>
              </a:r>
              <a:endParaRPr lang="en-US" sz="1100"/>
            </a:p>
          </xdr:txBody>
        </xdr:sp>
      </mc:Fallback>
    </mc:AlternateContent>
    <xdr:clientData/>
  </xdr:oneCellAnchor>
  <xdr:oneCellAnchor>
    <xdr:from>
      <xdr:col>3</xdr:col>
      <xdr:colOff>663576</xdr:colOff>
      <xdr:row>17</xdr:row>
      <xdr:rowOff>20638</xdr:rowOff>
    </xdr:from>
    <xdr:ext cx="253851" cy="17697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6101543-F77F-EA42-BB3D-87DCB8AC18FD}"/>
                </a:ext>
              </a:extLst>
            </xdr:cNvPr>
            <xdr:cNvSpPr txBox="1"/>
          </xdr:nvSpPr>
          <xdr:spPr>
            <a:xfrm>
              <a:off x="3178176" y="3475038"/>
              <a:ext cx="253851"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2,4</m:t>
                        </m:r>
                      </m:sub>
                    </m:sSub>
                  </m:oMath>
                </m:oMathPara>
              </a14:m>
              <a:endParaRPr lang="en-US" sz="1100"/>
            </a:p>
          </xdr:txBody>
        </xdr:sp>
      </mc:Choice>
      <mc:Fallback xmlns="">
        <xdr:sp macro="" textlink="">
          <xdr:nvSpPr>
            <xdr:cNvPr id="6" name="TextBox 5">
              <a:extLst>
                <a:ext uri="{FF2B5EF4-FFF2-40B4-BE49-F238E27FC236}">
                  <a16:creationId xmlns:a16="http://schemas.microsoft.com/office/drawing/2014/main" id="{E6101543-F77F-EA42-BB3D-87DCB8AC18FD}"/>
                </a:ext>
              </a:extLst>
            </xdr:cNvPr>
            <xdr:cNvSpPr txBox="1"/>
          </xdr:nvSpPr>
          <xdr:spPr>
            <a:xfrm>
              <a:off x="3178176" y="3475038"/>
              <a:ext cx="253851"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𝐶_2,4</a:t>
              </a:r>
              <a:endParaRPr lang="en-US" sz="1100"/>
            </a:p>
          </xdr:txBody>
        </xdr:sp>
      </mc:Fallback>
    </mc:AlternateContent>
    <xdr:clientData/>
  </xdr:oneCellAnchor>
  <xdr:oneCellAnchor>
    <xdr:from>
      <xdr:col>3</xdr:col>
      <xdr:colOff>636588</xdr:colOff>
      <xdr:row>20</xdr:row>
      <xdr:rowOff>15875</xdr:rowOff>
    </xdr:from>
    <xdr:ext cx="253851" cy="176972"/>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42F081F-9A31-384C-9872-07861C1371CA}"/>
                </a:ext>
              </a:extLst>
            </xdr:cNvPr>
            <xdr:cNvSpPr txBox="1"/>
          </xdr:nvSpPr>
          <xdr:spPr>
            <a:xfrm>
              <a:off x="3151188" y="4079875"/>
              <a:ext cx="253851"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2,4</m:t>
                        </m:r>
                      </m:sub>
                    </m:sSub>
                  </m:oMath>
                </m:oMathPara>
              </a14:m>
              <a:endParaRPr lang="en-US" sz="1100"/>
            </a:p>
          </xdr:txBody>
        </xdr:sp>
      </mc:Choice>
      <mc:Fallback xmlns="">
        <xdr:sp macro="" textlink="">
          <xdr:nvSpPr>
            <xdr:cNvPr id="7" name="TextBox 6">
              <a:extLst>
                <a:ext uri="{FF2B5EF4-FFF2-40B4-BE49-F238E27FC236}">
                  <a16:creationId xmlns:a16="http://schemas.microsoft.com/office/drawing/2014/main" id="{042F081F-9A31-384C-9872-07861C1371CA}"/>
                </a:ext>
              </a:extLst>
            </xdr:cNvPr>
            <xdr:cNvSpPr txBox="1"/>
          </xdr:nvSpPr>
          <xdr:spPr>
            <a:xfrm>
              <a:off x="3151188" y="4079875"/>
              <a:ext cx="253851"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𝐶_2,4</a:t>
              </a:r>
              <a:endParaRPr lang="en-US" sz="1100"/>
            </a:p>
          </xdr:txBody>
        </xdr:sp>
      </mc:Fallback>
    </mc:AlternateContent>
    <xdr:clientData/>
  </xdr:oneCellAnchor>
  <xdr:oneCellAnchor>
    <xdr:from>
      <xdr:col>3</xdr:col>
      <xdr:colOff>677863</xdr:colOff>
      <xdr:row>23</xdr:row>
      <xdr:rowOff>6350</xdr:rowOff>
    </xdr:from>
    <xdr:ext cx="253851" cy="176972"/>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F29F6DB3-23D9-9949-85F1-3CEEA7CAD688}"/>
                </a:ext>
              </a:extLst>
            </xdr:cNvPr>
            <xdr:cNvSpPr txBox="1"/>
          </xdr:nvSpPr>
          <xdr:spPr>
            <a:xfrm>
              <a:off x="3192463" y="4679950"/>
              <a:ext cx="253851"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2,4</m:t>
                        </m:r>
                      </m:sub>
                    </m:sSub>
                  </m:oMath>
                </m:oMathPara>
              </a14:m>
              <a:endParaRPr lang="en-US" sz="1100"/>
            </a:p>
          </xdr:txBody>
        </xdr:sp>
      </mc:Choice>
      <mc:Fallback xmlns="">
        <xdr:sp macro="" textlink="">
          <xdr:nvSpPr>
            <xdr:cNvPr id="8" name="TextBox 7">
              <a:extLst>
                <a:ext uri="{FF2B5EF4-FFF2-40B4-BE49-F238E27FC236}">
                  <a16:creationId xmlns:a16="http://schemas.microsoft.com/office/drawing/2014/main" id="{F29F6DB3-23D9-9949-85F1-3CEEA7CAD688}"/>
                </a:ext>
              </a:extLst>
            </xdr:cNvPr>
            <xdr:cNvSpPr txBox="1"/>
          </xdr:nvSpPr>
          <xdr:spPr>
            <a:xfrm>
              <a:off x="3192463" y="4679950"/>
              <a:ext cx="253851"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𝐶_2,4</a:t>
              </a:r>
              <a:endParaRPr lang="en-US" sz="1100"/>
            </a:p>
          </xdr:txBody>
        </xdr:sp>
      </mc:Fallback>
    </mc:AlternateContent>
    <xdr:clientData/>
  </xdr:oneCellAnchor>
  <xdr:oneCellAnchor>
    <xdr:from>
      <xdr:col>3</xdr:col>
      <xdr:colOff>633413</xdr:colOff>
      <xdr:row>27</xdr:row>
      <xdr:rowOff>28575</xdr:rowOff>
    </xdr:from>
    <xdr:ext cx="267317" cy="17697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987C24B-32B7-484B-96B5-78208E1153F6}"/>
                </a:ext>
              </a:extLst>
            </xdr:cNvPr>
            <xdr:cNvSpPr txBox="1"/>
          </xdr:nvSpPr>
          <xdr:spPr>
            <a:xfrm>
              <a:off x="3148013" y="5514975"/>
              <a:ext cx="267317"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𝐷</m:t>
                        </m:r>
                      </m:e>
                      <m:sub>
                        <m:r>
                          <a:rPr lang="en-US" sz="1100" b="0" i="1">
                            <a:latin typeface="Cambria Math" panose="02040503050406030204" pitchFamily="18" charset="0"/>
                          </a:rPr>
                          <m:t>2,4</m:t>
                        </m:r>
                      </m:sub>
                    </m:sSub>
                  </m:oMath>
                </m:oMathPara>
              </a14:m>
              <a:endParaRPr lang="en-US" sz="1100"/>
            </a:p>
          </xdr:txBody>
        </xdr:sp>
      </mc:Choice>
      <mc:Fallback xmlns="">
        <xdr:sp macro="" textlink="">
          <xdr:nvSpPr>
            <xdr:cNvPr id="9" name="TextBox 8">
              <a:extLst>
                <a:ext uri="{FF2B5EF4-FFF2-40B4-BE49-F238E27FC236}">
                  <a16:creationId xmlns:a16="http://schemas.microsoft.com/office/drawing/2014/main" id="{1987C24B-32B7-484B-96B5-78208E1153F6}"/>
                </a:ext>
              </a:extLst>
            </xdr:cNvPr>
            <xdr:cNvSpPr txBox="1"/>
          </xdr:nvSpPr>
          <xdr:spPr>
            <a:xfrm>
              <a:off x="3148013" y="5514975"/>
              <a:ext cx="267317"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𝐷_2,4</a:t>
              </a:r>
              <a:endParaRPr 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8</xdr:col>
      <xdr:colOff>460620</xdr:colOff>
      <xdr:row>15</xdr:row>
      <xdr:rowOff>220786</xdr:rowOff>
    </xdr:from>
    <xdr:ext cx="65" cy="172098"/>
    <xdr:sp macro="" textlink="">
      <xdr:nvSpPr>
        <xdr:cNvPr id="2" name="TextBox 1">
          <a:extLst>
            <a:ext uri="{FF2B5EF4-FFF2-40B4-BE49-F238E27FC236}">
              <a16:creationId xmlns:a16="http://schemas.microsoft.com/office/drawing/2014/main" id="{FB96CA19-D71F-4545-B812-AA9F5433FEF9}"/>
            </a:ext>
          </a:extLst>
        </xdr:cNvPr>
        <xdr:cNvSpPr txBox="1"/>
      </xdr:nvSpPr>
      <xdr:spPr>
        <a:xfrm>
          <a:off x="7166220" y="3256086"/>
          <a:ext cx="6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660400</xdr:colOff>
      <xdr:row>29</xdr:row>
      <xdr:rowOff>63500</xdr:rowOff>
    </xdr:from>
    <xdr:ext cx="3354636" cy="398955"/>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568CC95-5F9D-8346-9943-615350E5F479}"/>
                </a:ext>
              </a:extLst>
            </xdr:cNvPr>
            <xdr:cNvSpPr txBox="1"/>
          </xdr:nvSpPr>
          <xdr:spPr>
            <a:xfrm>
              <a:off x="2336800" y="5956300"/>
              <a:ext cx="3354636" cy="3989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0" i="1">
                            <a:latin typeface="Cambria Math" panose="02040503050406030204" pitchFamily="18" charset="0"/>
                          </a:rPr>
                        </m:ctrlPr>
                      </m:sSubPr>
                      <m:e>
                        <m:r>
                          <a:rPr lang="en-US" sz="1200" b="0" i="1">
                            <a:latin typeface="Cambria Math" panose="02040503050406030204" pitchFamily="18" charset="0"/>
                          </a:rPr>
                          <m:t>𝑍</m:t>
                        </m:r>
                      </m:e>
                      <m:sub>
                        <m:r>
                          <a:rPr lang="en-US" sz="1200" b="0" i="1">
                            <a:latin typeface="Cambria Math" panose="02040503050406030204" pitchFamily="18" charset="0"/>
                          </a:rPr>
                          <m:t>𝑖𝑗</m:t>
                        </m:r>
                      </m:sub>
                    </m:sSub>
                    <m:d>
                      <m:dPr>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m:rPr>
                                <m:sty m:val="p"/>
                              </m:rPr>
                              <a:rPr lang="el-GR" sz="1200" b="0" i="1">
                                <a:solidFill>
                                  <a:schemeClr val="tx1"/>
                                </a:solidFill>
                                <a:effectLst/>
                                <a:latin typeface="Cambria Math" panose="02040503050406030204" pitchFamily="18" charset="0"/>
                                <a:ea typeface="+mn-ea"/>
                                <a:cs typeface="+mn-cs"/>
                              </a:rPr>
                              <m:t>λ</m:t>
                            </m:r>
                          </m:e>
                          <m:sub>
                            <m:r>
                              <a:rPr lang="en-US" sz="1200" b="0" i="1">
                                <a:latin typeface="Cambria Math" panose="02040503050406030204" pitchFamily="18" charset="0"/>
                              </a:rPr>
                              <m:t>𝑗</m:t>
                            </m:r>
                          </m:sub>
                        </m:sSub>
                        <m:r>
                          <a:rPr lang="en-US" sz="1200" b="0" i="1">
                            <a:latin typeface="Cambria Math" panose="02040503050406030204" pitchFamily="18" charset="0"/>
                          </a:rPr>
                          <m:t>−1</m:t>
                        </m:r>
                      </m:e>
                    </m:d>
                    <m:sSub>
                      <m:sSubPr>
                        <m:ctrlPr>
                          <a:rPr lang="en-US" sz="1200" b="0" i="1">
                            <a:latin typeface="Cambria Math" panose="02040503050406030204" pitchFamily="18" charset="0"/>
                          </a:rPr>
                        </m:ctrlPr>
                      </m:sSubPr>
                      <m:e>
                        <m:r>
                          <a:rPr lang="en-US" sz="1200" b="0" i="1">
                            <a:latin typeface="Cambria Math" panose="02040503050406030204" pitchFamily="18" charset="0"/>
                          </a:rPr>
                          <m:t>𝐷</m:t>
                        </m:r>
                      </m:e>
                      <m:sub>
                        <m:r>
                          <a:rPr lang="en-US" sz="1200" b="0" i="1">
                            <a:latin typeface="Cambria Math" panose="02040503050406030204" pitchFamily="18" charset="0"/>
                          </a:rPr>
                          <m:t>𝑖</m:t>
                        </m:r>
                        <m:r>
                          <a:rPr lang="en-US" sz="1200" b="0" i="1">
                            <a:latin typeface="Cambria Math" panose="02040503050406030204" pitchFamily="18" charset="0"/>
                          </a:rPr>
                          <m:t>,</m:t>
                        </m:r>
                        <m:r>
                          <a:rPr lang="en-US" sz="1200" b="0" i="1">
                            <a:latin typeface="Cambria Math" panose="02040503050406030204" pitchFamily="18" charset="0"/>
                          </a:rPr>
                          <m:t>𝑗</m:t>
                        </m:r>
                        <m:r>
                          <a:rPr lang="en-US" sz="1200" b="0" i="1">
                            <a:latin typeface="Cambria Math" panose="02040503050406030204" pitchFamily="18" charset="0"/>
                          </a:rPr>
                          <m:t>−1</m:t>
                        </m:r>
                      </m:sub>
                    </m:sSub>
                    <m:r>
                      <a:rPr lang="en-US" sz="1200" b="0" i="1">
                        <a:latin typeface="Cambria Math" panose="02040503050406030204" pitchFamily="18" charset="0"/>
                      </a:rPr>
                      <m:t>+</m:t>
                    </m:r>
                    <m:d>
                      <m:dPr>
                        <m:ctrlPr>
                          <a:rPr lang="en-US" sz="1200" b="0" i="1">
                            <a:latin typeface="Cambria Math" panose="02040503050406030204" pitchFamily="18" charset="0"/>
                          </a:rPr>
                        </m:ctrlPr>
                      </m:dPr>
                      <m:e>
                        <m:r>
                          <a:rPr lang="en-US" sz="1200" b="0" i="1">
                            <a:latin typeface="Cambria Math" panose="02040503050406030204" pitchFamily="18" charset="0"/>
                          </a:rPr>
                          <m:t>1−</m:t>
                        </m:r>
                        <m:sSub>
                          <m:sSubPr>
                            <m:ctrlPr>
                              <a:rPr lang="en-US" sz="1200" b="0" i="1">
                                <a:latin typeface="Cambria Math" panose="02040503050406030204" pitchFamily="18" charset="0"/>
                              </a:rPr>
                            </m:ctrlPr>
                          </m:sSubPr>
                          <m:e>
                            <m:r>
                              <a:rPr lang="en-US" sz="1200" b="0" i="1">
                                <a:latin typeface="Cambria Math" panose="02040503050406030204" pitchFamily="18" charset="0"/>
                              </a:rPr>
                              <m:t>𝑍</m:t>
                            </m:r>
                          </m:e>
                          <m:sub>
                            <m:r>
                              <a:rPr lang="en-US" sz="1200" b="0" i="1">
                                <a:latin typeface="Cambria Math" panose="02040503050406030204" pitchFamily="18" charset="0"/>
                              </a:rPr>
                              <m:t>𝑖𝑗</m:t>
                            </m:r>
                          </m:sub>
                        </m:sSub>
                      </m:e>
                    </m:d>
                    <m:d>
                      <m:dPr>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m:rPr>
                                <m:sty m:val="p"/>
                              </m:rPr>
                              <a:rPr lang="el-GR" sz="1200" b="0" i="1">
                                <a:solidFill>
                                  <a:schemeClr val="tx1"/>
                                </a:solidFill>
                                <a:effectLst/>
                                <a:latin typeface="Cambria Math" panose="02040503050406030204" pitchFamily="18" charset="0"/>
                                <a:ea typeface="+mn-ea"/>
                                <a:cs typeface="+mn-cs"/>
                              </a:rPr>
                              <m:t>λ</m:t>
                            </m:r>
                          </m:e>
                          <m:sub>
                            <m:r>
                              <a:rPr lang="en-US" sz="1200" b="0" i="1">
                                <a:latin typeface="Cambria Math" panose="02040503050406030204" pitchFamily="18" charset="0"/>
                              </a:rPr>
                              <m:t>𝑗</m:t>
                            </m:r>
                          </m:sub>
                        </m:sSub>
                        <m:r>
                          <a:rPr lang="en-US" sz="1200" b="0" i="1">
                            <a:latin typeface="Cambria Math" panose="02040503050406030204" pitchFamily="18" charset="0"/>
                          </a:rPr>
                          <m:t>−1</m:t>
                        </m:r>
                      </m:e>
                    </m:d>
                    <m:sSub>
                      <m:sSubPr>
                        <m:ctrlPr>
                          <a:rPr lang="en-US" sz="1200" b="0" i="1">
                            <a:latin typeface="Cambria Math" panose="02040503050406030204" pitchFamily="18" charset="0"/>
                          </a:rPr>
                        </m:ctrlPr>
                      </m:sSubPr>
                      <m:e>
                        <m:r>
                          <a:rPr lang="en-US" sz="1200" b="0" i="1">
                            <a:latin typeface="Cambria Math" panose="02040503050406030204" pitchFamily="18" charset="0"/>
                          </a:rPr>
                          <m:t>𝑀</m:t>
                        </m:r>
                      </m:e>
                      <m:sub>
                        <m:r>
                          <a:rPr lang="en-US" sz="1200" b="0" i="1">
                            <a:latin typeface="Cambria Math" panose="02040503050406030204" pitchFamily="18" charset="0"/>
                          </a:rPr>
                          <m:t>𝑖</m:t>
                        </m:r>
                      </m:sub>
                    </m:sSub>
                    <m:f>
                      <m:fPr>
                        <m:ctrlPr>
                          <a:rPr lang="en-US" sz="1200" b="0" i="1">
                            <a:latin typeface="Cambria Math" panose="02040503050406030204" pitchFamily="18" charset="0"/>
                          </a:rPr>
                        </m:ctrlPr>
                      </m:fPr>
                      <m:num>
                        <m:r>
                          <a:rPr lang="en-US" sz="1200" b="0" i="1">
                            <a:latin typeface="Cambria Math" panose="02040503050406030204" pitchFamily="18" charset="0"/>
                          </a:rPr>
                          <m:t>1</m:t>
                        </m:r>
                      </m:num>
                      <m:den>
                        <m:sSub>
                          <m:sSubPr>
                            <m:ctrlPr>
                              <a:rPr lang="en-US" sz="1200" b="0" i="1">
                                <a:latin typeface="Cambria Math" panose="02040503050406030204" pitchFamily="18" charset="0"/>
                              </a:rPr>
                            </m:ctrlPr>
                          </m:sSubPr>
                          <m:e>
                            <m:r>
                              <m:rPr>
                                <m:sty m:val="p"/>
                              </m:rPr>
                              <a:rPr lang="el-GR" sz="1200" b="0" i="1">
                                <a:solidFill>
                                  <a:schemeClr val="tx1"/>
                                </a:solidFill>
                                <a:effectLst/>
                                <a:latin typeface="Cambria Math" panose="02040503050406030204" pitchFamily="18" charset="0"/>
                                <a:ea typeface="+mn-ea"/>
                                <a:cs typeface="+mn-cs"/>
                              </a:rPr>
                              <m:t>λ</m:t>
                            </m:r>
                          </m:e>
                          <m:sub>
                            <m:r>
                              <a:rPr lang="en-US" sz="1200" b="0" i="1">
                                <a:latin typeface="Cambria Math" panose="02040503050406030204" pitchFamily="18" charset="0"/>
                              </a:rPr>
                              <m:t>𝑗</m:t>
                            </m:r>
                          </m:sub>
                        </m:sSub>
                        <m:sSub>
                          <m:sSubPr>
                            <m:ctrlPr>
                              <a:rPr lang="en-US" sz="1200" b="0" i="1">
                                <a:latin typeface="Cambria Math" panose="02040503050406030204" pitchFamily="18" charset="0"/>
                              </a:rPr>
                            </m:ctrlPr>
                          </m:sSubPr>
                          <m:e>
                            <m:r>
                              <m:rPr>
                                <m:sty m:val="p"/>
                              </m:rPr>
                              <a:rPr lang="el-GR" sz="1200" b="0" i="1">
                                <a:solidFill>
                                  <a:schemeClr val="tx1"/>
                                </a:solidFill>
                                <a:effectLst/>
                                <a:latin typeface="Cambria Math" panose="02040503050406030204" pitchFamily="18" charset="0"/>
                                <a:ea typeface="+mn-ea"/>
                                <a:cs typeface="+mn-cs"/>
                              </a:rPr>
                              <m:t>λ</m:t>
                            </m:r>
                          </m:e>
                          <m:sub>
                            <m:r>
                              <a:rPr lang="en-US" sz="1200" b="0" i="1">
                                <a:latin typeface="Cambria Math" panose="02040503050406030204" pitchFamily="18" charset="0"/>
                              </a:rPr>
                              <m:t>𝑗</m:t>
                            </m:r>
                            <m:r>
                              <a:rPr lang="en-US" sz="1200" b="0" i="1">
                                <a:latin typeface="Cambria Math" panose="02040503050406030204" pitchFamily="18" charset="0"/>
                              </a:rPr>
                              <m:t>+1</m:t>
                            </m:r>
                          </m:sub>
                        </m:sSub>
                        <m:r>
                          <a:rPr lang="en-US" sz="1200" b="0" i="1">
                            <a:latin typeface="Cambria Math" panose="02040503050406030204" pitchFamily="18" charset="0"/>
                          </a:rPr>
                          <m:t>…</m:t>
                        </m:r>
                        <m:sSub>
                          <m:sSubPr>
                            <m:ctrlPr>
                              <a:rPr lang="en-US" sz="1200" b="0" i="1">
                                <a:latin typeface="Cambria Math" panose="02040503050406030204" pitchFamily="18" charset="0"/>
                              </a:rPr>
                            </m:ctrlPr>
                          </m:sSubPr>
                          <m:e>
                            <m:r>
                              <m:rPr>
                                <m:sty m:val="p"/>
                              </m:rPr>
                              <a:rPr lang="el-GR" sz="1200" b="0" i="1">
                                <a:solidFill>
                                  <a:schemeClr val="tx1"/>
                                </a:solidFill>
                                <a:effectLst/>
                                <a:latin typeface="Cambria Math" panose="02040503050406030204" pitchFamily="18" charset="0"/>
                                <a:ea typeface="+mn-ea"/>
                                <a:cs typeface="+mn-cs"/>
                              </a:rPr>
                              <m:t>λ</m:t>
                            </m:r>
                          </m:e>
                          <m:sub>
                            <m:r>
                              <a:rPr lang="en-US" sz="1200" b="0" i="1">
                                <a:latin typeface="Cambria Math" panose="02040503050406030204" pitchFamily="18" charset="0"/>
                              </a:rPr>
                              <m:t>𝑛</m:t>
                            </m:r>
                          </m:sub>
                        </m:sSub>
                      </m:den>
                    </m:f>
                  </m:oMath>
                </m:oMathPara>
              </a14:m>
              <a:endParaRPr lang="en-US" sz="1200"/>
            </a:p>
          </xdr:txBody>
        </xdr:sp>
      </mc:Choice>
      <mc:Fallback xmlns="">
        <xdr:sp macro="" textlink="">
          <xdr:nvSpPr>
            <xdr:cNvPr id="2" name="TextBox 1">
              <a:extLst>
                <a:ext uri="{FF2B5EF4-FFF2-40B4-BE49-F238E27FC236}">
                  <a16:creationId xmlns:a16="http://schemas.microsoft.com/office/drawing/2014/main" id="{1568CC95-5F9D-8346-9943-615350E5F479}"/>
                </a:ext>
              </a:extLst>
            </xdr:cNvPr>
            <xdr:cNvSpPr txBox="1"/>
          </xdr:nvSpPr>
          <xdr:spPr>
            <a:xfrm>
              <a:off x="2336800" y="5956300"/>
              <a:ext cx="3354636" cy="3989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𝑍_𝑖𝑗 (</a:t>
              </a:r>
              <a:r>
                <a:rPr lang="el-GR" sz="1200" b="0" i="0">
                  <a:solidFill>
                    <a:schemeClr val="tx1"/>
                  </a:solidFill>
                  <a:effectLst/>
                  <a:latin typeface="Cambria Math" panose="02040503050406030204" pitchFamily="18" charset="0"/>
                  <a:ea typeface="+mn-ea"/>
                  <a:cs typeface="+mn-cs"/>
                </a:rPr>
                <a:t>λ</a:t>
              </a:r>
              <a:r>
                <a:rPr lang="en-US" sz="1200" b="0" i="0">
                  <a:solidFill>
                    <a:schemeClr val="tx1"/>
                  </a:solidFill>
                  <a:effectLst/>
                  <a:latin typeface="Cambria Math" panose="02040503050406030204" pitchFamily="18" charset="0"/>
                  <a:ea typeface="+mn-ea"/>
                  <a:cs typeface="+mn-cs"/>
                </a:rPr>
                <a:t>_</a:t>
              </a:r>
              <a:r>
                <a:rPr lang="en-US" sz="1200" b="0" i="0">
                  <a:latin typeface="Cambria Math" panose="02040503050406030204" pitchFamily="18" charset="0"/>
                </a:rPr>
                <a:t>𝑗−1) 𝐷_(𝑖,𝑗−1)+(1−𝑍_𝑖𝑗 )(</a:t>
              </a:r>
              <a:r>
                <a:rPr lang="el-GR" sz="1200" b="0" i="0">
                  <a:solidFill>
                    <a:schemeClr val="tx1"/>
                  </a:solidFill>
                  <a:effectLst/>
                  <a:latin typeface="Cambria Math" panose="02040503050406030204" pitchFamily="18" charset="0"/>
                  <a:ea typeface="+mn-ea"/>
                  <a:cs typeface="+mn-cs"/>
                </a:rPr>
                <a:t>λ</a:t>
              </a:r>
              <a:r>
                <a:rPr lang="en-US" sz="1200" b="0" i="0">
                  <a:solidFill>
                    <a:schemeClr val="tx1"/>
                  </a:solidFill>
                  <a:effectLst/>
                  <a:latin typeface="Cambria Math" panose="02040503050406030204" pitchFamily="18" charset="0"/>
                  <a:ea typeface="+mn-ea"/>
                  <a:cs typeface="+mn-cs"/>
                </a:rPr>
                <a:t>_</a:t>
              </a:r>
              <a:r>
                <a:rPr lang="en-US" sz="1200" b="0" i="0">
                  <a:latin typeface="Cambria Math" panose="02040503050406030204" pitchFamily="18" charset="0"/>
                </a:rPr>
                <a:t>𝑗−1) 𝑀_𝑖  1/(</a:t>
              </a:r>
              <a:r>
                <a:rPr lang="el-GR" sz="1200" b="0" i="0">
                  <a:solidFill>
                    <a:schemeClr val="tx1"/>
                  </a:solidFill>
                  <a:effectLst/>
                  <a:latin typeface="Cambria Math" panose="02040503050406030204" pitchFamily="18" charset="0"/>
                  <a:ea typeface="+mn-ea"/>
                  <a:cs typeface="+mn-cs"/>
                </a:rPr>
                <a:t>λ</a:t>
              </a:r>
              <a:r>
                <a:rPr lang="en-US" sz="1200" b="0" i="0">
                  <a:solidFill>
                    <a:schemeClr val="tx1"/>
                  </a:solidFill>
                  <a:effectLst/>
                  <a:latin typeface="Cambria Math" panose="02040503050406030204" pitchFamily="18" charset="0"/>
                  <a:ea typeface="+mn-ea"/>
                  <a:cs typeface="+mn-cs"/>
                </a:rPr>
                <a:t>_</a:t>
              </a:r>
              <a:r>
                <a:rPr lang="en-US" sz="1200" b="0" i="0">
                  <a:latin typeface="Cambria Math" panose="02040503050406030204" pitchFamily="18" charset="0"/>
                </a:rPr>
                <a:t>𝑗 </a:t>
              </a:r>
              <a:r>
                <a:rPr lang="el-GR" sz="1200" b="0" i="0">
                  <a:solidFill>
                    <a:schemeClr val="tx1"/>
                  </a:solidFill>
                  <a:effectLst/>
                  <a:latin typeface="Cambria Math" panose="02040503050406030204" pitchFamily="18" charset="0"/>
                  <a:ea typeface="+mn-ea"/>
                  <a:cs typeface="+mn-cs"/>
                </a:rPr>
                <a:t>λ</a:t>
              </a:r>
              <a:r>
                <a:rPr lang="en-US" sz="1200" b="0" i="0">
                  <a:solidFill>
                    <a:schemeClr val="tx1"/>
                  </a:solidFill>
                  <a:effectLst/>
                  <a:latin typeface="Cambria Math" panose="02040503050406030204" pitchFamily="18" charset="0"/>
                  <a:ea typeface="+mn-ea"/>
                  <a:cs typeface="+mn-cs"/>
                </a:rPr>
                <a:t>_(</a:t>
              </a:r>
              <a:r>
                <a:rPr lang="en-US" sz="1200" b="0" i="0">
                  <a:latin typeface="Cambria Math" panose="02040503050406030204" pitchFamily="18" charset="0"/>
                </a:rPr>
                <a:t>𝑗+1)…</a:t>
              </a:r>
              <a:r>
                <a:rPr lang="el-GR" sz="1200" b="0" i="0">
                  <a:solidFill>
                    <a:schemeClr val="tx1"/>
                  </a:solidFill>
                  <a:effectLst/>
                  <a:latin typeface="Cambria Math" panose="02040503050406030204" pitchFamily="18" charset="0"/>
                  <a:ea typeface="+mn-ea"/>
                  <a:cs typeface="+mn-cs"/>
                </a:rPr>
                <a:t>λ</a:t>
              </a:r>
              <a:r>
                <a:rPr lang="en-US" sz="1200" b="0" i="0">
                  <a:solidFill>
                    <a:schemeClr val="tx1"/>
                  </a:solidFill>
                  <a:effectLst/>
                  <a:latin typeface="Cambria Math" panose="02040503050406030204" pitchFamily="18" charset="0"/>
                  <a:ea typeface="+mn-ea"/>
                  <a:cs typeface="+mn-cs"/>
                </a:rPr>
                <a:t>_</a:t>
              </a:r>
              <a:r>
                <a:rPr lang="en-US" sz="1200" b="0" i="0">
                  <a:latin typeface="Cambria Math" panose="02040503050406030204" pitchFamily="18" charset="0"/>
                </a:rPr>
                <a:t>𝑛 )</a:t>
              </a:r>
              <a:endParaRPr lang="en-US" sz="1200"/>
            </a:p>
          </xdr:txBody>
        </xdr:sp>
      </mc:Fallback>
    </mc:AlternateContent>
    <xdr:clientData/>
  </xdr:oneCellAnchor>
  <xdr:oneCellAnchor>
    <xdr:from>
      <xdr:col>2</xdr:col>
      <xdr:colOff>635000</xdr:colOff>
      <xdr:row>33</xdr:row>
      <xdr:rowOff>63500</xdr:rowOff>
    </xdr:from>
    <xdr:ext cx="1359988" cy="48686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876BF23-22DD-5648-B077-6C962B9DCD8D}"/>
                </a:ext>
              </a:extLst>
            </xdr:cNvPr>
            <xdr:cNvSpPr txBox="1"/>
          </xdr:nvSpPr>
          <xdr:spPr>
            <a:xfrm>
              <a:off x="2311400" y="6769100"/>
              <a:ext cx="1359988" cy="486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0" i="1">
                            <a:latin typeface="Cambria Math" panose="02040503050406030204" pitchFamily="18" charset="0"/>
                          </a:rPr>
                        </m:ctrlPr>
                      </m:sSubPr>
                      <m:e>
                        <m:r>
                          <a:rPr lang="en-US" sz="1200" b="0" i="1">
                            <a:latin typeface="Cambria Math" panose="02040503050406030204" pitchFamily="18" charset="0"/>
                          </a:rPr>
                          <m:t>𝑍</m:t>
                        </m:r>
                      </m:e>
                      <m:sub>
                        <m:r>
                          <a:rPr lang="en-US" sz="1200" b="0" i="1">
                            <a:latin typeface="Cambria Math" panose="02040503050406030204" pitchFamily="18" charset="0"/>
                          </a:rPr>
                          <m:t>𝑖𝑗</m:t>
                        </m:r>
                      </m:sub>
                    </m:sSub>
                    <m:r>
                      <a:rPr lang="en-US" sz="1200" b="0" i="1">
                        <a:latin typeface="Cambria Math" panose="02040503050406030204" pitchFamily="18" charset="0"/>
                      </a:rPr>
                      <m:t>=</m:t>
                    </m:r>
                    <m:f>
                      <m:fPr>
                        <m:ctrlPr>
                          <a:rPr lang="en-US" sz="1200" b="0" i="1">
                            <a:latin typeface="Cambria Math" panose="02040503050406030204" pitchFamily="18" charset="0"/>
                          </a:rPr>
                        </m:ctrlPr>
                      </m:fPr>
                      <m:num>
                        <m:nary>
                          <m:naryPr>
                            <m:chr m:val="∑"/>
                            <m:limLoc m:val="subSup"/>
                            <m:ctrlPr>
                              <a:rPr lang="en-US" sz="1200" b="0" i="1">
                                <a:latin typeface="Cambria Math" panose="02040503050406030204" pitchFamily="18" charset="0"/>
                              </a:rPr>
                            </m:ctrlPr>
                          </m:naryPr>
                          <m:sub>
                            <m:r>
                              <m:rPr>
                                <m:brk m:alnAt="25"/>
                              </m:rPr>
                              <a:rPr lang="en-US" sz="1200" b="0" i="1">
                                <a:latin typeface="Cambria Math" panose="02040503050406030204" pitchFamily="18" charset="0"/>
                              </a:rPr>
                              <m:t>𝑘</m:t>
                            </m:r>
                            <m:r>
                              <a:rPr lang="en-US" sz="1200" b="0" i="1">
                                <a:latin typeface="Cambria Math" panose="02040503050406030204" pitchFamily="18" charset="0"/>
                              </a:rPr>
                              <m:t>=1</m:t>
                            </m:r>
                          </m:sub>
                          <m:sup>
                            <m:r>
                              <a:rPr lang="en-US" sz="1200" b="0" i="1">
                                <a:latin typeface="Cambria Math" panose="02040503050406030204" pitchFamily="18" charset="0"/>
                              </a:rPr>
                              <m:t>𝑗</m:t>
                            </m:r>
                            <m:r>
                              <a:rPr lang="en-US" sz="1200" b="0" i="1">
                                <a:latin typeface="Cambria Math" panose="02040503050406030204" pitchFamily="18" charset="0"/>
                              </a:rPr>
                              <m:t>−1</m:t>
                            </m:r>
                          </m:sup>
                          <m:e>
                            <m:sSub>
                              <m:sSubPr>
                                <m:ctrlPr>
                                  <a:rPr lang="en-US" sz="1200" b="0" i="1">
                                    <a:latin typeface="Cambria Math" panose="02040503050406030204" pitchFamily="18" charset="0"/>
                                  </a:rPr>
                                </m:ctrlPr>
                              </m:sSubPr>
                              <m:e>
                                <m:r>
                                  <a:rPr lang="en-US" sz="1200" b="0" i="1">
                                    <a:latin typeface="Cambria Math" panose="02040503050406030204" pitchFamily="18" charset="0"/>
                                  </a:rPr>
                                  <m:t>𝑦</m:t>
                                </m:r>
                              </m:e>
                              <m:sub>
                                <m:r>
                                  <a:rPr lang="en-US" sz="1200" b="0" i="1">
                                    <a:latin typeface="Cambria Math" panose="02040503050406030204" pitchFamily="18" charset="0"/>
                                  </a:rPr>
                                  <m:t>𝑘</m:t>
                                </m:r>
                              </m:sub>
                            </m:sSub>
                          </m:e>
                        </m:nary>
                      </m:num>
                      <m:den>
                        <m:sSub>
                          <m:sSubPr>
                            <m:ctrlPr>
                              <a:rPr lang="en-US" sz="1200" b="0" i="1">
                                <a:latin typeface="Cambria Math" panose="02040503050406030204" pitchFamily="18" charset="0"/>
                              </a:rPr>
                            </m:ctrlPr>
                          </m:sSubPr>
                          <m:e>
                            <m:r>
                              <a:rPr lang="en-US" sz="1200" b="0" i="1">
                                <a:latin typeface="Cambria Math" panose="02040503050406030204" pitchFamily="18" charset="0"/>
                              </a:rPr>
                              <m:t>𝛽</m:t>
                            </m:r>
                          </m:e>
                          <m:sub>
                            <m:r>
                              <a:rPr lang="en-US" sz="1200" b="0" i="1">
                                <a:latin typeface="Cambria Math" panose="02040503050406030204" pitchFamily="18" charset="0"/>
                              </a:rPr>
                              <m:t>𝑖</m:t>
                            </m:r>
                          </m:sub>
                        </m:sSub>
                        <m:r>
                          <a:rPr lang="en-US" sz="1200" b="0" i="1">
                            <a:latin typeface="Cambria Math" panose="02040503050406030204" pitchFamily="18" charset="0"/>
                          </a:rPr>
                          <m:t>𝜑</m:t>
                        </m:r>
                        <m:r>
                          <a:rPr lang="en-US" sz="1200" b="0" i="1">
                            <a:latin typeface="Cambria Math" panose="02040503050406030204" pitchFamily="18" charset="0"/>
                          </a:rPr>
                          <m:t>+</m:t>
                        </m:r>
                        <m:nary>
                          <m:naryPr>
                            <m:chr m:val="∑"/>
                            <m:limLoc m:val="subSup"/>
                            <m:ctrlPr>
                              <a:rPr lang="en-US" sz="1200" b="0" i="1">
                                <a:latin typeface="Cambria Math" panose="02040503050406030204" pitchFamily="18" charset="0"/>
                              </a:rPr>
                            </m:ctrlPr>
                          </m:naryPr>
                          <m:sub>
                            <m:r>
                              <m:rPr>
                                <m:brk m:alnAt="25"/>
                              </m:rPr>
                              <a:rPr lang="en-US" sz="1200" b="0" i="1">
                                <a:latin typeface="Cambria Math" panose="02040503050406030204" pitchFamily="18" charset="0"/>
                              </a:rPr>
                              <m:t>𝑘</m:t>
                            </m:r>
                            <m:r>
                              <a:rPr lang="en-US" sz="1200" b="0" i="1">
                                <a:latin typeface="Cambria Math" panose="02040503050406030204" pitchFamily="18" charset="0"/>
                              </a:rPr>
                              <m:t>=1</m:t>
                            </m:r>
                          </m:sub>
                          <m:sup>
                            <m:r>
                              <a:rPr lang="en-US" sz="1200" b="0" i="1">
                                <a:latin typeface="Cambria Math" panose="02040503050406030204" pitchFamily="18" charset="0"/>
                              </a:rPr>
                              <m:t>𝑗</m:t>
                            </m:r>
                            <m:r>
                              <a:rPr lang="en-US" sz="1200" b="0" i="1">
                                <a:latin typeface="Cambria Math" panose="02040503050406030204" pitchFamily="18" charset="0"/>
                              </a:rPr>
                              <m:t>−1</m:t>
                            </m:r>
                          </m:sup>
                          <m:e>
                            <m:sSub>
                              <m:sSubPr>
                                <m:ctrlPr>
                                  <a:rPr lang="en-US" sz="1200" b="0" i="1">
                                    <a:latin typeface="Cambria Math" panose="02040503050406030204" pitchFamily="18" charset="0"/>
                                  </a:rPr>
                                </m:ctrlPr>
                              </m:sSubPr>
                              <m:e>
                                <m:r>
                                  <a:rPr lang="en-US" sz="1200" b="0" i="1">
                                    <a:latin typeface="Cambria Math" panose="02040503050406030204" pitchFamily="18" charset="0"/>
                                  </a:rPr>
                                  <m:t>𝑦</m:t>
                                </m:r>
                              </m:e>
                              <m:sub>
                                <m:r>
                                  <a:rPr lang="en-US" sz="1200" b="0" i="1">
                                    <a:latin typeface="Cambria Math" panose="02040503050406030204" pitchFamily="18" charset="0"/>
                                  </a:rPr>
                                  <m:t>𝑘</m:t>
                                </m:r>
                              </m:sub>
                            </m:sSub>
                          </m:e>
                        </m:nary>
                      </m:den>
                    </m:f>
                  </m:oMath>
                </m:oMathPara>
              </a14:m>
              <a:endParaRPr lang="en-US" sz="1200"/>
            </a:p>
          </xdr:txBody>
        </xdr:sp>
      </mc:Choice>
      <mc:Fallback xmlns="">
        <xdr:sp macro="" textlink="">
          <xdr:nvSpPr>
            <xdr:cNvPr id="3" name="TextBox 2">
              <a:extLst>
                <a:ext uri="{FF2B5EF4-FFF2-40B4-BE49-F238E27FC236}">
                  <a16:creationId xmlns:a16="http://schemas.microsoft.com/office/drawing/2014/main" id="{8876BF23-22DD-5648-B077-6C962B9DCD8D}"/>
                </a:ext>
              </a:extLst>
            </xdr:cNvPr>
            <xdr:cNvSpPr txBox="1"/>
          </xdr:nvSpPr>
          <xdr:spPr>
            <a:xfrm>
              <a:off x="2311400" y="6769100"/>
              <a:ext cx="1359988" cy="486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𝑍_𝑖𝑗=(∑2_(𝑘=1)^(𝑗−1)▒𝑦_𝑘 )/(𝛽_𝑖 𝜑+∑2_(𝑘=1)^(𝑗−1)▒𝑦_𝑘 )</a:t>
              </a:r>
              <a:endParaRPr lang="en-US" sz="12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203200</xdr:colOff>
          <xdr:row>13</xdr:row>
          <xdr:rowOff>76200</xdr:rowOff>
        </xdr:from>
        <xdr:to>
          <xdr:col>12</xdr:col>
          <xdr:colOff>406400</xdr:colOff>
          <xdr:row>15</xdr:row>
          <xdr:rowOff>76200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10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317500</xdr:colOff>
      <xdr:row>26</xdr:row>
      <xdr:rowOff>101600</xdr:rowOff>
    </xdr:from>
    <xdr:ext cx="3148682" cy="36574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0FA00F7-D69A-3440-8A7B-A923F8E1D762}"/>
                </a:ext>
              </a:extLst>
            </xdr:cNvPr>
            <xdr:cNvSpPr txBox="1"/>
          </xdr:nvSpPr>
          <xdr:spPr>
            <a:xfrm>
              <a:off x="1993900" y="5384800"/>
              <a:ext cx="3148682" cy="36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𝑍</m:t>
                        </m:r>
                      </m:e>
                      <m:sub>
                        <m:r>
                          <a:rPr lang="en-US" sz="1100" b="0" i="1">
                            <a:latin typeface="Cambria Math" panose="02040503050406030204" pitchFamily="18" charset="0"/>
                          </a:rPr>
                          <m:t>𝑖𝑗</m:t>
                        </m:r>
                      </m:sub>
                    </m:sSub>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𝑗</m:t>
                            </m:r>
                          </m:sub>
                        </m:sSub>
                        <m:r>
                          <a:rPr lang="en-US" sz="1100" b="0" i="1">
                            <a:latin typeface="Cambria Math" panose="02040503050406030204" pitchFamily="18" charset="0"/>
                          </a:rPr>
                          <m:t>−1</m:t>
                        </m:r>
                      </m:e>
                    </m:d>
                    <m:sSub>
                      <m:sSubPr>
                        <m:ctrlPr>
                          <a:rPr lang="en-US" sz="1100" b="0" i="1">
                            <a:latin typeface="Cambria Math" panose="02040503050406030204" pitchFamily="18" charset="0"/>
                          </a:rPr>
                        </m:ctrlPr>
                      </m:sSubPr>
                      <m:e>
                        <m:r>
                          <a:rPr lang="en-US" sz="1100" b="0" i="1">
                            <a:latin typeface="Cambria Math" panose="02040503050406030204" pitchFamily="18" charset="0"/>
                          </a:rPr>
                          <m:t>𝐷</m:t>
                        </m:r>
                      </m:e>
                      <m:sub>
                        <m:r>
                          <a:rPr lang="en-US" sz="1100" b="0" i="1">
                            <a:latin typeface="Cambria Math" panose="02040503050406030204" pitchFamily="18" charset="0"/>
                          </a:rPr>
                          <m:t>𝑖</m:t>
                        </m:r>
                        <m:r>
                          <a:rPr lang="en-US" sz="1100" b="0" i="1">
                            <a:latin typeface="Cambria Math" panose="02040503050406030204" pitchFamily="18" charset="0"/>
                          </a:rPr>
                          <m:t>,</m:t>
                        </m:r>
                        <m:r>
                          <a:rPr lang="en-US" sz="1100" b="0" i="1">
                            <a:latin typeface="Cambria Math" panose="02040503050406030204" pitchFamily="18" charset="0"/>
                          </a:rPr>
                          <m:t>𝑗</m:t>
                        </m:r>
                        <m:r>
                          <a:rPr lang="en-US" sz="1100" b="0" i="1">
                            <a:latin typeface="Cambria Math" panose="02040503050406030204" pitchFamily="18" charset="0"/>
                          </a:rPr>
                          <m:t>−1</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𝑍</m:t>
                            </m:r>
                          </m:e>
                          <m:sub>
                            <m:r>
                              <a:rPr lang="en-US" sz="1100" b="0" i="1">
                                <a:latin typeface="Cambria Math" panose="02040503050406030204" pitchFamily="18" charset="0"/>
                              </a:rPr>
                              <m:t>𝑖𝑗</m:t>
                            </m:r>
                          </m:sub>
                        </m:sSub>
                      </m:e>
                    </m:d>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𝑗</m:t>
                            </m:r>
                          </m:sub>
                        </m:sSub>
                        <m:r>
                          <a:rPr lang="en-US" sz="1100" b="0" i="1">
                            <a:latin typeface="Cambria Math" panose="02040503050406030204" pitchFamily="18" charset="0"/>
                          </a:rPr>
                          <m:t>−1</m:t>
                        </m:r>
                      </m:e>
                    </m:d>
                    <m:sSub>
                      <m:sSubPr>
                        <m:ctrlPr>
                          <a:rPr lang="en-US" sz="1100" b="0" i="1">
                            <a:latin typeface="Cambria Math" panose="02040503050406030204" pitchFamily="18" charset="0"/>
                          </a:rPr>
                        </m:ctrlPr>
                      </m:sSubPr>
                      <m:e>
                        <m:r>
                          <a:rPr lang="en-US" sz="1100" b="0" i="1">
                            <a:latin typeface="Cambria Math" panose="02040503050406030204" pitchFamily="18" charset="0"/>
                          </a:rPr>
                          <m:t>𝑀</m:t>
                        </m:r>
                      </m:e>
                      <m:sub>
                        <m:r>
                          <a:rPr lang="en-US" sz="1100" b="0" i="1">
                            <a:latin typeface="Cambria Math" panose="02040503050406030204" pitchFamily="18" charset="0"/>
                          </a:rPr>
                          <m:t>𝑖</m:t>
                        </m:r>
                      </m:sub>
                    </m:sSub>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𝑗</m:t>
                            </m:r>
                          </m:sub>
                        </m:sSub>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𝑗</m:t>
                            </m:r>
                            <m:r>
                              <a:rPr lang="en-US" sz="1100" b="0" i="1">
                                <a:latin typeface="Cambria Math" panose="02040503050406030204" pitchFamily="18" charset="0"/>
                              </a:rPr>
                              <m:t>+1</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𝑛</m:t>
                            </m:r>
                          </m:sub>
                        </m:sSub>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F0FA00F7-D69A-3440-8A7B-A923F8E1D762}"/>
                </a:ext>
              </a:extLst>
            </xdr:cNvPr>
            <xdr:cNvSpPr txBox="1"/>
          </xdr:nvSpPr>
          <xdr:spPr>
            <a:xfrm>
              <a:off x="1993900" y="5384800"/>
              <a:ext cx="3148682" cy="36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𝑍_𝑖𝑗 (</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𝑗−1) 𝐷_(𝑖,𝑗−1)+(1−𝑍_𝑖𝑗 )(</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𝑗−1) 𝑀_𝑖  1/(</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𝑗 </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𝑗+1)…</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𝑛 )</a:t>
              </a:r>
              <a:endParaRPr lang="en-US" sz="1100"/>
            </a:p>
          </xdr:txBody>
        </xdr:sp>
      </mc:Fallback>
    </mc:AlternateContent>
    <xdr:clientData/>
  </xdr:oneCellAnchor>
  <xdr:oneCellAnchor>
    <xdr:from>
      <xdr:col>6</xdr:col>
      <xdr:colOff>622300</xdr:colOff>
      <xdr:row>26</xdr:row>
      <xdr:rowOff>76200</xdr:rowOff>
    </xdr:from>
    <xdr:ext cx="1246623" cy="44640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983B46D-4976-8D4E-8ECE-E83D33A5058E}"/>
                </a:ext>
              </a:extLst>
            </xdr:cNvPr>
            <xdr:cNvSpPr txBox="1"/>
          </xdr:nvSpPr>
          <xdr:spPr>
            <a:xfrm>
              <a:off x="5651500" y="5359400"/>
              <a:ext cx="1246623"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𝑍</m:t>
                        </m:r>
                      </m:e>
                      <m:sub>
                        <m:r>
                          <a:rPr lang="en-US" sz="1100" b="0" i="1">
                            <a:latin typeface="Cambria Math" panose="02040503050406030204" pitchFamily="18" charset="0"/>
                          </a:rPr>
                          <m:t>𝑖𝑗</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nary>
                          <m:naryPr>
                            <m:chr m:val="∑"/>
                            <m:limLoc m:val="subSup"/>
                            <m:ctrlPr>
                              <a:rPr lang="en-US" sz="1100" b="0" i="1">
                                <a:latin typeface="Cambria Math" panose="02040503050406030204" pitchFamily="18" charset="0"/>
                              </a:rPr>
                            </m:ctrlPr>
                          </m:naryPr>
                          <m:sub>
                            <m:r>
                              <m:rPr>
                                <m:brk m:alnAt="25"/>
                              </m:rPr>
                              <a:rPr lang="en-US" sz="1100" b="0" i="1">
                                <a:latin typeface="Cambria Math" panose="02040503050406030204" pitchFamily="18" charset="0"/>
                              </a:rPr>
                              <m:t>𝑘</m:t>
                            </m:r>
                            <m:r>
                              <a:rPr lang="en-US" sz="1100" b="0" i="1">
                                <a:latin typeface="Cambria Math" panose="02040503050406030204" pitchFamily="18" charset="0"/>
                              </a:rPr>
                              <m:t>=1</m:t>
                            </m:r>
                          </m:sub>
                          <m:sup>
                            <m:r>
                              <a:rPr lang="en-US" sz="1100" b="0" i="1">
                                <a:latin typeface="Cambria Math" panose="02040503050406030204" pitchFamily="18" charset="0"/>
                              </a:rPr>
                              <m:t>𝑗</m:t>
                            </m:r>
                            <m:r>
                              <a:rPr lang="en-US" sz="1100" b="0" i="1">
                                <a:latin typeface="Cambria Math" panose="02040503050406030204" pitchFamily="18" charset="0"/>
                              </a:rPr>
                              <m:t>−1</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𝑘</m:t>
                                </m:r>
                              </m:sub>
                            </m:sSub>
                          </m:e>
                        </m:nary>
                      </m:num>
                      <m:den>
                        <m:sSub>
                          <m:sSubPr>
                            <m:ctrlPr>
                              <a:rPr lang="en-US" sz="1100" b="0" i="1">
                                <a:latin typeface="Cambria Math" panose="02040503050406030204" pitchFamily="18" charset="0"/>
                              </a:rPr>
                            </m:ctrlPr>
                          </m:sSubPr>
                          <m:e>
                            <m:r>
                              <a:rPr lang="en-US" sz="1100" b="0" i="1">
                                <a:latin typeface="Cambria Math" panose="02040503050406030204" pitchFamily="18" charset="0"/>
                              </a:rPr>
                              <m:t>𝛽</m:t>
                            </m:r>
                          </m:e>
                          <m:sub>
                            <m:r>
                              <a:rPr lang="en-US" sz="1100" b="0" i="1">
                                <a:latin typeface="Cambria Math" panose="02040503050406030204" pitchFamily="18" charset="0"/>
                              </a:rPr>
                              <m:t>𝑖</m:t>
                            </m:r>
                          </m:sub>
                        </m:sSub>
                        <m:r>
                          <a:rPr lang="en-US" sz="1100" b="0" i="1">
                            <a:latin typeface="Cambria Math" panose="02040503050406030204" pitchFamily="18" charset="0"/>
                          </a:rPr>
                          <m:t>𝜑</m:t>
                        </m:r>
                        <m:r>
                          <a:rPr lang="en-US" sz="1100" b="0" i="1">
                            <a:latin typeface="Cambria Math" panose="02040503050406030204" pitchFamily="18" charset="0"/>
                          </a:rPr>
                          <m:t>+</m:t>
                        </m:r>
                        <m:nary>
                          <m:naryPr>
                            <m:chr m:val="∑"/>
                            <m:limLoc m:val="subSup"/>
                            <m:ctrlPr>
                              <a:rPr lang="en-US" sz="1100" b="0" i="1">
                                <a:latin typeface="Cambria Math" panose="02040503050406030204" pitchFamily="18" charset="0"/>
                              </a:rPr>
                            </m:ctrlPr>
                          </m:naryPr>
                          <m:sub>
                            <m:r>
                              <m:rPr>
                                <m:brk m:alnAt="25"/>
                              </m:rPr>
                              <a:rPr lang="en-US" sz="1100" b="0" i="1">
                                <a:latin typeface="Cambria Math" panose="02040503050406030204" pitchFamily="18" charset="0"/>
                              </a:rPr>
                              <m:t>𝑘</m:t>
                            </m:r>
                            <m:r>
                              <a:rPr lang="en-US" sz="1100" b="0" i="1">
                                <a:latin typeface="Cambria Math" panose="02040503050406030204" pitchFamily="18" charset="0"/>
                              </a:rPr>
                              <m:t>=1</m:t>
                            </m:r>
                          </m:sub>
                          <m:sup>
                            <m:r>
                              <a:rPr lang="en-US" sz="1100" b="0" i="1">
                                <a:latin typeface="Cambria Math" panose="02040503050406030204" pitchFamily="18" charset="0"/>
                              </a:rPr>
                              <m:t>𝑗</m:t>
                            </m:r>
                            <m:r>
                              <a:rPr lang="en-US" sz="1100" b="0" i="1">
                                <a:latin typeface="Cambria Math" panose="02040503050406030204" pitchFamily="18" charset="0"/>
                              </a:rPr>
                              <m:t>−1</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𝑘</m:t>
                                </m:r>
                              </m:sub>
                            </m:sSub>
                          </m:e>
                        </m:nary>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B983B46D-4976-8D4E-8ECE-E83D33A5058E}"/>
                </a:ext>
              </a:extLst>
            </xdr:cNvPr>
            <xdr:cNvSpPr txBox="1"/>
          </xdr:nvSpPr>
          <xdr:spPr>
            <a:xfrm>
              <a:off x="5651500" y="5359400"/>
              <a:ext cx="1246623"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𝑍_𝑖𝑗=(∑2_(𝑘=1)^(𝑗−1)▒𝑦_𝑘 )/(𝛽_𝑖 𝜑+∑2_(𝑘=1)^(𝑗−1)▒𝑦_𝑘 )</a:t>
              </a:r>
              <a:endParaRPr lang="en-US"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317500</xdr:colOff>
      <xdr:row>30</xdr:row>
      <xdr:rowOff>101600</xdr:rowOff>
    </xdr:from>
    <xdr:ext cx="3148682" cy="36574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2F2799A-49FA-9C4A-945C-7EEF9342E7F2}"/>
                </a:ext>
              </a:extLst>
            </xdr:cNvPr>
            <xdr:cNvSpPr txBox="1"/>
          </xdr:nvSpPr>
          <xdr:spPr>
            <a:xfrm>
              <a:off x="1993900" y="6197600"/>
              <a:ext cx="3148682" cy="36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𝑍</m:t>
                        </m:r>
                      </m:e>
                      <m:sub>
                        <m:r>
                          <a:rPr lang="en-US" sz="1100" b="0" i="1">
                            <a:latin typeface="Cambria Math" panose="02040503050406030204" pitchFamily="18" charset="0"/>
                          </a:rPr>
                          <m:t>𝑖𝑗</m:t>
                        </m:r>
                      </m:sub>
                    </m:sSub>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𝑗</m:t>
                            </m:r>
                          </m:sub>
                        </m:sSub>
                        <m:r>
                          <a:rPr lang="en-US" sz="1100" b="0" i="1">
                            <a:latin typeface="Cambria Math" panose="02040503050406030204" pitchFamily="18" charset="0"/>
                          </a:rPr>
                          <m:t>−1</m:t>
                        </m:r>
                      </m:e>
                    </m:d>
                    <m:sSub>
                      <m:sSubPr>
                        <m:ctrlPr>
                          <a:rPr lang="en-US" sz="1100" b="0" i="1">
                            <a:latin typeface="Cambria Math" panose="02040503050406030204" pitchFamily="18" charset="0"/>
                          </a:rPr>
                        </m:ctrlPr>
                      </m:sSubPr>
                      <m:e>
                        <m:r>
                          <a:rPr lang="en-US" sz="1100" b="0" i="1">
                            <a:latin typeface="Cambria Math" panose="02040503050406030204" pitchFamily="18" charset="0"/>
                          </a:rPr>
                          <m:t>𝐷</m:t>
                        </m:r>
                      </m:e>
                      <m:sub>
                        <m:r>
                          <a:rPr lang="en-US" sz="1100" b="0" i="1">
                            <a:latin typeface="Cambria Math" panose="02040503050406030204" pitchFamily="18" charset="0"/>
                          </a:rPr>
                          <m:t>𝑖</m:t>
                        </m:r>
                        <m:r>
                          <a:rPr lang="en-US" sz="1100" b="0" i="1">
                            <a:latin typeface="Cambria Math" panose="02040503050406030204" pitchFamily="18" charset="0"/>
                          </a:rPr>
                          <m:t>,</m:t>
                        </m:r>
                        <m:r>
                          <a:rPr lang="en-US" sz="1100" b="0" i="1">
                            <a:latin typeface="Cambria Math" panose="02040503050406030204" pitchFamily="18" charset="0"/>
                          </a:rPr>
                          <m:t>𝑗</m:t>
                        </m:r>
                        <m:r>
                          <a:rPr lang="en-US" sz="1100" b="0" i="1">
                            <a:latin typeface="Cambria Math" panose="02040503050406030204" pitchFamily="18" charset="0"/>
                          </a:rPr>
                          <m:t>−1</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𝑍</m:t>
                            </m:r>
                          </m:e>
                          <m:sub>
                            <m:r>
                              <a:rPr lang="en-US" sz="1100" b="0" i="1">
                                <a:latin typeface="Cambria Math" panose="02040503050406030204" pitchFamily="18" charset="0"/>
                              </a:rPr>
                              <m:t>𝑖𝑗</m:t>
                            </m:r>
                          </m:sub>
                        </m:sSub>
                      </m:e>
                    </m:d>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𝑗</m:t>
                            </m:r>
                          </m:sub>
                        </m:sSub>
                        <m:r>
                          <a:rPr lang="en-US" sz="1100" b="0" i="1">
                            <a:latin typeface="Cambria Math" panose="02040503050406030204" pitchFamily="18" charset="0"/>
                          </a:rPr>
                          <m:t>−1</m:t>
                        </m:r>
                      </m:e>
                    </m:d>
                    <m:sSub>
                      <m:sSubPr>
                        <m:ctrlPr>
                          <a:rPr lang="en-US" sz="1100" b="0" i="1">
                            <a:latin typeface="Cambria Math" panose="02040503050406030204" pitchFamily="18" charset="0"/>
                          </a:rPr>
                        </m:ctrlPr>
                      </m:sSubPr>
                      <m:e>
                        <m:r>
                          <a:rPr lang="en-US" sz="1100" b="0" i="1">
                            <a:latin typeface="Cambria Math" panose="02040503050406030204" pitchFamily="18" charset="0"/>
                          </a:rPr>
                          <m:t>𝑀</m:t>
                        </m:r>
                      </m:e>
                      <m:sub>
                        <m:r>
                          <a:rPr lang="en-US" sz="1100" b="0" i="1">
                            <a:latin typeface="Cambria Math" panose="02040503050406030204" pitchFamily="18" charset="0"/>
                          </a:rPr>
                          <m:t>𝑖</m:t>
                        </m:r>
                      </m:sub>
                    </m:sSub>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𝑗</m:t>
                            </m:r>
                          </m:sub>
                        </m:sSub>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𝑗</m:t>
                            </m:r>
                            <m:r>
                              <a:rPr lang="en-US" sz="1100" b="0" i="1">
                                <a:latin typeface="Cambria Math" panose="02040503050406030204" pitchFamily="18" charset="0"/>
                              </a:rPr>
                              <m:t>+1</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𝜆</m:t>
                            </m:r>
                          </m:e>
                          <m:sub>
                            <m:r>
                              <a:rPr lang="en-US" sz="1100" b="0" i="1">
                                <a:latin typeface="Cambria Math" panose="02040503050406030204" pitchFamily="18" charset="0"/>
                              </a:rPr>
                              <m:t>𝑛</m:t>
                            </m:r>
                          </m:sub>
                        </m:sSub>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62F2799A-49FA-9C4A-945C-7EEF9342E7F2}"/>
                </a:ext>
              </a:extLst>
            </xdr:cNvPr>
            <xdr:cNvSpPr txBox="1"/>
          </xdr:nvSpPr>
          <xdr:spPr>
            <a:xfrm>
              <a:off x="1993900" y="6197600"/>
              <a:ext cx="3148682" cy="36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𝑍_𝑖𝑗 (</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𝑗−1) 𝐷_(𝑖,𝑗−1)+(1−𝑍_𝑖𝑗 )(</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𝑗−1) 𝑀_𝑖  1/(</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𝑗 </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𝑗+1)…</a:t>
              </a:r>
              <a:r>
                <a:rPr lang="en-US" sz="1100" b="0" i="0">
                  <a:latin typeface="Cambria Math" panose="02040503050406030204" pitchFamily="18" charset="0"/>
                  <a:ea typeface="Cambria Math" panose="02040503050406030204" pitchFamily="18" charset="0"/>
                </a:rPr>
                <a:t>𝜆_</a:t>
              </a:r>
              <a:r>
                <a:rPr lang="en-US" sz="1100" b="0" i="0">
                  <a:latin typeface="Cambria Math" panose="02040503050406030204" pitchFamily="18" charset="0"/>
                </a:rPr>
                <a:t>𝑛 )</a:t>
              </a:r>
              <a:endParaRPr lang="en-US" sz="1100"/>
            </a:p>
          </xdr:txBody>
        </xdr:sp>
      </mc:Fallback>
    </mc:AlternateContent>
    <xdr:clientData/>
  </xdr:oneCellAnchor>
  <xdr:oneCellAnchor>
    <xdr:from>
      <xdr:col>6</xdr:col>
      <xdr:colOff>622300</xdr:colOff>
      <xdr:row>30</xdr:row>
      <xdr:rowOff>76200</xdr:rowOff>
    </xdr:from>
    <xdr:ext cx="1246623" cy="44640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F215403-A057-CD4F-99B1-B008E1A834F2}"/>
                </a:ext>
              </a:extLst>
            </xdr:cNvPr>
            <xdr:cNvSpPr txBox="1"/>
          </xdr:nvSpPr>
          <xdr:spPr>
            <a:xfrm>
              <a:off x="5651500" y="6172200"/>
              <a:ext cx="1246623"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𝑍</m:t>
                        </m:r>
                      </m:e>
                      <m:sub>
                        <m:r>
                          <a:rPr lang="en-US" sz="1100" b="0" i="1">
                            <a:latin typeface="Cambria Math" panose="02040503050406030204" pitchFamily="18" charset="0"/>
                          </a:rPr>
                          <m:t>𝑖𝑗</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nary>
                          <m:naryPr>
                            <m:chr m:val="∑"/>
                            <m:limLoc m:val="subSup"/>
                            <m:ctrlPr>
                              <a:rPr lang="en-US" sz="1100" b="0" i="1">
                                <a:latin typeface="Cambria Math" panose="02040503050406030204" pitchFamily="18" charset="0"/>
                              </a:rPr>
                            </m:ctrlPr>
                          </m:naryPr>
                          <m:sub>
                            <m:r>
                              <m:rPr>
                                <m:brk m:alnAt="25"/>
                              </m:rPr>
                              <a:rPr lang="en-US" sz="1100" b="0" i="1">
                                <a:latin typeface="Cambria Math" panose="02040503050406030204" pitchFamily="18" charset="0"/>
                              </a:rPr>
                              <m:t>𝑘</m:t>
                            </m:r>
                            <m:r>
                              <a:rPr lang="en-US" sz="1100" b="0" i="1">
                                <a:latin typeface="Cambria Math" panose="02040503050406030204" pitchFamily="18" charset="0"/>
                              </a:rPr>
                              <m:t>=1</m:t>
                            </m:r>
                          </m:sub>
                          <m:sup>
                            <m:r>
                              <a:rPr lang="en-US" sz="1100" b="0" i="1">
                                <a:latin typeface="Cambria Math" panose="02040503050406030204" pitchFamily="18" charset="0"/>
                              </a:rPr>
                              <m:t>𝑗</m:t>
                            </m:r>
                            <m:r>
                              <a:rPr lang="en-US" sz="1100" b="0" i="1">
                                <a:latin typeface="Cambria Math" panose="02040503050406030204" pitchFamily="18" charset="0"/>
                              </a:rPr>
                              <m:t>−1</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𝑘</m:t>
                                </m:r>
                              </m:sub>
                            </m:sSub>
                          </m:e>
                        </m:nary>
                      </m:num>
                      <m:den>
                        <m:sSub>
                          <m:sSubPr>
                            <m:ctrlPr>
                              <a:rPr lang="en-US" sz="1100" b="0" i="1">
                                <a:latin typeface="Cambria Math" panose="02040503050406030204" pitchFamily="18" charset="0"/>
                              </a:rPr>
                            </m:ctrlPr>
                          </m:sSubPr>
                          <m:e>
                            <m:r>
                              <a:rPr lang="en-US" sz="1100" b="0" i="1">
                                <a:latin typeface="Cambria Math" panose="02040503050406030204" pitchFamily="18" charset="0"/>
                              </a:rPr>
                              <m:t>𝛽</m:t>
                            </m:r>
                          </m:e>
                          <m:sub>
                            <m:r>
                              <a:rPr lang="en-US" sz="1100" b="0" i="1">
                                <a:latin typeface="Cambria Math" panose="02040503050406030204" pitchFamily="18" charset="0"/>
                              </a:rPr>
                              <m:t>𝑖</m:t>
                            </m:r>
                          </m:sub>
                        </m:sSub>
                        <m:r>
                          <a:rPr lang="en-US" sz="1100" b="0" i="1">
                            <a:latin typeface="Cambria Math" panose="02040503050406030204" pitchFamily="18" charset="0"/>
                          </a:rPr>
                          <m:t>𝜑</m:t>
                        </m:r>
                        <m:r>
                          <a:rPr lang="en-US" sz="1100" b="0" i="1">
                            <a:latin typeface="Cambria Math" panose="02040503050406030204" pitchFamily="18" charset="0"/>
                          </a:rPr>
                          <m:t>+</m:t>
                        </m:r>
                        <m:nary>
                          <m:naryPr>
                            <m:chr m:val="∑"/>
                            <m:limLoc m:val="subSup"/>
                            <m:ctrlPr>
                              <a:rPr lang="en-US" sz="1100" b="0" i="1">
                                <a:latin typeface="Cambria Math" panose="02040503050406030204" pitchFamily="18" charset="0"/>
                              </a:rPr>
                            </m:ctrlPr>
                          </m:naryPr>
                          <m:sub>
                            <m:r>
                              <m:rPr>
                                <m:brk m:alnAt="25"/>
                              </m:rPr>
                              <a:rPr lang="en-US" sz="1100" b="0" i="1">
                                <a:latin typeface="Cambria Math" panose="02040503050406030204" pitchFamily="18" charset="0"/>
                              </a:rPr>
                              <m:t>𝑘</m:t>
                            </m:r>
                            <m:r>
                              <a:rPr lang="en-US" sz="1100" b="0" i="1">
                                <a:latin typeface="Cambria Math" panose="02040503050406030204" pitchFamily="18" charset="0"/>
                              </a:rPr>
                              <m:t>=1</m:t>
                            </m:r>
                          </m:sub>
                          <m:sup>
                            <m:r>
                              <a:rPr lang="en-US" sz="1100" b="0" i="1">
                                <a:latin typeface="Cambria Math" panose="02040503050406030204" pitchFamily="18" charset="0"/>
                              </a:rPr>
                              <m:t>𝑗</m:t>
                            </m:r>
                            <m:r>
                              <a:rPr lang="en-US" sz="1100" b="0" i="1">
                                <a:latin typeface="Cambria Math" panose="02040503050406030204" pitchFamily="18" charset="0"/>
                              </a:rPr>
                              <m:t>−1</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𝑘</m:t>
                                </m:r>
                              </m:sub>
                            </m:sSub>
                          </m:e>
                        </m:nary>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0F215403-A057-CD4F-99B1-B008E1A834F2}"/>
                </a:ext>
              </a:extLst>
            </xdr:cNvPr>
            <xdr:cNvSpPr txBox="1"/>
          </xdr:nvSpPr>
          <xdr:spPr>
            <a:xfrm>
              <a:off x="5651500" y="6172200"/>
              <a:ext cx="1246623"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𝑍_𝑖𝑗=(∑2_(𝑘=1)^(𝑗−1)▒𝑦_𝑘 )/(𝛽_𝑖 𝜑+∑2_(𝑘=1)^(𝑗−1)▒𝑦_𝑘 )</a:t>
              </a:r>
              <a:endParaRPr lang="en-US"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twoCellAnchor>
    <xdr:from>
      <xdr:col>11</xdr:col>
      <xdr:colOff>190500</xdr:colOff>
      <xdr:row>16</xdr:row>
      <xdr:rowOff>25400</xdr:rowOff>
    </xdr:from>
    <xdr:to>
      <xdr:col>16</xdr:col>
      <xdr:colOff>14817</xdr:colOff>
      <xdr:row>17</xdr:row>
      <xdr:rowOff>80211</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833FA3AE-532D-3242-B4C9-63B89B05DC3B}"/>
                </a:ext>
              </a:extLst>
            </xdr:cNvPr>
            <xdr:cNvSpPr txBox="1"/>
          </xdr:nvSpPr>
          <xdr:spPr>
            <a:xfrm>
              <a:off x="9105900" y="3302000"/>
              <a:ext cx="4370917"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1">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𝑤</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𝑤</m:t>
                        </m:r>
                      </m:sub>
                    </m:sSub>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r>
                      <a:rPr lang="en-US" sz="1100" b="0" i="0">
                        <a:latin typeface="Cambria Math" panose="02040503050406030204" pitchFamily="18" charset="0"/>
                        <a:ea typeface="Cambria Math" panose="02040503050406030204" pitchFamily="18" charset="0"/>
                      </a:rPr>
                      <m:t>+</m:t>
                    </m:r>
                    <m:r>
                      <a:rPr lang="el-GR" sz="1100" b="0" i="1">
                        <a:latin typeface="Cambria Math" panose="02040503050406030204" pitchFamily="18" charset="0"/>
                        <a:ea typeface="Cambria Math" panose="02040503050406030204" pitchFamily="18" charset="0"/>
                      </a:rPr>
                      <m:t>𝜌</m:t>
                    </m:r>
                    <m:d>
                      <m:dPr>
                        <m:ctrlPr>
                          <a:rPr lang="en-US" sz="1100" b="0" i="1">
                            <a:latin typeface="Cambria Math" panose="02040503050406030204" pitchFamily="18" charset="0"/>
                            <a:ea typeface="Cambria Math" panose="02040503050406030204" pitchFamily="18" charset="0"/>
                          </a:rPr>
                        </m:ctrlPr>
                      </m:dPr>
                      <m:e>
                        <m:func>
                          <m:funcPr>
                            <m:ctrlPr>
                              <a:rPr lang="en-US" sz="1100" b="0" i="1">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log</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func>
                      </m:e>
                    </m:d>
                  </m:oMath>
                </m:oMathPara>
              </a14:m>
              <a:endParaRPr lang="en-US" sz="1100"/>
            </a:p>
          </xdr:txBody>
        </xdr:sp>
      </mc:Choice>
      <mc:Fallback>
        <xdr:sp macro="" textlink="">
          <xdr:nvSpPr>
            <xdr:cNvPr id="2" name="TextBox 1">
              <a:extLst>
                <a:ext uri="{FF2B5EF4-FFF2-40B4-BE49-F238E27FC236}">
                  <a16:creationId xmlns:a16="http://schemas.microsoft.com/office/drawing/2014/main" id="{833FA3AE-532D-3242-B4C9-63B89B05DC3B}"/>
                </a:ext>
              </a:extLst>
            </xdr:cNvPr>
            <xdr:cNvSpPr txBox="1"/>
          </xdr:nvSpPr>
          <xdr:spPr>
            <a:xfrm>
              <a:off x="9105900" y="3302000"/>
              <a:ext cx="4370917"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𝜇_(𝑤,𝑑)</a:t>
              </a:r>
              <a:r>
                <a:rPr lang="en-US" sz="1100" b="0" i="0">
                  <a:latin typeface="Cambria Math" panose="02040503050406030204" pitchFamily="18" charset="0"/>
                </a:rPr>
                <a:t>=log⁡(〖𝑃𝑟𝑒𝑚𝑖𝑢𝑚〗_𝑤 )+𝑙𝑜𝑔𝑒𝑙𝑟+𝑎_𝑤+</a:t>
              </a:r>
              <a:r>
                <a:rPr lang="en-US" sz="1100" b="0" i="0">
                  <a:latin typeface="Cambria Math" panose="02040503050406030204" pitchFamily="18" charset="0"/>
                  <a:ea typeface="Cambria Math" panose="02040503050406030204" pitchFamily="18" charset="0"/>
                </a:rPr>
                <a:t>𝛽_𝑑+</a:t>
              </a:r>
              <a:r>
                <a:rPr lang="el-GR" sz="1100" b="0" i="0">
                  <a:latin typeface="Cambria Math" panose="02040503050406030204" pitchFamily="18" charset="0"/>
                  <a:ea typeface="Cambria Math" panose="02040503050406030204" pitchFamily="18" charset="0"/>
                </a:rPr>
                <a:t>𝜌</a:t>
              </a:r>
              <a:r>
                <a:rPr lang="en-US" sz="1100" b="0" i="0">
                  <a:latin typeface="Cambria Math" panose="02040503050406030204" pitchFamily="18" charset="0"/>
                  <a:ea typeface="Cambria Math" panose="02040503050406030204" pitchFamily="18" charset="0"/>
                </a:rPr>
                <a:t>(log⁡〖(𝐶_(𝑤−1,𝑑) )−𝜇_(𝑤−1,𝑑) 〗 )</a:t>
              </a:r>
              <a:endParaRPr lang="en-US" sz="1100"/>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pple/Dropbox/Rising%20Fellow/_Products/Exam%207/_Problem%20Pack/Support%20Excel%20Files/RF%20Shapland_3%20Sup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5.xml"/><Relationship Id="rId4" Type="http://schemas.openxmlformats.org/officeDocument/2006/relationships/image" Target="../media/image2.emf"/></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B190-0D17-EA4E-9B91-675C7E171F83}">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108" customWidth="1"/>
    <col min="6" max="12" width="10.83203125" style="108" customWidth="1"/>
    <col min="13" max="13" width="10.6640625" style="108" customWidth="1"/>
    <col min="14" max="16" width="10" style="108" customWidth="1"/>
    <col min="17" max="16384" width="8.5" style="108"/>
  </cols>
  <sheetData>
    <row r="1" spans="1:13" ht="14.5" customHeight="1" x14ac:dyDescent="0.2">
      <c r="A1" s="104"/>
      <c r="B1" s="105"/>
      <c r="C1" s="105"/>
      <c r="D1" s="105"/>
      <c r="E1" s="105"/>
      <c r="F1" s="105"/>
      <c r="G1" s="105"/>
      <c r="H1" s="105"/>
      <c r="I1" s="105"/>
      <c r="J1" s="105"/>
      <c r="K1" s="105"/>
      <c r="L1" s="106" t="s">
        <v>174</v>
      </c>
      <c r="M1" s="107"/>
    </row>
    <row r="2" spans="1:13" s="110" customFormat="1" x14ac:dyDescent="0.2">
      <c r="A2" s="109"/>
      <c r="M2" s="111"/>
    </row>
    <row r="3" spans="1:13" s="110" customFormat="1" ht="16" customHeight="1" x14ac:dyDescent="0.2">
      <c r="A3" s="109"/>
      <c r="M3" s="111"/>
    </row>
    <row r="4" spans="1:13" s="110" customFormat="1" ht="16" customHeight="1" x14ac:dyDescent="0.2">
      <c r="A4" s="109"/>
      <c r="M4" s="111"/>
    </row>
    <row r="5" spans="1:13" s="110" customFormat="1" ht="16" customHeight="1" x14ac:dyDescent="0.2">
      <c r="A5" s="109"/>
      <c r="M5" s="111"/>
    </row>
    <row r="6" spans="1:13" s="110" customFormat="1" ht="16" customHeight="1" x14ac:dyDescent="0.2">
      <c r="A6" s="109"/>
      <c r="B6" s="112" t="s">
        <v>175</v>
      </c>
      <c r="M6" s="111"/>
    </row>
    <row r="7" spans="1:13" s="110" customFormat="1" ht="16" customHeight="1" x14ac:dyDescent="0.2">
      <c r="A7" s="109"/>
      <c r="M7" s="111"/>
    </row>
    <row r="8" spans="1:13" s="110" customFormat="1" ht="16" customHeight="1" x14ac:dyDescent="0.25">
      <c r="A8" s="109"/>
      <c r="B8" s="113" t="s">
        <v>176</v>
      </c>
      <c r="M8" s="111"/>
    </row>
    <row r="9" spans="1:13" s="110" customFormat="1" ht="17" customHeight="1" x14ac:dyDescent="0.2">
      <c r="A9" s="109"/>
      <c r="C9" s="313" t="s">
        <v>177</v>
      </c>
      <c r="D9" s="314"/>
      <c r="E9" s="314"/>
      <c r="F9" s="314"/>
      <c r="G9" s="314"/>
      <c r="H9" s="314"/>
      <c r="I9" s="314"/>
      <c r="J9" s="314"/>
      <c r="K9" s="314"/>
      <c r="M9" s="111"/>
    </row>
    <row r="10" spans="1:13" s="110" customFormat="1" x14ac:dyDescent="0.2">
      <c r="A10" s="109"/>
      <c r="C10" s="314"/>
      <c r="D10" s="314"/>
      <c r="E10" s="314"/>
      <c r="F10" s="314"/>
      <c r="G10" s="314"/>
      <c r="H10" s="314"/>
      <c r="I10" s="314"/>
      <c r="J10" s="314"/>
      <c r="K10" s="314"/>
      <c r="M10" s="111"/>
    </row>
    <row r="11" spans="1:13" s="110" customFormat="1" ht="16" customHeight="1" x14ac:dyDescent="0.2">
      <c r="A11" s="109"/>
      <c r="C11" s="314"/>
      <c r="D11" s="314"/>
      <c r="E11" s="314"/>
      <c r="F11" s="314"/>
      <c r="G11" s="314"/>
      <c r="H11" s="314"/>
      <c r="I11" s="314"/>
      <c r="J11" s="314"/>
      <c r="K11" s="314"/>
      <c r="M11" s="111"/>
    </row>
    <row r="12" spans="1:13" s="110" customFormat="1" ht="16" customHeight="1" x14ac:dyDescent="0.2">
      <c r="A12" s="109"/>
      <c r="C12" s="314"/>
      <c r="D12" s="314"/>
      <c r="E12" s="314"/>
      <c r="F12" s="314"/>
      <c r="G12" s="314"/>
      <c r="H12" s="314"/>
      <c r="I12" s="314"/>
      <c r="J12" s="314"/>
      <c r="K12" s="314"/>
      <c r="M12" s="111"/>
    </row>
    <row r="13" spans="1:13" s="110" customFormat="1" ht="16" customHeight="1" x14ac:dyDescent="0.2">
      <c r="A13" s="109"/>
      <c r="C13" s="314"/>
      <c r="D13" s="314"/>
      <c r="E13" s="314"/>
      <c r="F13" s="314"/>
      <c r="G13" s="314"/>
      <c r="H13" s="314"/>
      <c r="I13" s="314"/>
      <c r="J13" s="314"/>
      <c r="K13" s="314"/>
      <c r="M13" s="111"/>
    </row>
    <row r="14" spans="1:13" s="110" customFormat="1" ht="16" customHeight="1" x14ac:dyDescent="0.2">
      <c r="A14" s="109"/>
      <c r="C14" s="314"/>
      <c r="D14" s="314"/>
      <c r="E14" s="314"/>
      <c r="F14" s="314"/>
      <c r="G14" s="314"/>
      <c r="H14" s="314"/>
      <c r="I14" s="314"/>
      <c r="J14" s="314"/>
      <c r="K14" s="314"/>
      <c r="M14" s="111"/>
    </row>
    <row r="15" spans="1:13" s="110" customFormat="1" ht="16" customHeight="1" x14ac:dyDescent="0.2">
      <c r="A15" s="109"/>
      <c r="C15" s="314"/>
      <c r="D15" s="314"/>
      <c r="E15" s="314"/>
      <c r="F15" s="314"/>
      <c r="G15" s="314"/>
      <c r="H15" s="314"/>
      <c r="I15" s="314"/>
      <c r="J15" s="314"/>
      <c r="K15" s="314"/>
      <c r="M15" s="111"/>
    </row>
    <row r="16" spans="1:13" s="110" customFormat="1" ht="16" customHeight="1" x14ac:dyDescent="0.2">
      <c r="A16" s="109"/>
      <c r="C16" s="314"/>
      <c r="D16" s="314"/>
      <c r="E16" s="314"/>
      <c r="F16" s="314"/>
      <c r="G16" s="314"/>
      <c r="H16" s="314"/>
      <c r="I16" s="314"/>
      <c r="J16" s="314"/>
      <c r="K16" s="314"/>
      <c r="M16" s="111"/>
    </row>
    <row r="17" spans="1:13" s="110" customFormat="1" ht="16" customHeight="1" x14ac:dyDescent="0.2">
      <c r="A17" s="109"/>
      <c r="M17" s="111"/>
    </row>
    <row r="18" spans="1:13" s="110" customFormat="1" ht="16" customHeight="1" x14ac:dyDescent="0.25">
      <c r="A18" s="109"/>
      <c r="B18" s="113" t="s">
        <v>178</v>
      </c>
      <c r="M18" s="111"/>
    </row>
    <row r="19" spans="1:13" s="110" customFormat="1" ht="17" customHeight="1" x14ac:dyDescent="0.2">
      <c r="A19" s="109"/>
      <c r="C19" s="313" t="s">
        <v>179</v>
      </c>
      <c r="D19" s="314"/>
      <c r="E19" s="314"/>
      <c r="F19" s="314"/>
      <c r="G19" s="314"/>
      <c r="H19" s="314"/>
      <c r="I19" s="314"/>
      <c r="J19" s="314"/>
      <c r="K19" s="314"/>
      <c r="M19" s="111"/>
    </row>
    <row r="20" spans="1:13" s="110" customFormat="1" x14ac:dyDescent="0.2">
      <c r="A20" s="109"/>
      <c r="C20" s="314"/>
      <c r="D20" s="314"/>
      <c r="E20" s="314"/>
      <c r="F20" s="314"/>
      <c r="G20" s="314"/>
      <c r="H20" s="314"/>
      <c r="I20" s="314"/>
      <c r="J20" s="314"/>
      <c r="K20" s="314"/>
      <c r="M20" s="111"/>
    </row>
    <row r="21" spans="1:13" s="110" customFormat="1" x14ac:dyDescent="0.2">
      <c r="A21" s="109"/>
      <c r="C21" s="314"/>
      <c r="D21" s="314"/>
      <c r="E21" s="314"/>
      <c r="F21" s="314"/>
      <c r="G21" s="314"/>
      <c r="H21" s="314"/>
      <c r="I21" s="314"/>
      <c r="J21" s="314"/>
      <c r="K21" s="314"/>
      <c r="M21" s="111"/>
    </row>
    <row r="22" spans="1:13" s="110" customFormat="1" x14ac:dyDescent="0.2">
      <c r="A22" s="109"/>
      <c r="C22" s="314"/>
      <c r="D22" s="314"/>
      <c r="E22" s="314"/>
      <c r="F22" s="314"/>
      <c r="G22" s="314"/>
      <c r="H22" s="314"/>
      <c r="I22" s="314"/>
      <c r="J22" s="314"/>
      <c r="K22" s="314"/>
      <c r="M22" s="111"/>
    </row>
    <row r="23" spans="1:13" s="110" customFormat="1" x14ac:dyDescent="0.2">
      <c r="A23" s="109"/>
      <c r="C23" s="314"/>
      <c r="D23" s="314"/>
      <c r="E23" s="314"/>
      <c r="F23" s="314"/>
      <c r="G23" s="314"/>
      <c r="H23" s="314"/>
      <c r="I23" s="314"/>
      <c r="J23" s="314"/>
      <c r="K23" s="314"/>
      <c r="M23" s="111"/>
    </row>
    <row r="24" spans="1:13" s="110" customFormat="1" x14ac:dyDescent="0.2">
      <c r="A24" s="109"/>
      <c r="C24" s="314"/>
      <c r="D24" s="314"/>
      <c r="E24" s="314"/>
      <c r="F24" s="314"/>
      <c r="G24" s="314"/>
      <c r="H24" s="314"/>
      <c r="I24" s="314"/>
      <c r="J24" s="314"/>
      <c r="K24" s="314"/>
      <c r="M24" s="111"/>
    </row>
    <row r="25" spans="1:13" s="110" customFormat="1" x14ac:dyDescent="0.2">
      <c r="A25" s="109"/>
      <c r="C25" s="314"/>
      <c r="D25" s="314"/>
      <c r="E25" s="314"/>
      <c r="F25" s="314"/>
      <c r="G25" s="314"/>
      <c r="H25" s="314"/>
      <c r="I25" s="314"/>
      <c r="J25" s="314"/>
      <c r="K25" s="314"/>
      <c r="M25" s="111"/>
    </row>
    <row r="26" spans="1:13" s="110" customFormat="1" x14ac:dyDescent="0.2">
      <c r="A26" s="109"/>
      <c r="C26" s="314"/>
      <c r="D26" s="314"/>
      <c r="E26" s="314"/>
      <c r="F26" s="314"/>
      <c r="G26" s="314"/>
      <c r="H26" s="314"/>
      <c r="I26" s="314"/>
      <c r="J26" s="314"/>
      <c r="K26" s="314"/>
      <c r="M26" s="111"/>
    </row>
    <row r="27" spans="1:13" s="110" customFormat="1" x14ac:dyDescent="0.2">
      <c r="A27" s="109"/>
      <c r="C27" s="314"/>
      <c r="D27" s="314"/>
      <c r="E27" s="314"/>
      <c r="F27" s="314"/>
      <c r="G27" s="314"/>
      <c r="H27" s="314"/>
      <c r="I27" s="314"/>
      <c r="J27" s="314"/>
      <c r="K27" s="314"/>
      <c r="M27" s="111"/>
    </row>
    <row r="28" spans="1:13" s="110" customFormat="1" x14ac:dyDescent="0.2">
      <c r="A28" s="109"/>
      <c r="C28" s="314"/>
      <c r="D28" s="314"/>
      <c r="E28" s="314"/>
      <c r="F28" s="314"/>
      <c r="G28" s="314"/>
      <c r="H28" s="314"/>
      <c r="I28" s="314"/>
      <c r="J28" s="314"/>
      <c r="K28" s="314"/>
      <c r="M28" s="111"/>
    </row>
    <row r="29" spans="1:13" s="110" customFormat="1" x14ac:dyDescent="0.2">
      <c r="A29" s="109"/>
      <c r="C29" s="114"/>
      <c r="D29" s="114"/>
      <c r="E29" s="114"/>
      <c r="F29" s="114"/>
      <c r="G29" s="114"/>
      <c r="H29" s="114"/>
      <c r="I29" s="114"/>
      <c r="J29" s="114"/>
      <c r="K29" s="114"/>
      <c r="M29" s="111"/>
    </row>
    <row r="30" spans="1:13" s="110" customFormat="1" ht="19" x14ac:dyDescent="0.25">
      <c r="A30" s="109"/>
      <c r="C30" s="115" t="s">
        <v>180</v>
      </c>
      <c r="D30" s="114"/>
      <c r="E30" s="114"/>
      <c r="F30" s="114"/>
      <c r="G30" s="114"/>
      <c r="H30" s="114"/>
      <c r="I30" s="114"/>
      <c r="J30" s="114"/>
      <c r="K30" s="114"/>
      <c r="M30" s="111"/>
    </row>
    <row r="31" spans="1:13" s="110" customFormat="1" x14ac:dyDescent="0.2">
      <c r="A31" s="109"/>
      <c r="C31" s="313" t="s">
        <v>181</v>
      </c>
      <c r="D31" s="313"/>
      <c r="E31" s="313"/>
      <c r="F31" s="313"/>
      <c r="G31" s="313"/>
      <c r="H31" s="313"/>
      <c r="I31" s="313"/>
      <c r="J31" s="313"/>
      <c r="K31" s="313"/>
      <c r="M31" s="111"/>
    </row>
    <row r="32" spans="1:13" s="110" customFormat="1" x14ac:dyDescent="0.2">
      <c r="A32" s="109"/>
      <c r="C32" s="313"/>
      <c r="D32" s="313"/>
      <c r="E32" s="313"/>
      <c r="F32" s="313"/>
      <c r="G32" s="313"/>
      <c r="H32" s="313"/>
      <c r="I32" s="313"/>
      <c r="J32" s="313"/>
      <c r="K32" s="313"/>
      <c r="M32" s="111"/>
    </row>
    <row r="33" spans="1:13" s="110" customFormat="1" x14ac:dyDescent="0.2">
      <c r="A33" s="109"/>
      <c r="C33" s="313"/>
      <c r="D33" s="313"/>
      <c r="E33" s="313"/>
      <c r="F33" s="313"/>
      <c r="G33" s="313"/>
      <c r="H33" s="313"/>
      <c r="I33" s="313"/>
      <c r="J33" s="313"/>
      <c r="K33" s="313"/>
      <c r="M33" s="111"/>
    </row>
    <row r="34" spans="1:13" s="110" customFormat="1" x14ac:dyDescent="0.2">
      <c r="A34" s="109"/>
      <c r="C34" s="313"/>
      <c r="D34" s="313"/>
      <c r="E34" s="313"/>
      <c r="F34" s="313"/>
      <c r="G34" s="313"/>
      <c r="H34" s="313"/>
      <c r="I34" s="313"/>
      <c r="J34" s="313"/>
      <c r="K34" s="313"/>
      <c r="M34" s="111"/>
    </row>
    <row r="35" spans="1:13" s="110" customFormat="1" x14ac:dyDescent="0.2">
      <c r="A35" s="109"/>
      <c r="C35" s="313"/>
      <c r="D35" s="313"/>
      <c r="E35" s="313"/>
      <c r="F35" s="313"/>
      <c r="G35" s="313"/>
      <c r="H35" s="313"/>
      <c r="I35" s="313"/>
      <c r="J35" s="313"/>
      <c r="K35" s="313"/>
      <c r="M35" s="111"/>
    </row>
    <row r="36" spans="1:13" s="110" customFormat="1" x14ac:dyDescent="0.2">
      <c r="A36" s="109"/>
      <c r="C36" s="313"/>
      <c r="D36" s="313"/>
      <c r="E36" s="313"/>
      <c r="F36" s="313"/>
      <c r="G36" s="313"/>
      <c r="H36" s="313"/>
      <c r="I36" s="313"/>
      <c r="J36" s="313"/>
      <c r="K36" s="313"/>
      <c r="M36" s="111"/>
    </row>
    <row r="37" spans="1:13" s="110" customFormat="1" x14ac:dyDescent="0.2">
      <c r="A37" s="109"/>
      <c r="C37" s="313"/>
      <c r="D37" s="313"/>
      <c r="E37" s="313"/>
      <c r="F37" s="313"/>
      <c r="G37" s="313"/>
      <c r="H37" s="313"/>
      <c r="I37" s="313"/>
      <c r="J37" s="313"/>
      <c r="K37" s="313"/>
      <c r="M37" s="111"/>
    </row>
    <row r="38" spans="1:13" s="110" customFormat="1" x14ac:dyDescent="0.2">
      <c r="A38" s="109"/>
      <c r="C38" s="313"/>
      <c r="D38" s="313"/>
      <c r="E38" s="313"/>
      <c r="F38" s="313"/>
      <c r="G38" s="313"/>
      <c r="H38" s="313"/>
      <c r="I38" s="313"/>
      <c r="J38" s="313"/>
      <c r="K38" s="313"/>
      <c r="M38" s="111"/>
    </row>
    <row r="39" spans="1:13" s="110" customFormat="1" x14ac:dyDescent="0.2">
      <c r="A39" s="109"/>
      <c r="C39" s="313"/>
      <c r="D39" s="313"/>
      <c r="E39" s="313"/>
      <c r="F39" s="313"/>
      <c r="G39" s="313"/>
      <c r="H39" s="313"/>
      <c r="I39" s="313"/>
      <c r="J39" s="313"/>
      <c r="K39" s="313"/>
      <c r="M39" s="111"/>
    </row>
    <row r="40" spans="1:13" s="110" customFormat="1" x14ac:dyDescent="0.2">
      <c r="A40" s="109"/>
      <c r="C40" s="116"/>
      <c r="D40" s="116"/>
      <c r="E40" s="116"/>
      <c r="F40" s="116"/>
      <c r="G40" s="116"/>
      <c r="H40" s="116"/>
      <c r="I40" s="116"/>
      <c r="J40" s="116"/>
      <c r="K40" s="116"/>
      <c r="M40" s="111"/>
    </row>
    <row r="41" spans="1:13" s="110" customFormat="1" ht="21" x14ac:dyDescent="0.25">
      <c r="A41" s="109"/>
      <c r="B41" s="113" t="s">
        <v>182</v>
      </c>
      <c r="M41" s="111"/>
    </row>
    <row r="42" spans="1:13" s="110" customFormat="1" x14ac:dyDescent="0.2">
      <c r="A42" s="109"/>
      <c r="C42" s="315" t="s">
        <v>557</v>
      </c>
      <c r="D42" s="314"/>
      <c r="E42" s="314"/>
      <c r="F42" s="314"/>
      <c r="G42" s="314"/>
      <c r="H42" s="314"/>
      <c r="I42" s="314"/>
      <c r="J42" s="314"/>
      <c r="K42" s="314"/>
      <c r="M42" s="111"/>
    </row>
    <row r="43" spans="1:13" s="110" customFormat="1" x14ac:dyDescent="0.2">
      <c r="A43" s="109"/>
      <c r="C43" s="314"/>
      <c r="D43" s="314"/>
      <c r="E43" s="314"/>
      <c r="F43" s="314"/>
      <c r="G43" s="314"/>
      <c r="H43" s="314"/>
      <c r="I43" s="314"/>
      <c r="J43" s="314"/>
      <c r="K43" s="314"/>
      <c r="M43" s="111"/>
    </row>
    <row r="44" spans="1:13" s="110" customFormat="1" x14ac:dyDescent="0.2">
      <c r="A44" s="109"/>
      <c r="C44" s="314"/>
      <c r="D44" s="314"/>
      <c r="E44" s="314"/>
      <c r="F44" s="314"/>
      <c r="G44" s="314"/>
      <c r="H44" s="314"/>
      <c r="I44" s="314"/>
      <c r="J44" s="314"/>
      <c r="K44" s="314"/>
      <c r="M44" s="111"/>
    </row>
    <row r="45" spans="1:13" s="110" customFormat="1" x14ac:dyDescent="0.2">
      <c r="A45" s="109"/>
      <c r="C45" s="314"/>
      <c r="D45" s="314"/>
      <c r="E45" s="314"/>
      <c r="F45" s="314"/>
      <c r="G45" s="314"/>
      <c r="H45" s="314"/>
      <c r="I45" s="314"/>
      <c r="J45" s="314"/>
      <c r="K45" s="314"/>
      <c r="M45" s="111"/>
    </row>
    <row r="46" spans="1:13" s="110" customFormat="1" x14ac:dyDescent="0.2">
      <c r="A46" s="109"/>
      <c r="C46" s="314"/>
      <c r="D46" s="314"/>
      <c r="E46" s="314"/>
      <c r="F46" s="314"/>
      <c r="G46" s="314"/>
      <c r="H46" s="314"/>
      <c r="I46" s="314"/>
      <c r="J46" s="314"/>
      <c r="K46" s="314"/>
      <c r="M46" s="111"/>
    </row>
    <row r="47" spans="1:13" s="110" customFormat="1" x14ac:dyDescent="0.2">
      <c r="A47" s="109"/>
      <c r="C47" s="314"/>
      <c r="D47" s="314"/>
      <c r="E47" s="314"/>
      <c r="F47" s="314"/>
      <c r="G47" s="314"/>
      <c r="H47" s="314"/>
      <c r="I47" s="314"/>
      <c r="J47" s="314"/>
      <c r="K47" s="314"/>
      <c r="M47" s="111"/>
    </row>
    <row r="48" spans="1:13" s="110" customFormat="1" x14ac:dyDescent="0.2">
      <c r="A48" s="109"/>
      <c r="C48" s="314"/>
      <c r="D48" s="314"/>
      <c r="E48" s="314"/>
      <c r="F48" s="314"/>
      <c r="G48" s="314"/>
      <c r="H48" s="314"/>
      <c r="I48" s="314"/>
      <c r="J48" s="314"/>
      <c r="K48" s="314"/>
      <c r="M48" s="111"/>
    </row>
    <row r="49" spans="1:13" s="110" customFormat="1" x14ac:dyDescent="0.2">
      <c r="A49" s="109"/>
      <c r="C49" s="314"/>
      <c r="D49" s="314"/>
      <c r="E49" s="314"/>
      <c r="F49" s="314"/>
      <c r="G49" s="314"/>
      <c r="H49" s="314"/>
      <c r="I49" s="314"/>
      <c r="J49" s="314"/>
      <c r="K49" s="314"/>
      <c r="M49" s="111"/>
    </row>
    <row r="50" spans="1:13" s="110" customFormat="1" x14ac:dyDescent="0.2">
      <c r="A50" s="109"/>
      <c r="C50" s="314"/>
      <c r="D50" s="314"/>
      <c r="E50" s="314"/>
      <c r="F50" s="314"/>
      <c r="G50" s="314"/>
      <c r="H50" s="314"/>
      <c r="I50" s="314"/>
      <c r="J50" s="314"/>
      <c r="K50" s="314"/>
      <c r="M50" s="111"/>
    </row>
    <row r="51" spans="1:13" s="110" customFormat="1" x14ac:dyDescent="0.2">
      <c r="A51" s="109"/>
      <c r="C51" s="116"/>
      <c r="D51" s="116"/>
      <c r="E51" s="116"/>
      <c r="F51" s="116"/>
      <c r="G51" s="116"/>
      <c r="H51" s="116"/>
      <c r="I51" s="116"/>
      <c r="J51" s="116"/>
      <c r="K51" s="116"/>
      <c r="M51" s="111"/>
    </row>
    <row r="52" spans="1:13" ht="17" thickBot="1" x14ac:dyDescent="0.25">
      <c r="A52" s="117"/>
      <c r="B52" s="118"/>
      <c r="C52" s="118"/>
      <c r="D52" s="118"/>
      <c r="E52" s="118"/>
      <c r="F52" s="118"/>
      <c r="G52" s="118"/>
      <c r="H52" s="118"/>
      <c r="I52" s="118"/>
      <c r="J52" s="118"/>
      <c r="K52" s="118"/>
      <c r="L52" s="118"/>
      <c r="M52" s="119"/>
    </row>
  </sheetData>
  <mergeCells count="4">
    <mergeCell ref="C9:K16"/>
    <mergeCell ref="C19:K28"/>
    <mergeCell ref="C31:K39"/>
    <mergeCell ref="C42:K50"/>
  </mergeCells>
  <hyperlinks>
    <hyperlink ref="B6" r:id="rId1" xr:uid="{8987244D-CB2C-E949-BDD1-F3A00CA4DD2B}"/>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L189"/>
  <sheetViews>
    <sheetView zoomScaleNormal="100" workbookViewId="0"/>
  </sheetViews>
  <sheetFormatPr baseColWidth="10" defaultColWidth="10.83203125" defaultRowHeight="16" outlineLevelCol="1" x14ac:dyDescent="0.2"/>
  <cols>
    <col min="1" max="1" width="4.6640625" style="66" customWidth="1"/>
    <col min="2" max="10" width="10.83203125" style="66"/>
    <col min="11" max="11" width="11.5" style="66" bestFit="1" customWidth="1"/>
    <col min="12" max="20" width="10.83203125" style="66" hidden="1" customWidth="1" outlineLevel="1"/>
    <col min="21" max="21" width="10.83203125" style="66" collapsed="1"/>
    <col min="22" max="16384" width="10.83203125" style="66"/>
  </cols>
  <sheetData>
    <row r="1" spans="1:20" ht="19" x14ac:dyDescent="0.25">
      <c r="A1" s="1" t="s">
        <v>157</v>
      </c>
      <c r="B1" s="19"/>
      <c r="C1" s="63"/>
      <c r="D1" s="63"/>
      <c r="E1" s="63"/>
      <c r="F1" s="64"/>
      <c r="G1" s="64"/>
      <c r="H1" s="64"/>
      <c r="I1" s="64"/>
      <c r="J1" s="65"/>
      <c r="K1" s="2" t="s">
        <v>148</v>
      </c>
    </row>
    <row r="2" spans="1:20" x14ac:dyDescent="0.2">
      <c r="A2" s="67"/>
      <c r="B2" s="68"/>
      <c r="C2" s="68"/>
      <c r="D2" s="68"/>
      <c r="E2" s="68"/>
      <c r="F2" s="68"/>
      <c r="G2" s="68"/>
      <c r="H2" s="68"/>
      <c r="I2" s="68"/>
      <c r="J2" s="69"/>
      <c r="L2" s="53" t="s">
        <v>2</v>
      </c>
      <c r="N2" s="70"/>
    </row>
    <row r="3" spans="1:20" x14ac:dyDescent="0.2">
      <c r="A3" s="67"/>
      <c r="B3" s="68" t="s">
        <v>4</v>
      </c>
      <c r="C3" s="68"/>
      <c r="D3" s="68"/>
      <c r="E3" s="68"/>
      <c r="F3" s="68"/>
      <c r="G3" s="68"/>
      <c r="H3" s="68"/>
      <c r="I3" s="68"/>
      <c r="J3" s="69"/>
      <c r="M3" s="66" t="s">
        <v>94</v>
      </c>
    </row>
    <row r="4" spans="1:20" x14ac:dyDescent="0.2">
      <c r="A4" s="67"/>
      <c r="B4" s="68" t="s">
        <v>5</v>
      </c>
      <c r="C4" s="68"/>
      <c r="D4" s="68"/>
      <c r="E4" s="68"/>
      <c r="F4" s="68"/>
      <c r="G4" s="68"/>
      <c r="H4" s="68"/>
      <c r="I4" s="68"/>
      <c r="J4" s="69"/>
      <c r="M4" s="66" t="s">
        <v>95</v>
      </c>
    </row>
    <row r="5" spans="1:20" x14ac:dyDescent="0.2">
      <c r="A5" s="67"/>
      <c r="B5" s="68"/>
      <c r="C5" s="68"/>
      <c r="D5" s="68"/>
      <c r="E5" s="68"/>
      <c r="F5" s="68"/>
      <c r="G5" s="68"/>
      <c r="H5" s="68"/>
      <c r="I5" s="68"/>
      <c r="J5" s="69"/>
    </row>
    <row r="6" spans="1:20" x14ac:dyDescent="0.2">
      <c r="A6" s="67"/>
      <c r="B6" s="68" t="s">
        <v>6</v>
      </c>
      <c r="C6" s="68"/>
      <c r="D6" s="68"/>
      <c r="E6" s="68"/>
      <c r="F6" s="68"/>
      <c r="G6" s="68"/>
      <c r="H6" s="68"/>
      <c r="I6" s="68"/>
      <c r="J6" s="69"/>
      <c r="M6" s="66" t="s">
        <v>96</v>
      </c>
    </row>
    <row r="7" spans="1:20" x14ac:dyDescent="0.2">
      <c r="A7" s="67"/>
      <c r="B7" s="68" t="s">
        <v>7</v>
      </c>
      <c r="C7" s="68"/>
      <c r="D7" s="68"/>
      <c r="E7" s="68"/>
      <c r="F7" s="68"/>
      <c r="G7" s="68"/>
      <c r="H7" s="68"/>
      <c r="I7" s="68"/>
      <c r="J7" s="69"/>
    </row>
    <row r="8" spans="1:20" x14ac:dyDescent="0.2">
      <c r="A8" s="67"/>
      <c r="B8" s="68" t="s">
        <v>8</v>
      </c>
      <c r="C8" s="68"/>
      <c r="D8" s="68"/>
      <c r="E8" s="68"/>
      <c r="F8" s="68"/>
      <c r="G8" s="68"/>
      <c r="H8" s="68"/>
      <c r="I8" s="68"/>
      <c r="J8" s="69"/>
      <c r="M8" s="101" t="s">
        <v>97</v>
      </c>
      <c r="O8" s="66" t="s">
        <v>167</v>
      </c>
    </row>
    <row r="9" spans="1:20" x14ac:dyDescent="0.2">
      <c r="A9" s="67"/>
      <c r="B9" s="68"/>
      <c r="C9" s="68"/>
      <c r="D9" s="68"/>
      <c r="E9" s="68"/>
      <c r="F9" s="68"/>
      <c r="G9" s="68"/>
      <c r="H9" s="68"/>
      <c r="I9" s="68"/>
      <c r="J9" s="69"/>
      <c r="M9" s="101" t="s">
        <v>98</v>
      </c>
      <c r="O9" s="66" t="s">
        <v>99</v>
      </c>
    </row>
    <row r="10" spans="1:20" ht="16" customHeight="1" x14ac:dyDescent="0.2">
      <c r="A10" s="67"/>
      <c r="B10" s="68"/>
      <c r="C10" s="68"/>
      <c r="D10" s="68"/>
      <c r="E10" s="68"/>
      <c r="F10" s="68"/>
      <c r="G10" s="68"/>
      <c r="H10" s="68"/>
      <c r="I10" s="68"/>
      <c r="J10" s="69"/>
    </row>
    <row r="11" spans="1:20" x14ac:dyDescent="0.2">
      <c r="A11" s="72" t="s">
        <v>0</v>
      </c>
      <c r="B11" s="68" t="s">
        <v>146</v>
      </c>
      <c r="C11" s="68"/>
      <c r="D11" s="68"/>
      <c r="E11" s="68"/>
      <c r="F11" s="68"/>
      <c r="G11" s="68"/>
      <c r="H11" s="68"/>
      <c r="I11" s="68"/>
      <c r="J11" s="69"/>
      <c r="M11" s="319" t="s">
        <v>149</v>
      </c>
      <c r="N11" s="319"/>
      <c r="O11" s="319"/>
      <c r="P11" s="319"/>
      <c r="Q11" s="319"/>
      <c r="R11" s="319"/>
      <c r="S11" s="319"/>
      <c r="T11" s="319"/>
    </row>
    <row r="12" spans="1:20" x14ac:dyDescent="0.2">
      <c r="A12" s="67"/>
      <c r="B12" s="68" t="s">
        <v>147</v>
      </c>
      <c r="C12" s="68"/>
      <c r="D12" s="68"/>
      <c r="E12" s="68"/>
      <c r="F12" s="68"/>
      <c r="G12" s="68"/>
      <c r="H12" s="68"/>
      <c r="I12" s="68"/>
      <c r="J12" s="69"/>
      <c r="M12" s="319"/>
      <c r="N12" s="319"/>
      <c r="O12" s="319"/>
      <c r="P12" s="319"/>
      <c r="Q12" s="319"/>
      <c r="R12" s="319"/>
      <c r="S12" s="319"/>
      <c r="T12" s="319"/>
    </row>
    <row r="13" spans="1:20" x14ac:dyDescent="0.2">
      <c r="A13" s="67"/>
      <c r="B13" s="68"/>
      <c r="C13" s="68"/>
      <c r="D13" s="68"/>
      <c r="E13" s="68"/>
      <c r="F13" s="68"/>
      <c r="G13" s="68"/>
      <c r="H13" s="68"/>
      <c r="I13" s="68"/>
      <c r="J13" s="69"/>
      <c r="M13" s="319"/>
      <c r="N13" s="319"/>
      <c r="O13" s="319"/>
      <c r="P13" s="319"/>
      <c r="Q13" s="319"/>
      <c r="R13" s="319"/>
      <c r="S13" s="319"/>
      <c r="T13" s="319"/>
    </row>
    <row r="14" spans="1:20" x14ac:dyDescent="0.2">
      <c r="A14" s="72" t="s">
        <v>1</v>
      </c>
      <c r="B14" s="68" t="s">
        <v>9</v>
      </c>
      <c r="C14" s="68"/>
      <c r="D14" s="68"/>
      <c r="E14" s="68"/>
      <c r="F14" s="68"/>
      <c r="G14" s="68"/>
      <c r="H14" s="68"/>
      <c r="I14" s="68"/>
      <c r="J14" s="69"/>
      <c r="M14" s="71"/>
      <c r="N14" s="71"/>
      <c r="O14" s="71"/>
      <c r="P14" s="71"/>
      <c r="Q14" s="71"/>
      <c r="R14" s="71"/>
      <c r="S14" s="71"/>
      <c r="T14" s="71"/>
    </row>
    <row r="15" spans="1:20" x14ac:dyDescent="0.2">
      <c r="A15" s="67"/>
      <c r="B15" s="68" t="s">
        <v>10</v>
      </c>
      <c r="C15" s="68"/>
      <c r="D15" s="68"/>
      <c r="E15" s="68"/>
      <c r="F15" s="68"/>
      <c r="G15" s="68"/>
      <c r="H15" s="68"/>
      <c r="I15" s="68"/>
      <c r="J15" s="69"/>
      <c r="L15" s="53" t="s">
        <v>3</v>
      </c>
      <c r="N15" s="70"/>
    </row>
    <row r="16" spans="1:20" x14ac:dyDescent="0.2">
      <c r="A16" s="67"/>
      <c r="B16" s="68"/>
      <c r="C16" s="68"/>
      <c r="D16" s="68"/>
      <c r="E16" s="68"/>
      <c r="F16" s="68"/>
      <c r="G16" s="68"/>
      <c r="H16" s="68"/>
      <c r="I16" s="68"/>
      <c r="J16" s="69"/>
      <c r="M16" s="66" t="s">
        <v>92</v>
      </c>
    </row>
    <row r="17" spans="1:20" ht="17" thickBot="1" x14ac:dyDescent="0.25">
      <c r="A17" s="67"/>
      <c r="B17" s="68"/>
      <c r="C17" s="68"/>
      <c r="D17" s="68"/>
      <c r="E17" s="68"/>
      <c r="F17" s="68"/>
      <c r="G17" s="68"/>
      <c r="H17" s="68"/>
      <c r="I17" s="68"/>
      <c r="J17" s="69"/>
    </row>
    <row r="18" spans="1:20" ht="17" thickBot="1" x14ac:dyDescent="0.25">
      <c r="A18" s="316" t="s">
        <v>145</v>
      </c>
      <c r="B18" s="317"/>
      <c r="C18" s="317"/>
      <c r="D18" s="317"/>
      <c r="E18" s="317"/>
      <c r="F18" s="317"/>
      <c r="G18" s="317"/>
      <c r="H18" s="317"/>
      <c r="I18" s="317"/>
      <c r="J18" s="318"/>
      <c r="M18" s="66" t="s">
        <v>93</v>
      </c>
    </row>
    <row r="19" spans="1:20" ht="16.25" customHeight="1" x14ac:dyDescent="0.2"/>
    <row r="20" spans="1:20" ht="19" x14ac:dyDescent="0.25">
      <c r="A20" s="2"/>
      <c r="L20" s="2" t="s">
        <v>132</v>
      </c>
    </row>
    <row r="21" spans="1:20" x14ac:dyDescent="0.2">
      <c r="M21" s="319" t="s">
        <v>144</v>
      </c>
      <c r="N21" s="319"/>
      <c r="O21" s="319"/>
      <c r="P21" s="319"/>
      <c r="Q21" s="319"/>
      <c r="R21" s="319"/>
      <c r="S21" s="319"/>
      <c r="T21" s="319"/>
    </row>
    <row r="22" spans="1:20" x14ac:dyDescent="0.2">
      <c r="M22" s="319"/>
      <c r="N22" s="319"/>
      <c r="O22" s="319"/>
      <c r="P22" s="319"/>
      <c r="Q22" s="319"/>
      <c r="R22" s="319"/>
      <c r="S22" s="319"/>
      <c r="T22" s="319"/>
    </row>
    <row r="23" spans="1:20" x14ac:dyDescent="0.2">
      <c r="M23" s="319"/>
      <c r="N23" s="319"/>
      <c r="O23" s="319"/>
      <c r="P23" s="319"/>
      <c r="Q23" s="319"/>
      <c r="R23" s="319"/>
      <c r="S23" s="319"/>
      <c r="T23" s="319"/>
    </row>
    <row r="24" spans="1:20" x14ac:dyDescent="0.2">
      <c r="A24" s="98"/>
      <c r="B24" s="98"/>
      <c r="C24" s="98"/>
      <c r="D24" s="98"/>
      <c r="E24" s="98"/>
      <c r="F24" s="98"/>
      <c r="G24" s="98"/>
      <c r="H24" s="98"/>
      <c r="I24" s="98"/>
      <c r="J24" s="98"/>
      <c r="K24" s="98"/>
    </row>
    <row r="25" spans="1:20" ht="19" x14ac:dyDescent="0.25">
      <c r="A25" s="98"/>
      <c r="B25" s="98"/>
      <c r="C25" s="98"/>
      <c r="D25" s="98"/>
      <c r="E25" s="98"/>
      <c r="F25" s="98"/>
      <c r="G25" s="98"/>
      <c r="H25" s="98"/>
      <c r="I25" s="98"/>
      <c r="J25" s="98"/>
      <c r="K25" s="98"/>
      <c r="L25" s="2" t="s">
        <v>172</v>
      </c>
    </row>
    <row r="26" spans="1:20" x14ac:dyDescent="0.2">
      <c r="A26" s="98"/>
      <c r="B26" s="98"/>
      <c r="C26" s="98"/>
      <c r="D26" s="98"/>
      <c r="E26" s="98"/>
      <c r="F26" s="98"/>
      <c r="G26" s="98"/>
      <c r="H26" s="98"/>
      <c r="I26" s="98"/>
      <c r="J26" s="98"/>
      <c r="K26" s="98"/>
      <c r="L26" s="98" t="s">
        <v>168</v>
      </c>
    </row>
    <row r="27" spans="1:20" x14ac:dyDescent="0.2">
      <c r="A27" s="98"/>
      <c r="B27" s="98"/>
      <c r="C27" s="98"/>
      <c r="D27" s="98"/>
      <c r="E27" s="98"/>
      <c r="F27" s="98"/>
      <c r="G27" s="98"/>
      <c r="H27" s="98"/>
      <c r="I27" s="98"/>
      <c r="J27" s="98"/>
      <c r="K27" s="98"/>
      <c r="L27" s="98"/>
    </row>
    <row r="28" spans="1:20" x14ac:dyDescent="0.2">
      <c r="A28" s="98"/>
      <c r="B28" s="98"/>
      <c r="C28" s="98"/>
      <c r="D28" s="98"/>
      <c r="E28" s="98"/>
      <c r="F28" s="98"/>
      <c r="G28" s="98"/>
      <c r="H28" s="98"/>
      <c r="I28" s="98"/>
      <c r="J28" s="98"/>
      <c r="K28" s="98"/>
      <c r="L28" s="98"/>
    </row>
    <row r="29" spans="1:20" x14ac:dyDescent="0.2">
      <c r="A29" s="98"/>
      <c r="B29" s="98"/>
      <c r="C29" s="98"/>
      <c r="D29" s="98"/>
      <c r="E29" s="98"/>
      <c r="F29" s="98"/>
      <c r="G29" s="98"/>
      <c r="H29" s="98"/>
      <c r="I29" s="98"/>
      <c r="J29" s="98"/>
      <c r="K29" s="98"/>
      <c r="L29" s="98"/>
    </row>
    <row r="30" spans="1:20" x14ac:dyDescent="0.2">
      <c r="A30" s="98"/>
      <c r="B30" s="98"/>
      <c r="C30" s="98"/>
      <c r="D30" s="98"/>
      <c r="E30" s="98"/>
      <c r="F30" s="98"/>
      <c r="G30" s="98"/>
      <c r="H30" s="98"/>
      <c r="I30" s="98"/>
      <c r="J30" s="98"/>
      <c r="K30" s="98"/>
      <c r="L30" s="98"/>
    </row>
    <row r="31" spans="1:20" x14ac:dyDescent="0.2">
      <c r="A31" s="98"/>
      <c r="B31" s="98"/>
      <c r="C31" s="98"/>
      <c r="D31" s="98"/>
      <c r="E31" s="98"/>
      <c r="F31" s="98"/>
      <c r="G31" s="98"/>
      <c r="H31" s="98"/>
      <c r="I31" s="98"/>
      <c r="J31" s="98"/>
      <c r="K31" s="98"/>
      <c r="L31" s="98"/>
    </row>
    <row r="32" spans="1:20" x14ac:dyDescent="0.2">
      <c r="A32" s="98"/>
      <c r="B32" s="98"/>
      <c r="C32" s="98"/>
      <c r="D32" s="98"/>
      <c r="E32" s="98"/>
      <c r="F32" s="98"/>
      <c r="G32" s="98"/>
      <c r="H32" s="98"/>
      <c r="I32" s="98"/>
      <c r="J32" s="98"/>
      <c r="K32" s="98"/>
      <c r="L32" s="98"/>
    </row>
    <row r="33" spans="1:14" x14ac:dyDescent="0.2">
      <c r="A33" s="98"/>
      <c r="B33" s="98"/>
      <c r="C33" s="98"/>
      <c r="D33" s="98"/>
      <c r="E33" s="98"/>
      <c r="F33" s="98"/>
      <c r="G33" s="98"/>
      <c r="H33" s="98"/>
      <c r="I33" s="98"/>
      <c r="J33" s="98"/>
      <c r="K33" s="98"/>
      <c r="L33" s="98"/>
    </row>
    <row r="34" spans="1:14" x14ac:dyDescent="0.2">
      <c r="A34" s="98"/>
      <c r="B34" s="98"/>
      <c r="C34" s="98"/>
      <c r="D34" s="98"/>
      <c r="E34" s="98"/>
      <c r="F34" s="98"/>
      <c r="G34" s="98"/>
      <c r="H34" s="98"/>
      <c r="I34" s="98"/>
      <c r="J34" s="98"/>
      <c r="K34" s="98"/>
      <c r="L34" s="98"/>
    </row>
    <row r="35" spans="1:14" x14ac:dyDescent="0.2">
      <c r="A35" s="98"/>
      <c r="B35" s="98"/>
      <c r="C35" s="98"/>
      <c r="D35" s="98"/>
      <c r="E35" s="98"/>
      <c r="F35" s="98"/>
      <c r="G35" s="98"/>
      <c r="H35" s="98"/>
      <c r="I35" s="98"/>
      <c r="J35" s="98"/>
      <c r="K35" s="98"/>
      <c r="L35" s="98"/>
    </row>
    <row r="36" spans="1:14" x14ac:dyDescent="0.2">
      <c r="A36" s="98"/>
      <c r="B36" s="98"/>
      <c r="C36" s="98"/>
      <c r="D36" s="98"/>
      <c r="E36" s="98"/>
      <c r="F36" s="98"/>
      <c r="G36" s="98"/>
      <c r="H36" s="98"/>
      <c r="I36" s="98"/>
      <c r="J36" s="98"/>
      <c r="K36" s="98"/>
      <c r="L36" s="98"/>
    </row>
    <row r="37" spans="1:14" x14ac:dyDescent="0.2">
      <c r="A37" s="98"/>
      <c r="B37" s="98"/>
      <c r="C37" s="98"/>
      <c r="D37" s="98"/>
      <c r="E37" s="98"/>
      <c r="F37" s="98"/>
      <c r="G37" s="98"/>
      <c r="H37" s="98"/>
      <c r="I37" s="98"/>
      <c r="J37" s="98"/>
      <c r="K37" s="98"/>
      <c r="L37" s="98"/>
    </row>
    <row r="38" spans="1:14" x14ac:dyDescent="0.2">
      <c r="A38" s="98"/>
      <c r="B38" s="98"/>
      <c r="C38" s="98"/>
      <c r="D38" s="98"/>
      <c r="E38" s="98"/>
      <c r="F38" s="98"/>
      <c r="G38" s="98"/>
      <c r="H38" s="98"/>
      <c r="I38" s="98"/>
      <c r="J38" s="98"/>
      <c r="K38" s="98"/>
      <c r="L38" s="98"/>
    </row>
    <row r="39" spans="1:14" x14ac:dyDescent="0.2">
      <c r="A39" s="98"/>
      <c r="B39" s="98"/>
      <c r="C39" s="98"/>
      <c r="D39" s="98"/>
      <c r="E39" s="98"/>
      <c r="F39" s="98"/>
      <c r="G39" s="98"/>
      <c r="H39" s="98"/>
      <c r="I39" s="98"/>
      <c r="J39" s="98"/>
      <c r="K39" s="98"/>
      <c r="L39" s="98"/>
    </row>
    <row r="40" spans="1:14" x14ac:dyDescent="0.2">
      <c r="A40" s="98"/>
      <c r="B40" s="98"/>
      <c r="C40" s="98"/>
      <c r="D40" s="98"/>
      <c r="E40" s="98"/>
      <c r="F40" s="98"/>
      <c r="G40" s="98"/>
      <c r="H40" s="98"/>
      <c r="I40" s="98"/>
      <c r="J40" s="98"/>
      <c r="K40" s="98"/>
      <c r="L40" s="98"/>
    </row>
    <row r="41" spans="1:14" x14ac:dyDescent="0.2">
      <c r="A41" s="98"/>
      <c r="B41" s="98"/>
      <c r="C41" s="98"/>
      <c r="D41" s="98"/>
      <c r="E41" s="98"/>
      <c r="F41" s="98"/>
      <c r="G41" s="98"/>
      <c r="H41" s="98"/>
      <c r="I41" s="98"/>
      <c r="J41" s="98"/>
      <c r="K41" s="98"/>
      <c r="L41" s="98"/>
    </row>
    <row r="42" spans="1:14" x14ac:dyDescent="0.2">
      <c r="A42" s="98"/>
      <c r="B42" s="98"/>
      <c r="C42" s="98"/>
      <c r="D42" s="98"/>
      <c r="E42" s="98"/>
      <c r="F42" s="98"/>
      <c r="G42" s="98"/>
      <c r="H42" s="98"/>
      <c r="I42" s="98"/>
      <c r="J42" s="98"/>
      <c r="K42" s="98"/>
      <c r="L42" s="98"/>
    </row>
    <row r="43" spans="1:14" x14ac:dyDescent="0.2">
      <c r="A43" s="3"/>
      <c r="B43" s="98"/>
      <c r="C43" s="99"/>
      <c r="D43" s="98"/>
      <c r="E43" s="98"/>
      <c r="F43" s="98"/>
      <c r="G43" s="98"/>
      <c r="H43" s="98"/>
      <c r="I43" s="98"/>
      <c r="J43" s="98"/>
      <c r="K43" s="98"/>
      <c r="L43" s="98"/>
    </row>
    <row r="44" spans="1:14" x14ac:dyDescent="0.2">
      <c r="A44" s="98"/>
      <c r="B44" s="98"/>
      <c r="C44" s="98"/>
      <c r="D44" s="98"/>
      <c r="E44" s="98"/>
      <c r="F44" s="98"/>
      <c r="G44" s="98"/>
      <c r="H44" s="98"/>
      <c r="I44" s="98"/>
      <c r="J44" s="98"/>
      <c r="K44" s="98"/>
      <c r="L44" s="98"/>
    </row>
    <row r="45" spans="1:14" x14ac:dyDescent="0.2">
      <c r="A45" s="98"/>
      <c r="B45" s="98"/>
      <c r="C45" s="98"/>
      <c r="D45" s="98"/>
      <c r="E45" s="98"/>
      <c r="F45" s="98"/>
      <c r="G45" s="98"/>
      <c r="H45" s="98"/>
      <c r="I45" s="98"/>
      <c r="J45" s="98"/>
      <c r="K45" s="98"/>
      <c r="L45" s="98"/>
    </row>
    <row r="46" spans="1:14" x14ac:dyDescent="0.2">
      <c r="A46" s="98"/>
      <c r="B46" s="98"/>
      <c r="C46" s="98"/>
      <c r="D46" s="98"/>
      <c r="E46" s="98"/>
      <c r="F46" s="98"/>
      <c r="G46" s="98"/>
      <c r="H46" s="98"/>
      <c r="I46" s="98"/>
      <c r="J46" s="98"/>
      <c r="K46" s="98"/>
      <c r="L46" s="98"/>
    </row>
    <row r="47" spans="1:14" x14ac:dyDescent="0.2">
      <c r="A47" s="98"/>
      <c r="B47" s="98"/>
      <c r="C47" s="98"/>
      <c r="D47" s="98"/>
      <c r="E47" s="98"/>
      <c r="F47" s="98"/>
      <c r="G47" s="98"/>
      <c r="H47" s="98"/>
      <c r="I47" s="98"/>
      <c r="J47" s="98"/>
      <c r="K47" s="98"/>
      <c r="L47" s="98"/>
      <c r="M47" s="70"/>
    </row>
    <row r="48" spans="1:14" x14ac:dyDescent="0.2">
      <c r="A48" s="98"/>
      <c r="B48" s="98"/>
      <c r="C48" s="98"/>
      <c r="D48" s="98"/>
      <c r="E48" s="98"/>
      <c r="F48" s="98"/>
      <c r="G48" s="98"/>
      <c r="H48" s="98"/>
      <c r="I48" s="98"/>
      <c r="J48" s="98"/>
      <c r="K48" s="98"/>
      <c r="L48" s="98"/>
      <c r="M48" s="4"/>
      <c r="N48" s="4"/>
    </row>
    <row r="49" spans="1:14" x14ac:dyDescent="0.2">
      <c r="A49" s="98"/>
      <c r="B49" s="98"/>
      <c r="C49" s="98"/>
      <c r="D49" s="98"/>
      <c r="E49" s="98"/>
      <c r="F49" s="98"/>
      <c r="G49" s="98"/>
      <c r="H49" s="98"/>
      <c r="I49" s="98"/>
      <c r="J49" s="98"/>
      <c r="K49" s="98"/>
      <c r="L49" s="98"/>
      <c r="M49" s="4"/>
      <c r="N49" s="4"/>
    </row>
    <row r="50" spans="1:14" x14ac:dyDescent="0.2">
      <c r="A50" s="98"/>
      <c r="B50" s="98"/>
      <c r="C50" s="98"/>
      <c r="D50" s="98"/>
      <c r="E50" s="98"/>
      <c r="F50" s="98"/>
      <c r="G50" s="98"/>
      <c r="H50" s="98"/>
      <c r="I50" s="98"/>
      <c r="J50" s="98"/>
      <c r="K50" s="98"/>
      <c r="L50" s="98"/>
      <c r="M50" s="4"/>
      <c r="N50" s="4"/>
    </row>
    <row r="51" spans="1:14" x14ac:dyDescent="0.2">
      <c r="A51" s="98"/>
      <c r="B51" s="98"/>
      <c r="C51" s="98"/>
      <c r="D51" s="98"/>
      <c r="E51" s="98"/>
      <c r="F51" s="98"/>
      <c r="G51" s="98"/>
      <c r="H51" s="98"/>
      <c r="I51" s="98"/>
      <c r="J51" s="98"/>
      <c r="K51" s="98"/>
      <c r="L51" s="98"/>
      <c r="M51" s="4"/>
      <c r="N51" s="4"/>
    </row>
    <row r="52" spans="1:14" x14ac:dyDescent="0.2">
      <c r="A52" s="98"/>
      <c r="B52" s="98"/>
      <c r="C52" s="98"/>
      <c r="D52" s="98"/>
      <c r="E52" s="98"/>
      <c r="F52" s="98"/>
      <c r="G52" s="98"/>
      <c r="H52" s="98"/>
      <c r="I52" s="98"/>
      <c r="J52" s="98"/>
      <c r="K52" s="98"/>
      <c r="L52" s="98"/>
      <c r="M52" s="4"/>
      <c r="N52" s="4"/>
    </row>
    <row r="53" spans="1:14" x14ac:dyDescent="0.2">
      <c r="A53" s="98"/>
      <c r="B53" s="98"/>
      <c r="C53" s="98"/>
      <c r="D53" s="98"/>
      <c r="E53" s="98"/>
      <c r="F53" s="98"/>
      <c r="G53" s="98"/>
      <c r="H53" s="98"/>
      <c r="I53" s="98"/>
      <c r="J53" s="98"/>
      <c r="K53" s="98"/>
      <c r="L53" s="98"/>
      <c r="M53" s="4"/>
      <c r="N53" s="4"/>
    </row>
    <row r="54" spans="1:14" x14ac:dyDescent="0.2">
      <c r="A54" s="98"/>
      <c r="B54" s="98"/>
      <c r="C54" s="98"/>
      <c r="D54" s="98"/>
      <c r="E54" s="98"/>
      <c r="F54" s="98"/>
      <c r="G54" s="98"/>
      <c r="H54" s="98"/>
      <c r="I54" s="98"/>
      <c r="J54" s="98"/>
      <c r="K54" s="98"/>
      <c r="L54" s="98"/>
      <c r="M54" s="4"/>
      <c r="N54" s="4"/>
    </row>
    <row r="55" spans="1:14" x14ac:dyDescent="0.2">
      <c r="A55" s="98"/>
      <c r="B55" s="98"/>
      <c r="C55" s="98"/>
      <c r="D55" s="98"/>
      <c r="E55" s="98"/>
      <c r="F55" s="98"/>
      <c r="G55" s="98"/>
      <c r="H55" s="98"/>
      <c r="I55" s="98"/>
      <c r="J55" s="98"/>
      <c r="K55" s="98"/>
      <c r="L55" s="98"/>
      <c r="M55" s="4"/>
      <c r="N55" s="4"/>
    </row>
    <row r="56" spans="1:14" x14ac:dyDescent="0.2">
      <c r="A56" s="98"/>
      <c r="B56" s="98"/>
      <c r="C56" s="98"/>
      <c r="D56" s="98"/>
      <c r="E56" s="98"/>
      <c r="F56" s="98"/>
      <c r="G56" s="98"/>
      <c r="H56" s="98"/>
      <c r="I56" s="98"/>
      <c r="J56" s="98"/>
      <c r="K56" s="98"/>
      <c r="L56" s="98"/>
      <c r="M56" s="4"/>
      <c r="N56" s="4"/>
    </row>
    <row r="57" spans="1:14" x14ac:dyDescent="0.2">
      <c r="A57" s="98"/>
      <c r="B57" s="98"/>
      <c r="C57" s="98"/>
      <c r="D57" s="98"/>
      <c r="E57" s="98"/>
      <c r="F57" s="98"/>
      <c r="G57" s="98"/>
      <c r="H57" s="98"/>
      <c r="I57" s="98"/>
      <c r="J57" s="98"/>
      <c r="K57" s="98"/>
      <c r="L57" s="98"/>
      <c r="M57" s="70"/>
    </row>
    <row r="58" spans="1:14" x14ac:dyDescent="0.2">
      <c r="A58" s="98"/>
      <c r="B58" s="98"/>
      <c r="C58" s="98"/>
      <c r="D58" s="98"/>
      <c r="E58" s="98"/>
      <c r="F58" s="98"/>
      <c r="G58" s="98"/>
      <c r="H58" s="98"/>
      <c r="I58" s="98"/>
      <c r="J58" s="98"/>
      <c r="K58" s="98"/>
      <c r="L58" s="98"/>
      <c r="M58" s="4"/>
      <c r="N58" s="4"/>
    </row>
    <row r="59" spans="1:14" x14ac:dyDescent="0.2">
      <c r="A59" s="98"/>
      <c r="B59" s="98"/>
      <c r="C59" s="98"/>
      <c r="D59" s="98"/>
      <c r="E59" s="98"/>
      <c r="F59" s="98"/>
      <c r="G59" s="98"/>
      <c r="H59" s="98"/>
      <c r="I59" s="98"/>
      <c r="J59" s="98"/>
      <c r="K59" s="98"/>
      <c r="L59" s="98"/>
      <c r="M59" s="4"/>
      <c r="N59" s="4"/>
    </row>
    <row r="60" spans="1:14" x14ac:dyDescent="0.2">
      <c r="A60" s="98"/>
      <c r="B60" s="98"/>
      <c r="C60" s="98"/>
      <c r="D60" s="98"/>
      <c r="E60" s="98"/>
      <c r="F60" s="98"/>
      <c r="G60" s="98"/>
      <c r="H60" s="98"/>
      <c r="I60" s="98"/>
      <c r="J60" s="98"/>
      <c r="K60" s="98"/>
      <c r="L60" s="98"/>
      <c r="M60" s="4"/>
      <c r="N60" s="4"/>
    </row>
    <row r="61" spans="1:14" x14ac:dyDescent="0.2">
      <c r="A61" s="98"/>
      <c r="B61" s="98"/>
      <c r="C61" s="98"/>
      <c r="D61" s="98"/>
      <c r="E61" s="98"/>
      <c r="F61" s="98"/>
      <c r="G61" s="98"/>
      <c r="H61" s="98"/>
      <c r="I61" s="98"/>
      <c r="J61" s="98"/>
      <c r="K61" s="98"/>
      <c r="L61" s="98"/>
      <c r="M61" s="4"/>
      <c r="N61" s="4"/>
    </row>
    <row r="62" spans="1:14" x14ac:dyDescent="0.2">
      <c r="A62" s="98"/>
      <c r="B62" s="98"/>
      <c r="C62" s="98"/>
      <c r="D62" s="98"/>
      <c r="E62" s="98"/>
      <c r="F62" s="98"/>
      <c r="G62" s="98"/>
      <c r="H62" s="98"/>
      <c r="I62" s="98"/>
      <c r="J62" s="98"/>
      <c r="K62" s="98"/>
      <c r="L62" s="98"/>
      <c r="M62" s="4"/>
      <c r="N62" s="4"/>
    </row>
    <row r="63" spans="1:14" x14ac:dyDescent="0.2">
      <c r="A63" s="98"/>
      <c r="B63" s="98"/>
      <c r="C63" s="98"/>
      <c r="D63" s="98"/>
      <c r="E63" s="98"/>
      <c r="F63" s="98"/>
      <c r="G63" s="98"/>
      <c r="H63" s="98"/>
      <c r="I63" s="98"/>
      <c r="J63" s="98"/>
      <c r="K63" s="98"/>
      <c r="L63" s="98"/>
      <c r="M63" s="4"/>
      <c r="N63" s="4"/>
    </row>
    <row r="64" spans="1:14" x14ac:dyDescent="0.2">
      <c r="A64" s="98"/>
      <c r="B64" s="98"/>
      <c r="C64" s="98"/>
      <c r="D64" s="98"/>
      <c r="E64" s="98"/>
      <c r="F64" s="98"/>
      <c r="G64" s="98"/>
      <c r="H64" s="98"/>
      <c r="I64" s="98"/>
      <c r="J64" s="98"/>
      <c r="K64" s="98"/>
      <c r="L64" s="98"/>
      <c r="M64" s="4"/>
      <c r="N64" s="4"/>
    </row>
    <row r="65" spans="1:14" x14ac:dyDescent="0.2">
      <c r="A65" s="98"/>
      <c r="B65" s="98"/>
      <c r="C65" s="98"/>
      <c r="D65" s="98"/>
      <c r="E65" s="98"/>
      <c r="F65" s="98"/>
      <c r="G65" s="98"/>
      <c r="H65" s="98"/>
      <c r="I65" s="98"/>
      <c r="J65" s="98"/>
      <c r="K65" s="98"/>
      <c r="L65" s="98"/>
      <c r="M65" s="4"/>
      <c r="N65" s="4"/>
    </row>
    <row r="66" spans="1:14" x14ac:dyDescent="0.2">
      <c r="A66" s="98"/>
      <c r="B66" s="98"/>
      <c r="C66" s="98"/>
      <c r="D66" s="98"/>
      <c r="E66" s="98"/>
      <c r="F66" s="98"/>
      <c r="G66" s="98"/>
      <c r="H66" s="98"/>
      <c r="I66" s="98"/>
      <c r="J66" s="98"/>
      <c r="K66" s="98"/>
      <c r="L66" s="98"/>
      <c r="M66" s="4"/>
      <c r="N66" s="4"/>
    </row>
    <row r="67" spans="1:14" x14ac:dyDescent="0.2">
      <c r="A67" s="98"/>
      <c r="B67" s="98"/>
      <c r="C67" s="98"/>
      <c r="D67" s="98"/>
      <c r="E67" s="98"/>
      <c r="F67" s="98"/>
      <c r="G67" s="98"/>
      <c r="H67" s="98"/>
      <c r="I67" s="98"/>
      <c r="J67" s="98"/>
      <c r="K67" s="98"/>
      <c r="L67" s="98"/>
      <c r="M67" s="70"/>
    </row>
    <row r="68" spans="1:14" x14ac:dyDescent="0.2">
      <c r="A68" s="98"/>
      <c r="B68" s="98"/>
      <c r="C68" s="98"/>
      <c r="D68" s="98"/>
      <c r="E68" s="98"/>
      <c r="F68" s="98"/>
      <c r="G68" s="98"/>
      <c r="H68" s="98"/>
      <c r="I68" s="98"/>
      <c r="J68" s="98"/>
      <c r="K68" s="98"/>
      <c r="L68" s="98"/>
      <c r="M68" s="4"/>
      <c r="N68" s="4"/>
    </row>
    <row r="69" spans="1:14" x14ac:dyDescent="0.2">
      <c r="A69" s="98"/>
      <c r="B69" s="98"/>
      <c r="C69" s="98"/>
      <c r="D69" s="98"/>
      <c r="E69" s="98"/>
      <c r="F69" s="98"/>
      <c r="G69" s="98"/>
      <c r="H69" s="98"/>
      <c r="I69" s="98"/>
      <c r="J69" s="98"/>
      <c r="K69" s="98"/>
      <c r="L69" s="98"/>
      <c r="M69" s="4"/>
      <c r="N69" s="4"/>
    </row>
    <row r="70" spans="1:14" x14ac:dyDescent="0.2">
      <c r="A70" s="98"/>
      <c r="B70" s="98"/>
      <c r="C70" s="98"/>
      <c r="D70" s="98"/>
      <c r="E70" s="98"/>
      <c r="F70" s="98"/>
      <c r="G70" s="98"/>
      <c r="H70" s="98"/>
      <c r="I70" s="98"/>
      <c r="J70" s="98"/>
      <c r="K70" s="98"/>
      <c r="L70" s="98"/>
      <c r="M70" s="4"/>
      <c r="N70" s="4"/>
    </row>
    <row r="71" spans="1:14" x14ac:dyDescent="0.2">
      <c r="A71" s="98"/>
      <c r="B71" s="98"/>
      <c r="C71" s="98"/>
      <c r="D71" s="98"/>
      <c r="E71" s="98"/>
      <c r="F71" s="98"/>
      <c r="G71" s="98"/>
      <c r="H71" s="98"/>
      <c r="I71" s="98"/>
      <c r="J71" s="98"/>
      <c r="K71" s="98"/>
      <c r="L71" s="98"/>
      <c r="M71" s="4"/>
      <c r="N71" s="4"/>
    </row>
    <row r="72" spans="1:14" x14ac:dyDescent="0.2">
      <c r="A72" s="98"/>
      <c r="B72" s="98"/>
      <c r="C72" s="98"/>
      <c r="D72" s="98"/>
      <c r="E72" s="98"/>
      <c r="F72" s="98"/>
      <c r="G72" s="98"/>
      <c r="H72" s="98"/>
      <c r="I72" s="98"/>
      <c r="J72" s="98"/>
      <c r="K72" s="98"/>
      <c r="L72" s="98"/>
      <c r="M72" s="4"/>
      <c r="N72" s="4"/>
    </row>
    <row r="73" spans="1:14" x14ac:dyDescent="0.2">
      <c r="A73" s="98"/>
      <c r="B73" s="98"/>
      <c r="C73" s="98"/>
      <c r="D73" s="98"/>
      <c r="E73" s="98"/>
      <c r="F73" s="98"/>
      <c r="G73" s="98"/>
      <c r="H73" s="98"/>
      <c r="I73" s="98"/>
      <c r="J73" s="98"/>
      <c r="K73" s="98"/>
      <c r="L73" s="98"/>
      <c r="M73" s="4"/>
      <c r="N73" s="4"/>
    </row>
    <row r="74" spans="1:14" x14ac:dyDescent="0.2">
      <c r="A74" s="98"/>
      <c r="B74" s="98"/>
      <c r="C74" s="98"/>
      <c r="D74" s="98"/>
      <c r="E74" s="98"/>
      <c r="F74" s="98"/>
      <c r="G74" s="98"/>
      <c r="H74" s="98"/>
      <c r="I74" s="98"/>
      <c r="J74" s="98"/>
      <c r="K74" s="98"/>
      <c r="L74" s="98"/>
      <c r="M74" s="4"/>
      <c r="N74" s="4"/>
    </row>
    <row r="75" spans="1:14" x14ac:dyDescent="0.2">
      <c r="A75" s="98"/>
      <c r="B75" s="98"/>
      <c r="C75" s="98"/>
      <c r="D75" s="98"/>
      <c r="E75" s="98"/>
      <c r="F75" s="98"/>
      <c r="G75" s="98"/>
      <c r="H75" s="98"/>
      <c r="I75" s="98"/>
      <c r="J75" s="98"/>
      <c r="K75" s="98"/>
      <c r="L75" s="98"/>
      <c r="M75" s="4"/>
      <c r="N75" s="4"/>
    </row>
    <row r="76" spans="1:14" x14ac:dyDescent="0.2">
      <c r="A76" s="98"/>
      <c r="B76" s="98"/>
      <c r="C76" s="98"/>
      <c r="D76" s="98"/>
      <c r="E76" s="98"/>
      <c r="F76" s="98"/>
      <c r="G76" s="98"/>
      <c r="H76" s="98"/>
      <c r="I76" s="98"/>
      <c r="J76" s="98"/>
      <c r="K76" s="98"/>
      <c r="L76" s="98"/>
      <c r="M76" s="4"/>
      <c r="N76" s="4"/>
    </row>
    <row r="77" spans="1:14" x14ac:dyDescent="0.2">
      <c r="A77" s="98"/>
      <c r="B77" s="98"/>
      <c r="C77" s="98"/>
      <c r="D77" s="98"/>
      <c r="E77" s="98"/>
      <c r="F77" s="98"/>
      <c r="G77" s="98"/>
      <c r="H77" s="98"/>
      <c r="I77" s="98"/>
      <c r="J77" s="98"/>
      <c r="K77" s="98"/>
      <c r="L77" s="98"/>
      <c r="M77" s="70"/>
    </row>
    <row r="78" spans="1:14" x14ac:dyDescent="0.2">
      <c r="A78" s="98"/>
      <c r="B78" s="98"/>
      <c r="C78" s="98"/>
      <c r="D78" s="98"/>
      <c r="E78" s="98"/>
      <c r="F78" s="98"/>
      <c r="G78" s="98"/>
      <c r="H78" s="98"/>
      <c r="I78" s="98"/>
      <c r="J78" s="98"/>
      <c r="K78" s="98"/>
      <c r="L78" s="98"/>
      <c r="M78" s="4"/>
      <c r="N78" s="4"/>
    </row>
    <row r="79" spans="1:14" x14ac:dyDescent="0.2">
      <c r="A79" s="98"/>
      <c r="B79" s="98"/>
      <c r="C79" s="98"/>
      <c r="D79" s="98"/>
      <c r="E79" s="98"/>
      <c r="F79" s="98"/>
      <c r="G79" s="98"/>
      <c r="H79" s="98"/>
      <c r="I79" s="98"/>
      <c r="J79" s="98"/>
      <c r="K79" s="98"/>
      <c r="L79" s="98"/>
      <c r="M79" s="4"/>
      <c r="N79" s="4"/>
    </row>
    <row r="80" spans="1:14" x14ac:dyDescent="0.2">
      <c r="A80" s="98"/>
      <c r="B80" s="98"/>
      <c r="C80" s="98"/>
      <c r="D80" s="98"/>
      <c r="E80" s="98"/>
      <c r="F80" s="98"/>
      <c r="G80" s="98"/>
      <c r="H80" s="98"/>
      <c r="I80" s="98"/>
      <c r="J80" s="98"/>
      <c r="K80" s="98"/>
      <c r="L80" s="98"/>
      <c r="M80" s="4"/>
      <c r="N80" s="4"/>
    </row>
    <row r="81" spans="1:64" x14ac:dyDescent="0.2">
      <c r="A81" s="98"/>
      <c r="B81" s="98"/>
      <c r="C81" s="98"/>
      <c r="D81" s="98"/>
      <c r="E81" s="98"/>
      <c r="F81" s="98"/>
      <c r="G81" s="98"/>
      <c r="H81" s="98"/>
      <c r="I81" s="98"/>
      <c r="J81" s="98"/>
      <c r="K81" s="98"/>
      <c r="L81" s="98"/>
      <c r="M81" s="4"/>
      <c r="N81" s="4"/>
    </row>
    <row r="82" spans="1:64" x14ac:dyDescent="0.2">
      <c r="A82" s="98"/>
      <c r="B82" s="98"/>
      <c r="C82" s="98"/>
      <c r="D82" s="98"/>
      <c r="E82" s="98"/>
      <c r="F82" s="98"/>
      <c r="G82" s="98"/>
      <c r="H82" s="98"/>
      <c r="I82" s="98"/>
      <c r="J82" s="98"/>
      <c r="K82" s="98"/>
      <c r="L82" s="98"/>
      <c r="M82" s="4"/>
      <c r="N82" s="4"/>
    </row>
    <row r="83" spans="1:64" x14ac:dyDescent="0.2">
      <c r="A83" s="98"/>
      <c r="B83" s="98"/>
      <c r="C83" s="98"/>
      <c r="D83" s="98"/>
      <c r="E83" s="98"/>
      <c r="F83" s="98"/>
      <c r="G83" s="98"/>
      <c r="H83" s="98"/>
      <c r="I83" s="98"/>
      <c r="J83" s="98"/>
      <c r="K83" s="98"/>
      <c r="L83" s="98"/>
      <c r="M83" s="4"/>
      <c r="N83" s="4"/>
    </row>
    <row r="84" spans="1:64" x14ac:dyDescent="0.2">
      <c r="A84" s="98"/>
      <c r="B84" s="98"/>
      <c r="C84" s="98"/>
      <c r="D84" s="98"/>
      <c r="E84" s="98"/>
      <c r="F84" s="98"/>
      <c r="G84" s="98"/>
      <c r="H84" s="98"/>
      <c r="I84" s="98"/>
      <c r="J84" s="98"/>
      <c r="K84" s="98"/>
      <c r="L84" s="98"/>
      <c r="M84" s="4"/>
      <c r="N84" s="4"/>
    </row>
    <row r="85" spans="1:64" x14ac:dyDescent="0.2">
      <c r="A85" s="98"/>
      <c r="B85" s="98"/>
      <c r="C85" s="98"/>
      <c r="D85" s="98"/>
      <c r="E85" s="98"/>
      <c r="F85" s="98"/>
      <c r="G85" s="98"/>
      <c r="H85" s="98"/>
      <c r="I85" s="98"/>
      <c r="J85" s="98"/>
      <c r="K85" s="98"/>
      <c r="L85" s="98"/>
      <c r="M85" s="4"/>
      <c r="N85" s="4"/>
    </row>
    <row r="86" spans="1:64" x14ac:dyDescent="0.2">
      <c r="A86" s="98"/>
      <c r="B86" s="98"/>
      <c r="C86" s="98"/>
      <c r="D86" s="98"/>
      <c r="E86" s="98"/>
      <c r="F86" s="98"/>
      <c r="G86" s="98"/>
      <c r="H86" s="98"/>
      <c r="I86" s="98"/>
      <c r="J86" s="98"/>
      <c r="K86" s="98"/>
      <c r="L86" s="98"/>
      <c r="M86" s="4"/>
      <c r="N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row>
    <row r="87" spans="1:64" x14ac:dyDescent="0.2">
      <c r="A87" s="4"/>
      <c r="B87" s="4"/>
      <c r="C87" s="4"/>
      <c r="D87" s="4"/>
      <c r="E87" s="4"/>
      <c r="F87" s="4"/>
      <c r="G87" s="4"/>
      <c r="H87" s="4"/>
      <c r="I87" s="4"/>
      <c r="J87" s="4"/>
      <c r="K87" s="4"/>
      <c r="L87" s="98"/>
      <c r="M87" s="70"/>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row>
    <row r="88" spans="1:64" x14ac:dyDescent="0.2">
      <c r="A88" s="4"/>
      <c r="B88" s="4"/>
      <c r="C88" s="4"/>
      <c r="D88" s="4"/>
      <c r="E88" s="4"/>
      <c r="F88" s="4"/>
      <c r="G88" s="4"/>
      <c r="H88" s="4"/>
      <c r="I88" s="4"/>
      <c r="J88" s="4"/>
      <c r="K88" s="4"/>
      <c r="L88" s="98"/>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row>
    <row r="89" spans="1:64"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row>
    <row r="90" spans="1:64"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row>
    <row r="91" spans="1:64"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row>
    <row r="92" spans="1:64"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row>
    <row r="93" spans="1:64"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row>
    <row r="94" spans="1:64"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row>
    <row r="95" spans="1:64"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row>
    <row r="96" spans="1:64"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row>
    <row r="97" spans="1:64"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row>
    <row r="98" spans="1:64"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row>
    <row r="99" spans="1:64"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row>
    <row r="100" spans="1:64"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row>
    <row r="101" spans="1:64"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row>
    <row r="102" spans="1:64"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row>
    <row r="103" spans="1:64"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row>
    <row r="104" spans="1:64"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row>
    <row r="105" spans="1:64"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row>
    <row r="106" spans="1:64"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row>
    <row r="107" spans="1:64"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row>
    <row r="108" spans="1:64"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row>
    <row r="109" spans="1:64"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row>
    <row r="110" spans="1:64"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row>
    <row r="111" spans="1:64"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row>
    <row r="112" spans="1:64"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row>
    <row r="113" spans="1:64"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row>
    <row r="114" spans="1:64"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row>
    <row r="115" spans="1:64"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row>
    <row r="116" spans="1:64"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row>
    <row r="117" spans="1:64"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row>
    <row r="118" spans="1:64"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row>
    <row r="119" spans="1:64"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row>
    <row r="120" spans="1:64"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row>
    <row r="121" spans="1:64"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row>
    <row r="122" spans="1:64"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row>
    <row r="123" spans="1:64"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row>
    <row r="124" spans="1:64"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row>
    <row r="125" spans="1:64"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row>
    <row r="126" spans="1:64"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row>
    <row r="127" spans="1:64"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row>
    <row r="128" spans="1:64"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row>
    <row r="129" spans="1:64"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row>
    <row r="130" spans="1:64"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row>
    <row r="131" spans="1:64"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row>
    <row r="132" spans="1:64"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row>
    <row r="133" spans="1:64"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row>
    <row r="134" spans="1:64"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row>
    <row r="135" spans="1:64"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row>
    <row r="136" spans="1:64"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row>
    <row r="137" spans="1:64"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row>
    <row r="138" spans="1:64"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row>
    <row r="139" spans="1:64"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row>
    <row r="140" spans="1:64"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row>
    <row r="141" spans="1:64"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row>
    <row r="142" spans="1:64"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row>
    <row r="143" spans="1:64"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row>
    <row r="144" spans="1:64"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row>
    <row r="145" spans="1:64"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row>
    <row r="146" spans="1:64"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row>
    <row r="147" spans="1:64"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row>
    <row r="148" spans="1:64"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row>
    <row r="149" spans="1:64"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row>
    <row r="150" spans="1:64"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row>
    <row r="151" spans="1:64"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row>
    <row r="152" spans="1:64"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row>
    <row r="153" spans="1:64"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row>
    <row r="154" spans="1:64"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row>
    <row r="155" spans="1:64"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row>
    <row r="156" spans="1:64"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row>
    <row r="157" spans="1:64"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row>
    <row r="158" spans="1:64"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row>
    <row r="159" spans="1:64"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row>
    <row r="160" spans="1:64"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row>
    <row r="161" spans="1:64"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row>
    <row r="162" spans="1:64"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row>
    <row r="163" spans="1:64"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row>
    <row r="164" spans="1:64"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row>
    <row r="165" spans="1:64"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row>
    <row r="166" spans="1:64"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row>
    <row r="167" spans="1:64"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row>
    <row r="168" spans="1:64"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row>
    <row r="169" spans="1:64"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row>
    <row r="170" spans="1:64"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row>
    <row r="171" spans="1:64"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row>
    <row r="172" spans="1:64"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row>
    <row r="173" spans="1:64"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row>
    <row r="174" spans="1:64"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row>
    <row r="175" spans="1:64"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row>
    <row r="176" spans="1:64"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row>
    <row r="177" spans="1:64"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row>
    <row r="178" spans="1:64"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row>
    <row r="179" spans="1:64"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row>
    <row r="180" spans="1:64"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row>
    <row r="181" spans="1:64"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row>
    <row r="182" spans="1:64"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row>
    <row r="183" spans="1:64"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row>
    <row r="184" spans="1:64"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row>
    <row r="185" spans="1:64"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row>
    <row r="186" spans="1:64"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row>
    <row r="187" spans="1:64" x14ac:dyDescent="0.2">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row>
    <row r="188" spans="1:64" x14ac:dyDescent="0.2">
      <c r="L188" s="4"/>
      <c r="M188" s="4"/>
      <c r="N188" s="4"/>
      <c r="O188" s="4"/>
      <c r="P188" s="4"/>
      <c r="Q188" s="4"/>
      <c r="R188" s="4"/>
      <c r="S188" s="4"/>
      <c r="T188" s="4"/>
      <c r="U188" s="4"/>
    </row>
    <row r="189" spans="1:64" x14ac:dyDescent="0.2">
      <c r="L189" s="4"/>
      <c r="M189" s="4"/>
      <c r="N189" s="4"/>
      <c r="O189" s="4"/>
      <c r="P189" s="4"/>
      <c r="Q189" s="4"/>
      <c r="R189" s="4"/>
      <c r="S189" s="4"/>
      <c r="T189" s="4"/>
    </row>
  </sheetData>
  <mergeCells count="3">
    <mergeCell ref="A18:J18"/>
    <mergeCell ref="M21:T23"/>
    <mergeCell ref="M11:T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190"/>
  <sheetViews>
    <sheetView zoomScaleNormal="100" workbookViewId="0"/>
  </sheetViews>
  <sheetFormatPr baseColWidth="10" defaultColWidth="10.83203125" defaultRowHeight="16" outlineLevelCol="1" x14ac:dyDescent="0.2"/>
  <cols>
    <col min="1" max="1" width="4.6640625" style="75" customWidth="1"/>
    <col min="2" max="5" width="10.83203125" style="75"/>
    <col min="6" max="6" width="10.83203125" style="75" customWidth="1"/>
    <col min="7" max="9" width="10.83203125" style="75"/>
    <col min="10" max="10" width="10.83203125" style="75" customWidth="1"/>
    <col min="11" max="11" width="11.6640625" style="75" bestFit="1" customWidth="1"/>
    <col min="12" max="16" width="10.83203125" style="75" hidden="1" customWidth="1" outlineLevel="1"/>
    <col min="17" max="17" width="12" style="75" hidden="1" customWidth="1" outlineLevel="1"/>
    <col min="18" max="22" width="10.83203125" style="75" hidden="1" customWidth="1" outlineLevel="1"/>
    <col min="23" max="23" width="10.83203125" style="75" collapsed="1"/>
    <col min="24" max="16384" width="10.83203125" style="75"/>
  </cols>
  <sheetData>
    <row r="1" spans="1:18" ht="19" x14ac:dyDescent="0.25">
      <c r="A1" s="1" t="s">
        <v>158</v>
      </c>
      <c r="B1" s="19"/>
      <c r="C1" s="63"/>
      <c r="D1" s="63"/>
      <c r="E1" s="63"/>
      <c r="F1" s="73"/>
      <c r="G1" s="73"/>
      <c r="H1" s="73"/>
      <c r="I1" s="73"/>
      <c r="J1" s="74"/>
      <c r="K1" s="27" t="s">
        <v>148</v>
      </c>
    </row>
    <row r="2" spans="1:18" x14ac:dyDescent="0.2">
      <c r="A2" s="76"/>
      <c r="B2" s="73"/>
      <c r="C2" s="73"/>
      <c r="D2" s="73"/>
      <c r="E2" s="73"/>
      <c r="F2" s="73"/>
      <c r="G2" s="73"/>
      <c r="H2" s="73"/>
      <c r="I2" s="73"/>
      <c r="J2" s="74"/>
      <c r="L2" s="21" t="s">
        <v>2</v>
      </c>
      <c r="N2" s="78"/>
    </row>
    <row r="3" spans="1:18" x14ac:dyDescent="0.2">
      <c r="A3" s="76"/>
      <c r="B3" s="73" t="s">
        <v>11</v>
      </c>
      <c r="C3" s="73"/>
      <c r="D3" s="73"/>
      <c r="E3" s="73"/>
      <c r="F3" s="73"/>
      <c r="G3" s="73"/>
      <c r="H3" s="73"/>
      <c r="I3" s="73"/>
      <c r="J3" s="74"/>
      <c r="M3" s="21" t="s">
        <v>112</v>
      </c>
    </row>
    <row r="4" spans="1:18" ht="34" x14ac:dyDescent="0.2">
      <c r="A4" s="76"/>
      <c r="B4" s="73"/>
      <c r="C4" s="73"/>
      <c r="D4" s="73"/>
      <c r="E4" s="73"/>
      <c r="F4" s="73"/>
      <c r="G4" s="73"/>
      <c r="H4" s="73"/>
      <c r="I4" s="73"/>
      <c r="J4" s="74"/>
      <c r="M4" s="22" t="s">
        <v>12</v>
      </c>
      <c r="N4" s="9" t="s">
        <v>113</v>
      </c>
      <c r="O4" s="22" t="s">
        <v>81</v>
      </c>
      <c r="P4" s="9" t="s">
        <v>110</v>
      </c>
      <c r="Q4" s="9" t="s">
        <v>111</v>
      </c>
    </row>
    <row r="5" spans="1:18" x14ac:dyDescent="0.2">
      <c r="A5" s="76"/>
      <c r="B5" s="73"/>
      <c r="C5" s="322" t="s">
        <v>16</v>
      </c>
      <c r="D5" s="322"/>
      <c r="E5" s="322"/>
      <c r="F5" s="322"/>
      <c r="G5" s="73"/>
      <c r="H5" s="73"/>
      <c r="I5" s="73"/>
      <c r="J5" s="74"/>
      <c r="M5" s="23">
        <v>2013</v>
      </c>
      <c r="N5" s="89">
        <f>O5*P5</f>
        <v>12.755102040816327</v>
      </c>
      <c r="O5" s="90">
        <f t="shared" ref="O5:O6" si="0">P5/Q5</f>
        <v>8.2290980908492431E-4</v>
      </c>
      <c r="P5" s="91">
        <f>D18</f>
        <v>15500</v>
      </c>
      <c r="Q5" s="91">
        <f>E18^2</f>
        <v>18835600</v>
      </c>
    </row>
    <row r="6" spans="1:18" ht="34" x14ac:dyDescent="0.2">
      <c r="A6" s="76"/>
      <c r="B6" s="73"/>
      <c r="C6" s="57" t="s">
        <v>12</v>
      </c>
      <c r="D6" s="55" t="s">
        <v>13</v>
      </c>
      <c r="E6" s="55" t="s">
        <v>14</v>
      </c>
      <c r="F6" s="55" t="s">
        <v>15</v>
      </c>
      <c r="G6" s="73"/>
      <c r="H6" s="73"/>
      <c r="I6" s="73"/>
      <c r="J6" s="74"/>
      <c r="M6" s="23">
        <v>2014</v>
      </c>
      <c r="N6" s="89">
        <f>O6*P6</f>
        <v>11.111111111111112</v>
      </c>
      <c r="O6" s="90">
        <f t="shared" si="0"/>
        <v>7.0546737213403885E-4</v>
      </c>
      <c r="P6" s="91">
        <f>D19</f>
        <v>15750</v>
      </c>
      <c r="Q6" s="91">
        <f>E19^2</f>
        <v>22325625</v>
      </c>
    </row>
    <row r="7" spans="1:18" x14ac:dyDescent="0.2">
      <c r="A7" s="76"/>
      <c r="B7" s="73"/>
      <c r="C7" s="58">
        <v>2013</v>
      </c>
      <c r="D7" s="24">
        <v>10870</v>
      </c>
      <c r="E7" s="24">
        <v>14310</v>
      </c>
      <c r="F7" s="24">
        <v>15190</v>
      </c>
      <c r="G7" s="73"/>
      <c r="H7" s="73"/>
      <c r="I7" s="73"/>
      <c r="J7" s="74"/>
      <c r="M7" s="23">
        <v>2015</v>
      </c>
      <c r="N7" s="89">
        <f>O7*P7</f>
        <v>9.1827364554637274</v>
      </c>
      <c r="O7" s="90">
        <f>P7/Q7</f>
        <v>5.7392102846648299E-4</v>
      </c>
      <c r="P7" s="91">
        <f>D20</f>
        <v>16000</v>
      </c>
      <c r="Q7" s="91">
        <f>E20^2</f>
        <v>27878400</v>
      </c>
    </row>
    <row r="8" spans="1:18" x14ac:dyDescent="0.2">
      <c r="A8" s="76"/>
      <c r="B8" s="73"/>
      <c r="C8" s="58">
        <v>2014</v>
      </c>
      <c r="D8" s="24">
        <v>13460</v>
      </c>
      <c r="E8" s="24">
        <v>17280</v>
      </c>
      <c r="F8" s="8"/>
      <c r="G8" s="73"/>
      <c r="H8" s="73"/>
      <c r="I8" s="73"/>
      <c r="J8" s="74"/>
    </row>
    <row r="9" spans="1:18" x14ac:dyDescent="0.2">
      <c r="A9" s="76"/>
      <c r="B9" s="73"/>
      <c r="C9" s="58">
        <v>2015</v>
      </c>
      <c r="D9" s="24">
        <v>12290</v>
      </c>
      <c r="E9" s="8"/>
      <c r="F9" s="8"/>
      <c r="G9" s="73"/>
      <c r="H9" s="73"/>
      <c r="I9" s="73"/>
      <c r="J9" s="74"/>
    </row>
    <row r="10" spans="1:18" x14ac:dyDescent="0.2">
      <c r="A10" s="76"/>
      <c r="B10" s="73"/>
      <c r="C10" s="73"/>
      <c r="D10" s="73"/>
      <c r="E10" s="73"/>
      <c r="F10" s="73"/>
      <c r="G10" s="73"/>
      <c r="H10" s="73"/>
      <c r="I10" s="73"/>
      <c r="J10" s="74"/>
      <c r="M10" s="75" t="s">
        <v>100</v>
      </c>
      <c r="N10" s="92">
        <f>SUM(E7:E8)/SUM(D7:D8)</f>
        <v>1.2983970406905057</v>
      </c>
      <c r="O10" s="92">
        <f>F7/E7</f>
        <v>1.0614954577218729</v>
      </c>
      <c r="P10" s="89">
        <v>1</v>
      </c>
    </row>
    <row r="11" spans="1:18" x14ac:dyDescent="0.2">
      <c r="A11" s="76"/>
      <c r="B11" s="73" t="s">
        <v>17</v>
      </c>
      <c r="C11" s="73"/>
      <c r="D11" s="73"/>
      <c r="E11" s="73"/>
      <c r="F11" s="73"/>
      <c r="G11" s="73"/>
      <c r="H11" s="73"/>
      <c r="I11" s="87">
        <v>40</v>
      </c>
      <c r="J11" s="74"/>
      <c r="M11" s="75" t="s">
        <v>101</v>
      </c>
      <c r="N11" s="92">
        <f>N10*O11</f>
        <v>1.3782425610124935</v>
      </c>
      <c r="O11" s="92">
        <f>O10*P11</f>
        <v>1.0614954577218729</v>
      </c>
      <c r="P11" s="89">
        <f>P10</f>
        <v>1</v>
      </c>
    </row>
    <row r="12" spans="1:18" x14ac:dyDescent="0.2">
      <c r="A12" s="76"/>
      <c r="B12" s="73" t="s">
        <v>18</v>
      </c>
      <c r="C12" s="73"/>
      <c r="D12" s="73"/>
      <c r="E12" s="73"/>
      <c r="F12" s="73"/>
      <c r="G12" s="73"/>
      <c r="H12" s="73"/>
      <c r="I12" s="73"/>
      <c r="J12" s="74"/>
      <c r="M12" s="75" t="s">
        <v>102</v>
      </c>
      <c r="N12" s="93">
        <f>1/N11</f>
        <v>0.72556168869532911</v>
      </c>
      <c r="O12" s="93">
        <f>1/O11</f>
        <v>0.94206714944042125</v>
      </c>
      <c r="P12" s="93">
        <f>1/P11</f>
        <v>1</v>
      </c>
    </row>
    <row r="13" spans="1:18" x14ac:dyDescent="0.2">
      <c r="A13" s="76"/>
      <c r="B13" s="73"/>
      <c r="C13" s="73"/>
      <c r="D13" s="73"/>
      <c r="E13" s="73"/>
      <c r="F13" s="73"/>
      <c r="G13" s="73"/>
      <c r="H13" s="73"/>
      <c r="I13" s="73"/>
      <c r="J13" s="74"/>
      <c r="M13" s="75" t="s">
        <v>103</v>
      </c>
      <c r="N13" s="93">
        <f>N12</f>
        <v>0.72556168869532911</v>
      </c>
      <c r="O13" s="93">
        <f>O12-N12</f>
        <v>0.21650546074509214</v>
      </c>
      <c r="P13" s="93">
        <f>P12-O12</f>
        <v>5.7932850559578752E-2</v>
      </c>
    </row>
    <row r="14" spans="1:18" x14ac:dyDescent="0.2">
      <c r="A14" s="76"/>
      <c r="B14" s="73" t="s">
        <v>19</v>
      </c>
      <c r="C14" s="73"/>
      <c r="D14" s="73"/>
      <c r="E14" s="73"/>
      <c r="F14" s="73"/>
      <c r="G14" s="73"/>
      <c r="H14" s="73"/>
      <c r="I14" s="73"/>
      <c r="J14" s="74"/>
    </row>
    <row r="15" spans="1:18" x14ac:dyDescent="0.2">
      <c r="A15" s="76"/>
      <c r="B15" s="73" t="s">
        <v>20</v>
      </c>
      <c r="C15" s="73"/>
      <c r="D15" s="73"/>
      <c r="E15" s="73"/>
      <c r="F15" s="73"/>
      <c r="G15" s="73"/>
      <c r="H15" s="73"/>
      <c r="I15" s="73"/>
      <c r="J15" s="74"/>
      <c r="M15" s="21" t="s">
        <v>104</v>
      </c>
      <c r="R15" s="25" t="s">
        <v>105</v>
      </c>
    </row>
    <row r="16" spans="1:18" x14ac:dyDescent="0.2">
      <c r="A16" s="76"/>
      <c r="B16" s="73"/>
      <c r="C16" s="73"/>
      <c r="D16" s="73"/>
      <c r="E16" s="73"/>
      <c r="F16" s="73"/>
      <c r="G16" s="73"/>
      <c r="H16" s="73"/>
      <c r="I16" s="73"/>
      <c r="J16" s="74"/>
    </row>
    <row r="17" spans="1:22" ht="34" x14ac:dyDescent="0.2">
      <c r="A17" s="76"/>
      <c r="B17" s="73"/>
      <c r="C17" s="60" t="s">
        <v>12</v>
      </c>
      <c r="D17" s="56" t="s">
        <v>21</v>
      </c>
      <c r="E17" s="56" t="s">
        <v>22</v>
      </c>
      <c r="F17" s="73"/>
      <c r="G17" s="73"/>
      <c r="H17" s="73"/>
      <c r="I17" s="73"/>
      <c r="J17" s="74"/>
      <c r="M17" s="22" t="s">
        <v>12</v>
      </c>
      <c r="N17" s="9" t="s">
        <v>13</v>
      </c>
      <c r="O17" s="9" t="s">
        <v>14</v>
      </c>
      <c r="P17" s="9" t="s">
        <v>15</v>
      </c>
      <c r="R17" s="22" t="s">
        <v>12</v>
      </c>
      <c r="S17" s="9" t="s">
        <v>13</v>
      </c>
      <c r="T17" s="9" t="s">
        <v>14</v>
      </c>
      <c r="U17" s="9" t="s">
        <v>15</v>
      </c>
    </row>
    <row r="18" spans="1:22" x14ac:dyDescent="0.2">
      <c r="A18" s="76"/>
      <c r="B18" s="73"/>
      <c r="C18" s="61">
        <v>2013</v>
      </c>
      <c r="D18" s="5">
        <v>15500</v>
      </c>
      <c r="E18" s="5">
        <v>4340</v>
      </c>
      <c r="F18" s="73"/>
      <c r="G18" s="73"/>
      <c r="H18" s="73"/>
      <c r="I18" s="73"/>
      <c r="J18" s="74"/>
      <c r="M18" s="23">
        <v>2013</v>
      </c>
      <c r="N18" s="11"/>
      <c r="O18" s="10"/>
      <c r="P18" s="9"/>
      <c r="R18" s="23">
        <v>2013</v>
      </c>
      <c r="S18" s="11"/>
      <c r="T18" s="10"/>
      <c r="U18" s="9"/>
    </row>
    <row r="19" spans="1:22" x14ac:dyDescent="0.2">
      <c r="A19" s="76"/>
      <c r="B19" s="73"/>
      <c r="C19" s="61">
        <v>2014</v>
      </c>
      <c r="D19" s="5">
        <v>15750</v>
      </c>
      <c r="E19" s="5">
        <v>4725</v>
      </c>
      <c r="F19" s="73"/>
      <c r="G19" s="73"/>
      <c r="H19" s="73"/>
      <c r="I19" s="73"/>
      <c r="J19" s="74"/>
      <c r="L19" s="21"/>
      <c r="M19" s="23">
        <v>2014</v>
      </c>
      <c r="N19" s="11"/>
      <c r="O19" s="12"/>
      <c r="P19" s="13">
        <f>(O11-1)*E8</f>
        <v>1062.6415094339641</v>
      </c>
      <c r="R19" s="23">
        <v>2014</v>
      </c>
      <c r="S19" s="11"/>
      <c r="T19" s="12"/>
      <c r="U19" s="13">
        <f>D19*P13</f>
        <v>912.44239631336541</v>
      </c>
    </row>
    <row r="20" spans="1:22" x14ac:dyDescent="0.2">
      <c r="A20" s="76"/>
      <c r="B20" s="73"/>
      <c r="C20" s="61">
        <v>2015</v>
      </c>
      <c r="D20" s="5">
        <v>16000</v>
      </c>
      <c r="E20" s="5">
        <v>5280</v>
      </c>
      <c r="F20" s="73"/>
      <c r="G20" s="73"/>
      <c r="H20" s="73"/>
      <c r="I20" s="73"/>
      <c r="J20" s="74"/>
      <c r="M20" s="23">
        <v>2015</v>
      </c>
      <c r="N20" s="14"/>
      <c r="O20" s="13">
        <f>(N10-1)*D9</f>
        <v>3667.2996300863147</v>
      </c>
      <c r="P20" s="15">
        <f>(O11-1)*(D9+T28)</f>
        <v>980.91817679884309</v>
      </c>
      <c r="R20" s="23">
        <v>2015</v>
      </c>
      <c r="S20" s="14"/>
      <c r="T20" s="13">
        <f>$D$20*O13</f>
        <v>3464.0873719214742</v>
      </c>
      <c r="U20" s="13">
        <f>$D$20*P13</f>
        <v>926.92560895326005</v>
      </c>
    </row>
    <row r="21" spans="1:22" x14ac:dyDescent="0.2">
      <c r="A21" s="76"/>
      <c r="B21" s="73"/>
      <c r="C21" s="73"/>
      <c r="D21" s="73"/>
      <c r="E21" s="73"/>
      <c r="F21" s="73"/>
      <c r="G21" s="73"/>
      <c r="H21" s="73"/>
      <c r="I21" s="73"/>
      <c r="J21" s="74"/>
    </row>
    <row r="22" spans="1:22" x14ac:dyDescent="0.2">
      <c r="A22" s="76"/>
      <c r="B22" s="73"/>
      <c r="C22" s="73"/>
      <c r="D22" s="73"/>
      <c r="E22" s="73"/>
      <c r="F22" s="73"/>
      <c r="G22" s="73"/>
      <c r="H22" s="73"/>
      <c r="I22" s="73"/>
      <c r="J22" s="74"/>
    </row>
    <row r="23" spans="1:22" ht="16" customHeight="1" x14ac:dyDescent="0.2">
      <c r="A23" s="73" t="s">
        <v>0</v>
      </c>
      <c r="B23" s="327" t="s">
        <v>156</v>
      </c>
      <c r="C23" s="327"/>
      <c r="D23" s="327"/>
      <c r="E23" s="327"/>
      <c r="F23" s="327"/>
      <c r="G23" s="327"/>
      <c r="H23" s="327"/>
      <c r="I23" s="327"/>
      <c r="J23" s="74"/>
      <c r="M23" s="21" t="s">
        <v>106</v>
      </c>
      <c r="R23" s="21" t="s">
        <v>107</v>
      </c>
    </row>
    <row r="24" spans="1:22" x14ac:dyDescent="0.2">
      <c r="A24" s="76"/>
      <c r="B24" s="327"/>
      <c r="C24" s="327"/>
      <c r="D24" s="327"/>
      <c r="E24" s="327"/>
      <c r="F24" s="327"/>
      <c r="G24" s="327"/>
      <c r="H24" s="327"/>
      <c r="I24" s="327"/>
      <c r="J24" s="74"/>
    </row>
    <row r="25" spans="1:22" ht="34" x14ac:dyDescent="0.2">
      <c r="A25" s="73" t="s">
        <v>1</v>
      </c>
      <c r="B25" s="73" t="s">
        <v>23</v>
      </c>
      <c r="C25" s="73"/>
      <c r="D25" s="73"/>
      <c r="E25" s="73"/>
      <c r="F25" s="73"/>
      <c r="G25" s="73"/>
      <c r="H25" s="73"/>
      <c r="I25" s="73"/>
      <c r="J25" s="74"/>
      <c r="M25" s="22" t="s">
        <v>12</v>
      </c>
      <c r="N25" s="9" t="s">
        <v>13</v>
      </c>
      <c r="O25" s="9" t="s">
        <v>14</v>
      </c>
      <c r="P25" s="9" t="s">
        <v>15</v>
      </c>
      <c r="R25" s="22" t="s">
        <v>12</v>
      </c>
      <c r="S25" s="9" t="s">
        <v>13</v>
      </c>
      <c r="T25" s="9" t="s">
        <v>14</v>
      </c>
      <c r="U25" s="9" t="s">
        <v>15</v>
      </c>
      <c r="V25" s="10" t="s">
        <v>108</v>
      </c>
    </row>
    <row r="26" spans="1:22" ht="17" thickBot="1" x14ac:dyDescent="0.25">
      <c r="A26" s="76"/>
      <c r="B26" s="73" t="s">
        <v>24</v>
      </c>
      <c r="C26" s="73"/>
      <c r="D26" s="73"/>
      <c r="E26" s="73"/>
      <c r="F26" s="73"/>
      <c r="G26" s="73"/>
      <c r="H26" s="73"/>
      <c r="I26" s="73"/>
      <c r="J26" s="74"/>
      <c r="M26" s="23">
        <v>2013</v>
      </c>
      <c r="N26" s="11"/>
      <c r="O26" s="10"/>
      <c r="P26" s="9"/>
      <c r="R26" s="23">
        <v>2013</v>
      </c>
      <c r="S26" s="11"/>
      <c r="T26" s="10"/>
      <c r="U26" s="9"/>
      <c r="V26" s="94"/>
    </row>
    <row r="27" spans="1:22" ht="17" thickBot="1" x14ac:dyDescent="0.25">
      <c r="A27" s="76"/>
      <c r="B27" s="73"/>
      <c r="C27" s="73"/>
      <c r="D27" s="73"/>
      <c r="E27" s="73"/>
      <c r="F27" s="73"/>
      <c r="G27" s="73"/>
      <c r="H27" s="73"/>
      <c r="I27" s="73"/>
      <c r="J27" s="74"/>
      <c r="M27" s="23">
        <v>2014</v>
      </c>
      <c r="N27" s="11"/>
      <c r="O27" s="16"/>
      <c r="P27" s="17">
        <f>O$12/($O$6*$N$30+O$12)</f>
        <v>0.97091713225501119</v>
      </c>
      <c r="R27" s="23">
        <v>2014</v>
      </c>
      <c r="S27" s="11"/>
      <c r="T27" s="12"/>
      <c r="U27" s="13">
        <f>P19*P27+(1-P27)*U19</f>
        <v>1058.2732884916629</v>
      </c>
      <c r="V27" s="26">
        <f>SUM(T28:U28)</f>
        <v>4640.700924457471</v>
      </c>
    </row>
    <row r="28" spans="1:22" ht="17" thickBot="1" x14ac:dyDescent="0.25">
      <c r="A28" s="76"/>
      <c r="B28" s="73"/>
      <c r="C28" s="73"/>
      <c r="D28" s="73"/>
      <c r="E28" s="73"/>
      <c r="F28" s="73"/>
      <c r="G28" s="73"/>
      <c r="H28" s="73"/>
      <c r="I28" s="73"/>
      <c r="J28" s="74"/>
      <c r="M28" s="23">
        <v>2015</v>
      </c>
      <c r="N28" s="14"/>
      <c r="O28" s="18">
        <f>N$12/($O$7*$N$30+N$12)</f>
        <v>0.96933029681476168</v>
      </c>
      <c r="P28" s="18">
        <f>O$12/($O$7*$N$30+O$12)</f>
        <v>0.97621111872578037</v>
      </c>
      <c r="R28" s="23">
        <v>2015</v>
      </c>
      <c r="S28" s="14"/>
      <c r="T28" s="13">
        <f>O20*O28+(1-O28)*T20</f>
        <v>3661.0671704447968</v>
      </c>
      <c r="U28" s="13">
        <f>P20*P28+(1-P28)*U20</f>
        <v>979.63375401267433</v>
      </c>
    </row>
    <row r="29" spans="1:22" ht="17" thickBot="1" x14ac:dyDescent="0.25">
      <c r="A29" s="323" t="s">
        <v>145</v>
      </c>
      <c r="B29" s="324"/>
      <c r="C29" s="324"/>
      <c r="D29" s="324"/>
      <c r="E29" s="324"/>
      <c r="F29" s="324"/>
      <c r="G29" s="324"/>
      <c r="H29" s="324"/>
      <c r="I29" s="324"/>
      <c r="J29" s="325"/>
    </row>
    <row r="30" spans="1:22" x14ac:dyDescent="0.2">
      <c r="M30" s="75" t="s">
        <v>109</v>
      </c>
      <c r="N30" s="75">
        <v>40</v>
      </c>
    </row>
    <row r="31" spans="1:22" ht="19" x14ac:dyDescent="0.2">
      <c r="A31" s="27"/>
    </row>
    <row r="32" spans="1:22" x14ac:dyDescent="0.2">
      <c r="M32" s="21" t="s">
        <v>131</v>
      </c>
    </row>
    <row r="34" spans="12:21" x14ac:dyDescent="0.2">
      <c r="L34" s="21" t="s">
        <v>3</v>
      </c>
    </row>
    <row r="35" spans="12:21" x14ac:dyDescent="0.2">
      <c r="M35" s="326" t="s">
        <v>155</v>
      </c>
      <c r="N35" s="326"/>
      <c r="O35" s="326"/>
      <c r="P35" s="326"/>
      <c r="Q35" s="326"/>
      <c r="R35" s="326"/>
      <c r="S35" s="326"/>
      <c r="T35" s="326"/>
    </row>
    <row r="36" spans="12:21" x14ac:dyDescent="0.2">
      <c r="M36" s="326"/>
      <c r="N36" s="326"/>
      <c r="O36" s="326"/>
      <c r="P36" s="326"/>
      <c r="Q36" s="326"/>
      <c r="R36" s="326"/>
      <c r="S36" s="326"/>
      <c r="T36" s="326"/>
    </row>
    <row r="37" spans="12:21" x14ac:dyDescent="0.2">
      <c r="M37" s="326"/>
      <c r="N37" s="326"/>
      <c r="O37" s="326"/>
      <c r="P37" s="326"/>
      <c r="Q37" s="326"/>
      <c r="R37" s="326"/>
      <c r="S37" s="326"/>
      <c r="T37" s="326"/>
    </row>
    <row r="38" spans="12:21" x14ac:dyDescent="0.2">
      <c r="M38" s="326"/>
      <c r="N38" s="326"/>
      <c r="O38" s="326"/>
      <c r="P38" s="326"/>
      <c r="Q38" s="326"/>
      <c r="R38" s="326"/>
      <c r="S38" s="326"/>
      <c r="T38" s="326"/>
    </row>
    <row r="41" spans="12:21" ht="19" x14ac:dyDescent="0.2">
      <c r="L41" s="27" t="s">
        <v>132</v>
      </c>
    </row>
    <row r="42" spans="12:21" ht="16" customHeight="1" x14ac:dyDescent="0.2">
      <c r="M42" s="326" t="s">
        <v>136</v>
      </c>
      <c r="N42" s="326"/>
      <c r="O42" s="326"/>
      <c r="P42" s="326"/>
      <c r="Q42" s="326"/>
      <c r="R42" s="326"/>
      <c r="S42" s="326"/>
      <c r="T42" s="326"/>
      <c r="U42" s="77"/>
    </row>
    <row r="43" spans="12:21" x14ac:dyDescent="0.2">
      <c r="M43" s="326"/>
      <c r="N43" s="326"/>
      <c r="O43" s="326"/>
      <c r="P43" s="326"/>
      <c r="Q43" s="326"/>
      <c r="R43" s="326"/>
      <c r="S43" s="326"/>
      <c r="T43" s="326"/>
    </row>
    <row r="44" spans="12:21" x14ac:dyDescent="0.2">
      <c r="M44" s="77"/>
      <c r="N44" s="77"/>
      <c r="O44" s="77"/>
      <c r="P44" s="77"/>
      <c r="Q44" s="77"/>
      <c r="R44" s="77"/>
      <c r="S44" s="77"/>
      <c r="T44" s="77"/>
    </row>
    <row r="45" spans="12:21" x14ac:dyDescent="0.2">
      <c r="M45" s="21" t="s">
        <v>137</v>
      </c>
    </row>
    <row r="46" spans="12:21" x14ac:dyDescent="0.2">
      <c r="N46" s="91"/>
    </row>
    <row r="47" spans="12:21" x14ac:dyDescent="0.2">
      <c r="M47" s="21" t="s">
        <v>142</v>
      </c>
      <c r="N47" s="91"/>
    </row>
    <row r="48" spans="12:21" x14ac:dyDescent="0.2">
      <c r="M48" s="21"/>
      <c r="N48" s="320" t="s">
        <v>141</v>
      </c>
    </row>
    <row r="49" spans="12:15" x14ac:dyDescent="0.2">
      <c r="M49" s="95"/>
      <c r="N49" s="321"/>
    </row>
    <row r="50" spans="12:15" x14ac:dyDescent="0.2">
      <c r="M50" s="96" t="s">
        <v>138</v>
      </c>
      <c r="N50" s="97">
        <f>D9*(N11-1)</f>
        <v>4648.6010748435456</v>
      </c>
    </row>
    <row r="51" spans="12:15" ht="17" thickBot="1" x14ac:dyDescent="0.25">
      <c r="M51" s="96" t="s">
        <v>139</v>
      </c>
      <c r="N51" s="97">
        <f>D20*(O13+P13)</f>
        <v>4391.0129808747342</v>
      </c>
    </row>
    <row r="52" spans="12:15" ht="17" thickBot="1" x14ac:dyDescent="0.25">
      <c r="M52" s="28" t="s">
        <v>140</v>
      </c>
      <c r="N52" s="29">
        <f>N50*O28+(1-O28)*N51</f>
        <v>4640.700924457471</v>
      </c>
      <c r="O52" s="75" t="s">
        <v>143</v>
      </c>
    </row>
    <row r="55" spans="12:15" ht="19" x14ac:dyDescent="0.25">
      <c r="L55" s="2" t="s">
        <v>172</v>
      </c>
    </row>
    <row r="56" spans="12:15" x14ac:dyDescent="0.2">
      <c r="L56" s="100" t="s">
        <v>169</v>
      </c>
    </row>
    <row r="65" spans="13:14" x14ac:dyDescent="0.2">
      <c r="N65" s="30"/>
    </row>
    <row r="66" spans="13:14" x14ac:dyDescent="0.2">
      <c r="N66" s="30"/>
    </row>
    <row r="67" spans="13:14" x14ac:dyDescent="0.2">
      <c r="N67" s="30"/>
    </row>
    <row r="68" spans="13:14" x14ac:dyDescent="0.2">
      <c r="N68" s="30"/>
    </row>
    <row r="69" spans="13:14" x14ac:dyDescent="0.2">
      <c r="M69" s="78"/>
    </row>
    <row r="70" spans="13:14" x14ac:dyDescent="0.2">
      <c r="N70" s="30"/>
    </row>
    <row r="71" spans="13:14" x14ac:dyDescent="0.2">
      <c r="N71" s="30"/>
    </row>
    <row r="72" spans="13:14" x14ac:dyDescent="0.2">
      <c r="N72" s="30"/>
    </row>
    <row r="73" spans="13:14" x14ac:dyDescent="0.2">
      <c r="N73" s="30"/>
    </row>
    <row r="74" spans="13:14" x14ac:dyDescent="0.2">
      <c r="N74" s="30"/>
    </row>
    <row r="75" spans="13:14" ht="38" customHeight="1" x14ac:dyDescent="0.2">
      <c r="N75" s="30"/>
    </row>
    <row r="76" spans="13:14" x14ac:dyDescent="0.2">
      <c r="N76" s="30"/>
    </row>
    <row r="77" spans="13:14" x14ac:dyDescent="0.2">
      <c r="N77" s="30"/>
    </row>
    <row r="78" spans="13:14" x14ac:dyDescent="0.2">
      <c r="M78" s="78"/>
    </row>
    <row r="79" spans="13:14" x14ac:dyDescent="0.2">
      <c r="N79" s="30"/>
    </row>
    <row r="80" spans="13:14" x14ac:dyDescent="0.2">
      <c r="N80" s="30"/>
    </row>
    <row r="81" spans="1:65" x14ac:dyDescent="0.2">
      <c r="N81" s="30"/>
    </row>
    <row r="82" spans="1:65" x14ac:dyDescent="0.2">
      <c r="N82" s="30"/>
    </row>
    <row r="83" spans="1:65" x14ac:dyDescent="0.2">
      <c r="N83" s="30"/>
    </row>
    <row r="84" spans="1:65" x14ac:dyDescent="0.2">
      <c r="N84" s="30"/>
    </row>
    <row r="85" spans="1:65" x14ac:dyDescent="0.2">
      <c r="N85" s="30"/>
    </row>
    <row r="86" spans="1:65" x14ac:dyDescent="0.2">
      <c r="N86" s="30"/>
    </row>
    <row r="87" spans="1:65" x14ac:dyDescent="0.2">
      <c r="A87" s="30"/>
      <c r="B87" s="30"/>
      <c r="C87" s="30"/>
      <c r="D87" s="30"/>
      <c r="E87" s="30"/>
      <c r="F87" s="30"/>
      <c r="G87" s="30"/>
      <c r="H87" s="30"/>
      <c r="I87" s="30"/>
      <c r="J87" s="30"/>
      <c r="L87" s="30"/>
      <c r="M87" s="30"/>
      <c r="N87" s="30"/>
    </row>
    <row r="88" spans="1:65" x14ac:dyDescent="0.2">
      <c r="A88" s="30"/>
      <c r="B88" s="30"/>
      <c r="C88" s="30"/>
      <c r="D88" s="30"/>
      <c r="E88" s="30"/>
      <c r="F88" s="30"/>
      <c r="G88" s="30"/>
      <c r="H88" s="30"/>
      <c r="I88" s="30"/>
      <c r="J88" s="30"/>
      <c r="M88" s="78"/>
    </row>
    <row r="89" spans="1:65" x14ac:dyDescent="0.2">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row>
    <row r="90" spans="1:65" x14ac:dyDescent="0.2">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row>
    <row r="91" spans="1:65" x14ac:dyDescent="0.2">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row>
    <row r="92" spans="1:65" x14ac:dyDescent="0.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row>
    <row r="93" spans="1:65" x14ac:dyDescent="0.2">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row>
    <row r="94" spans="1:65" x14ac:dyDescent="0.2">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row>
    <row r="95" spans="1:65" x14ac:dyDescent="0.2">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row>
    <row r="96" spans="1:65" x14ac:dyDescent="0.2">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row>
    <row r="97" spans="1:65" x14ac:dyDescent="0.2">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row>
    <row r="98" spans="1:65" x14ac:dyDescent="0.2">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row>
    <row r="99" spans="1:65" x14ac:dyDescent="0.2">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row>
    <row r="100" spans="1:65" x14ac:dyDescent="0.2">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row>
    <row r="101" spans="1:65" x14ac:dyDescent="0.2">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row>
    <row r="102" spans="1:65" x14ac:dyDescent="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row>
    <row r="103" spans="1:65" x14ac:dyDescent="0.2">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row>
    <row r="104" spans="1:65" x14ac:dyDescent="0.2">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row>
    <row r="105" spans="1:65" x14ac:dyDescent="0.2">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row>
    <row r="106" spans="1:65" x14ac:dyDescent="0.2">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row>
    <row r="107" spans="1:65" x14ac:dyDescent="0.2">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row>
    <row r="108" spans="1:65" x14ac:dyDescent="0.2">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row>
    <row r="109" spans="1:65" x14ac:dyDescent="0.2">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row>
    <row r="110" spans="1:65" x14ac:dyDescent="0.2">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row>
    <row r="111" spans="1:65" x14ac:dyDescent="0.2">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row>
    <row r="112" spans="1:65" x14ac:dyDescent="0.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row>
    <row r="113" spans="1:65" x14ac:dyDescent="0.2">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row>
    <row r="114" spans="1:65" x14ac:dyDescent="0.2">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row>
    <row r="115" spans="1:65" x14ac:dyDescent="0.2">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row>
    <row r="116" spans="1:65" x14ac:dyDescent="0.2">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row>
    <row r="117" spans="1:65" x14ac:dyDescent="0.2">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row>
    <row r="118" spans="1:65" x14ac:dyDescent="0.2">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row>
    <row r="119" spans="1:65" x14ac:dyDescent="0.2">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row>
    <row r="120" spans="1:65" x14ac:dyDescent="0.2">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row>
    <row r="121" spans="1:65" x14ac:dyDescent="0.2">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row>
    <row r="122" spans="1:65" x14ac:dyDescent="0.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row>
    <row r="123" spans="1:65" x14ac:dyDescent="0.2">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row>
    <row r="124" spans="1:65" x14ac:dyDescent="0.2">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row>
    <row r="125" spans="1:65" x14ac:dyDescent="0.2">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row>
    <row r="126" spans="1:65" x14ac:dyDescent="0.2">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row>
    <row r="127" spans="1:65" x14ac:dyDescent="0.2">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row>
    <row r="128" spans="1:65" x14ac:dyDescent="0.2">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row>
    <row r="129" spans="1:65" x14ac:dyDescent="0.2">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row>
    <row r="130" spans="1:65" x14ac:dyDescent="0.2">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row>
    <row r="131" spans="1:65" x14ac:dyDescent="0.2">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row>
    <row r="132" spans="1:65" x14ac:dyDescent="0.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row>
    <row r="133" spans="1:65" x14ac:dyDescent="0.2">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row>
    <row r="134" spans="1:65" x14ac:dyDescent="0.2">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row>
    <row r="135" spans="1:65" x14ac:dyDescent="0.2">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row>
    <row r="136" spans="1:65" x14ac:dyDescent="0.2">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row>
    <row r="137" spans="1:65" x14ac:dyDescent="0.2">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row>
    <row r="138" spans="1:65" x14ac:dyDescent="0.2">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row>
    <row r="139" spans="1:65" x14ac:dyDescent="0.2">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row>
    <row r="140" spans="1:65" x14ac:dyDescent="0.2">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row>
    <row r="141" spans="1:65" x14ac:dyDescent="0.2">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row>
    <row r="142" spans="1:65" x14ac:dyDescent="0.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row>
    <row r="143" spans="1:65" x14ac:dyDescent="0.2">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row>
    <row r="144" spans="1:65" x14ac:dyDescent="0.2">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row>
    <row r="145" spans="1:65" x14ac:dyDescent="0.2">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row>
    <row r="146" spans="1:65" x14ac:dyDescent="0.2">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row>
    <row r="147" spans="1:65" x14ac:dyDescent="0.2">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row>
    <row r="148" spans="1:65" x14ac:dyDescent="0.2">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row>
    <row r="149" spans="1:65" x14ac:dyDescent="0.2">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row>
    <row r="150" spans="1:65" x14ac:dyDescent="0.2">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row>
    <row r="151" spans="1:65" x14ac:dyDescent="0.2">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row>
    <row r="152" spans="1:65" x14ac:dyDescent="0.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row>
    <row r="153" spans="1:65" x14ac:dyDescent="0.2">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row>
    <row r="154" spans="1:65"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row>
    <row r="155" spans="1:65" x14ac:dyDescent="0.2">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row>
    <row r="156" spans="1:65" x14ac:dyDescent="0.2">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row>
    <row r="157" spans="1:65" x14ac:dyDescent="0.2">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row>
    <row r="158" spans="1:65" x14ac:dyDescent="0.2">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row>
    <row r="159" spans="1:65" x14ac:dyDescent="0.2">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row>
    <row r="160" spans="1:65" x14ac:dyDescent="0.2">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row>
    <row r="161" spans="1:65" x14ac:dyDescent="0.2">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row>
    <row r="162" spans="1:65" x14ac:dyDescent="0.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row>
    <row r="163" spans="1:65" x14ac:dyDescent="0.2">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row>
    <row r="164" spans="1:65" x14ac:dyDescent="0.2">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row>
    <row r="165" spans="1:65" x14ac:dyDescent="0.2">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row>
    <row r="166" spans="1:65" x14ac:dyDescent="0.2">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row>
    <row r="167" spans="1:65" x14ac:dyDescent="0.2">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row>
    <row r="168" spans="1:65" x14ac:dyDescent="0.2">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row>
    <row r="169" spans="1:65" x14ac:dyDescent="0.2">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row>
    <row r="170" spans="1:65" x14ac:dyDescent="0.2">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row>
    <row r="171" spans="1:65" x14ac:dyDescent="0.2">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row>
    <row r="172" spans="1:65" x14ac:dyDescent="0.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row>
    <row r="173" spans="1:65" x14ac:dyDescent="0.2">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row>
    <row r="174" spans="1:65" x14ac:dyDescent="0.2">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row>
    <row r="175" spans="1:65" x14ac:dyDescent="0.2">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row>
    <row r="176" spans="1:65" x14ac:dyDescent="0.2">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row>
    <row r="177" spans="1:65" x14ac:dyDescent="0.2">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row>
    <row r="178" spans="1:65" x14ac:dyDescent="0.2">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row>
    <row r="179" spans="1:65" x14ac:dyDescent="0.2">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row>
    <row r="180" spans="1:65" x14ac:dyDescent="0.2">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row>
    <row r="181" spans="1:65" x14ac:dyDescent="0.2">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row>
    <row r="182" spans="1:65" x14ac:dyDescent="0.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row>
    <row r="183" spans="1:65" x14ac:dyDescent="0.2">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row>
    <row r="184" spans="1:65" x14ac:dyDescent="0.2">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row>
    <row r="185" spans="1:65" x14ac:dyDescent="0.2">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row>
    <row r="186" spans="1:65" x14ac:dyDescent="0.2">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row>
    <row r="187" spans="1:65" x14ac:dyDescent="0.2">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row>
    <row r="188" spans="1:65" x14ac:dyDescent="0.2">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row>
    <row r="189" spans="1:65" x14ac:dyDescent="0.2">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row>
    <row r="190" spans="1:65" x14ac:dyDescent="0.2">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row>
  </sheetData>
  <mergeCells count="6">
    <mergeCell ref="N48:N49"/>
    <mergeCell ref="C5:F5"/>
    <mergeCell ref="A29:J29"/>
    <mergeCell ref="M42:T43"/>
    <mergeCell ref="M35:T38"/>
    <mergeCell ref="B23:I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198"/>
  <sheetViews>
    <sheetView zoomScaleNormal="100" workbookViewId="0"/>
  </sheetViews>
  <sheetFormatPr baseColWidth="10" defaultColWidth="10.83203125" defaultRowHeight="16" outlineLevelCol="1" x14ac:dyDescent="0.2"/>
  <cols>
    <col min="1" max="1" width="4.6640625" style="75" customWidth="1"/>
    <col min="2" max="3" width="10.83203125" style="75" customWidth="1"/>
    <col min="4" max="7" width="10.83203125" style="75"/>
    <col min="8" max="8" width="10.83203125" style="75" customWidth="1"/>
    <col min="9" max="10" width="10.83203125" style="75"/>
    <col min="11" max="11" width="11.83203125" style="75" bestFit="1" customWidth="1"/>
    <col min="12" max="20" width="10.83203125" style="75" hidden="1" customWidth="1" outlineLevel="1"/>
    <col min="21" max="21" width="10.83203125" style="75" collapsed="1"/>
    <col min="22" max="16384" width="10.83203125" style="75"/>
  </cols>
  <sheetData>
    <row r="1" spans="1:20" ht="19" x14ac:dyDescent="0.25">
      <c r="A1" s="1" t="s">
        <v>159</v>
      </c>
      <c r="B1" s="19"/>
      <c r="C1" s="63"/>
      <c r="D1" s="63"/>
      <c r="E1" s="63"/>
      <c r="F1" s="73"/>
      <c r="G1" s="73"/>
      <c r="H1" s="73"/>
      <c r="I1" s="73"/>
      <c r="J1" s="74"/>
      <c r="K1" s="27" t="s">
        <v>148</v>
      </c>
    </row>
    <row r="2" spans="1:20" x14ac:dyDescent="0.2">
      <c r="A2" s="76"/>
      <c r="B2" s="73"/>
      <c r="C2" s="73"/>
      <c r="D2" s="73"/>
      <c r="E2" s="73"/>
      <c r="F2" s="73"/>
      <c r="G2" s="73"/>
      <c r="H2" s="73"/>
      <c r="I2" s="73"/>
      <c r="J2" s="74"/>
      <c r="L2" s="21" t="s">
        <v>2</v>
      </c>
      <c r="N2" s="78"/>
    </row>
    <row r="3" spans="1:20" ht="17" thickBot="1" x14ac:dyDescent="0.25">
      <c r="A3" s="76"/>
      <c r="B3" s="73" t="s">
        <v>25</v>
      </c>
      <c r="C3" s="73"/>
      <c r="D3" s="73"/>
      <c r="E3" s="73"/>
      <c r="F3" s="73"/>
      <c r="G3" s="73"/>
      <c r="H3" s="73"/>
      <c r="I3" s="73"/>
      <c r="J3" s="74"/>
      <c r="N3" s="31" t="s">
        <v>114</v>
      </c>
      <c r="S3" s="32" t="s">
        <v>119</v>
      </c>
      <c r="T3" s="33"/>
    </row>
    <row r="4" spans="1:20" x14ac:dyDescent="0.2">
      <c r="A4" s="76"/>
      <c r="B4" s="73"/>
      <c r="C4" s="73"/>
      <c r="D4" s="73"/>
      <c r="E4" s="73"/>
      <c r="F4" s="73"/>
      <c r="G4" s="73"/>
      <c r="H4" s="73"/>
      <c r="I4" s="73"/>
      <c r="J4" s="74"/>
      <c r="M4" s="34" t="s">
        <v>115</v>
      </c>
      <c r="N4" s="35">
        <v>12</v>
      </c>
      <c r="O4" s="35">
        <v>24</v>
      </c>
      <c r="P4" s="35">
        <v>36</v>
      </c>
      <c r="Q4" s="35">
        <v>48</v>
      </c>
      <c r="R4" s="84"/>
      <c r="S4" s="85" t="s">
        <v>118</v>
      </c>
      <c r="T4" s="36" t="s">
        <v>120</v>
      </c>
    </row>
    <row r="5" spans="1:20" x14ac:dyDescent="0.2">
      <c r="A5" s="76"/>
      <c r="B5" s="73"/>
      <c r="C5" s="331" t="s">
        <v>12</v>
      </c>
      <c r="D5" s="73"/>
      <c r="E5" s="73"/>
      <c r="F5" s="73"/>
      <c r="G5" s="73"/>
      <c r="H5" s="73"/>
      <c r="I5" s="329" t="s">
        <v>27</v>
      </c>
      <c r="J5" s="74"/>
      <c r="M5" s="37">
        <v>1</v>
      </c>
      <c r="N5" s="33">
        <v>840</v>
      </c>
      <c r="O5" s="33">
        <v>560</v>
      </c>
      <c r="P5" s="33">
        <v>310</v>
      </c>
      <c r="Q5" s="33">
        <v>60</v>
      </c>
      <c r="R5" s="84"/>
      <c r="S5" s="86">
        <f>I7</f>
        <v>1800</v>
      </c>
      <c r="T5" s="38">
        <v>1</v>
      </c>
    </row>
    <row r="6" spans="1:20" ht="17" x14ac:dyDescent="0.2">
      <c r="A6" s="76"/>
      <c r="B6" s="73"/>
      <c r="C6" s="332"/>
      <c r="D6" s="55" t="s">
        <v>13</v>
      </c>
      <c r="E6" s="55" t="s">
        <v>14</v>
      </c>
      <c r="F6" s="55" t="s">
        <v>15</v>
      </c>
      <c r="G6" s="55" t="s">
        <v>26</v>
      </c>
      <c r="H6" s="73"/>
      <c r="I6" s="330"/>
      <c r="J6" s="74"/>
      <c r="M6" s="37">
        <v>2</v>
      </c>
      <c r="N6" s="33">
        <v>960</v>
      </c>
      <c r="O6" s="33">
        <v>530</v>
      </c>
      <c r="P6" s="33">
        <v>280</v>
      </c>
      <c r="Q6" s="39">
        <f>Q5*(T6-1)</f>
        <v>62.56038647342983</v>
      </c>
      <c r="R6" s="84"/>
      <c r="S6" s="86">
        <f>I8</f>
        <v>1850</v>
      </c>
      <c r="T6" s="38">
        <f>1+S6*P12/SUM(Q5)</f>
        <v>2.0426731078904972</v>
      </c>
    </row>
    <row r="7" spans="1:20" x14ac:dyDescent="0.2">
      <c r="A7" s="76"/>
      <c r="B7" s="73"/>
      <c r="C7" s="58">
        <v>2013</v>
      </c>
      <c r="D7" s="6">
        <v>840</v>
      </c>
      <c r="E7" s="6">
        <v>560</v>
      </c>
      <c r="F7" s="6">
        <v>310</v>
      </c>
      <c r="G7" s="6">
        <v>60</v>
      </c>
      <c r="H7" s="73"/>
      <c r="I7" s="5">
        <v>1800</v>
      </c>
      <c r="J7" s="74"/>
      <c r="M7" s="37">
        <v>3</v>
      </c>
      <c r="N7" s="33">
        <v>770</v>
      </c>
      <c r="O7" s="33">
        <v>620</v>
      </c>
      <c r="P7" s="39">
        <f>SUM(P5:P6)*($T7-1)</f>
        <v>310.74152823920247</v>
      </c>
      <c r="Q7" s="40">
        <f>SUM(Q5:Q6)*($T7-1)</f>
        <v>64.550172532781133</v>
      </c>
      <c r="R7" s="84"/>
      <c r="S7" s="86">
        <f>I9</f>
        <v>1900</v>
      </c>
      <c r="T7" s="38">
        <f>1+S7*O12/SUM(P5:Q6)</f>
        <v>1.5266805563376313</v>
      </c>
    </row>
    <row r="8" spans="1:20" ht="17" thickBot="1" x14ac:dyDescent="0.25">
      <c r="A8" s="76"/>
      <c r="B8" s="73"/>
      <c r="C8" s="58">
        <v>2014</v>
      </c>
      <c r="D8" s="6">
        <v>960</v>
      </c>
      <c r="E8" s="6">
        <v>530</v>
      </c>
      <c r="F8" s="6">
        <v>280</v>
      </c>
      <c r="G8" s="6"/>
      <c r="H8" s="73"/>
      <c r="I8" s="5">
        <v>1850</v>
      </c>
      <c r="J8" s="74"/>
      <c r="M8" s="37">
        <v>4</v>
      </c>
      <c r="N8" s="33">
        <v>810</v>
      </c>
      <c r="O8" s="41">
        <f>($T$8-1)*SUM(O5:O7)</f>
        <v>601.56266874617813</v>
      </c>
      <c r="P8" s="42">
        <f>($T$8-1)*SUM(P5:P7)</f>
        <v>316.87279390531319</v>
      </c>
      <c r="Q8" s="42">
        <f>($T$8-1)*SUM(Q5:Q7)</f>
        <v>65.823817091441811</v>
      </c>
      <c r="R8" s="84"/>
      <c r="S8" s="86">
        <f>I10</f>
        <v>1900</v>
      </c>
      <c r="T8" s="43">
        <f>1+S8*N12/SUM(O5:Q7)</f>
        <v>1.3517910343544901</v>
      </c>
    </row>
    <row r="9" spans="1:20" x14ac:dyDescent="0.2">
      <c r="A9" s="76"/>
      <c r="B9" s="73"/>
      <c r="C9" s="58">
        <v>2015</v>
      </c>
      <c r="D9" s="6">
        <v>770</v>
      </c>
      <c r="E9" s="6">
        <v>620</v>
      </c>
      <c r="F9" s="6"/>
      <c r="G9" s="6"/>
      <c r="H9" s="73"/>
      <c r="I9" s="5">
        <v>1900</v>
      </c>
      <c r="J9" s="74"/>
      <c r="M9" s="44"/>
      <c r="N9" s="45"/>
      <c r="O9" s="45"/>
      <c r="P9" s="45"/>
    </row>
    <row r="10" spans="1:20" x14ac:dyDescent="0.2">
      <c r="A10" s="76"/>
      <c r="B10" s="73"/>
      <c r="C10" s="58">
        <v>2016</v>
      </c>
      <c r="D10" s="6">
        <v>810</v>
      </c>
      <c r="E10" s="6"/>
      <c r="F10" s="6"/>
      <c r="G10" s="6"/>
      <c r="H10" s="73"/>
      <c r="I10" s="5">
        <v>1900</v>
      </c>
      <c r="J10" s="74"/>
      <c r="M10" s="46" t="s">
        <v>116</v>
      </c>
      <c r="N10" s="75">
        <f>D12</f>
        <v>1.665</v>
      </c>
      <c r="O10" s="75">
        <f>E12</f>
        <v>1.204</v>
      </c>
      <c r="P10" s="75">
        <f>F12</f>
        <v>1.0349999999999999</v>
      </c>
      <c r="Q10" s="75">
        <f>G12</f>
        <v>1</v>
      </c>
    </row>
    <row r="11" spans="1:20" x14ac:dyDescent="0.2">
      <c r="A11" s="76"/>
      <c r="B11" s="73"/>
      <c r="C11" s="7"/>
      <c r="D11" s="8"/>
      <c r="E11" s="8"/>
      <c r="F11" s="8"/>
      <c r="G11" s="8"/>
      <c r="H11" s="7"/>
      <c r="I11" s="7"/>
      <c r="J11" s="74"/>
      <c r="M11" s="46" t="s">
        <v>101</v>
      </c>
      <c r="N11" s="47">
        <f>N10*O11</f>
        <v>2.0748230999999997</v>
      </c>
      <c r="O11" s="47">
        <f>O10*P11</f>
        <v>1.2461399999999998</v>
      </c>
      <c r="P11" s="47">
        <f>P10*Q11</f>
        <v>1.0349999999999999</v>
      </c>
      <c r="Q11" s="47">
        <f>Q10</f>
        <v>1</v>
      </c>
    </row>
    <row r="12" spans="1:20" ht="51" x14ac:dyDescent="0.2">
      <c r="A12" s="76"/>
      <c r="B12" s="73"/>
      <c r="C12" s="58" t="s">
        <v>28</v>
      </c>
      <c r="D12" s="87">
        <v>1.665</v>
      </c>
      <c r="E12" s="87">
        <v>1.204</v>
      </c>
      <c r="F12" s="87">
        <v>1.0349999999999999</v>
      </c>
      <c r="G12" s="88">
        <v>1</v>
      </c>
      <c r="H12" s="73"/>
      <c r="I12" s="73"/>
      <c r="J12" s="74"/>
      <c r="M12" s="46" t="s">
        <v>117</v>
      </c>
      <c r="N12" s="48">
        <f>1-1/N11</f>
        <v>0.51803119986470159</v>
      </c>
      <c r="O12" s="48">
        <f>1-1/O11</f>
        <v>0.1975219477747282</v>
      </c>
      <c r="P12" s="48">
        <f>1-1/P11</f>
        <v>3.3816425120772875E-2</v>
      </c>
      <c r="Q12" s="48">
        <f>1-1/Q11</f>
        <v>0</v>
      </c>
    </row>
    <row r="13" spans="1:20" x14ac:dyDescent="0.2">
      <c r="A13" s="76"/>
      <c r="B13" s="73"/>
      <c r="C13" s="73"/>
      <c r="D13" s="73"/>
      <c r="E13" s="73"/>
      <c r="F13" s="73"/>
      <c r="G13" s="73"/>
      <c r="H13" s="73"/>
      <c r="I13" s="73"/>
      <c r="J13" s="74"/>
      <c r="N13" s="78"/>
    </row>
    <row r="14" spans="1:20" x14ac:dyDescent="0.2">
      <c r="A14" s="76"/>
      <c r="B14" s="73" t="s">
        <v>29</v>
      </c>
      <c r="C14" s="73"/>
      <c r="D14" s="73"/>
      <c r="E14" s="73"/>
      <c r="F14" s="73"/>
      <c r="G14" s="73"/>
      <c r="H14" s="73"/>
      <c r="I14" s="73"/>
      <c r="J14" s="74"/>
    </row>
    <row r="15" spans="1:20" x14ac:dyDescent="0.2">
      <c r="A15" s="76"/>
      <c r="B15" s="73"/>
      <c r="C15" s="73"/>
      <c r="D15" s="73"/>
      <c r="E15" s="73"/>
      <c r="F15" s="73"/>
      <c r="G15" s="73"/>
      <c r="H15" s="73"/>
      <c r="I15" s="73"/>
      <c r="J15" s="74"/>
      <c r="M15" s="75" t="s">
        <v>121</v>
      </c>
    </row>
    <row r="16" spans="1:20" x14ac:dyDescent="0.2">
      <c r="A16" s="76"/>
      <c r="B16" s="73" t="s">
        <v>30</v>
      </c>
      <c r="C16" s="73"/>
      <c r="D16" s="73"/>
      <c r="E16" s="73"/>
      <c r="F16" s="73"/>
      <c r="G16" s="73"/>
      <c r="H16" s="73"/>
      <c r="I16" s="73"/>
      <c r="J16" s="74"/>
    </row>
    <row r="17" spans="1:21" x14ac:dyDescent="0.2">
      <c r="A17" s="76"/>
      <c r="B17" s="73" t="s">
        <v>31</v>
      </c>
      <c r="C17" s="73"/>
      <c r="D17" s="73"/>
      <c r="E17" s="73"/>
      <c r="F17" s="73"/>
      <c r="G17" s="73"/>
      <c r="H17" s="73"/>
      <c r="I17" s="73"/>
      <c r="J17" s="74"/>
      <c r="L17" s="21" t="s">
        <v>3</v>
      </c>
    </row>
    <row r="18" spans="1:21" ht="16" customHeight="1" x14ac:dyDescent="0.2">
      <c r="A18" s="76"/>
      <c r="B18" s="73"/>
      <c r="C18" s="73"/>
      <c r="D18" s="73"/>
      <c r="E18" s="73"/>
      <c r="F18" s="73"/>
      <c r="G18" s="73"/>
      <c r="H18" s="73"/>
      <c r="I18" s="73"/>
      <c r="J18" s="74"/>
      <c r="L18" s="328" t="s">
        <v>122</v>
      </c>
      <c r="M18" s="328"/>
      <c r="N18" s="328"/>
      <c r="O18" s="328"/>
      <c r="P18" s="328"/>
      <c r="Q18" s="328"/>
      <c r="R18" s="328"/>
      <c r="S18" s="328"/>
      <c r="T18" s="328"/>
      <c r="U18" s="77"/>
    </row>
    <row r="19" spans="1:21" x14ac:dyDescent="0.2">
      <c r="A19" s="76"/>
      <c r="B19" s="73"/>
      <c r="C19" s="73" t="s">
        <v>32</v>
      </c>
      <c r="D19" s="73"/>
      <c r="E19" s="73"/>
      <c r="F19" s="73"/>
      <c r="G19" s="73"/>
      <c r="H19" s="73"/>
      <c r="I19" s="73"/>
      <c r="J19" s="74"/>
      <c r="L19" s="328"/>
      <c r="M19" s="328"/>
      <c r="N19" s="328"/>
      <c r="O19" s="328"/>
      <c r="P19" s="328"/>
      <c r="Q19" s="328"/>
      <c r="R19" s="328"/>
      <c r="S19" s="328"/>
      <c r="T19" s="328"/>
    </row>
    <row r="20" spans="1:21" x14ac:dyDescent="0.2">
      <c r="A20" s="76"/>
      <c r="B20" s="73"/>
      <c r="C20" s="73"/>
      <c r="D20" s="73"/>
      <c r="E20" s="73"/>
      <c r="F20" s="73"/>
      <c r="G20" s="73"/>
      <c r="H20" s="73"/>
      <c r="I20" s="73"/>
      <c r="J20" s="74"/>
      <c r="L20" s="328"/>
      <c r="M20" s="328"/>
      <c r="N20" s="328"/>
      <c r="O20" s="328"/>
      <c r="P20" s="328"/>
      <c r="Q20" s="328"/>
      <c r="R20" s="328"/>
      <c r="S20" s="328"/>
      <c r="T20" s="328"/>
    </row>
    <row r="21" spans="1:21" x14ac:dyDescent="0.2">
      <c r="A21" s="76"/>
      <c r="B21" s="73"/>
      <c r="C21" s="73"/>
      <c r="D21" s="73"/>
      <c r="E21" s="73"/>
      <c r="F21" s="73"/>
      <c r="G21" s="73"/>
      <c r="H21" s="73"/>
      <c r="I21" s="73"/>
      <c r="J21" s="74"/>
      <c r="L21" s="328"/>
      <c r="M21" s="328"/>
      <c r="N21" s="328"/>
      <c r="O21" s="328"/>
      <c r="P21" s="328"/>
      <c r="Q21" s="328"/>
      <c r="R21" s="328"/>
      <c r="S21" s="328"/>
      <c r="T21" s="328"/>
    </row>
    <row r="22" spans="1:21" x14ac:dyDescent="0.2">
      <c r="A22" s="73" t="s">
        <v>0</v>
      </c>
      <c r="B22" s="73" t="s">
        <v>33</v>
      </c>
      <c r="C22" s="73"/>
      <c r="D22" s="73"/>
      <c r="E22" s="73"/>
      <c r="F22" s="73"/>
      <c r="G22" s="73"/>
      <c r="H22" s="73"/>
      <c r="I22" s="73"/>
      <c r="J22" s="74"/>
      <c r="L22" s="328"/>
      <c r="M22" s="328"/>
      <c r="N22" s="328"/>
      <c r="O22" s="328"/>
      <c r="P22" s="328"/>
      <c r="Q22" s="328"/>
      <c r="R22" s="328"/>
      <c r="S22" s="328"/>
      <c r="T22" s="328"/>
    </row>
    <row r="23" spans="1:21" x14ac:dyDescent="0.2">
      <c r="A23" s="76"/>
      <c r="B23" s="73"/>
      <c r="C23" s="73"/>
      <c r="D23" s="73"/>
      <c r="E23" s="73"/>
      <c r="F23" s="73"/>
      <c r="G23" s="73"/>
      <c r="H23" s="73"/>
      <c r="I23" s="73"/>
      <c r="J23" s="74"/>
      <c r="L23" s="328"/>
      <c r="M23" s="328"/>
      <c r="N23" s="328"/>
      <c r="O23" s="328"/>
      <c r="P23" s="328"/>
      <c r="Q23" s="328"/>
      <c r="R23" s="328"/>
      <c r="S23" s="328"/>
      <c r="T23" s="328"/>
    </row>
    <row r="24" spans="1:21" x14ac:dyDescent="0.2">
      <c r="A24" s="73" t="s">
        <v>1</v>
      </c>
      <c r="B24" s="73" t="s">
        <v>34</v>
      </c>
      <c r="C24" s="73"/>
      <c r="D24" s="73"/>
      <c r="E24" s="73"/>
      <c r="F24" s="73"/>
      <c r="G24" s="73"/>
      <c r="H24" s="73"/>
      <c r="I24" s="73"/>
      <c r="J24" s="74"/>
      <c r="L24" s="328"/>
      <c r="M24" s="328"/>
      <c r="N24" s="328"/>
      <c r="O24" s="328"/>
      <c r="P24" s="328"/>
      <c r="Q24" s="328"/>
      <c r="R24" s="328"/>
      <c r="S24" s="328"/>
      <c r="T24" s="328"/>
    </row>
    <row r="25" spans="1:21" x14ac:dyDescent="0.2">
      <c r="A25" s="76"/>
      <c r="B25" s="73" t="s">
        <v>35</v>
      </c>
      <c r="C25" s="73"/>
      <c r="D25" s="73"/>
      <c r="E25" s="73"/>
      <c r="F25" s="73"/>
      <c r="G25" s="73"/>
      <c r="H25" s="73"/>
      <c r="I25" s="73"/>
      <c r="J25" s="74"/>
      <c r="L25" s="328"/>
      <c r="M25" s="328"/>
      <c r="N25" s="328"/>
      <c r="O25" s="328"/>
      <c r="P25" s="328"/>
      <c r="Q25" s="328"/>
      <c r="R25" s="328"/>
      <c r="S25" s="328"/>
      <c r="T25" s="328"/>
    </row>
    <row r="26" spans="1:21" x14ac:dyDescent="0.2">
      <c r="A26" s="76"/>
      <c r="B26" s="73"/>
      <c r="C26" s="73"/>
      <c r="D26" s="73"/>
      <c r="E26" s="73"/>
      <c r="F26" s="73"/>
      <c r="G26" s="73"/>
      <c r="H26" s="73"/>
      <c r="I26" s="73"/>
      <c r="J26" s="74"/>
      <c r="L26" s="328"/>
      <c r="M26" s="328"/>
      <c r="N26" s="328"/>
      <c r="O26" s="328"/>
      <c r="P26" s="328"/>
      <c r="Q26" s="328"/>
      <c r="R26" s="328"/>
      <c r="S26" s="328"/>
      <c r="T26" s="328"/>
    </row>
    <row r="27" spans="1:21" ht="17" thickBot="1" x14ac:dyDescent="0.25">
      <c r="A27" s="76"/>
      <c r="B27" s="73"/>
      <c r="C27" s="73"/>
      <c r="D27" s="73"/>
      <c r="E27" s="73"/>
      <c r="F27" s="73"/>
      <c r="G27" s="73"/>
      <c r="H27" s="73"/>
      <c r="I27" s="73"/>
      <c r="J27" s="74"/>
      <c r="L27" s="328"/>
      <c r="M27" s="328"/>
      <c r="N27" s="328"/>
      <c r="O27" s="328"/>
      <c r="P27" s="328"/>
      <c r="Q27" s="328"/>
      <c r="R27" s="328"/>
      <c r="S27" s="328"/>
      <c r="T27" s="328"/>
    </row>
    <row r="28" spans="1:21" ht="17" thickBot="1" x14ac:dyDescent="0.25">
      <c r="A28" s="323" t="s">
        <v>145</v>
      </c>
      <c r="B28" s="324"/>
      <c r="C28" s="324"/>
      <c r="D28" s="324"/>
      <c r="E28" s="324"/>
      <c r="F28" s="324"/>
      <c r="G28" s="324"/>
      <c r="H28" s="324"/>
      <c r="I28" s="324"/>
      <c r="J28" s="325"/>
      <c r="L28" s="328"/>
      <c r="M28" s="328"/>
      <c r="N28" s="328"/>
      <c r="O28" s="328"/>
      <c r="P28" s="328"/>
      <c r="Q28" s="328"/>
      <c r="R28" s="328"/>
      <c r="S28" s="328"/>
      <c r="T28" s="328"/>
    </row>
    <row r="30" spans="1:21" ht="19" x14ac:dyDescent="0.2">
      <c r="A30" s="27"/>
      <c r="L30" s="81" t="s">
        <v>123</v>
      </c>
    </row>
    <row r="33" spans="12:12" ht="19" x14ac:dyDescent="0.25">
      <c r="L33" s="2" t="s">
        <v>172</v>
      </c>
    </row>
    <row r="34" spans="12:12" x14ac:dyDescent="0.2">
      <c r="L34" s="100" t="s">
        <v>170</v>
      </c>
    </row>
    <row r="35" spans="12:12" x14ac:dyDescent="0.2">
      <c r="L35" s="30"/>
    </row>
    <row r="36" spans="12:12" x14ac:dyDescent="0.2">
      <c r="L36" s="30"/>
    </row>
    <row r="37" spans="12:12" x14ac:dyDescent="0.2">
      <c r="L37" s="30"/>
    </row>
    <row r="38" spans="12:12" x14ac:dyDescent="0.2">
      <c r="L38" s="30"/>
    </row>
    <row r="39" spans="12:12" x14ac:dyDescent="0.2">
      <c r="L39" s="30"/>
    </row>
    <row r="40" spans="12:12" x14ac:dyDescent="0.2">
      <c r="L40" s="30"/>
    </row>
    <row r="41" spans="12:12" x14ac:dyDescent="0.2">
      <c r="L41" s="30"/>
    </row>
    <row r="42" spans="12:12" x14ac:dyDescent="0.2">
      <c r="L42" s="30"/>
    </row>
    <row r="43" spans="12:12" x14ac:dyDescent="0.2">
      <c r="L43" s="30"/>
    </row>
    <row r="53" spans="1:14" x14ac:dyDescent="0.2">
      <c r="A53" s="20"/>
      <c r="C53" s="78"/>
    </row>
    <row r="56" spans="1:14" x14ac:dyDescent="0.2">
      <c r="M56" s="78"/>
    </row>
    <row r="57" spans="1:14" x14ac:dyDescent="0.2">
      <c r="L57" s="30"/>
      <c r="M57" s="30"/>
      <c r="N57" s="30"/>
    </row>
    <row r="58" spans="1:14" x14ac:dyDescent="0.2">
      <c r="L58" s="30"/>
      <c r="M58" s="30"/>
      <c r="N58" s="30"/>
    </row>
    <row r="59" spans="1:14" x14ac:dyDescent="0.2">
      <c r="L59" s="30"/>
      <c r="M59" s="30"/>
      <c r="N59" s="30"/>
    </row>
    <row r="60" spans="1:14" x14ac:dyDescent="0.2">
      <c r="L60" s="30"/>
      <c r="M60" s="30"/>
      <c r="N60" s="30"/>
    </row>
    <row r="61" spans="1:14" x14ac:dyDescent="0.2">
      <c r="L61" s="30"/>
      <c r="M61" s="30"/>
      <c r="N61" s="30"/>
    </row>
    <row r="62" spans="1:14" x14ac:dyDescent="0.2">
      <c r="L62" s="30"/>
      <c r="M62" s="30"/>
      <c r="N62" s="30"/>
    </row>
    <row r="63" spans="1:14" x14ac:dyDescent="0.2">
      <c r="L63" s="30"/>
      <c r="M63" s="30"/>
      <c r="N63" s="30"/>
    </row>
    <row r="64" spans="1:14" x14ac:dyDescent="0.2">
      <c r="L64" s="30"/>
      <c r="M64" s="30"/>
      <c r="N64" s="30"/>
    </row>
    <row r="65" spans="12:14" x14ac:dyDescent="0.2">
      <c r="L65" s="30"/>
      <c r="M65" s="30"/>
      <c r="N65" s="30"/>
    </row>
    <row r="66" spans="12:14" x14ac:dyDescent="0.2">
      <c r="M66" s="78"/>
    </row>
    <row r="67" spans="12:14" x14ac:dyDescent="0.2">
      <c r="L67" s="30"/>
      <c r="M67" s="30"/>
      <c r="N67" s="30"/>
    </row>
    <row r="68" spans="12:14" x14ac:dyDescent="0.2">
      <c r="L68" s="30"/>
      <c r="M68" s="30"/>
      <c r="N68" s="30"/>
    </row>
    <row r="69" spans="12:14" x14ac:dyDescent="0.2">
      <c r="L69" s="30"/>
      <c r="M69" s="30"/>
      <c r="N69" s="30"/>
    </row>
    <row r="70" spans="12:14" x14ac:dyDescent="0.2">
      <c r="L70" s="30"/>
      <c r="M70" s="30"/>
      <c r="N70" s="30"/>
    </row>
    <row r="71" spans="12:14" x14ac:dyDescent="0.2">
      <c r="L71" s="30"/>
      <c r="M71" s="30"/>
      <c r="N71" s="30"/>
    </row>
    <row r="72" spans="12:14" x14ac:dyDescent="0.2">
      <c r="L72" s="30"/>
      <c r="M72" s="30"/>
      <c r="N72" s="30"/>
    </row>
    <row r="73" spans="12:14" x14ac:dyDescent="0.2">
      <c r="L73" s="30"/>
      <c r="M73" s="30"/>
      <c r="N73" s="30"/>
    </row>
    <row r="74" spans="12:14" x14ac:dyDescent="0.2">
      <c r="L74" s="30"/>
      <c r="M74" s="30"/>
      <c r="N74" s="30"/>
    </row>
    <row r="75" spans="12:14" x14ac:dyDescent="0.2">
      <c r="L75" s="30"/>
      <c r="M75" s="30"/>
      <c r="N75" s="30"/>
    </row>
    <row r="76" spans="12:14" x14ac:dyDescent="0.2">
      <c r="M76" s="78"/>
    </row>
    <row r="77" spans="12:14" x14ac:dyDescent="0.2">
      <c r="L77" s="30"/>
      <c r="M77" s="30"/>
      <c r="N77" s="30"/>
    </row>
    <row r="78" spans="12:14" x14ac:dyDescent="0.2">
      <c r="L78" s="30"/>
      <c r="M78" s="30"/>
      <c r="N78" s="30"/>
    </row>
    <row r="79" spans="12:14" x14ac:dyDescent="0.2">
      <c r="L79" s="30"/>
      <c r="M79" s="30"/>
      <c r="N79" s="30"/>
    </row>
    <row r="80" spans="12:14" x14ac:dyDescent="0.2">
      <c r="L80" s="30"/>
      <c r="M80" s="30"/>
      <c r="N80" s="30"/>
    </row>
    <row r="81" spans="1:14" x14ac:dyDescent="0.2">
      <c r="L81" s="30"/>
      <c r="M81" s="30"/>
      <c r="N81" s="30"/>
    </row>
    <row r="82" spans="1:14" x14ac:dyDescent="0.2">
      <c r="L82" s="30"/>
      <c r="M82" s="30"/>
      <c r="N82" s="30"/>
    </row>
    <row r="83" spans="1:14" x14ac:dyDescent="0.2">
      <c r="L83" s="30"/>
      <c r="M83" s="30"/>
      <c r="N83" s="30"/>
    </row>
    <row r="84" spans="1:14" x14ac:dyDescent="0.2">
      <c r="L84" s="30"/>
      <c r="M84" s="30"/>
      <c r="N84" s="30"/>
    </row>
    <row r="85" spans="1:14" x14ac:dyDescent="0.2">
      <c r="L85" s="30"/>
      <c r="M85" s="30"/>
      <c r="N85" s="30"/>
    </row>
    <row r="86" spans="1:14" x14ac:dyDescent="0.2">
      <c r="M86" s="78"/>
    </row>
    <row r="87" spans="1:14" x14ac:dyDescent="0.2">
      <c r="L87" s="30"/>
      <c r="M87" s="30"/>
      <c r="N87" s="30"/>
    </row>
    <row r="88" spans="1:14" x14ac:dyDescent="0.2">
      <c r="L88" s="30"/>
      <c r="M88" s="30"/>
      <c r="N88" s="30"/>
    </row>
    <row r="89" spans="1:14" x14ac:dyDescent="0.2">
      <c r="L89" s="30"/>
      <c r="M89" s="30"/>
      <c r="N89" s="30"/>
    </row>
    <row r="90" spans="1:14" x14ac:dyDescent="0.2">
      <c r="L90" s="30"/>
      <c r="M90" s="30"/>
      <c r="N90" s="30"/>
    </row>
    <row r="91" spans="1:14" x14ac:dyDescent="0.2">
      <c r="L91" s="30"/>
      <c r="M91" s="30"/>
      <c r="N91" s="30"/>
    </row>
    <row r="92" spans="1:14" x14ac:dyDescent="0.2">
      <c r="L92" s="30"/>
      <c r="M92" s="30"/>
      <c r="N92" s="30"/>
    </row>
    <row r="93" spans="1:14" x14ac:dyDescent="0.2">
      <c r="L93" s="30"/>
      <c r="M93" s="30"/>
      <c r="N93" s="30"/>
    </row>
    <row r="94" spans="1:14" x14ac:dyDescent="0.2">
      <c r="L94" s="30"/>
      <c r="M94" s="30"/>
      <c r="N94" s="30"/>
    </row>
    <row r="95" spans="1:14" x14ac:dyDescent="0.2">
      <c r="A95" s="30"/>
      <c r="B95" s="30"/>
      <c r="C95" s="30"/>
      <c r="D95" s="30"/>
      <c r="E95" s="30"/>
      <c r="F95" s="30"/>
      <c r="G95" s="30"/>
      <c r="H95" s="30"/>
      <c r="I95" s="30"/>
      <c r="J95" s="30"/>
      <c r="L95" s="30"/>
      <c r="M95" s="30"/>
      <c r="N95" s="30"/>
    </row>
    <row r="96" spans="1:14" x14ac:dyDescent="0.2">
      <c r="A96" s="30"/>
      <c r="B96" s="30"/>
      <c r="C96" s="30"/>
      <c r="D96" s="30"/>
      <c r="E96" s="30"/>
      <c r="F96" s="30"/>
      <c r="G96" s="30"/>
      <c r="H96" s="30"/>
      <c r="I96" s="30"/>
      <c r="J96" s="30"/>
      <c r="M96" s="78"/>
    </row>
    <row r="97" spans="1:65" x14ac:dyDescent="0.2">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row>
    <row r="98" spans="1:65" x14ac:dyDescent="0.2">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row>
    <row r="99" spans="1:65" x14ac:dyDescent="0.2">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row>
    <row r="100" spans="1:65" x14ac:dyDescent="0.2">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row>
    <row r="101" spans="1:65" x14ac:dyDescent="0.2">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row>
    <row r="102" spans="1:65" x14ac:dyDescent="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row>
    <row r="103" spans="1:65" x14ac:dyDescent="0.2">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row>
    <row r="104" spans="1:65" x14ac:dyDescent="0.2">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row>
    <row r="105" spans="1:65" x14ac:dyDescent="0.2">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row>
    <row r="106" spans="1:65" x14ac:dyDescent="0.2">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row>
    <row r="107" spans="1:65" x14ac:dyDescent="0.2">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row>
    <row r="108" spans="1:65" x14ac:dyDescent="0.2">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row>
    <row r="109" spans="1:65" x14ac:dyDescent="0.2">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row>
    <row r="110" spans="1:65" x14ac:dyDescent="0.2">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row>
    <row r="111" spans="1:65" x14ac:dyDescent="0.2">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row>
    <row r="112" spans="1:65" x14ac:dyDescent="0.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row>
    <row r="113" spans="1:65" x14ac:dyDescent="0.2">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row>
    <row r="114" spans="1:65" x14ac:dyDescent="0.2">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row>
    <row r="115" spans="1:65" x14ac:dyDescent="0.2">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row>
    <row r="116" spans="1:65" x14ac:dyDescent="0.2">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row>
    <row r="117" spans="1:65" x14ac:dyDescent="0.2">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row>
    <row r="118" spans="1:65" x14ac:dyDescent="0.2">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row>
    <row r="119" spans="1:65" x14ac:dyDescent="0.2">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row>
    <row r="120" spans="1:65" x14ac:dyDescent="0.2">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row>
    <row r="121" spans="1:65" x14ac:dyDescent="0.2">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row>
    <row r="122" spans="1:65" x14ac:dyDescent="0.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row>
    <row r="123" spans="1:65" x14ac:dyDescent="0.2">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row>
    <row r="124" spans="1:65" x14ac:dyDescent="0.2">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row>
    <row r="125" spans="1:65" x14ac:dyDescent="0.2">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row>
    <row r="126" spans="1:65" x14ac:dyDescent="0.2">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row>
    <row r="127" spans="1:65" x14ac:dyDescent="0.2">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row>
    <row r="128" spans="1:65" x14ac:dyDescent="0.2">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row>
    <row r="129" spans="1:65" x14ac:dyDescent="0.2">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row>
    <row r="130" spans="1:65" x14ac:dyDescent="0.2">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row>
    <row r="131" spans="1:65" x14ac:dyDescent="0.2">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row>
    <row r="132" spans="1:65" x14ac:dyDescent="0.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row>
    <row r="133" spans="1:65" x14ac:dyDescent="0.2">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row>
    <row r="134" spans="1:65" x14ac:dyDescent="0.2">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row>
    <row r="135" spans="1:65" x14ac:dyDescent="0.2">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row>
    <row r="136" spans="1:65" x14ac:dyDescent="0.2">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row>
    <row r="137" spans="1:65" x14ac:dyDescent="0.2">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row>
    <row r="138" spans="1:65" x14ac:dyDescent="0.2">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row>
    <row r="139" spans="1:65" x14ac:dyDescent="0.2">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row>
    <row r="140" spans="1:65" x14ac:dyDescent="0.2">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row>
    <row r="141" spans="1:65" x14ac:dyDescent="0.2">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row>
    <row r="142" spans="1:65" x14ac:dyDescent="0.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row>
    <row r="143" spans="1:65" x14ac:dyDescent="0.2">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row>
    <row r="144" spans="1:65" x14ac:dyDescent="0.2">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row>
    <row r="145" spans="1:65" x14ac:dyDescent="0.2">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row>
    <row r="146" spans="1:65" x14ac:dyDescent="0.2">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row>
    <row r="147" spans="1:65" x14ac:dyDescent="0.2">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row>
    <row r="148" spans="1:65" x14ac:dyDescent="0.2">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row>
    <row r="149" spans="1:65" x14ac:dyDescent="0.2">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row>
    <row r="150" spans="1:65" x14ac:dyDescent="0.2">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row>
    <row r="151" spans="1:65" x14ac:dyDescent="0.2">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row>
    <row r="152" spans="1:65" x14ac:dyDescent="0.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row>
    <row r="153" spans="1:65" x14ac:dyDescent="0.2">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row>
    <row r="154" spans="1:65"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row>
    <row r="155" spans="1:65" x14ac:dyDescent="0.2">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row>
    <row r="156" spans="1:65" x14ac:dyDescent="0.2">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row>
    <row r="157" spans="1:65" x14ac:dyDescent="0.2">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row>
    <row r="158" spans="1:65" x14ac:dyDescent="0.2">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row>
    <row r="159" spans="1:65" x14ac:dyDescent="0.2">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row>
    <row r="160" spans="1:65" x14ac:dyDescent="0.2">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row>
    <row r="161" spans="1:65" x14ac:dyDescent="0.2">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row>
    <row r="162" spans="1:65" x14ac:dyDescent="0.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row>
    <row r="163" spans="1:65" x14ac:dyDescent="0.2">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row>
    <row r="164" spans="1:65" x14ac:dyDescent="0.2">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row>
    <row r="165" spans="1:65" x14ac:dyDescent="0.2">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row>
    <row r="166" spans="1:65" x14ac:dyDescent="0.2">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row>
    <row r="167" spans="1:65" x14ac:dyDescent="0.2">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row>
    <row r="168" spans="1:65" x14ac:dyDescent="0.2">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row>
    <row r="169" spans="1:65" x14ac:dyDescent="0.2">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row>
    <row r="170" spans="1:65" x14ac:dyDescent="0.2">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row>
    <row r="171" spans="1:65" x14ac:dyDescent="0.2">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row>
    <row r="172" spans="1:65" x14ac:dyDescent="0.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row>
    <row r="173" spans="1:65" x14ac:dyDescent="0.2">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row>
    <row r="174" spans="1:65" x14ac:dyDescent="0.2">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row>
    <row r="175" spans="1:65" x14ac:dyDescent="0.2">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row>
    <row r="176" spans="1:65" x14ac:dyDescent="0.2">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row>
    <row r="177" spans="1:65" x14ac:dyDescent="0.2">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row>
    <row r="178" spans="1:65" x14ac:dyDescent="0.2">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row>
    <row r="179" spans="1:65" x14ac:dyDescent="0.2">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row>
    <row r="180" spans="1:65" x14ac:dyDescent="0.2">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row>
    <row r="181" spans="1:65" x14ac:dyDescent="0.2">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row>
    <row r="182" spans="1:65" x14ac:dyDescent="0.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row>
    <row r="183" spans="1:65" x14ac:dyDescent="0.2">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row>
    <row r="184" spans="1:65" x14ac:dyDescent="0.2">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row>
    <row r="185" spans="1:65" x14ac:dyDescent="0.2">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row>
    <row r="186" spans="1:65" x14ac:dyDescent="0.2">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row>
    <row r="187" spans="1:65" x14ac:dyDescent="0.2">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row>
    <row r="188" spans="1:65" x14ac:dyDescent="0.2">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row>
    <row r="189" spans="1:65" x14ac:dyDescent="0.2">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row>
    <row r="190" spans="1:65" x14ac:dyDescent="0.2">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row>
    <row r="191" spans="1:65" x14ac:dyDescent="0.2">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row>
    <row r="192" spans="1:65" x14ac:dyDescent="0.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row>
    <row r="193" spans="1:65" x14ac:dyDescent="0.2">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row>
    <row r="194" spans="1:65" x14ac:dyDescent="0.2">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row>
    <row r="195" spans="1:65" x14ac:dyDescent="0.2">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row>
    <row r="196" spans="1:65" x14ac:dyDescent="0.2">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row>
    <row r="197" spans="1:65" x14ac:dyDescent="0.2">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row>
    <row r="198" spans="1:65" x14ac:dyDescent="0.2">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row>
  </sheetData>
  <mergeCells count="4">
    <mergeCell ref="A28:J28"/>
    <mergeCell ref="L18:T28"/>
    <mergeCell ref="I5:I6"/>
    <mergeCell ref="C5:C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M199"/>
  <sheetViews>
    <sheetView zoomScaleNormal="100" workbookViewId="0"/>
  </sheetViews>
  <sheetFormatPr baseColWidth="10" defaultColWidth="10.83203125" defaultRowHeight="16" outlineLevelCol="1" x14ac:dyDescent="0.2"/>
  <cols>
    <col min="1" max="1" width="4.6640625" style="75" customWidth="1"/>
    <col min="2" max="10" width="10.83203125" style="75"/>
    <col min="11" max="11" width="11.5" style="75" bestFit="1" customWidth="1"/>
    <col min="12" max="18" width="10.83203125" style="75" hidden="1" customWidth="1" outlineLevel="1"/>
    <col min="19" max="19" width="10.83203125" style="75" collapsed="1"/>
    <col min="20" max="16384" width="10.83203125" style="75"/>
  </cols>
  <sheetData>
    <row r="1" spans="1:17" ht="19" x14ac:dyDescent="0.25">
      <c r="A1" s="1" t="s">
        <v>160</v>
      </c>
      <c r="B1" s="19"/>
      <c r="C1" s="63"/>
      <c r="D1" s="63"/>
      <c r="E1" s="63"/>
      <c r="F1" s="73"/>
      <c r="G1" s="73"/>
      <c r="H1" s="73"/>
      <c r="I1" s="73"/>
      <c r="J1" s="74"/>
      <c r="K1" s="27" t="s">
        <v>148</v>
      </c>
    </row>
    <row r="2" spans="1:17" x14ac:dyDescent="0.2">
      <c r="A2" s="76"/>
      <c r="B2" s="73"/>
      <c r="C2" s="73"/>
      <c r="D2" s="73"/>
      <c r="E2" s="73"/>
      <c r="F2" s="73"/>
      <c r="G2" s="73"/>
      <c r="H2" s="73"/>
      <c r="I2" s="73"/>
      <c r="J2" s="74"/>
      <c r="L2" s="75" t="s">
        <v>124</v>
      </c>
    </row>
    <row r="3" spans="1:17" x14ac:dyDescent="0.2">
      <c r="A3" s="76"/>
      <c r="B3" s="73" t="s">
        <v>11</v>
      </c>
      <c r="C3" s="73"/>
      <c r="D3" s="73"/>
      <c r="E3" s="73"/>
      <c r="F3" s="73"/>
      <c r="G3" s="73"/>
      <c r="H3" s="73"/>
      <c r="I3" s="73"/>
      <c r="J3" s="74"/>
    </row>
    <row r="4" spans="1:17" x14ac:dyDescent="0.2">
      <c r="A4" s="76"/>
      <c r="B4" s="73"/>
      <c r="C4" s="73"/>
      <c r="D4" s="73"/>
      <c r="E4" s="73"/>
      <c r="F4" s="73"/>
      <c r="G4" s="73"/>
      <c r="H4" s="73"/>
      <c r="I4" s="73"/>
      <c r="J4" s="74"/>
      <c r="M4" s="31" t="s">
        <v>114</v>
      </c>
    </row>
    <row r="5" spans="1:17" x14ac:dyDescent="0.2">
      <c r="A5" s="76"/>
      <c r="B5" s="73"/>
      <c r="C5" s="322" t="s">
        <v>36</v>
      </c>
      <c r="D5" s="322"/>
      <c r="E5" s="322"/>
      <c r="F5" s="322"/>
      <c r="G5" s="322"/>
      <c r="H5" s="73"/>
      <c r="I5" s="73"/>
      <c r="J5" s="74"/>
      <c r="L5" s="34" t="s">
        <v>115</v>
      </c>
      <c r="M5" s="35">
        <v>12</v>
      </c>
      <c r="N5" s="35">
        <v>24</v>
      </c>
      <c r="O5" s="35">
        <v>36</v>
      </c>
      <c r="P5" s="35">
        <v>48</v>
      </c>
      <c r="Q5" s="84"/>
    </row>
    <row r="6" spans="1:17" x14ac:dyDescent="0.2">
      <c r="A6" s="76"/>
      <c r="B6" s="73"/>
      <c r="C6" s="331" t="s">
        <v>12</v>
      </c>
      <c r="D6" s="62"/>
      <c r="E6" s="62"/>
      <c r="F6" s="62"/>
      <c r="G6" s="62"/>
      <c r="H6" s="73"/>
      <c r="I6" s="73"/>
      <c r="J6" s="74"/>
      <c r="L6" s="37">
        <v>1</v>
      </c>
      <c r="M6" s="49">
        <f>D8</f>
        <v>12460</v>
      </c>
      <c r="N6" s="49">
        <f>E8</f>
        <v>6840</v>
      </c>
      <c r="O6" s="49">
        <f>F8</f>
        <v>1830</v>
      </c>
      <c r="P6" s="49">
        <f>G8</f>
        <v>330</v>
      </c>
      <c r="Q6" s="84"/>
    </row>
    <row r="7" spans="1:17" ht="17" x14ac:dyDescent="0.2">
      <c r="A7" s="76"/>
      <c r="B7" s="73"/>
      <c r="C7" s="332"/>
      <c r="D7" s="55" t="s">
        <v>13</v>
      </c>
      <c r="E7" s="55" t="s">
        <v>14</v>
      </c>
      <c r="F7" s="55" t="s">
        <v>15</v>
      </c>
      <c r="G7" s="55" t="s">
        <v>26</v>
      </c>
      <c r="H7" s="73"/>
      <c r="I7" s="73"/>
      <c r="J7" s="74"/>
      <c r="L7" s="37">
        <v>2</v>
      </c>
      <c r="M7" s="49">
        <f>D9</f>
        <v>9840</v>
      </c>
      <c r="N7" s="49">
        <f>E9</f>
        <v>7930</v>
      </c>
      <c r="O7" s="49">
        <f>F9</f>
        <v>2410</v>
      </c>
      <c r="P7" s="50">
        <f>P6*(D26-1)</f>
        <v>330.65999999999991</v>
      </c>
      <c r="Q7" s="84"/>
    </row>
    <row r="8" spans="1:17" x14ac:dyDescent="0.2">
      <c r="A8" s="76"/>
      <c r="B8" s="73"/>
      <c r="C8" s="58">
        <v>2012</v>
      </c>
      <c r="D8" s="5">
        <v>12460</v>
      </c>
      <c r="E8" s="5">
        <v>6840</v>
      </c>
      <c r="F8" s="5">
        <v>1830</v>
      </c>
      <c r="G8" s="6">
        <v>330</v>
      </c>
      <c r="H8" s="73"/>
      <c r="I8" s="73"/>
      <c r="J8" s="74"/>
      <c r="L8" s="37">
        <v>3</v>
      </c>
      <c r="M8" s="49">
        <f>D10</f>
        <v>11740</v>
      </c>
      <c r="N8" s="49">
        <f>E10</f>
        <v>6900</v>
      </c>
      <c r="O8" s="50">
        <f>SUM(O6:O7)*($D27-1)</f>
        <v>2217.5199999999995</v>
      </c>
      <c r="P8" s="51">
        <f>SUM(P6:P7)*($D27-1)</f>
        <v>345.52517999999986</v>
      </c>
      <c r="Q8" s="84"/>
    </row>
    <row r="9" spans="1:17" x14ac:dyDescent="0.2">
      <c r="A9" s="76"/>
      <c r="B9" s="73"/>
      <c r="C9" s="58">
        <v>2013</v>
      </c>
      <c r="D9" s="5">
        <v>9840</v>
      </c>
      <c r="E9" s="5">
        <v>7930</v>
      </c>
      <c r="F9" s="5">
        <v>2410</v>
      </c>
      <c r="G9" s="6"/>
      <c r="H9" s="73"/>
      <c r="I9" s="73"/>
      <c r="J9" s="74"/>
      <c r="L9" s="37">
        <v>4</v>
      </c>
      <c r="M9" s="49">
        <f>D11</f>
        <v>14860</v>
      </c>
      <c r="N9" s="50">
        <f>($D$28-1)*SUM(N6:N8)</f>
        <v>7866.21</v>
      </c>
      <c r="O9" s="51">
        <f>($D$28-1)*SUM(O6:O8)</f>
        <v>2344.0797599999996</v>
      </c>
      <c r="P9" s="51">
        <f>($D$28-1)*SUM(P6:P8)</f>
        <v>365.24522033999989</v>
      </c>
      <c r="Q9" s="84"/>
    </row>
    <row r="10" spans="1:17" x14ac:dyDescent="0.2">
      <c r="A10" s="76"/>
      <c r="B10" s="73"/>
      <c r="C10" s="58">
        <v>2014</v>
      </c>
      <c r="D10" s="5">
        <v>11740</v>
      </c>
      <c r="E10" s="5">
        <v>6900</v>
      </c>
      <c r="F10" s="6"/>
      <c r="G10" s="6"/>
      <c r="H10" s="73"/>
      <c r="I10" s="73"/>
      <c r="J10" s="74"/>
      <c r="L10" s="44"/>
      <c r="M10" s="45"/>
      <c r="N10" s="45"/>
      <c r="O10" s="45"/>
    </row>
    <row r="11" spans="1:17" x14ac:dyDescent="0.2">
      <c r="A11" s="76"/>
      <c r="B11" s="73"/>
      <c r="C11" s="58">
        <v>2015</v>
      </c>
      <c r="D11" s="5">
        <v>14860</v>
      </c>
      <c r="E11" s="6"/>
      <c r="F11" s="6"/>
      <c r="G11" s="6"/>
      <c r="H11" s="73"/>
      <c r="I11" s="73"/>
      <c r="J11" s="74"/>
      <c r="L11" s="21" t="s">
        <v>125</v>
      </c>
      <c r="M11" s="51">
        <f>SUM(M9:P9)</f>
        <v>25435.534980339999</v>
      </c>
    </row>
    <row r="12" spans="1:17" x14ac:dyDescent="0.2">
      <c r="A12" s="76"/>
      <c r="B12" s="73"/>
      <c r="C12" s="73"/>
      <c r="D12" s="73"/>
      <c r="E12" s="73"/>
      <c r="F12" s="73"/>
      <c r="G12" s="73"/>
      <c r="H12" s="73"/>
      <c r="I12" s="73"/>
      <c r="J12" s="74"/>
    </row>
    <row r="13" spans="1:17" x14ac:dyDescent="0.2">
      <c r="A13" s="76"/>
      <c r="B13" s="73" t="s">
        <v>37</v>
      </c>
      <c r="C13" s="73"/>
      <c r="D13" s="73"/>
      <c r="E13" s="73"/>
      <c r="F13" s="73"/>
      <c r="G13" s="73"/>
      <c r="H13" s="73"/>
      <c r="I13" s="73"/>
      <c r="J13" s="74"/>
    </row>
    <row r="14" spans="1:17" x14ac:dyDescent="0.2">
      <c r="A14" s="76"/>
      <c r="B14" s="73" t="s">
        <v>38</v>
      </c>
      <c r="C14" s="73"/>
      <c r="D14" s="73"/>
      <c r="E14" s="73"/>
      <c r="F14" s="73"/>
      <c r="G14" s="73"/>
      <c r="H14" s="73"/>
      <c r="I14" s="73"/>
      <c r="J14" s="74"/>
    </row>
    <row r="15" spans="1:17" ht="19" x14ac:dyDescent="0.25">
      <c r="A15" s="76"/>
      <c r="B15" s="73"/>
      <c r="C15" s="73"/>
      <c r="D15" s="73"/>
      <c r="E15" s="73"/>
      <c r="F15" s="73"/>
      <c r="G15" s="73"/>
      <c r="H15" s="73"/>
      <c r="I15" s="73"/>
      <c r="J15" s="74"/>
      <c r="L15" s="2" t="s">
        <v>172</v>
      </c>
    </row>
    <row r="16" spans="1:17" x14ac:dyDescent="0.2">
      <c r="A16" s="76"/>
      <c r="B16" s="73" t="s">
        <v>39</v>
      </c>
      <c r="C16" s="73"/>
      <c r="D16" s="73"/>
      <c r="E16" s="73"/>
      <c r="F16" s="73"/>
      <c r="G16" s="73"/>
      <c r="H16" s="73"/>
      <c r="I16" s="73"/>
      <c r="J16" s="74"/>
      <c r="L16" s="100" t="s">
        <v>171</v>
      </c>
    </row>
    <row r="17" spans="1:10" x14ac:dyDescent="0.2">
      <c r="A17" s="76"/>
      <c r="B17" s="73" t="s">
        <v>40</v>
      </c>
      <c r="C17" s="73"/>
      <c r="D17" s="73"/>
      <c r="E17" s="73"/>
      <c r="F17" s="73"/>
      <c r="G17" s="73"/>
      <c r="H17" s="73"/>
      <c r="I17" s="73"/>
      <c r="J17" s="74"/>
    </row>
    <row r="18" spans="1:10" x14ac:dyDescent="0.2">
      <c r="A18" s="76"/>
      <c r="B18" s="73" t="s">
        <v>42</v>
      </c>
      <c r="C18" s="73"/>
      <c r="D18" s="73"/>
      <c r="E18" s="73"/>
      <c r="F18" s="73"/>
      <c r="G18" s="73"/>
      <c r="H18" s="73"/>
      <c r="I18" s="73"/>
      <c r="J18" s="74"/>
    </row>
    <row r="19" spans="1:10" x14ac:dyDescent="0.2">
      <c r="A19" s="76"/>
      <c r="B19" s="73" t="s">
        <v>41</v>
      </c>
      <c r="C19" s="73"/>
      <c r="D19" s="73"/>
      <c r="E19" s="73"/>
      <c r="F19" s="73"/>
      <c r="G19" s="73"/>
      <c r="H19" s="73"/>
      <c r="I19" s="73"/>
      <c r="J19" s="74"/>
    </row>
    <row r="20" spans="1:10" x14ac:dyDescent="0.2">
      <c r="A20" s="76"/>
      <c r="B20" s="73"/>
      <c r="C20" s="73"/>
      <c r="D20" s="73"/>
      <c r="E20" s="73"/>
      <c r="F20" s="73"/>
      <c r="G20" s="73"/>
      <c r="H20" s="73"/>
      <c r="I20" s="73"/>
      <c r="J20" s="74"/>
    </row>
    <row r="21" spans="1:10" x14ac:dyDescent="0.2">
      <c r="A21" s="76"/>
      <c r="B21" s="73" t="s">
        <v>43</v>
      </c>
      <c r="C21" s="73"/>
      <c r="D21" s="73"/>
      <c r="E21" s="73"/>
      <c r="F21" s="73"/>
      <c r="G21" s="73"/>
      <c r="H21" s="73"/>
      <c r="I21" s="73"/>
      <c r="J21" s="74"/>
    </row>
    <row r="22" spans="1:10" x14ac:dyDescent="0.2">
      <c r="A22" s="76"/>
      <c r="B22" s="73"/>
      <c r="C22" s="73"/>
      <c r="D22" s="73"/>
      <c r="E22" s="73"/>
      <c r="F22" s="73"/>
      <c r="G22" s="73"/>
      <c r="H22" s="73"/>
      <c r="I22" s="73"/>
      <c r="J22" s="74"/>
    </row>
    <row r="23" spans="1:10" x14ac:dyDescent="0.2">
      <c r="A23" s="76"/>
      <c r="B23" s="73"/>
      <c r="C23" s="331" t="s">
        <v>12</v>
      </c>
      <c r="D23" s="73"/>
      <c r="E23" s="73"/>
      <c r="F23" s="73"/>
      <c r="G23" s="73"/>
      <c r="H23" s="73"/>
      <c r="I23" s="73"/>
      <c r="J23" s="74"/>
    </row>
    <row r="24" spans="1:10" ht="17" x14ac:dyDescent="0.2">
      <c r="A24" s="76"/>
      <c r="B24" s="73"/>
      <c r="C24" s="332"/>
      <c r="D24" s="55" t="s">
        <v>44</v>
      </c>
      <c r="E24" s="73"/>
      <c r="F24" s="73"/>
      <c r="G24" s="73"/>
      <c r="H24" s="73"/>
      <c r="I24" s="73"/>
      <c r="J24" s="74"/>
    </row>
    <row r="25" spans="1:10" x14ac:dyDescent="0.2">
      <c r="A25" s="76"/>
      <c r="B25" s="73"/>
      <c r="C25" s="58">
        <v>2012</v>
      </c>
      <c r="D25" s="59">
        <v>1</v>
      </c>
      <c r="E25" s="73"/>
      <c r="F25" s="73"/>
      <c r="G25" s="73"/>
      <c r="H25" s="73"/>
      <c r="I25" s="73"/>
      <c r="J25" s="74"/>
    </row>
    <row r="26" spans="1:10" x14ac:dyDescent="0.2">
      <c r="A26" s="76"/>
      <c r="B26" s="73"/>
      <c r="C26" s="58">
        <v>2013</v>
      </c>
      <c r="D26" s="59">
        <v>2.0019999999999998</v>
      </c>
      <c r="E26" s="73"/>
      <c r="F26" s="73"/>
      <c r="G26" s="73"/>
      <c r="H26" s="73"/>
      <c r="I26" s="73"/>
      <c r="J26" s="74"/>
    </row>
    <row r="27" spans="1:10" x14ac:dyDescent="0.2">
      <c r="A27" s="76"/>
      <c r="B27" s="73"/>
      <c r="C27" s="58">
        <v>2014</v>
      </c>
      <c r="D27" s="59">
        <v>1.5229999999999999</v>
      </c>
      <c r="E27" s="73"/>
      <c r="F27" s="73"/>
      <c r="G27" s="73"/>
      <c r="H27" s="73"/>
      <c r="I27" s="73"/>
      <c r="J27" s="74"/>
    </row>
    <row r="28" spans="1:10" x14ac:dyDescent="0.2">
      <c r="A28" s="76"/>
      <c r="B28" s="73"/>
      <c r="C28" s="58">
        <v>2015</v>
      </c>
      <c r="D28" s="59">
        <v>1.363</v>
      </c>
      <c r="E28" s="73"/>
      <c r="F28" s="73"/>
      <c r="G28" s="73"/>
      <c r="H28" s="73"/>
      <c r="I28" s="73"/>
      <c r="J28" s="74"/>
    </row>
    <row r="29" spans="1:10" x14ac:dyDescent="0.2">
      <c r="A29" s="76"/>
      <c r="B29" s="73"/>
      <c r="C29" s="73"/>
      <c r="D29" s="73"/>
      <c r="E29" s="73"/>
      <c r="F29" s="73"/>
      <c r="G29" s="73"/>
      <c r="H29" s="73"/>
      <c r="I29" s="73"/>
      <c r="J29" s="74"/>
    </row>
    <row r="30" spans="1:10" x14ac:dyDescent="0.2">
      <c r="A30" s="76"/>
      <c r="B30" s="73" t="s">
        <v>45</v>
      </c>
      <c r="C30" s="73"/>
      <c r="D30" s="73"/>
      <c r="E30" s="73"/>
      <c r="F30" s="73"/>
      <c r="G30" s="73"/>
      <c r="H30" s="73"/>
      <c r="I30" s="73"/>
      <c r="J30" s="74"/>
    </row>
    <row r="31" spans="1:10" x14ac:dyDescent="0.2">
      <c r="A31" s="76"/>
      <c r="B31" s="73"/>
      <c r="C31" s="73"/>
      <c r="D31" s="73"/>
      <c r="E31" s="73"/>
      <c r="F31" s="73"/>
      <c r="G31" s="73"/>
      <c r="H31" s="73"/>
      <c r="I31" s="73"/>
      <c r="J31" s="74"/>
    </row>
    <row r="32" spans="1:10" ht="17" thickBot="1" x14ac:dyDescent="0.25">
      <c r="A32" s="76"/>
      <c r="B32" s="73"/>
      <c r="C32" s="73"/>
      <c r="D32" s="73"/>
      <c r="E32" s="73"/>
      <c r="F32" s="73"/>
      <c r="G32" s="73"/>
      <c r="H32" s="73"/>
      <c r="I32" s="73"/>
      <c r="J32" s="74"/>
    </row>
    <row r="33" spans="1:11" ht="17" thickBot="1" x14ac:dyDescent="0.25">
      <c r="A33" s="323" t="s">
        <v>145</v>
      </c>
      <c r="B33" s="324"/>
      <c r="C33" s="324"/>
      <c r="D33" s="324"/>
      <c r="E33" s="324"/>
      <c r="F33" s="324"/>
      <c r="G33" s="324"/>
      <c r="H33" s="324"/>
      <c r="I33" s="324"/>
      <c r="J33" s="325"/>
    </row>
    <row r="35" spans="1:11" ht="19" x14ac:dyDescent="0.2">
      <c r="A35" s="27"/>
    </row>
    <row r="36" spans="1:11" ht="19" x14ac:dyDescent="0.2">
      <c r="A36" s="27"/>
    </row>
    <row r="37" spans="1:11" ht="19" x14ac:dyDescent="0.2">
      <c r="A37" s="27"/>
    </row>
    <row r="38" spans="1:11" x14ac:dyDescent="0.2">
      <c r="H38" s="33"/>
      <c r="K38" s="30"/>
    </row>
    <row r="39" spans="1:11" x14ac:dyDescent="0.2">
      <c r="H39" s="33"/>
      <c r="K39" s="30"/>
    </row>
    <row r="40" spans="1:11" x14ac:dyDescent="0.2">
      <c r="K40" s="30"/>
    </row>
    <row r="41" spans="1:11" x14ac:dyDescent="0.2">
      <c r="K41" s="30"/>
    </row>
    <row r="42" spans="1:11" x14ac:dyDescent="0.2">
      <c r="K42" s="30"/>
    </row>
    <row r="43" spans="1:11" x14ac:dyDescent="0.2">
      <c r="K43" s="30"/>
    </row>
    <row r="45" spans="1:11" x14ac:dyDescent="0.2">
      <c r="A45" s="20"/>
    </row>
    <row r="56" spans="1:14" x14ac:dyDescent="0.2">
      <c r="A56" s="20"/>
      <c r="C56" s="78"/>
      <c r="M56" s="78"/>
    </row>
    <row r="57" spans="1:14" x14ac:dyDescent="0.2">
      <c r="L57" s="30"/>
      <c r="M57" s="30"/>
      <c r="N57" s="30"/>
    </row>
    <row r="58" spans="1:14" x14ac:dyDescent="0.2">
      <c r="L58" s="30"/>
      <c r="M58" s="30"/>
      <c r="N58" s="30"/>
    </row>
    <row r="59" spans="1:14" x14ac:dyDescent="0.2">
      <c r="L59" s="30"/>
      <c r="M59" s="30"/>
      <c r="N59" s="30"/>
    </row>
    <row r="60" spans="1:14" x14ac:dyDescent="0.2">
      <c r="L60" s="30"/>
      <c r="M60" s="30"/>
      <c r="N60" s="30"/>
    </row>
    <row r="61" spans="1:14" x14ac:dyDescent="0.2">
      <c r="L61" s="30"/>
      <c r="M61" s="30"/>
      <c r="N61" s="30"/>
    </row>
    <row r="62" spans="1:14" x14ac:dyDescent="0.2">
      <c r="L62" s="30"/>
      <c r="M62" s="30"/>
      <c r="N62" s="30"/>
    </row>
    <row r="63" spans="1:14" x14ac:dyDescent="0.2">
      <c r="L63" s="30"/>
      <c r="M63" s="30"/>
      <c r="N63" s="30"/>
    </row>
    <row r="64" spans="1:14" x14ac:dyDescent="0.2">
      <c r="L64" s="30"/>
      <c r="M64" s="30"/>
      <c r="N64" s="30"/>
    </row>
    <row r="65" spans="12:14" x14ac:dyDescent="0.2">
      <c r="L65" s="30"/>
      <c r="M65" s="30"/>
      <c r="N65" s="30"/>
    </row>
    <row r="66" spans="12:14" x14ac:dyDescent="0.2">
      <c r="M66" s="78"/>
    </row>
    <row r="67" spans="12:14" x14ac:dyDescent="0.2">
      <c r="L67" s="30"/>
      <c r="M67" s="30"/>
      <c r="N67" s="30"/>
    </row>
    <row r="68" spans="12:14" x14ac:dyDescent="0.2">
      <c r="L68" s="30"/>
      <c r="M68" s="30"/>
      <c r="N68" s="30"/>
    </row>
    <row r="69" spans="12:14" x14ac:dyDescent="0.2">
      <c r="L69" s="30"/>
      <c r="M69" s="30"/>
      <c r="N69" s="30"/>
    </row>
    <row r="70" spans="12:14" x14ac:dyDescent="0.2">
      <c r="L70" s="30"/>
      <c r="M70" s="30"/>
      <c r="N70" s="30"/>
    </row>
    <row r="71" spans="12:14" x14ac:dyDescent="0.2">
      <c r="L71" s="30"/>
      <c r="M71" s="30"/>
      <c r="N71" s="30"/>
    </row>
    <row r="72" spans="12:14" x14ac:dyDescent="0.2">
      <c r="L72" s="30"/>
      <c r="M72" s="30"/>
      <c r="N72" s="30"/>
    </row>
    <row r="73" spans="12:14" x14ac:dyDescent="0.2">
      <c r="L73" s="30"/>
      <c r="M73" s="30"/>
      <c r="N73" s="30"/>
    </row>
    <row r="74" spans="12:14" x14ac:dyDescent="0.2">
      <c r="L74" s="30"/>
      <c r="M74" s="30"/>
      <c r="N74" s="30"/>
    </row>
    <row r="75" spans="12:14" x14ac:dyDescent="0.2">
      <c r="L75" s="30"/>
      <c r="M75" s="30"/>
      <c r="N75" s="30"/>
    </row>
    <row r="76" spans="12:14" x14ac:dyDescent="0.2">
      <c r="M76" s="78"/>
    </row>
    <row r="77" spans="12:14" x14ac:dyDescent="0.2">
      <c r="L77" s="30"/>
      <c r="M77" s="30"/>
      <c r="N77" s="30"/>
    </row>
    <row r="78" spans="12:14" x14ac:dyDescent="0.2">
      <c r="L78" s="30"/>
      <c r="M78" s="30"/>
      <c r="N78" s="30"/>
    </row>
    <row r="79" spans="12:14" x14ac:dyDescent="0.2">
      <c r="L79" s="30"/>
      <c r="M79" s="30"/>
      <c r="N79" s="30"/>
    </row>
    <row r="80" spans="12:14" x14ac:dyDescent="0.2">
      <c r="L80" s="30"/>
      <c r="M80" s="30"/>
      <c r="N80" s="30"/>
    </row>
    <row r="81" spans="12:14" x14ac:dyDescent="0.2">
      <c r="L81" s="30"/>
      <c r="M81" s="30"/>
      <c r="N81" s="30"/>
    </row>
    <row r="82" spans="12:14" x14ac:dyDescent="0.2">
      <c r="L82" s="30"/>
      <c r="M82" s="30"/>
      <c r="N82" s="30"/>
    </row>
    <row r="83" spans="12:14" x14ac:dyDescent="0.2">
      <c r="L83" s="30"/>
      <c r="M83" s="30"/>
      <c r="N83" s="30"/>
    </row>
    <row r="84" spans="12:14" x14ac:dyDescent="0.2">
      <c r="L84" s="30"/>
      <c r="M84" s="30"/>
      <c r="N84" s="30"/>
    </row>
    <row r="85" spans="12:14" x14ac:dyDescent="0.2">
      <c r="L85" s="30"/>
      <c r="M85" s="30"/>
      <c r="N85" s="30"/>
    </row>
    <row r="86" spans="12:14" x14ac:dyDescent="0.2">
      <c r="M86" s="78"/>
    </row>
    <row r="87" spans="12:14" x14ac:dyDescent="0.2">
      <c r="L87" s="30"/>
      <c r="M87" s="30"/>
      <c r="N87" s="30"/>
    </row>
    <row r="88" spans="12:14" x14ac:dyDescent="0.2">
      <c r="L88" s="30"/>
      <c r="M88" s="30"/>
      <c r="N88" s="30"/>
    </row>
    <row r="89" spans="12:14" x14ac:dyDescent="0.2">
      <c r="L89" s="30"/>
      <c r="M89" s="30"/>
      <c r="N89" s="30"/>
    </row>
    <row r="90" spans="12:14" x14ac:dyDescent="0.2">
      <c r="L90" s="30"/>
      <c r="M90" s="30"/>
      <c r="N90" s="30"/>
    </row>
    <row r="91" spans="12:14" x14ac:dyDescent="0.2">
      <c r="L91" s="30"/>
      <c r="M91" s="30"/>
      <c r="N91" s="30"/>
    </row>
    <row r="92" spans="12:14" x14ac:dyDescent="0.2">
      <c r="L92" s="30"/>
      <c r="M92" s="30"/>
      <c r="N92" s="30"/>
    </row>
    <row r="93" spans="12:14" x14ac:dyDescent="0.2">
      <c r="L93" s="30"/>
      <c r="M93" s="30"/>
      <c r="N93" s="30"/>
    </row>
    <row r="94" spans="12:14" x14ac:dyDescent="0.2">
      <c r="L94" s="30"/>
      <c r="M94" s="30"/>
      <c r="N94" s="30"/>
    </row>
    <row r="95" spans="12:14" x14ac:dyDescent="0.2">
      <c r="L95" s="30"/>
      <c r="M95" s="30"/>
      <c r="N95" s="30"/>
    </row>
    <row r="96" spans="12:14" x14ac:dyDescent="0.2">
      <c r="M96" s="78"/>
    </row>
    <row r="97" spans="1:65" x14ac:dyDescent="0.2">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row>
    <row r="98" spans="1:65" x14ac:dyDescent="0.2">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row>
    <row r="99" spans="1:65" x14ac:dyDescent="0.2">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row>
    <row r="100" spans="1:65" x14ac:dyDescent="0.2">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row>
    <row r="101" spans="1:65" x14ac:dyDescent="0.2">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row>
    <row r="102" spans="1:65" x14ac:dyDescent="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row>
    <row r="103" spans="1:65" x14ac:dyDescent="0.2">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row>
    <row r="104" spans="1:65" x14ac:dyDescent="0.2">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row>
    <row r="105" spans="1:65" x14ac:dyDescent="0.2">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row>
    <row r="106" spans="1:65" x14ac:dyDescent="0.2">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row>
    <row r="107" spans="1:65" x14ac:dyDescent="0.2">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row>
    <row r="108" spans="1:65" x14ac:dyDescent="0.2">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row>
    <row r="109" spans="1:65" x14ac:dyDescent="0.2">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row>
    <row r="110" spans="1:65" x14ac:dyDescent="0.2">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row>
    <row r="111" spans="1:65" x14ac:dyDescent="0.2">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row>
    <row r="112" spans="1:65" x14ac:dyDescent="0.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row>
    <row r="113" spans="1:65" x14ac:dyDescent="0.2">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row>
    <row r="114" spans="1:65" x14ac:dyDescent="0.2">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row>
    <row r="115" spans="1:65" x14ac:dyDescent="0.2">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row>
    <row r="116" spans="1:65" x14ac:dyDescent="0.2">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row>
    <row r="117" spans="1:65" x14ac:dyDescent="0.2">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row>
    <row r="118" spans="1:65" x14ac:dyDescent="0.2">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row>
    <row r="119" spans="1:65" x14ac:dyDescent="0.2">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row>
    <row r="120" spans="1:65" x14ac:dyDescent="0.2">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row>
    <row r="121" spans="1:65" x14ac:dyDescent="0.2">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row>
    <row r="122" spans="1:65" x14ac:dyDescent="0.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row>
    <row r="123" spans="1:65" x14ac:dyDescent="0.2">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row>
    <row r="124" spans="1:65" x14ac:dyDescent="0.2">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row>
    <row r="125" spans="1:65" x14ac:dyDescent="0.2">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row>
    <row r="126" spans="1:65" x14ac:dyDescent="0.2">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row>
    <row r="127" spans="1:65" x14ac:dyDescent="0.2">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row>
    <row r="128" spans="1:65" x14ac:dyDescent="0.2">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row>
    <row r="129" spans="1:65" x14ac:dyDescent="0.2">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row>
    <row r="130" spans="1:65" x14ac:dyDescent="0.2">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row>
    <row r="131" spans="1:65" x14ac:dyDescent="0.2">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row>
    <row r="132" spans="1:65" x14ac:dyDescent="0.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row>
    <row r="133" spans="1:65" x14ac:dyDescent="0.2">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row>
    <row r="134" spans="1:65" x14ac:dyDescent="0.2">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row>
    <row r="135" spans="1:65" x14ac:dyDescent="0.2">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row>
    <row r="136" spans="1:65" x14ac:dyDescent="0.2">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row>
    <row r="137" spans="1:65" x14ac:dyDescent="0.2">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row>
    <row r="138" spans="1:65" x14ac:dyDescent="0.2">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row>
    <row r="139" spans="1:65" x14ac:dyDescent="0.2">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row>
    <row r="140" spans="1:65" x14ac:dyDescent="0.2">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row>
    <row r="141" spans="1:65" x14ac:dyDescent="0.2">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row>
    <row r="142" spans="1:65" x14ac:dyDescent="0.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row>
    <row r="143" spans="1:65" x14ac:dyDescent="0.2">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row>
    <row r="144" spans="1:65" x14ac:dyDescent="0.2">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row>
    <row r="145" spans="1:65" x14ac:dyDescent="0.2">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row>
    <row r="146" spans="1:65" x14ac:dyDescent="0.2">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row>
    <row r="147" spans="1:65" x14ac:dyDescent="0.2">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row>
    <row r="148" spans="1:65" x14ac:dyDescent="0.2">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row>
    <row r="149" spans="1:65" x14ac:dyDescent="0.2">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row>
    <row r="150" spans="1:65" x14ac:dyDescent="0.2">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row>
    <row r="151" spans="1:65" x14ac:dyDescent="0.2">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row>
    <row r="152" spans="1:65" x14ac:dyDescent="0.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row>
    <row r="153" spans="1:65" x14ac:dyDescent="0.2">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row>
    <row r="154" spans="1:65"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row>
    <row r="155" spans="1:65" x14ac:dyDescent="0.2">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row>
    <row r="156" spans="1:65" x14ac:dyDescent="0.2">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row>
    <row r="157" spans="1:65" x14ac:dyDescent="0.2">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row>
    <row r="158" spans="1:65" x14ac:dyDescent="0.2">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row>
    <row r="159" spans="1:65" x14ac:dyDescent="0.2">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row>
    <row r="160" spans="1:65" x14ac:dyDescent="0.2">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row>
    <row r="161" spans="1:65" x14ac:dyDescent="0.2">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row>
    <row r="162" spans="1:65" x14ac:dyDescent="0.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row>
    <row r="163" spans="1:65" x14ac:dyDescent="0.2">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row>
    <row r="164" spans="1:65" x14ac:dyDescent="0.2">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row>
    <row r="165" spans="1:65" x14ac:dyDescent="0.2">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row>
    <row r="166" spans="1:65" x14ac:dyDescent="0.2">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row>
    <row r="167" spans="1:65" x14ac:dyDescent="0.2">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row>
    <row r="168" spans="1:65" x14ac:dyDescent="0.2">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row>
    <row r="169" spans="1:65" x14ac:dyDescent="0.2">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row>
    <row r="170" spans="1:65" x14ac:dyDescent="0.2">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row>
    <row r="171" spans="1:65" x14ac:dyDescent="0.2">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row>
    <row r="172" spans="1:65" x14ac:dyDescent="0.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row>
    <row r="173" spans="1:65" x14ac:dyDescent="0.2">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row>
    <row r="174" spans="1:65" x14ac:dyDescent="0.2">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row>
    <row r="175" spans="1:65" x14ac:dyDescent="0.2">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row>
    <row r="176" spans="1:65" x14ac:dyDescent="0.2">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row>
    <row r="177" spans="1:65" x14ac:dyDescent="0.2">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row>
    <row r="178" spans="1:65" x14ac:dyDescent="0.2">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row>
    <row r="179" spans="1:65" x14ac:dyDescent="0.2">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row>
    <row r="180" spans="1:65" x14ac:dyDescent="0.2">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row>
    <row r="181" spans="1:65" x14ac:dyDescent="0.2">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row>
    <row r="182" spans="1:65" x14ac:dyDescent="0.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row>
    <row r="183" spans="1:65" x14ac:dyDescent="0.2">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row>
    <row r="184" spans="1:65" x14ac:dyDescent="0.2">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row>
    <row r="185" spans="1:65" x14ac:dyDescent="0.2">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row>
    <row r="186" spans="1:65" x14ac:dyDescent="0.2">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row>
    <row r="187" spans="1:65" x14ac:dyDescent="0.2">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row>
    <row r="188" spans="1:65" x14ac:dyDescent="0.2">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row>
    <row r="189" spans="1:65" x14ac:dyDescent="0.2">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row>
    <row r="190" spans="1:65" x14ac:dyDescent="0.2">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row>
    <row r="191" spans="1:65" x14ac:dyDescent="0.2">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row>
    <row r="192" spans="1:65" x14ac:dyDescent="0.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row>
    <row r="193" spans="1:65" x14ac:dyDescent="0.2">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row>
    <row r="194" spans="1:65" x14ac:dyDescent="0.2">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row>
    <row r="195" spans="1:65" x14ac:dyDescent="0.2">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row>
    <row r="196" spans="1:65" x14ac:dyDescent="0.2">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row>
    <row r="197" spans="1:65" x14ac:dyDescent="0.2">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row>
    <row r="198" spans="1:65" x14ac:dyDescent="0.2">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row>
    <row r="199" spans="1:65" x14ac:dyDescent="0.2">
      <c r="A199" s="30"/>
      <c r="B199" s="30"/>
      <c r="C199" s="30"/>
      <c r="D199" s="30"/>
      <c r="E199" s="30"/>
      <c r="F199" s="30"/>
      <c r="G199" s="30"/>
      <c r="H199" s="30"/>
      <c r="I199" s="30"/>
      <c r="J199" s="30"/>
    </row>
  </sheetData>
  <mergeCells count="4">
    <mergeCell ref="C5:G5"/>
    <mergeCell ref="A33:J33"/>
    <mergeCell ref="C23:C24"/>
    <mergeCell ref="C6:C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L194"/>
  <sheetViews>
    <sheetView zoomScaleNormal="100" workbookViewId="0"/>
  </sheetViews>
  <sheetFormatPr baseColWidth="10" defaultColWidth="10.83203125" defaultRowHeight="16" outlineLevelCol="1" x14ac:dyDescent="0.2"/>
  <cols>
    <col min="1" max="1" width="4.6640625" style="75" customWidth="1"/>
    <col min="2" max="10" width="10.83203125" style="75"/>
    <col min="11" max="11" width="11.5" style="75" bestFit="1" customWidth="1"/>
    <col min="12" max="19" width="10.83203125" style="75" hidden="1" customWidth="1" outlineLevel="1"/>
    <col min="20" max="20" width="10.83203125" style="75" collapsed="1"/>
    <col min="21" max="16384" width="10.83203125" style="75"/>
  </cols>
  <sheetData>
    <row r="1" spans="1:19" ht="19" x14ac:dyDescent="0.25">
      <c r="A1" s="1" t="s">
        <v>161</v>
      </c>
      <c r="B1" s="19"/>
      <c r="C1" s="63"/>
      <c r="D1" s="63"/>
      <c r="E1" s="63"/>
      <c r="F1" s="73"/>
      <c r="G1" s="73"/>
      <c r="H1" s="73"/>
      <c r="I1" s="73"/>
      <c r="J1" s="74"/>
      <c r="K1" s="27" t="s">
        <v>148</v>
      </c>
    </row>
    <row r="2" spans="1:19" ht="18.5" customHeight="1" x14ac:dyDescent="0.2">
      <c r="A2" s="76"/>
      <c r="B2" s="73"/>
      <c r="C2" s="73"/>
      <c r="D2" s="73"/>
      <c r="E2" s="73"/>
      <c r="F2" s="73"/>
      <c r="G2" s="73"/>
      <c r="H2" s="73"/>
      <c r="I2" s="73"/>
      <c r="J2" s="74"/>
      <c r="L2" s="326" t="s">
        <v>150</v>
      </c>
      <c r="M2" s="326"/>
      <c r="N2" s="326"/>
      <c r="O2" s="326"/>
      <c r="P2" s="326"/>
      <c r="Q2" s="326"/>
      <c r="R2" s="326"/>
      <c r="S2" s="326"/>
    </row>
    <row r="3" spans="1:19" x14ac:dyDescent="0.2">
      <c r="A3" s="76"/>
      <c r="B3" s="73" t="s">
        <v>11</v>
      </c>
      <c r="C3" s="73"/>
      <c r="D3" s="73"/>
      <c r="E3" s="73"/>
      <c r="F3" s="73"/>
      <c r="G3" s="73"/>
      <c r="H3" s="73"/>
      <c r="I3" s="73"/>
      <c r="J3" s="74"/>
      <c r="L3" s="326"/>
      <c r="M3" s="326"/>
      <c r="N3" s="326"/>
      <c r="O3" s="326"/>
      <c r="P3" s="326"/>
      <c r="Q3" s="326"/>
      <c r="R3" s="326"/>
      <c r="S3" s="326"/>
    </row>
    <row r="4" spans="1:19" x14ac:dyDescent="0.2">
      <c r="A4" s="76"/>
      <c r="B4" s="73"/>
      <c r="C4" s="73"/>
      <c r="D4" s="73"/>
      <c r="E4" s="73"/>
      <c r="F4" s="73"/>
      <c r="G4" s="73"/>
      <c r="H4" s="73"/>
      <c r="I4" s="73"/>
      <c r="J4" s="74"/>
    </row>
    <row r="5" spans="1:19" x14ac:dyDescent="0.2">
      <c r="A5" s="76"/>
      <c r="B5" s="73"/>
      <c r="C5" s="322" t="s">
        <v>46</v>
      </c>
      <c r="D5" s="322"/>
      <c r="E5" s="322"/>
      <c r="F5" s="322"/>
      <c r="G5" s="322"/>
      <c r="H5" s="73"/>
      <c r="I5" s="73"/>
      <c r="J5" s="74"/>
      <c r="L5" s="21" t="s">
        <v>67</v>
      </c>
      <c r="N5" s="75" t="s">
        <v>127</v>
      </c>
    </row>
    <row r="6" spans="1:19" ht="34" x14ac:dyDescent="0.2">
      <c r="A6" s="76"/>
      <c r="B6" s="73"/>
      <c r="C6" s="57" t="s">
        <v>12</v>
      </c>
      <c r="D6" s="55" t="s">
        <v>13</v>
      </c>
      <c r="E6" s="55" t="s">
        <v>14</v>
      </c>
      <c r="F6" s="55" t="s">
        <v>15</v>
      </c>
      <c r="G6" s="55" t="s">
        <v>26</v>
      </c>
      <c r="H6" s="73"/>
      <c r="I6" s="73"/>
      <c r="J6" s="74"/>
    </row>
    <row r="7" spans="1:19" x14ac:dyDescent="0.2">
      <c r="A7" s="76"/>
      <c r="B7" s="73"/>
      <c r="C7" s="58">
        <v>2012</v>
      </c>
      <c r="D7" s="6">
        <v>660</v>
      </c>
      <c r="E7" s="5">
        <v>1190</v>
      </c>
      <c r="F7" s="5">
        <v>1320</v>
      </c>
      <c r="G7" s="5">
        <v>1470</v>
      </c>
      <c r="H7" s="73"/>
      <c r="I7" s="73"/>
      <c r="J7" s="74"/>
      <c r="L7" s="102" t="s">
        <v>126</v>
      </c>
    </row>
    <row r="8" spans="1:19" x14ac:dyDescent="0.2">
      <c r="A8" s="76"/>
      <c r="B8" s="73"/>
      <c r="C8" s="58">
        <v>2013</v>
      </c>
      <c r="D8" s="6">
        <v>720</v>
      </c>
      <c r="E8" s="5">
        <v>1290</v>
      </c>
      <c r="F8" s="5">
        <v>1360</v>
      </c>
      <c r="G8" s="6"/>
      <c r="H8" s="73"/>
      <c r="I8" s="73"/>
      <c r="J8" s="74"/>
    </row>
    <row r="9" spans="1:19" ht="16" customHeight="1" x14ac:dyDescent="0.2">
      <c r="A9" s="76"/>
      <c r="B9" s="73"/>
      <c r="C9" s="58">
        <v>2014</v>
      </c>
      <c r="D9" s="6">
        <v>590</v>
      </c>
      <c r="E9" s="5">
        <v>1360</v>
      </c>
      <c r="F9" s="6"/>
      <c r="G9" s="6"/>
      <c r="H9" s="73"/>
      <c r="I9" s="73"/>
      <c r="J9" s="74"/>
      <c r="L9" s="333" t="s">
        <v>128</v>
      </c>
      <c r="M9" s="333"/>
      <c r="N9" s="333"/>
      <c r="O9" s="333"/>
      <c r="P9" s="333"/>
      <c r="Q9" s="333"/>
      <c r="R9" s="333"/>
      <c r="S9" s="333"/>
    </row>
    <row r="10" spans="1:19" x14ac:dyDescent="0.2">
      <c r="A10" s="76"/>
      <c r="B10" s="73"/>
      <c r="C10" s="58">
        <v>2015</v>
      </c>
      <c r="D10" s="6">
        <v>610</v>
      </c>
      <c r="E10" s="6"/>
      <c r="F10" s="6"/>
      <c r="G10" s="6"/>
      <c r="H10" s="73"/>
      <c r="I10" s="73"/>
      <c r="J10" s="74"/>
      <c r="L10" s="333"/>
      <c r="M10" s="333"/>
      <c r="N10" s="333"/>
      <c r="O10" s="333"/>
      <c r="P10" s="333"/>
      <c r="Q10" s="333"/>
      <c r="R10" s="333"/>
      <c r="S10" s="333"/>
    </row>
    <row r="11" spans="1:19" x14ac:dyDescent="0.2">
      <c r="A11" s="76"/>
      <c r="B11" s="73"/>
      <c r="C11" s="73"/>
      <c r="D11" s="73"/>
      <c r="E11" s="73"/>
      <c r="F11" s="73"/>
      <c r="G11" s="73"/>
      <c r="H11" s="73"/>
      <c r="I11" s="73"/>
      <c r="J11" s="74"/>
    </row>
    <row r="12" spans="1:19" ht="16" customHeight="1" x14ac:dyDescent="0.2">
      <c r="A12" s="76"/>
      <c r="B12" s="103" t="s">
        <v>47</v>
      </c>
      <c r="C12" s="73"/>
      <c r="D12" s="73"/>
      <c r="E12" s="73"/>
      <c r="F12" s="73"/>
      <c r="G12" s="73"/>
      <c r="H12" s="73"/>
      <c r="I12" s="73"/>
      <c r="J12" s="74"/>
      <c r="L12" s="326" t="s">
        <v>129</v>
      </c>
      <c r="M12" s="326"/>
      <c r="N12" s="326"/>
      <c r="O12" s="326"/>
      <c r="P12" s="326"/>
      <c r="Q12" s="326"/>
      <c r="R12" s="326"/>
      <c r="S12" s="326"/>
    </row>
    <row r="13" spans="1:19" x14ac:dyDescent="0.2">
      <c r="A13" s="76"/>
      <c r="B13" s="73"/>
      <c r="C13" s="82" t="s">
        <v>165</v>
      </c>
      <c r="D13" s="73" t="s">
        <v>49</v>
      </c>
      <c r="E13" s="73"/>
      <c r="F13" s="73"/>
      <c r="G13" s="73"/>
      <c r="H13" s="73"/>
      <c r="I13" s="73"/>
      <c r="J13" s="74"/>
      <c r="L13" s="326"/>
      <c r="M13" s="326"/>
      <c r="N13" s="326"/>
      <c r="O13" s="326"/>
      <c r="P13" s="326"/>
      <c r="Q13" s="326"/>
      <c r="R13" s="326"/>
      <c r="S13" s="326"/>
    </row>
    <row r="14" spans="1:19" x14ac:dyDescent="0.2">
      <c r="A14" s="76"/>
      <c r="B14" s="73"/>
      <c r="C14" s="82" t="s">
        <v>166</v>
      </c>
      <c r="D14" s="73" t="s">
        <v>50</v>
      </c>
      <c r="E14" s="73"/>
      <c r="F14" s="73"/>
      <c r="G14" s="73"/>
      <c r="H14" s="73"/>
      <c r="I14" s="73"/>
      <c r="J14" s="74"/>
    </row>
    <row r="15" spans="1:19" ht="16" customHeight="1" x14ac:dyDescent="0.2">
      <c r="A15" s="76"/>
      <c r="B15" s="73"/>
      <c r="C15" s="73"/>
      <c r="D15" s="73"/>
      <c r="E15" s="73"/>
      <c r="F15" s="73"/>
      <c r="G15" s="73"/>
      <c r="H15" s="73"/>
      <c r="I15" s="73"/>
      <c r="J15" s="74"/>
      <c r="L15" s="21" t="s">
        <v>130</v>
      </c>
      <c r="M15" s="78"/>
      <c r="O15" s="334" t="s">
        <v>173</v>
      </c>
      <c r="P15" s="326"/>
      <c r="Q15" s="326"/>
      <c r="R15" s="326"/>
      <c r="S15" s="326"/>
    </row>
    <row r="16" spans="1:19" ht="16" customHeight="1" x14ac:dyDescent="0.2">
      <c r="A16" s="76"/>
      <c r="B16" s="73" t="s">
        <v>48</v>
      </c>
      <c r="C16" s="73"/>
      <c r="D16" s="73"/>
      <c r="E16" s="73"/>
      <c r="F16" s="73"/>
      <c r="G16" s="73"/>
      <c r="H16" s="73"/>
      <c r="I16" s="73"/>
      <c r="J16" s="74"/>
      <c r="L16" s="78"/>
      <c r="O16" s="326"/>
      <c r="P16" s="326"/>
      <c r="Q16" s="326"/>
      <c r="R16" s="326"/>
      <c r="S16" s="326"/>
    </row>
    <row r="17" spans="1:20" x14ac:dyDescent="0.2">
      <c r="A17" s="76"/>
      <c r="B17" s="73"/>
      <c r="C17" s="73"/>
      <c r="D17" s="73"/>
      <c r="E17" s="73"/>
      <c r="F17" s="73"/>
      <c r="G17" s="73"/>
      <c r="H17" s="73"/>
      <c r="I17" s="73"/>
      <c r="J17" s="74"/>
    </row>
    <row r="18" spans="1:20" ht="16" customHeight="1" x14ac:dyDescent="0.2">
      <c r="A18" s="76"/>
      <c r="B18" s="73" t="s">
        <v>51</v>
      </c>
      <c r="C18" s="73"/>
      <c r="D18" s="73"/>
      <c r="E18" s="73"/>
      <c r="F18" s="73"/>
      <c r="G18" s="73"/>
      <c r="H18" s="73"/>
      <c r="I18" s="73"/>
      <c r="J18" s="74"/>
      <c r="L18" s="326" t="s">
        <v>151</v>
      </c>
      <c r="M18" s="326"/>
      <c r="N18" s="326"/>
      <c r="O18" s="326"/>
      <c r="P18" s="326"/>
      <c r="Q18" s="326"/>
      <c r="R18" s="326"/>
      <c r="S18" s="326"/>
    </row>
    <row r="19" spans="1:20" x14ac:dyDescent="0.2">
      <c r="A19" s="76"/>
      <c r="B19" s="73" t="s">
        <v>52</v>
      </c>
      <c r="C19" s="83">
        <v>1.7</v>
      </c>
      <c r="D19" s="73"/>
      <c r="E19" s="73"/>
      <c r="F19" s="73"/>
      <c r="G19" s="73"/>
      <c r="H19" s="73"/>
      <c r="I19" s="73"/>
      <c r="J19" s="74"/>
      <c r="L19" s="326"/>
      <c r="M19" s="326"/>
      <c r="N19" s="326"/>
      <c r="O19" s="326"/>
      <c r="P19" s="326"/>
      <c r="Q19" s="326"/>
      <c r="R19" s="326"/>
      <c r="S19" s="326"/>
    </row>
    <row r="20" spans="1:20" x14ac:dyDescent="0.2">
      <c r="A20" s="76"/>
      <c r="B20" s="73"/>
      <c r="C20" s="73"/>
      <c r="D20" s="73"/>
      <c r="E20" s="73"/>
      <c r="F20" s="73"/>
      <c r="G20" s="73"/>
      <c r="H20" s="73"/>
      <c r="I20" s="73"/>
      <c r="J20" s="74"/>
      <c r="L20" s="326"/>
      <c r="M20" s="326"/>
      <c r="N20" s="326"/>
      <c r="O20" s="326"/>
      <c r="P20" s="326"/>
      <c r="Q20" s="326"/>
      <c r="R20" s="326"/>
      <c r="S20" s="326"/>
    </row>
    <row r="21" spans="1:20" x14ac:dyDescent="0.2">
      <c r="A21" s="76"/>
      <c r="B21" s="73" t="s">
        <v>53</v>
      </c>
      <c r="C21" s="73"/>
      <c r="D21" s="73"/>
      <c r="E21" s="73"/>
      <c r="F21" s="73"/>
      <c r="G21" s="73"/>
      <c r="H21" s="73"/>
      <c r="I21" s="73"/>
      <c r="J21" s="74"/>
    </row>
    <row r="22" spans="1:20" ht="16" customHeight="1" x14ac:dyDescent="0.2">
      <c r="A22" s="76"/>
      <c r="B22" s="73" t="s">
        <v>54</v>
      </c>
      <c r="C22" s="73"/>
      <c r="D22" s="73"/>
      <c r="E22" s="73"/>
      <c r="F22" s="73"/>
      <c r="G22" s="73"/>
      <c r="H22" s="73"/>
      <c r="I22" s="73"/>
      <c r="J22" s="74"/>
      <c r="L22" s="27" t="s">
        <v>132</v>
      </c>
      <c r="N22" s="77"/>
      <c r="O22" s="77"/>
      <c r="P22" s="77"/>
      <c r="Q22" s="77"/>
      <c r="R22" s="77"/>
      <c r="S22" s="77"/>
      <c r="T22" s="77"/>
    </row>
    <row r="23" spans="1:20" ht="16" customHeight="1" x14ac:dyDescent="0.2">
      <c r="A23" s="76"/>
      <c r="B23" s="73"/>
      <c r="C23" s="73"/>
      <c r="D23" s="73"/>
      <c r="E23" s="73"/>
      <c r="F23" s="73"/>
      <c r="G23" s="73"/>
      <c r="H23" s="73"/>
      <c r="I23" s="73"/>
      <c r="J23" s="74"/>
      <c r="L23" s="328" t="s">
        <v>135</v>
      </c>
      <c r="M23" s="328"/>
      <c r="N23" s="328"/>
      <c r="O23" s="328"/>
      <c r="P23" s="328"/>
      <c r="Q23" s="328"/>
      <c r="R23" s="328"/>
      <c r="S23" s="328"/>
    </row>
    <row r="24" spans="1:20" ht="17" thickBot="1" x14ac:dyDescent="0.25">
      <c r="A24" s="76"/>
      <c r="B24" s="73"/>
      <c r="C24" s="73"/>
      <c r="D24" s="73"/>
      <c r="E24" s="73"/>
      <c r="F24" s="73"/>
      <c r="G24" s="73"/>
      <c r="H24" s="73"/>
      <c r="I24" s="73"/>
      <c r="J24" s="74"/>
      <c r="L24" s="328"/>
      <c r="M24" s="328"/>
      <c r="N24" s="328"/>
      <c r="O24" s="328"/>
      <c r="P24" s="328"/>
      <c r="Q24" s="328"/>
      <c r="R24" s="328"/>
      <c r="S24" s="328"/>
    </row>
    <row r="25" spans="1:20" ht="17" thickBot="1" x14ac:dyDescent="0.25">
      <c r="A25" s="323" t="s">
        <v>145</v>
      </c>
      <c r="B25" s="324"/>
      <c r="C25" s="324"/>
      <c r="D25" s="324"/>
      <c r="E25" s="324"/>
      <c r="F25" s="324"/>
      <c r="G25" s="324"/>
      <c r="H25" s="324"/>
      <c r="I25" s="324"/>
      <c r="J25" s="325"/>
      <c r="L25" s="328"/>
      <c r="M25" s="328"/>
      <c r="N25" s="328"/>
      <c r="O25" s="328"/>
      <c r="P25" s="328"/>
      <c r="Q25" s="328"/>
      <c r="R25" s="328"/>
      <c r="S25" s="328"/>
    </row>
    <row r="26" spans="1:20" x14ac:dyDescent="0.2">
      <c r="L26" s="328"/>
      <c r="M26" s="328"/>
      <c r="N26" s="328"/>
      <c r="O26" s="328"/>
      <c r="P26" s="328"/>
      <c r="Q26" s="328"/>
      <c r="R26" s="328"/>
      <c r="S26" s="328"/>
    </row>
    <row r="27" spans="1:20" ht="19" x14ac:dyDescent="0.2">
      <c r="A27" s="27"/>
      <c r="L27" s="328"/>
      <c r="M27" s="328"/>
      <c r="N27" s="328"/>
      <c r="O27" s="328"/>
      <c r="P27" s="328"/>
      <c r="Q27" s="328"/>
      <c r="R27" s="328"/>
      <c r="S27" s="328"/>
    </row>
    <row r="28" spans="1:20" x14ac:dyDescent="0.2">
      <c r="A28" s="20"/>
      <c r="L28" s="328"/>
      <c r="M28" s="328"/>
      <c r="N28" s="328"/>
      <c r="O28" s="328"/>
      <c r="P28" s="328"/>
      <c r="Q28" s="328"/>
      <c r="R28" s="328"/>
      <c r="S28" s="328"/>
    </row>
    <row r="29" spans="1:20" x14ac:dyDescent="0.2">
      <c r="A29" s="20"/>
      <c r="L29" s="328"/>
      <c r="M29" s="328"/>
      <c r="N29" s="328"/>
      <c r="O29" s="328"/>
      <c r="P29" s="328"/>
      <c r="Q29" s="328"/>
      <c r="R29" s="328"/>
      <c r="S29" s="328"/>
    </row>
    <row r="30" spans="1:20" x14ac:dyDescent="0.2">
      <c r="L30" s="328"/>
      <c r="M30" s="328"/>
      <c r="N30" s="328"/>
      <c r="O30" s="328"/>
      <c r="P30" s="328"/>
      <c r="Q30" s="328"/>
      <c r="R30" s="328"/>
      <c r="S30" s="328"/>
    </row>
    <row r="31" spans="1:20" x14ac:dyDescent="0.2">
      <c r="L31" s="328"/>
      <c r="M31" s="328"/>
      <c r="N31" s="328"/>
      <c r="O31" s="328"/>
      <c r="P31" s="328"/>
      <c r="Q31" s="328"/>
      <c r="R31" s="328"/>
      <c r="S31" s="328"/>
    </row>
    <row r="32" spans="1:20" x14ac:dyDescent="0.2">
      <c r="L32" s="328"/>
      <c r="M32" s="328"/>
      <c r="N32" s="328"/>
      <c r="O32" s="328"/>
      <c r="P32" s="328"/>
      <c r="Q32" s="328"/>
      <c r="R32" s="328"/>
      <c r="S32" s="328"/>
    </row>
    <row r="33" spans="1:12" x14ac:dyDescent="0.2">
      <c r="L33" s="30"/>
    </row>
    <row r="34" spans="1:12" ht="19" x14ac:dyDescent="0.25">
      <c r="L34" s="2" t="s">
        <v>172</v>
      </c>
    </row>
    <row r="35" spans="1:12" x14ac:dyDescent="0.2">
      <c r="L35" s="100" t="s">
        <v>168</v>
      </c>
    </row>
    <row r="36" spans="1:12" x14ac:dyDescent="0.2">
      <c r="L36" s="30"/>
    </row>
    <row r="37" spans="1:12" x14ac:dyDescent="0.2">
      <c r="L37" s="30"/>
    </row>
    <row r="38" spans="1:12" x14ac:dyDescent="0.2">
      <c r="L38" s="30"/>
    </row>
    <row r="39" spans="1:12" x14ac:dyDescent="0.2">
      <c r="A39" s="20"/>
      <c r="L39" s="30"/>
    </row>
    <row r="50" spans="1:14" x14ac:dyDescent="0.2">
      <c r="A50" s="20"/>
      <c r="C50" s="78"/>
    </row>
    <row r="52" spans="1:14" x14ac:dyDescent="0.2">
      <c r="M52" s="78"/>
    </row>
    <row r="53" spans="1:14" x14ac:dyDescent="0.2">
      <c r="L53" s="30"/>
      <c r="M53" s="30"/>
      <c r="N53" s="30"/>
    </row>
    <row r="54" spans="1:14" x14ac:dyDescent="0.2">
      <c r="L54" s="30"/>
      <c r="M54" s="30"/>
      <c r="N54" s="30"/>
    </row>
    <row r="55" spans="1:14" x14ac:dyDescent="0.2">
      <c r="L55" s="30"/>
      <c r="M55" s="30"/>
      <c r="N55" s="30"/>
    </row>
    <row r="56" spans="1:14" x14ac:dyDescent="0.2">
      <c r="L56" s="30"/>
      <c r="M56" s="30"/>
      <c r="N56" s="30"/>
    </row>
    <row r="57" spans="1:14" x14ac:dyDescent="0.2">
      <c r="L57" s="30"/>
      <c r="M57" s="30"/>
      <c r="N57" s="30"/>
    </row>
    <row r="58" spans="1:14" x14ac:dyDescent="0.2">
      <c r="L58" s="30"/>
      <c r="M58" s="30"/>
      <c r="N58" s="30"/>
    </row>
    <row r="59" spans="1:14" x14ac:dyDescent="0.2">
      <c r="L59" s="30"/>
      <c r="M59" s="30"/>
      <c r="N59" s="30"/>
    </row>
    <row r="60" spans="1:14" x14ac:dyDescent="0.2">
      <c r="L60" s="30"/>
      <c r="M60" s="30"/>
      <c r="N60" s="30"/>
    </row>
    <row r="61" spans="1:14" x14ac:dyDescent="0.2">
      <c r="L61" s="30"/>
      <c r="M61" s="30"/>
      <c r="N61" s="30"/>
    </row>
    <row r="62" spans="1:14" x14ac:dyDescent="0.2">
      <c r="M62" s="78"/>
    </row>
    <row r="63" spans="1:14" x14ac:dyDescent="0.2">
      <c r="L63" s="30"/>
      <c r="M63" s="30"/>
      <c r="N63" s="30"/>
    </row>
    <row r="64" spans="1:14" x14ac:dyDescent="0.2">
      <c r="L64" s="30"/>
      <c r="M64" s="30"/>
      <c r="N64" s="30"/>
    </row>
    <row r="65" spans="12:14" x14ac:dyDescent="0.2">
      <c r="L65" s="30"/>
      <c r="M65" s="30"/>
      <c r="N65" s="30"/>
    </row>
    <row r="66" spans="12:14" x14ac:dyDescent="0.2">
      <c r="L66" s="30"/>
      <c r="M66" s="30"/>
      <c r="N66" s="30"/>
    </row>
    <row r="67" spans="12:14" x14ac:dyDescent="0.2">
      <c r="L67" s="30"/>
      <c r="M67" s="30"/>
      <c r="N67" s="30"/>
    </row>
    <row r="68" spans="12:14" x14ac:dyDescent="0.2">
      <c r="L68" s="30"/>
      <c r="M68" s="30"/>
      <c r="N68" s="30"/>
    </row>
    <row r="69" spans="12:14" x14ac:dyDescent="0.2">
      <c r="L69" s="30"/>
      <c r="M69" s="30"/>
      <c r="N69" s="30"/>
    </row>
    <row r="70" spans="12:14" x14ac:dyDescent="0.2">
      <c r="L70" s="30"/>
      <c r="M70" s="30"/>
      <c r="N70" s="30"/>
    </row>
    <row r="71" spans="12:14" x14ac:dyDescent="0.2">
      <c r="L71" s="30"/>
      <c r="M71" s="30"/>
      <c r="N71" s="30"/>
    </row>
    <row r="72" spans="12:14" x14ac:dyDescent="0.2">
      <c r="M72" s="78"/>
    </row>
    <row r="73" spans="12:14" x14ac:dyDescent="0.2">
      <c r="L73" s="30"/>
      <c r="M73" s="30"/>
      <c r="N73" s="30"/>
    </row>
    <row r="74" spans="12:14" x14ac:dyDescent="0.2">
      <c r="L74" s="30"/>
      <c r="M74" s="30"/>
      <c r="N74" s="30"/>
    </row>
    <row r="75" spans="12:14" x14ac:dyDescent="0.2">
      <c r="L75" s="30"/>
      <c r="M75" s="30"/>
      <c r="N75" s="30"/>
    </row>
    <row r="76" spans="12:14" x14ac:dyDescent="0.2">
      <c r="L76" s="30"/>
      <c r="M76" s="30"/>
      <c r="N76" s="30"/>
    </row>
    <row r="77" spans="12:14" x14ac:dyDescent="0.2">
      <c r="L77" s="30"/>
      <c r="M77" s="30"/>
      <c r="N77" s="30"/>
    </row>
    <row r="78" spans="12:14" x14ac:dyDescent="0.2">
      <c r="L78" s="30"/>
      <c r="M78" s="30"/>
      <c r="N78" s="30"/>
    </row>
    <row r="79" spans="12:14" x14ac:dyDescent="0.2">
      <c r="L79" s="30"/>
      <c r="M79" s="30"/>
      <c r="N79" s="30"/>
    </row>
    <row r="80" spans="12:14" x14ac:dyDescent="0.2">
      <c r="L80" s="30"/>
      <c r="M80" s="30"/>
      <c r="N80" s="30"/>
    </row>
    <row r="81" spans="1:64" x14ac:dyDescent="0.2">
      <c r="L81" s="30"/>
      <c r="M81" s="30"/>
      <c r="N81" s="30"/>
    </row>
    <row r="82" spans="1:64" x14ac:dyDescent="0.2">
      <c r="M82" s="78"/>
    </row>
    <row r="83" spans="1:64" x14ac:dyDescent="0.2">
      <c r="L83" s="30"/>
      <c r="M83" s="30"/>
      <c r="N83" s="30"/>
    </row>
    <row r="84" spans="1:64" x14ac:dyDescent="0.2">
      <c r="L84" s="30"/>
      <c r="M84" s="30"/>
      <c r="N84" s="30"/>
    </row>
    <row r="85" spans="1:64" x14ac:dyDescent="0.2">
      <c r="L85" s="30"/>
      <c r="M85" s="30"/>
      <c r="N85" s="30"/>
    </row>
    <row r="86" spans="1:64" x14ac:dyDescent="0.2">
      <c r="L86" s="30"/>
      <c r="M86" s="30"/>
      <c r="N86" s="30"/>
    </row>
    <row r="87" spans="1:64" x14ac:dyDescent="0.2">
      <c r="L87" s="30"/>
      <c r="M87" s="30"/>
      <c r="N87" s="30"/>
    </row>
    <row r="88" spans="1:64" x14ac:dyDescent="0.2">
      <c r="L88" s="30"/>
      <c r="M88" s="30"/>
      <c r="N88" s="30"/>
    </row>
    <row r="89" spans="1:64" x14ac:dyDescent="0.2">
      <c r="L89" s="30"/>
      <c r="M89" s="30"/>
      <c r="N89" s="30"/>
    </row>
    <row r="90" spans="1:64" x14ac:dyDescent="0.2">
      <c r="L90" s="30"/>
      <c r="M90" s="30"/>
      <c r="N90" s="30"/>
    </row>
    <row r="91" spans="1:64" x14ac:dyDescent="0.2">
      <c r="K91" s="30"/>
      <c r="L91" s="30"/>
      <c r="M91" s="30"/>
      <c r="N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row>
    <row r="92" spans="1:64" x14ac:dyDescent="0.2">
      <c r="A92" s="30"/>
      <c r="B92" s="30"/>
      <c r="C92" s="30"/>
      <c r="D92" s="30"/>
      <c r="E92" s="30"/>
      <c r="F92" s="30"/>
      <c r="G92" s="30"/>
      <c r="H92" s="30"/>
      <c r="I92" s="30"/>
      <c r="J92" s="30"/>
      <c r="K92" s="30"/>
      <c r="M92" s="78"/>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row>
    <row r="93" spans="1:64" x14ac:dyDescent="0.2">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row>
    <row r="94" spans="1:64" x14ac:dyDescent="0.2">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row>
    <row r="95" spans="1:64" x14ac:dyDescent="0.2">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row>
    <row r="96" spans="1:64" x14ac:dyDescent="0.2">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row>
    <row r="97" spans="1:64" x14ac:dyDescent="0.2">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row>
    <row r="98" spans="1:64" x14ac:dyDescent="0.2">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row>
    <row r="99" spans="1:64" x14ac:dyDescent="0.2">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row>
    <row r="100" spans="1:64" x14ac:dyDescent="0.2">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row>
    <row r="101" spans="1:64" x14ac:dyDescent="0.2">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row>
    <row r="102" spans="1:64" x14ac:dyDescent="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row>
    <row r="103" spans="1:64" x14ac:dyDescent="0.2">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row>
    <row r="104" spans="1:64" x14ac:dyDescent="0.2">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row>
    <row r="105" spans="1:64" x14ac:dyDescent="0.2">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row>
    <row r="106" spans="1:64" x14ac:dyDescent="0.2">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row>
    <row r="107" spans="1:64" x14ac:dyDescent="0.2">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row>
    <row r="108" spans="1:64" x14ac:dyDescent="0.2">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row>
    <row r="109" spans="1:64" x14ac:dyDescent="0.2">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row>
    <row r="110" spans="1:64" x14ac:dyDescent="0.2">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row>
    <row r="111" spans="1:64" x14ac:dyDescent="0.2">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row>
    <row r="112" spans="1:64" x14ac:dyDescent="0.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row>
    <row r="113" spans="1:64" x14ac:dyDescent="0.2">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row>
    <row r="114" spans="1:64" x14ac:dyDescent="0.2">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row>
    <row r="115" spans="1:64" x14ac:dyDescent="0.2">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row>
    <row r="116" spans="1:64" x14ac:dyDescent="0.2">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row>
    <row r="117" spans="1:64" x14ac:dyDescent="0.2">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row>
    <row r="118" spans="1:64" x14ac:dyDescent="0.2">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row>
    <row r="119" spans="1:64" x14ac:dyDescent="0.2">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row>
    <row r="120" spans="1:64" x14ac:dyDescent="0.2">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row>
    <row r="121" spans="1:64" x14ac:dyDescent="0.2">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row>
    <row r="122" spans="1:64" x14ac:dyDescent="0.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row>
    <row r="123" spans="1:64" x14ac:dyDescent="0.2">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row>
    <row r="124" spans="1:64" x14ac:dyDescent="0.2">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row>
    <row r="125" spans="1:64" x14ac:dyDescent="0.2">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row>
    <row r="126" spans="1:64" x14ac:dyDescent="0.2">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row>
    <row r="127" spans="1:64" x14ac:dyDescent="0.2">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row>
    <row r="128" spans="1:64" x14ac:dyDescent="0.2">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row>
    <row r="129" spans="1:64" x14ac:dyDescent="0.2">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row>
    <row r="130" spans="1:64" x14ac:dyDescent="0.2">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row>
    <row r="131" spans="1:64" x14ac:dyDescent="0.2">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row>
    <row r="132" spans="1:64" x14ac:dyDescent="0.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row>
    <row r="133" spans="1:64" x14ac:dyDescent="0.2">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row>
    <row r="134" spans="1:64" x14ac:dyDescent="0.2">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row>
    <row r="135" spans="1:64" x14ac:dyDescent="0.2">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row>
    <row r="136" spans="1:64" x14ac:dyDescent="0.2">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row>
    <row r="137" spans="1:64" x14ac:dyDescent="0.2">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row>
    <row r="138" spans="1:64" x14ac:dyDescent="0.2">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row>
    <row r="139" spans="1:64" x14ac:dyDescent="0.2">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row>
    <row r="140" spans="1:64" x14ac:dyDescent="0.2">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row>
    <row r="141" spans="1:64" x14ac:dyDescent="0.2">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row>
    <row r="142" spans="1:64" x14ac:dyDescent="0.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row>
    <row r="143" spans="1:64" x14ac:dyDescent="0.2">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row>
    <row r="144" spans="1:64" x14ac:dyDescent="0.2">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row>
    <row r="145" spans="1:64" x14ac:dyDescent="0.2">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row>
    <row r="146" spans="1:64" x14ac:dyDescent="0.2">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row>
    <row r="147" spans="1:64" x14ac:dyDescent="0.2">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row>
    <row r="148" spans="1:64" x14ac:dyDescent="0.2">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row>
    <row r="149" spans="1:64" x14ac:dyDescent="0.2">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row>
    <row r="150" spans="1:64" x14ac:dyDescent="0.2">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row>
    <row r="151" spans="1:64" x14ac:dyDescent="0.2">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row>
    <row r="152" spans="1:64" x14ac:dyDescent="0.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row>
    <row r="153" spans="1:64" x14ac:dyDescent="0.2">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row>
    <row r="154" spans="1:64"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row>
    <row r="155" spans="1:64" x14ac:dyDescent="0.2">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row>
    <row r="156" spans="1:64" x14ac:dyDescent="0.2">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row>
    <row r="157" spans="1:64" x14ac:dyDescent="0.2">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row>
    <row r="158" spans="1:64" x14ac:dyDescent="0.2">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row>
    <row r="159" spans="1:64" x14ac:dyDescent="0.2">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row>
    <row r="160" spans="1:64" x14ac:dyDescent="0.2">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row>
    <row r="161" spans="1:64" x14ac:dyDescent="0.2">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row>
    <row r="162" spans="1:64" x14ac:dyDescent="0.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row>
    <row r="163" spans="1:64" x14ac:dyDescent="0.2">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row>
    <row r="164" spans="1:64" x14ac:dyDescent="0.2">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row>
    <row r="165" spans="1:64" x14ac:dyDescent="0.2">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row>
    <row r="166" spans="1:64" x14ac:dyDescent="0.2">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row>
    <row r="167" spans="1:64" x14ac:dyDescent="0.2">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row>
    <row r="168" spans="1:64" x14ac:dyDescent="0.2">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row>
    <row r="169" spans="1:64" x14ac:dyDescent="0.2">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row>
    <row r="170" spans="1:64" x14ac:dyDescent="0.2">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row>
    <row r="171" spans="1:64" x14ac:dyDescent="0.2">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row>
    <row r="172" spans="1:64" x14ac:dyDescent="0.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row>
    <row r="173" spans="1:64" x14ac:dyDescent="0.2">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row>
    <row r="174" spans="1:64" x14ac:dyDescent="0.2">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row>
    <row r="175" spans="1:64" x14ac:dyDescent="0.2">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row>
    <row r="176" spans="1:64" x14ac:dyDescent="0.2">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row>
    <row r="177" spans="1:64" x14ac:dyDescent="0.2">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row>
    <row r="178" spans="1:64" x14ac:dyDescent="0.2">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row>
    <row r="179" spans="1:64" x14ac:dyDescent="0.2">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row>
    <row r="180" spans="1:64" x14ac:dyDescent="0.2">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row>
    <row r="181" spans="1:64" x14ac:dyDescent="0.2">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row>
    <row r="182" spans="1:64" x14ac:dyDescent="0.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row>
    <row r="183" spans="1:64" x14ac:dyDescent="0.2">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row>
    <row r="184" spans="1:64" x14ac:dyDescent="0.2">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row>
    <row r="185" spans="1:64" x14ac:dyDescent="0.2">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row>
    <row r="186" spans="1:64" x14ac:dyDescent="0.2">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row>
    <row r="187" spans="1:64" x14ac:dyDescent="0.2">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row>
    <row r="188" spans="1:64" x14ac:dyDescent="0.2">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row>
    <row r="189" spans="1:64" x14ac:dyDescent="0.2">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row>
    <row r="190" spans="1:64" x14ac:dyDescent="0.2">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row>
    <row r="191" spans="1:64" x14ac:dyDescent="0.2">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row>
    <row r="192" spans="1:64" x14ac:dyDescent="0.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row>
    <row r="193" spans="1:19" x14ac:dyDescent="0.2">
      <c r="A193" s="30"/>
      <c r="B193" s="30"/>
      <c r="C193" s="30"/>
      <c r="D193" s="30"/>
      <c r="E193" s="30"/>
      <c r="F193" s="30"/>
      <c r="G193" s="30"/>
      <c r="H193" s="30"/>
      <c r="I193" s="30"/>
      <c r="J193" s="30"/>
      <c r="L193" s="30"/>
      <c r="M193" s="30"/>
      <c r="N193" s="30"/>
      <c r="O193" s="30"/>
      <c r="P193" s="30"/>
      <c r="Q193" s="30"/>
      <c r="R193" s="30"/>
      <c r="S193" s="30"/>
    </row>
    <row r="194" spans="1:19" x14ac:dyDescent="0.2">
      <c r="L194" s="30"/>
      <c r="M194" s="30"/>
      <c r="N194" s="30"/>
      <c r="O194" s="30"/>
      <c r="P194" s="30"/>
      <c r="Q194" s="30"/>
      <c r="R194" s="30"/>
      <c r="S194" s="30"/>
    </row>
  </sheetData>
  <mergeCells count="8">
    <mergeCell ref="C5:G5"/>
    <mergeCell ref="A25:J25"/>
    <mergeCell ref="L2:S3"/>
    <mergeCell ref="L9:S10"/>
    <mergeCell ref="L12:S13"/>
    <mergeCell ref="O15:S16"/>
    <mergeCell ref="L18:S20"/>
    <mergeCell ref="L23:S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dimension ref="A1:BM195"/>
  <sheetViews>
    <sheetView zoomScaleNormal="100" workbookViewId="0">
      <selection activeCell="M31" sqref="M31"/>
    </sheetView>
  </sheetViews>
  <sheetFormatPr baseColWidth="10" defaultColWidth="10.83203125" defaultRowHeight="16" outlineLevelCol="1" x14ac:dyDescent="0.2"/>
  <cols>
    <col min="1" max="1" width="4.6640625" style="75" customWidth="1"/>
    <col min="2" max="10" width="10.83203125" style="75"/>
    <col min="11" max="11" width="11.5" style="75" bestFit="1" customWidth="1"/>
    <col min="12" max="20" width="10.83203125" style="75" hidden="1" customWidth="1" outlineLevel="1"/>
    <col min="21" max="21" width="10.83203125" style="75" collapsed="1"/>
    <col min="22" max="16384" width="10.83203125" style="75"/>
  </cols>
  <sheetData>
    <row r="1" spans="1:20" ht="19" x14ac:dyDescent="0.25">
      <c r="A1" s="1" t="s">
        <v>162</v>
      </c>
      <c r="B1" s="19"/>
      <c r="C1" s="63"/>
      <c r="D1" s="63"/>
      <c r="E1" s="63"/>
      <c r="F1" s="73"/>
      <c r="G1" s="73"/>
      <c r="H1" s="73"/>
      <c r="I1" s="73"/>
      <c r="J1" s="74"/>
      <c r="K1" s="27" t="s">
        <v>148</v>
      </c>
    </row>
    <row r="2" spans="1:20" x14ac:dyDescent="0.2">
      <c r="A2" s="76"/>
      <c r="B2" s="73"/>
      <c r="C2" s="73"/>
      <c r="D2" s="73"/>
      <c r="E2" s="73"/>
      <c r="F2" s="73"/>
      <c r="G2" s="73"/>
      <c r="H2" s="73"/>
      <c r="I2" s="73"/>
      <c r="J2" s="74"/>
      <c r="L2" s="21" t="s">
        <v>2</v>
      </c>
      <c r="N2" s="78"/>
    </row>
    <row r="3" spans="1:20" x14ac:dyDescent="0.2">
      <c r="A3" s="76"/>
      <c r="B3" s="73" t="s">
        <v>11</v>
      </c>
      <c r="C3" s="73"/>
      <c r="D3" s="73"/>
      <c r="E3" s="73"/>
      <c r="F3" s="73"/>
      <c r="G3" s="73"/>
      <c r="H3" s="73"/>
      <c r="I3" s="73"/>
      <c r="J3" s="74"/>
      <c r="M3" s="326" t="s">
        <v>76</v>
      </c>
      <c r="N3" s="326"/>
      <c r="O3" s="326"/>
      <c r="P3" s="326"/>
      <c r="Q3" s="326"/>
      <c r="R3" s="326"/>
      <c r="S3" s="326"/>
      <c r="T3" s="326"/>
    </row>
    <row r="4" spans="1:20" x14ac:dyDescent="0.2">
      <c r="A4" s="76"/>
      <c r="B4" s="73"/>
      <c r="C4" s="73"/>
      <c r="D4" s="73"/>
      <c r="E4" s="73"/>
      <c r="F4" s="73"/>
      <c r="G4" s="73"/>
      <c r="H4" s="73"/>
      <c r="I4" s="73"/>
      <c r="J4" s="74"/>
      <c r="M4" s="326"/>
      <c r="N4" s="326"/>
      <c r="O4" s="326"/>
      <c r="P4" s="326"/>
      <c r="Q4" s="326"/>
      <c r="R4" s="326"/>
      <c r="S4" s="326"/>
      <c r="T4" s="326"/>
    </row>
    <row r="5" spans="1:20" x14ac:dyDescent="0.2">
      <c r="A5" s="76"/>
      <c r="B5" s="73"/>
      <c r="C5" s="322" t="s">
        <v>46</v>
      </c>
      <c r="D5" s="322"/>
      <c r="E5" s="322"/>
      <c r="F5" s="322"/>
      <c r="G5" s="322"/>
      <c r="H5" s="73"/>
      <c r="I5" s="73"/>
      <c r="J5" s="74"/>
      <c r="M5" s="75" t="s">
        <v>78</v>
      </c>
      <c r="Q5" s="52">
        <v>5.0000000000000001E-3</v>
      </c>
    </row>
    <row r="6" spans="1:20" ht="34" x14ac:dyDescent="0.2">
      <c r="A6" s="76"/>
      <c r="B6" s="73"/>
      <c r="C6" s="57" t="s">
        <v>12</v>
      </c>
      <c r="D6" s="55" t="s">
        <v>13</v>
      </c>
      <c r="E6" s="55" t="s">
        <v>14</v>
      </c>
      <c r="F6" s="55" t="s">
        <v>15</v>
      </c>
      <c r="G6" s="55" t="s">
        <v>26</v>
      </c>
      <c r="H6" s="55"/>
      <c r="I6" s="55" t="s">
        <v>57</v>
      </c>
      <c r="J6" s="74"/>
    </row>
    <row r="7" spans="1:20" x14ac:dyDescent="0.2">
      <c r="A7" s="76"/>
      <c r="B7" s="73"/>
      <c r="C7" s="58">
        <v>2012</v>
      </c>
      <c r="D7" s="6">
        <v>670</v>
      </c>
      <c r="E7" s="5">
        <v>1000</v>
      </c>
      <c r="F7" s="5">
        <v>1180</v>
      </c>
      <c r="G7" s="5">
        <v>1230</v>
      </c>
      <c r="H7" s="6"/>
      <c r="I7" s="5">
        <v>1300</v>
      </c>
      <c r="J7" s="74"/>
      <c r="M7" s="75" t="s">
        <v>77</v>
      </c>
      <c r="P7" s="75">
        <f>($Q$5*$I$10)^2</f>
        <v>56.25</v>
      </c>
    </row>
    <row r="8" spans="1:20" x14ac:dyDescent="0.2">
      <c r="A8" s="76"/>
      <c r="B8" s="73"/>
      <c r="C8" s="58">
        <v>2013</v>
      </c>
      <c r="D8" s="6">
        <v>620</v>
      </c>
      <c r="E8" s="5">
        <v>1010</v>
      </c>
      <c r="F8" s="5">
        <v>1150</v>
      </c>
      <c r="G8" s="6"/>
      <c r="H8" s="6"/>
      <c r="I8" s="5">
        <v>1350</v>
      </c>
      <c r="J8" s="74"/>
    </row>
    <row r="9" spans="1:20" x14ac:dyDescent="0.2">
      <c r="A9" s="76"/>
      <c r="B9" s="73"/>
      <c r="C9" s="58">
        <v>2014</v>
      </c>
      <c r="D9" s="6">
        <v>830</v>
      </c>
      <c r="E9" s="5">
        <v>1130</v>
      </c>
      <c r="F9" s="6"/>
      <c r="G9" s="6"/>
      <c r="H9" s="6"/>
      <c r="I9" s="5">
        <v>1450</v>
      </c>
      <c r="J9" s="74"/>
      <c r="M9" s="75" t="s">
        <v>79</v>
      </c>
    </row>
    <row r="10" spans="1:20" x14ac:dyDescent="0.2">
      <c r="A10" s="76"/>
      <c r="B10" s="73"/>
      <c r="C10" s="58">
        <v>2015</v>
      </c>
      <c r="D10" s="6">
        <v>740</v>
      </c>
      <c r="E10" s="6"/>
      <c r="F10" s="6"/>
      <c r="G10" s="6"/>
      <c r="H10" s="6"/>
      <c r="I10" s="5">
        <v>1500</v>
      </c>
      <c r="J10" s="74"/>
      <c r="M10" s="75" t="s">
        <v>80</v>
      </c>
    </row>
    <row r="11" spans="1:20" x14ac:dyDescent="0.2">
      <c r="A11" s="76"/>
      <c r="B11" s="73"/>
      <c r="C11" s="73"/>
      <c r="D11" s="73"/>
      <c r="E11" s="73"/>
      <c r="F11" s="73"/>
      <c r="G11" s="73"/>
      <c r="H11" s="73"/>
      <c r="I11" s="73"/>
      <c r="J11" s="74"/>
    </row>
    <row r="12" spans="1:20" x14ac:dyDescent="0.2">
      <c r="A12" s="76"/>
      <c r="B12" s="73" t="s">
        <v>58</v>
      </c>
      <c r="C12" s="73"/>
      <c r="D12" s="73"/>
      <c r="E12" s="73"/>
      <c r="F12" s="73"/>
      <c r="G12" s="73"/>
      <c r="H12" s="73"/>
      <c r="I12" s="73"/>
      <c r="J12" s="74"/>
      <c r="M12" s="75" t="s">
        <v>82</v>
      </c>
    </row>
    <row r="13" spans="1:20" x14ac:dyDescent="0.2">
      <c r="A13" s="76"/>
      <c r="B13" s="73"/>
      <c r="C13" s="73"/>
      <c r="D13" s="73"/>
      <c r="E13" s="73"/>
      <c r="F13" s="73"/>
      <c r="G13" s="73"/>
      <c r="H13" s="73"/>
      <c r="I13" s="73"/>
      <c r="J13" s="74"/>
      <c r="N13" s="78"/>
    </row>
    <row r="14" spans="1:20" x14ac:dyDescent="0.2">
      <c r="A14" s="76"/>
      <c r="B14" s="79"/>
      <c r="C14" s="73" t="s">
        <v>59</v>
      </c>
      <c r="D14" s="73"/>
      <c r="E14" s="73"/>
      <c r="F14" s="73"/>
      <c r="G14" s="73"/>
      <c r="H14" s="73"/>
      <c r="I14" s="73"/>
      <c r="J14" s="74"/>
      <c r="M14" s="75" t="s">
        <v>83</v>
      </c>
    </row>
    <row r="15" spans="1:20" x14ac:dyDescent="0.2">
      <c r="A15" s="76"/>
      <c r="B15" s="79"/>
      <c r="C15" s="73"/>
      <c r="D15" s="73"/>
      <c r="E15" s="73"/>
      <c r="F15" s="73"/>
      <c r="G15" s="73"/>
      <c r="H15" s="73"/>
      <c r="I15" s="73"/>
      <c r="J15" s="74"/>
    </row>
    <row r="16" spans="1:20" x14ac:dyDescent="0.2">
      <c r="A16" s="76"/>
      <c r="B16" s="79"/>
      <c r="C16" s="73" t="s">
        <v>60</v>
      </c>
      <c r="D16" s="73"/>
      <c r="E16" s="73" t="s">
        <v>61</v>
      </c>
      <c r="F16" s="73"/>
      <c r="G16" s="73"/>
      <c r="H16" s="73"/>
      <c r="I16" s="73"/>
      <c r="J16" s="74"/>
      <c r="M16" s="75" t="s">
        <v>84</v>
      </c>
      <c r="N16" s="80">
        <f>$I$10 / P7</f>
        <v>26.666666666666668</v>
      </c>
    </row>
    <row r="17" spans="1:20" x14ac:dyDescent="0.2">
      <c r="A17" s="76"/>
      <c r="B17" s="73"/>
      <c r="C17" s="73"/>
      <c r="D17" s="73"/>
      <c r="E17" s="73"/>
      <c r="F17" s="73"/>
      <c r="G17" s="73"/>
      <c r="H17" s="73"/>
      <c r="I17" s="73"/>
      <c r="J17" s="74"/>
      <c r="M17" s="75" t="s">
        <v>85</v>
      </c>
      <c r="N17" s="75">
        <f>$I$10*N16</f>
        <v>40000</v>
      </c>
    </row>
    <row r="18" spans="1:20" x14ac:dyDescent="0.2">
      <c r="A18" s="73" t="s">
        <v>0</v>
      </c>
      <c r="B18" s="73" t="s">
        <v>55</v>
      </c>
      <c r="C18" s="73"/>
      <c r="D18" s="73"/>
      <c r="E18" s="73"/>
      <c r="F18" s="73"/>
      <c r="G18" s="73"/>
      <c r="H18" s="73"/>
      <c r="I18" s="73"/>
      <c r="J18" s="74"/>
    </row>
    <row r="19" spans="1:20" x14ac:dyDescent="0.2">
      <c r="A19" s="76"/>
      <c r="B19" s="73" t="s">
        <v>56</v>
      </c>
      <c r="C19" s="73"/>
      <c r="D19" s="73"/>
      <c r="E19" s="73"/>
      <c r="F19" s="73"/>
      <c r="G19" s="73"/>
      <c r="H19" s="73"/>
      <c r="I19" s="73"/>
      <c r="J19" s="74"/>
      <c r="M19" s="21" t="s">
        <v>86</v>
      </c>
    </row>
    <row r="20" spans="1:20" x14ac:dyDescent="0.2">
      <c r="A20" s="76"/>
      <c r="B20" s="73"/>
      <c r="C20" s="73"/>
      <c r="D20" s="73"/>
      <c r="E20" s="73"/>
      <c r="F20" s="73"/>
      <c r="G20" s="73"/>
      <c r="H20" s="73"/>
      <c r="I20" s="73"/>
      <c r="J20" s="74"/>
      <c r="M20" s="21" t="s">
        <v>87</v>
      </c>
    </row>
    <row r="21" spans="1:20" x14ac:dyDescent="0.2">
      <c r="A21" s="76"/>
      <c r="B21" s="73"/>
      <c r="C21" s="73"/>
      <c r="D21" s="73"/>
      <c r="E21" s="73"/>
      <c r="F21" s="73"/>
      <c r="G21" s="73"/>
      <c r="H21" s="73"/>
      <c r="I21" s="73"/>
      <c r="J21" s="74"/>
    </row>
    <row r="22" spans="1:20" x14ac:dyDescent="0.2">
      <c r="A22" s="73" t="s">
        <v>1</v>
      </c>
      <c r="B22" s="73" t="s">
        <v>152</v>
      </c>
      <c r="C22" s="73"/>
      <c r="D22" s="73"/>
      <c r="E22" s="73"/>
      <c r="F22" s="73"/>
      <c r="G22" s="73"/>
      <c r="H22" s="73"/>
      <c r="I22" s="73"/>
      <c r="J22" s="74"/>
      <c r="L22" s="21" t="s">
        <v>3</v>
      </c>
    </row>
    <row r="23" spans="1:20" x14ac:dyDescent="0.2">
      <c r="A23" s="76"/>
      <c r="B23" s="73" t="s">
        <v>153</v>
      </c>
      <c r="C23" s="73"/>
      <c r="D23" s="73"/>
      <c r="E23" s="73"/>
      <c r="F23" s="73"/>
      <c r="G23" s="73"/>
      <c r="H23" s="73"/>
      <c r="I23" s="73"/>
      <c r="J23" s="74"/>
      <c r="M23" s="326" t="s">
        <v>154</v>
      </c>
      <c r="N23" s="326"/>
      <c r="O23" s="326"/>
      <c r="P23" s="326"/>
      <c r="Q23" s="326"/>
      <c r="R23" s="326"/>
      <c r="S23" s="326"/>
      <c r="T23" s="326"/>
    </row>
    <row r="24" spans="1:20" x14ac:dyDescent="0.2">
      <c r="A24" s="76"/>
      <c r="B24" s="73"/>
      <c r="C24" s="73"/>
      <c r="D24" s="73"/>
      <c r="E24" s="73"/>
      <c r="F24" s="73"/>
      <c r="G24" s="73"/>
      <c r="H24" s="73"/>
      <c r="I24" s="73"/>
      <c r="J24" s="74"/>
      <c r="L24" s="21"/>
      <c r="M24" s="326"/>
      <c r="N24" s="326"/>
      <c r="O24" s="326"/>
      <c r="P24" s="326"/>
      <c r="Q24" s="326"/>
      <c r="R24" s="326"/>
      <c r="S24" s="326"/>
      <c r="T24" s="326"/>
    </row>
    <row r="25" spans="1:20" ht="17" thickBot="1" x14ac:dyDescent="0.25">
      <c r="A25" s="76"/>
      <c r="B25" s="73"/>
      <c r="C25" s="73"/>
      <c r="D25" s="73"/>
      <c r="E25" s="73"/>
      <c r="F25" s="73"/>
      <c r="G25" s="73"/>
      <c r="H25" s="73"/>
      <c r="I25" s="73"/>
      <c r="J25" s="74"/>
    </row>
    <row r="26" spans="1:20" ht="17" thickBot="1" x14ac:dyDescent="0.25">
      <c r="A26" s="323" t="s">
        <v>145</v>
      </c>
      <c r="B26" s="324"/>
      <c r="C26" s="324"/>
      <c r="D26" s="324"/>
      <c r="E26" s="324"/>
      <c r="F26" s="324"/>
      <c r="G26" s="324"/>
      <c r="H26" s="324"/>
      <c r="I26" s="324"/>
      <c r="J26" s="325"/>
      <c r="M26" s="75" t="s">
        <v>88</v>
      </c>
    </row>
    <row r="27" spans="1:20" x14ac:dyDescent="0.2">
      <c r="M27" s="75" t="s">
        <v>89</v>
      </c>
    </row>
    <row r="28" spans="1:20" ht="19" x14ac:dyDescent="0.2">
      <c r="A28" s="27"/>
      <c r="M28" s="75" t="s">
        <v>90</v>
      </c>
    </row>
    <row r="30" spans="1:20" x14ac:dyDescent="0.2">
      <c r="M30" s="75" t="s">
        <v>91</v>
      </c>
    </row>
    <row r="31" spans="1:20" x14ac:dyDescent="0.2">
      <c r="M31" s="299" t="s">
        <v>559</v>
      </c>
    </row>
    <row r="32" spans="1:20" x14ac:dyDescent="0.2">
      <c r="L32" s="30"/>
    </row>
    <row r="33" spans="12:21" ht="19" x14ac:dyDescent="0.2">
      <c r="L33" s="27" t="s">
        <v>132</v>
      </c>
    </row>
    <row r="34" spans="12:21" ht="16" customHeight="1" x14ac:dyDescent="0.2">
      <c r="M34" s="326" t="s">
        <v>134</v>
      </c>
      <c r="N34" s="326"/>
      <c r="O34" s="326"/>
      <c r="P34" s="326"/>
      <c r="Q34" s="326"/>
      <c r="R34" s="326"/>
      <c r="S34" s="326"/>
      <c r="T34" s="326"/>
      <c r="U34" s="77"/>
    </row>
    <row r="35" spans="12:21" ht="15.5" customHeight="1" x14ac:dyDescent="0.2">
      <c r="L35" s="30"/>
      <c r="M35" s="326"/>
      <c r="N35" s="326"/>
      <c r="O35" s="326"/>
      <c r="P35" s="326"/>
      <c r="Q35" s="326"/>
      <c r="R35" s="326"/>
      <c r="S35" s="326"/>
      <c r="T35" s="326"/>
    </row>
    <row r="36" spans="12:21" ht="15.5" customHeight="1" x14ac:dyDescent="0.2">
      <c r="L36" s="30"/>
      <c r="M36" s="326"/>
      <c r="N36" s="326"/>
      <c r="O36" s="326"/>
      <c r="P36" s="326"/>
      <c r="Q36" s="326"/>
      <c r="R36" s="326"/>
      <c r="S36" s="326"/>
      <c r="T36" s="326"/>
    </row>
    <row r="37" spans="12:21" ht="15.5" customHeight="1" x14ac:dyDescent="0.2">
      <c r="L37" s="30"/>
      <c r="M37" s="326"/>
      <c r="N37" s="326"/>
      <c r="O37" s="326"/>
      <c r="P37" s="326"/>
      <c r="Q37" s="326"/>
      <c r="R37" s="326"/>
      <c r="S37" s="326"/>
      <c r="T37" s="326"/>
    </row>
    <row r="38" spans="12:21" ht="15.5" customHeight="1" x14ac:dyDescent="0.2">
      <c r="L38" s="30"/>
      <c r="M38" s="326"/>
      <c r="N38" s="326"/>
      <c r="O38" s="326"/>
      <c r="P38" s="326"/>
      <c r="Q38" s="326"/>
      <c r="R38" s="326"/>
      <c r="S38" s="326"/>
      <c r="T38" s="326"/>
    </row>
    <row r="39" spans="12:21" ht="15.5" customHeight="1" x14ac:dyDescent="0.2">
      <c r="L39" s="30"/>
      <c r="M39" s="326"/>
      <c r="N39" s="326"/>
      <c r="O39" s="326"/>
      <c r="P39" s="326"/>
      <c r="Q39" s="326"/>
      <c r="R39" s="326"/>
      <c r="S39" s="326"/>
      <c r="T39" s="326"/>
    </row>
    <row r="40" spans="12:21" ht="15.5" customHeight="1" x14ac:dyDescent="0.2">
      <c r="L40" s="30"/>
      <c r="M40" s="326"/>
      <c r="N40" s="326"/>
      <c r="O40" s="326"/>
      <c r="P40" s="326"/>
      <c r="Q40" s="326"/>
      <c r="R40" s="326"/>
      <c r="S40" s="326"/>
      <c r="T40" s="326"/>
    </row>
    <row r="41" spans="12:21" ht="15" customHeight="1" x14ac:dyDescent="0.2">
      <c r="M41" s="326"/>
      <c r="N41" s="326"/>
      <c r="O41" s="326"/>
      <c r="P41" s="326"/>
      <c r="Q41" s="326"/>
      <c r="R41" s="326"/>
      <c r="S41" s="326"/>
      <c r="T41" s="326"/>
    </row>
    <row r="42" spans="12:21" x14ac:dyDescent="0.2">
      <c r="M42" s="326"/>
      <c r="N42" s="326"/>
      <c r="O42" s="326"/>
      <c r="P42" s="326"/>
      <c r="Q42" s="326"/>
      <c r="R42" s="326"/>
      <c r="S42" s="326"/>
      <c r="T42" s="326"/>
    </row>
    <row r="44" spans="12:21" ht="19" x14ac:dyDescent="0.25">
      <c r="L44" s="2" t="s">
        <v>172</v>
      </c>
    </row>
    <row r="45" spans="12:21" x14ac:dyDescent="0.2">
      <c r="L45" s="100" t="s">
        <v>169</v>
      </c>
    </row>
    <row r="53" spans="12:14" x14ac:dyDescent="0.2">
      <c r="M53" s="78"/>
    </row>
    <row r="54" spans="12:14" x14ac:dyDescent="0.2">
      <c r="L54" s="30"/>
      <c r="M54" s="30"/>
      <c r="N54" s="30"/>
    </row>
    <row r="55" spans="12:14" x14ac:dyDescent="0.2">
      <c r="L55" s="30"/>
      <c r="M55" s="30"/>
      <c r="N55" s="30"/>
    </row>
    <row r="56" spans="12:14" x14ac:dyDescent="0.2">
      <c r="L56" s="30"/>
      <c r="M56" s="30"/>
      <c r="N56" s="30"/>
    </row>
    <row r="57" spans="12:14" x14ac:dyDescent="0.2">
      <c r="L57" s="30"/>
      <c r="M57" s="30"/>
      <c r="N57" s="30"/>
    </row>
    <row r="58" spans="12:14" x14ac:dyDescent="0.2">
      <c r="L58" s="30"/>
      <c r="M58" s="30"/>
      <c r="N58" s="30"/>
    </row>
    <row r="59" spans="12:14" x14ac:dyDescent="0.2">
      <c r="L59" s="30"/>
      <c r="M59" s="30"/>
      <c r="N59" s="30"/>
    </row>
    <row r="60" spans="12:14" x14ac:dyDescent="0.2">
      <c r="L60" s="30"/>
      <c r="M60" s="30"/>
      <c r="N60" s="30"/>
    </row>
    <row r="61" spans="12:14" x14ac:dyDescent="0.2">
      <c r="L61" s="30"/>
      <c r="M61" s="30"/>
      <c r="N61" s="30"/>
    </row>
    <row r="62" spans="12:14" x14ac:dyDescent="0.2">
      <c r="L62" s="30"/>
      <c r="M62" s="30"/>
      <c r="N62" s="30"/>
    </row>
    <row r="63" spans="12:14" x14ac:dyDescent="0.2">
      <c r="M63" s="78"/>
    </row>
    <row r="64" spans="12:14" x14ac:dyDescent="0.2">
      <c r="L64" s="30"/>
      <c r="M64" s="30"/>
      <c r="N64" s="30"/>
    </row>
    <row r="65" spans="12:14" x14ac:dyDescent="0.2">
      <c r="L65" s="30"/>
      <c r="M65" s="30"/>
      <c r="N65" s="30"/>
    </row>
    <row r="66" spans="12:14" x14ac:dyDescent="0.2">
      <c r="L66" s="30"/>
      <c r="M66" s="30"/>
      <c r="N66" s="30"/>
    </row>
    <row r="67" spans="12:14" x14ac:dyDescent="0.2">
      <c r="L67" s="30"/>
      <c r="M67" s="30"/>
      <c r="N67" s="30"/>
    </row>
    <row r="68" spans="12:14" x14ac:dyDescent="0.2">
      <c r="L68" s="30"/>
      <c r="M68" s="30"/>
      <c r="N68" s="30"/>
    </row>
    <row r="69" spans="12:14" x14ac:dyDescent="0.2">
      <c r="L69" s="30"/>
      <c r="M69" s="30"/>
      <c r="N69" s="30"/>
    </row>
    <row r="70" spans="12:14" x14ac:dyDescent="0.2">
      <c r="L70" s="30"/>
      <c r="M70" s="30"/>
      <c r="N70" s="30"/>
    </row>
    <row r="71" spans="12:14" x14ac:dyDescent="0.2">
      <c r="L71" s="30"/>
      <c r="M71" s="30"/>
      <c r="N71" s="30"/>
    </row>
    <row r="72" spans="12:14" x14ac:dyDescent="0.2">
      <c r="L72" s="30"/>
      <c r="M72" s="30"/>
      <c r="N72" s="30"/>
    </row>
    <row r="73" spans="12:14" x14ac:dyDescent="0.2">
      <c r="M73" s="78"/>
    </row>
    <row r="74" spans="12:14" x14ac:dyDescent="0.2">
      <c r="L74" s="30"/>
      <c r="M74" s="30"/>
      <c r="N74" s="30"/>
    </row>
    <row r="75" spans="12:14" x14ac:dyDescent="0.2">
      <c r="L75" s="30"/>
      <c r="M75" s="30"/>
      <c r="N75" s="30"/>
    </row>
    <row r="76" spans="12:14" x14ac:dyDescent="0.2">
      <c r="L76" s="30"/>
      <c r="M76" s="30"/>
      <c r="N76" s="30"/>
    </row>
    <row r="77" spans="12:14" x14ac:dyDescent="0.2">
      <c r="L77" s="30"/>
      <c r="M77" s="30"/>
      <c r="N77" s="30"/>
    </row>
    <row r="78" spans="12:14" x14ac:dyDescent="0.2">
      <c r="L78" s="30"/>
      <c r="M78" s="30"/>
      <c r="N78" s="30"/>
    </row>
    <row r="79" spans="12:14" x14ac:dyDescent="0.2">
      <c r="L79" s="30"/>
      <c r="M79" s="30"/>
      <c r="N79" s="30"/>
    </row>
    <row r="80" spans="12:14" x14ac:dyDescent="0.2">
      <c r="L80" s="30"/>
      <c r="M80" s="30"/>
      <c r="N80" s="30"/>
    </row>
    <row r="81" spans="1:65" x14ac:dyDescent="0.2">
      <c r="L81" s="30"/>
      <c r="M81" s="30"/>
      <c r="N81" s="30"/>
    </row>
    <row r="82" spans="1:65" x14ac:dyDescent="0.2">
      <c r="L82" s="30"/>
      <c r="M82" s="30"/>
      <c r="N82" s="30"/>
    </row>
    <row r="83" spans="1:65" x14ac:dyDescent="0.2">
      <c r="M83" s="78"/>
    </row>
    <row r="84" spans="1:65" x14ac:dyDescent="0.2">
      <c r="L84" s="30"/>
      <c r="M84" s="30"/>
      <c r="N84" s="30"/>
    </row>
    <row r="85" spans="1:65" x14ac:dyDescent="0.2">
      <c r="L85" s="30"/>
      <c r="M85" s="30"/>
      <c r="N85" s="30"/>
    </row>
    <row r="86" spans="1:65" x14ac:dyDescent="0.2">
      <c r="L86" s="30"/>
      <c r="M86" s="30"/>
      <c r="N86" s="30"/>
    </row>
    <row r="87" spans="1:65" x14ac:dyDescent="0.2">
      <c r="L87" s="30"/>
      <c r="M87" s="30"/>
      <c r="N87" s="30"/>
    </row>
    <row r="88" spans="1:65" x14ac:dyDescent="0.2">
      <c r="L88" s="30"/>
      <c r="M88" s="30"/>
      <c r="N88" s="30"/>
    </row>
    <row r="89" spans="1:65" x14ac:dyDescent="0.2">
      <c r="L89" s="30"/>
      <c r="M89" s="30"/>
      <c r="N89" s="30"/>
    </row>
    <row r="90" spans="1:65" x14ac:dyDescent="0.2">
      <c r="L90" s="30"/>
      <c r="M90" s="30"/>
      <c r="N90" s="30"/>
    </row>
    <row r="91" spans="1:65" x14ac:dyDescent="0.2">
      <c r="L91" s="30"/>
      <c r="M91" s="30"/>
      <c r="N91" s="30"/>
    </row>
    <row r="92" spans="1:65" x14ac:dyDescent="0.2">
      <c r="L92" s="30"/>
      <c r="M92" s="30"/>
      <c r="N92" s="30"/>
    </row>
    <row r="93" spans="1:65" x14ac:dyDescent="0.2">
      <c r="M93" s="78"/>
    </row>
    <row r="94" spans="1:65" x14ac:dyDescent="0.2">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row>
    <row r="95" spans="1:65" x14ac:dyDescent="0.2">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row>
    <row r="96" spans="1:65" x14ac:dyDescent="0.2">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row>
    <row r="97" spans="1:65" x14ac:dyDescent="0.2">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row>
    <row r="98" spans="1:65" x14ac:dyDescent="0.2">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row>
    <row r="99" spans="1:65" x14ac:dyDescent="0.2">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row>
    <row r="100" spans="1:65" x14ac:dyDescent="0.2">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row>
    <row r="101" spans="1:65" x14ac:dyDescent="0.2">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row>
    <row r="102" spans="1:65" x14ac:dyDescent="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row>
    <row r="103" spans="1:65" x14ac:dyDescent="0.2">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row>
    <row r="104" spans="1:65" x14ac:dyDescent="0.2">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row>
    <row r="105" spans="1:65" x14ac:dyDescent="0.2">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row>
    <row r="106" spans="1:65" x14ac:dyDescent="0.2">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row>
    <row r="107" spans="1:65" x14ac:dyDescent="0.2">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row>
    <row r="108" spans="1:65" x14ac:dyDescent="0.2">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row>
    <row r="109" spans="1:65" x14ac:dyDescent="0.2">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row>
    <row r="110" spans="1:65" x14ac:dyDescent="0.2">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row>
    <row r="111" spans="1:65" x14ac:dyDescent="0.2">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row>
    <row r="112" spans="1:65" x14ac:dyDescent="0.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row>
    <row r="113" spans="1:65" x14ac:dyDescent="0.2">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row>
    <row r="114" spans="1:65" x14ac:dyDescent="0.2">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row>
    <row r="115" spans="1:65" x14ac:dyDescent="0.2">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row>
    <row r="116" spans="1:65" x14ac:dyDescent="0.2">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row>
    <row r="117" spans="1:65" x14ac:dyDescent="0.2">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row>
    <row r="118" spans="1:65" x14ac:dyDescent="0.2">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row>
    <row r="119" spans="1:65" x14ac:dyDescent="0.2">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row>
    <row r="120" spans="1:65" x14ac:dyDescent="0.2">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row>
    <row r="121" spans="1:65" x14ac:dyDescent="0.2">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row>
    <row r="122" spans="1:65" x14ac:dyDescent="0.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row>
    <row r="123" spans="1:65" x14ac:dyDescent="0.2">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row>
    <row r="124" spans="1:65" x14ac:dyDescent="0.2">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row>
    <row r="125" spans="1:65" x14ac:dyDescent="0.2">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row>
    <row r="126" spans="1:65" x14ac:dyDescent="0.2">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row>
    <row r="127" spans="1:65" x14ac:dyDescent="0.2">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row>
    <row r="128" spans="1:65" x14ac:dyDescent="0.2">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row>
    <row r="129" spans="1:65" x14ac:dyDescent="0.2">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row>
    <row r="130" spans="1:65" x14ac:dyDescent="0.2">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row>
    <row r="131" spans="1:65" x14ac:dyDescent="0.2">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row>
    <row r="132" spans="1:65" x14ac:dyDescent="0.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row>
    <row r="133" spans="1:65" x14ac:dyDescent="0.2">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row>
    <row r="134" spans="1:65" x14ac:dyDescent="0.2">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row>
    <row r="135" spans="1:65" x14ac:dyDescent="0.2">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row>
    <row r="136" spans="1:65" x14ac:dyDescent="0.2">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row>
    <row r="137" spans="1:65" x14ac:dyDescent="0.2">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row>
    <row r="138" spans="1:65" x14ac:dyDescent="0.2">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row>
    <row r="139" spans="1:65" x14ac:dyDescent="0.2">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row>
    <row r="140" spans="1:65" x14ac:dyDescent="0.2">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row>
    <row r="141" spans="1:65" x14ac:dyDescent="0.2">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row>
    <row r="142" spans="1:65" x14ac:dyDescent="0.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row>
    <row r="143" spans="1:65" x14ac:dyDescent="0.2">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row>
    <row r="144" spans="1:65" x14ac:dyDescent="0.2">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row>
    <row r="145" spans="1:65" x14ac:dyDescent="0.2">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row>
    <row r="146" spans="1:65" x14ac:dyDescent="0.2">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row>
    <row r="147" spans="1:65" x14ac:dyDescent="0.2">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row>
    <row r="148" spans="1:65" x14ac:dyDescent="0.2">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row>
    <row r="149" spans="1:65" x14ac:dyDescent="0.2">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row>
    <row r="150" spans="1:65" x14ac:dyDescent="0.2">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row>
    <row r="151" spans="1:65" x14ac:dyDescent="0.2">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row>
    <row r="152" spans="1:65" x14ac:dyDescent="0.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row>
    <row r="153" spans="1:65" x14ac:dyDescent="0.2">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row>
    <row r="154" spans="1:65"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row>
    <row r="155" spans="1:65" x14ac:dyDescent="0.2">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row>
    <row r="156" spans="1:65" x14ac:dyDescent="0.2">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row>
    <row r="157" spans="1:65" x14ac:dyDescent="0.2">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row>
    <row r="158" spans="1:65" x14ac:dyDescent="0.2">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row>
    <row r="159" spans="1:65" x14ac:dyDescent="0.2">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row>
    <row r="160" spans="1:65" x14ac:dyDescent="0.2">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row>
    <row r="161" spans="1:65" x14ac:dyDescent="0.2">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row>
    <row r="162" spans="1:65" x14ac:dyDescent="0.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row>
    <row r="163" spans="1:65" x14ac:dyDescent="0.2">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row>
    <row r="164" spans="1:65" x14ac:dyDescent="0.2">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row>
    <row r="165" spans="1:65" x14ac:dyDescent="0.2">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row>
    <row r="166" spans="1:65" x14ac:dyDescent="0.2">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row>
    <row r="167" spans="1:65" x14ac:dyDescent="0.2">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row>
    <row r="168" spans="1:65" x14ac:dyDescent="0.2">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row>
    <row r="169" spans="1:65" x14ac:dyDescent="0.2">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row>
    <row r="170" spans="1:65" x14ac:dyDescent="0.2">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row>
    <row r="171" spans="1:65" x14ac:dyDescent="0.2">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row>
    <row r="172" spans="1:65" x14ac:dyDescent="0.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row>
    <row r="173" spans="1:65" x14ac:dyDescent="0.2">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row>
    <row r="174" spans="1:65" x14ac:dyDescent="0.2">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row>
    <row r="175" spans="1:65" x14ac:dyDescent="0.2">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row>
    <row r="176" spans="1:65" x14ac:dyDescent="0.2">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row>
    <row r="177" spans="1:65" x14ac:dyDescent="0.2">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row>
    <row r="178" spans="1:65" x14ac:dyDescent="0.2">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row>
    <row r="179" spans="1:65" x14ac:dyDescent="0.2">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row>
    <row r="180" spans="1:65" x14ac:dyDescent="0.2">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row>
    <row r="181" spans="1:65" x14ac:dyDescent="0.2">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row>
    <row r="182" spans="1:65" x14ac:dyDescent="0.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row>
    <row r="183" spans="1:65" x14ac:dyDescent="0.2">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row>
    <row r="184" spans="1:65" x14ac:dyDescent="0.2">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row>
    <row r="185" spans="1:65" x14ac:dyDescent="0.2">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row>
    <row r="186" spans="1:65" x14ac:dyDescent="0.2">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row>
    <row r="187" spans="1:65" x14ac:dyDescent="0.2">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row>
    <row r="188" spans="1:65" x14ac:dyDescent="0.2">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row>
    <row r="189" spans="1:65" x14ac:dyDescent="0.2">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row>
    <row r="190" spans="1:65" x14ac:dyDescent="0.2">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row>
    <row r="191" spans="1:65" x14ac:dyDescent="0.2">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row>
    <row r="192" spans="1:65" x14ac:dyDescent="0.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row>
    <row r="193" spans="1:65" x14ac:dyDescent="0.2">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row>
    <row r="194" spans="1:65" x14ac:dyDescent="0.2">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row>
    <row r="195" spans="1:65" x14ac:dyDescent="0.2">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row>
  </sheetData>
  <mergeCells count="5">
    <mergeCell ref="C5:G5"/>
    <mergeCell ref="A26:J26"/>
    <mergeCell ref="M3:T4"/>
    <mergeCell ref="M23:T24"/>
    <mergeCell ref="M34:T4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89FB-38B8-A54B-960D-933D380AA1BC}">
  <dimension ref="A1:BL201"/>
  <sheetViews>
    <sheetView zoomScaleNormal="100" workbookViewId="0"/>
  </sheetViews>
  <sheetFormatPr baseColWidth="10" defaultColWidth="10.83203125" defaultRowHeight="16" outlineLevelCol="1" x14ac:dyDescent="0.2"/>
  <cols>
    <col min="1" max="1" width="4.6640625" style="75" customWidth="1"/>
    <col min="2" max="2" width="10.83203125" style="75"/>
    <col min="3" max="3" width="12.83203125" style="75" customWidth="1"/>
    <col min="4" max="10" width="10.83203125" style="75"/>
    <col min="11" max="11" width="11.5" style="75" bestFit="1" customWidth="1"/>
    <col min="12" max="19" width="10.83203125" style="75" hidden="1" customWidth="1" outlineLevel="1"/>
    <col min="20" max="20" width="10.83203125" style="75" collapsed="1"/>
    <col min="21" max="16384" width="10.83203125" style="75"/>
  </cols>
  <sheetData>
    <row r="1" spans="1:19" ht="19" x14ac:dyDescent="0.25">
      <c r="A1" s="1" t="s">
        <v>163</v>
      </c>
      <c r="B1" s="19"/>
      <c r="C1" s="63"/>
      <c r="D1" s="63"/>
      <c r="E1" s="63"/>
      <c r="F1" s="73"/>
      <c r="G1" s="73"/>
      <c r="H1" s="73"/>
      <c r="I1" s="73"/>
      <c r="J1" s="74"/>
      <c r="K1" s="27" t="s">
        <v>148</v>
      </c>
    </row>
    <row r="2" spans="1:19" ht="18.5" customHeight="1" x14ac:dyDescent="0.2">
      <c r="A2" s="76"/>
      <c r="B2" s="73"/>
      <c r="C2" s="73"/>
      <c r="D2" s="73"/>
      <c r="E2" s="73"/>
      <c r="F2" s="73"/>
      <c r="G2" s="73"/>
      <c r="H2" s="73"/>
      <c r="I2" s="73"/>
      <c r="J2" s="74"/>
      <c r="L2" s="326" t="s">
        <v>75</v>
      </c>
      <c r="M2" s="326"/>
      <c r="N2" s="326"/>
      <c r="O2" s="326"/>
      <c r="P2" s="326"/>
      <c r="Q2" s="326"/>
      <c r="R2" s="326"/>
      <c r="S2" s="326"/>
    </row>
    <row r="3" spans="1:19" x14ac:dyDescent="0.2">
      <c r="A3" s="76"/>
      <c r="B3" s="73" t="s">
        <v>11</v>
      </c>
      <c r="C3" s="73"/>
      <c r="D3" s="73"/>
      <c r="E3" s="73"/>
      <c r="F3" s="73"/>
      <c r="G3" s="73"/>
      <c r="H3" s="73"/>
      <c r="I3" s="73"/>
      <c r="J3" s="74"/>
      <c r="L3" s="326"/>
      <c r="M3" s="326"/>
      <c r="N3" s="326"/>
      <c r="O3" s="326"/>
      <c r="P3" s="326"/>
      <c r="Q3" s="326"/>
      <c r="R3" s="326"/>
      <c r="S3" s="326"/>
    </row>
    <row r="4" spans="1:19" x14ac:dyDescent="0.2">
      <c r="A4" s="76"/>
      <c r="B4" s="73"/>
      <c r="C4" s="73"/>
      <c r="D4" s="73"/>
      <c r="E4" s="73"/>
      <c r="F4" s="73"/>
      <c r="G4" s="73"/>
      <c r="H4" s="73"/>
      <c r="I4" s="73"/>
      <c r="J4" s="74"/>
      <c r="L4" s="326"/>
      <c r="M4" s="326"/>
      <c r="N4" s="326"/>
      <c r="O4" s="326"/>
      <c r="P4" s="326"/>
      <c r="Q4" s="326"/>
      <c r="R4" s="326"/>
      <c r="S4" s="326"/>
    </row>
    <row r="5" spans="1:19" x14ac:dyDescent="0.2">
      <c r="A5" s="76"/>
      <c r="B5" s="73"/>
      <c r="C5" s="322" t="s">
        <v>46</v>
      </c>
      <c r="D5" s="322"/>
      <c r="E5" s="322"/>
      <c r="F5" s="322"/>
      <c r="G5" s="322"/>
      <c r="H5" s="73"/>
      <c r="I5" s="73"/>
      <c r="J5" s="74"/>
      <c r="L5" s="326"/>
      <c r="M5" s="326"/>
      <c r="N5" s="326"/>
      <c r="O5" s="326"/>
      <c r="P5" s="326"/>
      <c r="Q5" s="326"/>
      <c r="R5" s="326"/>
      <c r="S5" s="326"/>
    </row>
    <row r="6" spans="1:19" ht="17" x14ac:dyDescent="0.2">
      <c r="A6" s="76"/>
      <c r="B6" s="73"/>
      <c r="C6" s="57" t="s">
        <v>12</v>
      </c>
      <c r="D6" s="55">
        <v>1</v>
      </c>
      <c r="E6" s="55">
        <v>2</v>
      </c>
      <c r="F6" s="55">
        <v>3</v>
      </c>
      <c r="G6" s="55">
        <v>4</v>
      </c>
      <c r="H6" s="73"/>
      <c r="I6" s="73"/>
      <c r="J6" s="74"/>
      <c r="L6" s="326"/>
      <c r="M6" s="326"/>
      <c r="N6" s="326"/>
      <c r="O6" s="326"/>
      <c r="P6" s="326"/>
      <c r="Q6" s="326"/>
      <c r="R6" s="326"/>
      <c r="S6" s="326"/>
    </row>
    <row r="7" spans="1:19" x14ac:dyDescent="0.2">
      <c r="A7" s="76"/>
      <c r="B7" s="73"/>
      <c r="C7" s="58">
        <v>1</v>
      </c>
      <c r="D7" s="5">
        <v>1180</v>
      </c>
      <c r="E7" s="5">
        <v>1350</v>
      </c>
      <c r="F7" s="5">
        <v>1620</v>
      </c>
      <c r="G7" s="5">
        <v>1710</v>
      </c>
      <c r="H7" s="73"/>
      <c r="I7" s="73"/>
      <c r="J7" s="74"/>
      <c r="L7" s="326"/>
      <c r="M7" s="326"/>
      <c r="N7" s="326"/>
      <c r="O7" s="326"/>
      <c r="P7" s="326"/>
      <c r="Q7" s="326"/>
      <c r="R7" s="326"/>
      <c r="S7" s="326"/>
    </row>
    <row r="8" spans="1:19" x14ac:dyDescent="0.2">
      <c r="A8" s="76"/>
      <c r="B8" s="73"/>
      <c r="C8" s="58">
        <v>2</v>
      </c>
      <c r="D8" s="5">
        <v>1070</v>
      </c>
      <c r="E8" s="5">
        <v>1370</v>
      </c>
      <c r="F8" s="5">
        <v>1580</v>
      </c>
      <c r="G8" s="6"/>
      <c r="H8" s="73"/>
      <c r="I8" s="73"/>
      <c r="J8" s="74"/>
      <c r="L8" s="326"/>
      <c r="M8" s="326"/>
      <c r="N8" s="326"/>
      <c r="O8" s="326"/>
      <c r="P8" s="326"/>
      <c r="Q8" s="326"/>
      <c r="R8" s="326"/>
      <c r="S8" s="326"/>
    </row>
    <row r="9" spans="1:19" x14ac:dyDescent="0.2">
      <c r="A9" s="76"/>
      <c r="B9" s="73"/>
      <c r="C9" s="58">
        <v>3</v>
      </c>
      <c r="D9" s="5">
        <v>1410</v>
      </c>
      <c r="E9" s="5">
        <v>2630</v>
      </c>
      <c r="F9" s="6"/>
      <c r="G9" s="6"/>
      <c r="H9" s="73"/>
      <c r="I9" s="73"/>
      <c r="J9" s="74"/>
      <c r="L9" s="326"/>
      <c r="M9" s="326"/>
      <c r="N9" s="326"/>
      <c r="O9" s="326"/>
      <c r="P9" s="326"/>
      <c r="Q9" s="326"/>
      <c r="R9" s="326"/>
      <c r="S9" s="326"/>
    </row>
    <row r="10" spans="1:19" x14ac:dyDescent="0.2">
      <c r="A10" s="76"/>
      <c r="B10" s="73"/>
      <c r="C10" s="58">
        <v>4</v>
      </c>
      <c r="D10" s="5">
        <v>1320</v>
      </c>
      <c r="E10" s="6"/>
      <c r="F10" s="6"/>
      <c r="G10" s="6"/>
      <c r="H10" s="73"/>
      <c r="I10" s="73"/>
      <c r="J10" s="74"/>
      <c r="L10" s="326"/>
      <c r="M10" s="326"/>
      <c r="N10" s="326"/>
      <c r="O10" s="326"/>
      <c r="P10" s="326"/>
      <c r="Q10" s="326"/>
      <c r="R10" s="326"/>
      <c r="S10" s="326"/>
    </row>
    <row r="11" spans="1:19" x14ac:dyDescent="0.2">
      <c r="A11" s="76"/>
      <c r="B11" s="73"/>
      <c r="C11" s="73"/>
      <c r="D11" s="73"/>
      <c r="E11" s="73"/>
      <c r="F11" s="73"/>
      <c r="G11" s="73"/>
      <c r="H11" s="73"/>
      <c r="I11" s="73"/>
      <c r="J11" s="74"/>
      <c r="L11" s="326"/>
      <c r="M11" s="326"/>
      <c r="N11" s="326"/>
      <c r="O11" s="326"/>
      <c r="P11" s="326"/>
      <c r="Q11" s="326"/>
      <c r="R11" s="326"/>
      <c r="S11" s="326"/>
    </row>
    <row r="12" spans="1:19" x14ac:dyDescent="0.2">
      <c r="A12" s="76"/>
      <c r="B12" s="73"/>
      <c r="C12" s="322" t="s">
        <v>164</v>
      </c>
      <c r="D12" s="322"/>
      <c r="E12" s="322"/>
      <c r="F12" s="322"/>
      <c r="G12" s="54"/>
      <c r="H12" s="73"/>
      <c r="I12" s="73"/>
      <c r="J12" s="74"/>
      <c r="L12" s="326"/>
      <c r="M12" s="326"/>
      <c r="N12" s="326"/>
      <c r="O12" s="326"/>
      <c r="P12" s="326"/>
      <c r="Q12" s="326"/>
      <c r="R12" s="326"/>
      <c r="S12" s="326"/>
    </row>
    <row r="13" spans="1:19" ht="17" x14ac:dyDescent="0.2">
      <c r="A13" s="76"/>
      <c r="B13" s="73"/>
      <c r="C13" s="57" t="s">
        <v>12</v>
      </c>
      <c r="D13" s="55">
        <v>2</v>
      </c>
      <c r="E13" s="55">
        <v>3</v>
      </c>
      <c r="F13" s="55">
        <v>4</v>
      </c>
      <c r="G13" s="73"/>
      <c r="H13" s="73"/>
      <c r="I13" s="73"/>
      <c r="J13" s="74"/>
      <c r="L13" s="326"/>
      <c r="M13" s="326"/>
      <c r="N13" s="326"/>
      <c r="O13" s="326"/>
      <c r="P13" s="326"/>
      <c r="Q13" s="326"/>
      <c r="R13" s="326"/>
      <c r="S13" s="326"/>
    </row>
    <row r="14" spans="1:19" x14ac:dyDescent="0.2">
      <c r="A14" s="76"/>
      <c r="B14" s="73"/>
      <c r="C14" s="58">
        <v>1</v>
      </c>
      <c r="D14" s="6">
        <v>1.1439999999999999</v>
      </c>
      <c r="E14" s="6">
        <v>1.2</v>
      </c>
      <c r="F14" s="6">
        <v>1.056</v>
      </c>
      <c r="G14" s="73"/>
      <c r="H14" s="73"/>
      <c r="I14" s="73"/>
      <c r="J14" s="74"/>
      <c r="L14" s="326"/>
      <c r="M14" s="326"/>
      <c r="N14" s="326"/>
      <c r="O14" s="326"/>
      <c r="P14" s="326"/>
      <c r="Q14" s="326"/>
      <c r="R14" s="326"/>
      <c r="S14" s="326"/>
    </row>
    <row r="15" spans="1:19" x14ac:dyDescent="0.2">
      <c r="A15" s="76"/>
      <c r="B15" s="73"/>
      <c r="C15" s="58">
        <v>2</v>
      </c>
      <c r="D15" s="6">
        <v>1.28</v>
      </c>
      <c r="E15" s="6">
        <v>1.153</v>
      </c>
      <c r="F15" s="6"/>
      <c r="G15" s="73"/>
      <c r="H15" s="73"/>
      <c r="I15" s="73"/>
      <c r="J15" s="74"/>
      <c r="L15" s="326"/>
      <c r="M15" s="326"/>
      <c r="N15" s="326"/>
      <c r="O15" s="326"/>
      <c r="P15" s="326"/>
      <c r="Q15" s="326"/>
      <c r="R15" s="326"/>
      <c r="S15" s="326"/>
    </row>
    <row r="16" spans="1:19" x14ac:dyDescent="0.2">
      <c r="A16" s="76"/>
      <c r="B16" s="73"/>
      <c r="C16" s="58">
        <v>3</v>
      </c>
      <c r="D16" s="6">
        <v>1.865</v>
      </c>
      <c r="E16" s="6"/>
      <c r="F16" s="6"/>
      <c r="G16" s="73"/>
      <c r="H16" s="73"/>
      <c r="I16" s="73"/>
      <c r="J16" s="74"/>
    </row>
    <row r="17" spans="1:19" ht="16" customHeight="1" x14ac:dyDescent="0.2">
      <c r="A17" s="76"/>
      <c r="B17" s="73"/>
      <c r="C17" s="73"/>
      <c r="D17" s="73"/>
      <c r="E17" s="73"/>
      <c r="F17" s="73"/>
      <c r="G17" s="73"/>
      <c r="H17" s="73"/>
      <c r="I17" s="73"/>
      <c r="J17" s="74"/>
      <c r="L17" s="27" t="s">
        <v>132</v>
      </c>
    </row>
    <row r="18" spans="1:19" x14ac:dyDescent="0.2">
      <c r="A18" s="76"/>
      <c r="B18" s="73" t="s">
        <v>62</v>
      </c>
      <c r="C18" s="73"/>
      <c r="D18" s="73"/>
      <c r="E18" s="73"/>
      <c r="F18" s="73"/>
      <c r="G18" s="73"/>
      <c r="H18" s="73"/>
      <c r="I18" s="73"/>
      <c r="J18" s="74"/>
      <c r="L18" s="326" t="s">
        <v>133</v>
      </c>
      <c r="M18" s="326"/>
      <c r="N18" s="326"/>
      <c r="O18" s="326"/>
      <c r="P18" s="326"/>
      <c r="Q18" s="326"/>
      <c r="R18" s="326"/>
      <c r="S18" s="326"/>
    </row>
    <row r="19" spans="1:19" x14ac:dyDescent="0.2">
      <c r="A19" s="76"/>
      <c r="B19" s="73"/>
      <c r="C19" s="73"/>
      <c r="D19" s="73"/>
      <c r="E19" s="73"/>
      <c r="F19" s="73"/>
      <c r="G19" s="73"/>
      <c r="H19" s="73"/>
      <c r="I19" s="73"/>
      <c r="J19" s="74"/>
      <c r="L19" s="326"/>
      <c r="M19" s="326"/>
      <c r="N19" s="326"/>
      <c r="O19" s="326"/>
      <c r="P19" s="326"/>
      <c r="Q19" s="326"/>
      <c r="R19" s="326"/>
      <c r="S19" s="326"/>
    </row>
    <row r="20" spans="1:19" x14ac:dyDescent="0.2">
      <c r="A20" s="76"/>
      <c r="B20" s="73" t="s">
        <v>63</v>
      </c>
      <c r="C20" s="73"/>
      <c r="D20" s="73"/>
      <c r="E20" s="73"/>
      <c r="F20" s="73"/>
      <c r="G20" s="73"/>
      <c r="H20" s="73"/>
      <c r="I20" s="73"/>
      <c r="J20" s="74"/>
      <c r="L20" s="326"/>
      <c r="M20" s="326"/>
      <c r="N20" s="326"/>
      <c r="O20" s="326"/>
      <c r="P20" s="326"/>
      <c r="Q20" s="326"/>
      <c r="R20" s="326"/>
      <c r="S20" s="326"/>
    </row>
    <row r="21" spans="1:19" x14ac:dyDescent="0.2">
      <c r="A21" s="76"/>
      <c r="B21" s="73"/>
      <c r="C21" s="73" t="s">
        <v>64</v>
      </c>
      <c r="D21" s="73"/>
      <c r="E21" s="73"/>
      <c r="F21" s="73"/>
      <c r="G21" s="73"/>
      <c r="H21" s="73"/>
      <c r="I21" s="73"/>
      <c r="J21" s="74"/>
      <c r="L21" s="326"/>
      <c r="M21" s="326"/>
      <c r="N21" s="326"/>
      <c r="O21" s="326"/>
      <c r="P21" s="326"/>
      <c r="Q21" s="326"/>
      <c r="R21" s="326"/>
      <c r="S21" s="326"/>
    </row>
    <row r="22" spans="1:19" x14ac:dyDescent="0.2">
      <c r="A22" s="76"/>
      <c r="B22" s="73"/>
      <c r="C22" s="73" t="s">
        <v>65</v>
      </c>
      <c r="D22" s="73"/>
      <c r="E22" s="73"/>
      <c r="F22" s="73"/>
      <c r="G22" s="73"/>
      <c r="H22" s="73"/>
      <c r="I22" s="73"/>
      <c r="J22" s="74"/>
      <c r="L22" s="326"/>
      <c r="M22" s="326"/>
      <c r="N22" s="326"/>
      <c r="O22" s="326"/>
      <c r="P22" s="326"/>
      <c r="Q22" s="326"/>
      <c r="R22" s="326"/>
      <c r="S22" s="326"/>
    </row>
    <row r="23" spans="1:19" x14ac:dyDescent="0.2">
      <c r="A23" s="76"/>
      <c r="B23" s="73"/>
      <c r="C23" s="73"/>
      <c r="D23" s="73"/>
      <c r="E23" s="73"/>
      <c r="F23" s="73"/>
      <c r="G23" s="73"/>
      <c r="H23" s="73"/>
      <c r="I23" s="73"/>
      <c r="J23" s="74"/>
      <c r="L23" s="326"/>
      <c r="M23" s="326"/>
      <c r="N23" s="326"/>
      <c r="O23" s="326"/>
      <c r="P23" s="326"/>
      <c r="Q23" s="326"/>
      <c r="R23" s="326"/>
      <c r="S23" s="326"/>
    </row>
    <row r="24" spans="1:19" x14ac:dyDescent="0.2">
      <c r="A24" s="76"/>
      <c r="B24" s="73" t="s">
        <v>66</v>
      </c>
      <c r="C24" s="73"/>
      <c r="D24" s="73"/>
      <c r="E24" s="73"/>
      <c r="F24" s="73"/>
      <c r="G24" s="73"/>
      <c r="H24" s="73"/>
      <c r="I24" s="73"/>
      <c r="J24" s="74"/>
      <c r="L24" s="326"/>
      <c r="M24" s="326"/>
      <c r="N24" s="326"/>
      <c r="O24" s="326"/>
      <c r="P24" s="326"/>
      <c r="Q24" s="326"/>
      <c r="R24" s="326"/>
      <c r="S24" s="326"/>
    </row>
    <row r="25" spans="1:19" x14ac:dyDescent="0.2">
      <c r="A25" s="76"/>
      <c r="B25" s="73"/>
      <c r="C25" s="73" t="s">
        <v>67</v>
      </c>
      <c r="D25" s="73" t="s">
        <v>70</v>
      </c>
      <c r="E25" s="73"/>
      <c r="F25" s="73"/>
      <c r="G25" s="73"/>
      <c r="H25" s="73"/>
      <c r="I25" s="73"/>
      <c r="J25" s="74"/>
      <c r="L25" s="326"/>
      <c r="M25" s="326"/>
      <c r="N25" s="326"/>
      <c r="O25" s="326"/>
      <c r="P25" s="326"/>
      <c r="Q25" s="326"/>
      <c r="R25" s="326"/>
      <c r="S25" s="326"/>
    </row>
    <row r="26" spans="1:19" x14ac:dyDescent="0.2">
      <c r="A26" s="76"/>
      <c r="B26" s="73"/>
      <c r="C26" s="73" t="s">
        <v>68</v>
      </c>
      <c r="D26" s="73" t="s">
        <v>71</v>
      </c>
      <c r="E26" s="73"/>
      <c r="F26" s="73"/>
      <c r="G26" s="73"/>
      <c r="H26" s="73"/>
      <c r="I26" s="73"/>
      <c r="J26" s="74"/>
      <c r="L26" s="326"/>
      <c r="M26" s="326"/>
      <c r="N26" s="326"/>
      <c r="O26" s="326"/>
      <c r="P26" s="326"/>
      <c r="Q26" s="326"/>
      <c r="R26" s="326"/>
      <c r="S26" s="326"/>
    </row>
    <row r="27" spans="1:19" x14ac:dyDescent="0.2">
      <c r="A27" s="76"/>
      <c r="B27" s="73"/>
      <c r="C27" s="73" t="s">
        <v>69</v>
      </c>
      <c r="D27" s="73" t="s">
        <v>72</v>
      </c>
      <c r="E27" s="73"/>
      <c r="F27" s="73"/>
      <c r="G27" s="73"/>
      <c r="H27" s="73"/>
      <c r="I27" s="73"/>
      <c r="J27" s="74"/>
    </row>
    <row r="28" spans="1:19" ht="19" x14ac:dyDescent="0.25">
      <c r="A28" s="76"/>
      <c r="B28" s="73"/>
      <c r="C28" s="73"/>
      <c r="D28" s="73"/>
      <c r="E28" s="73"/>
      <c r="F28" s="73"/>
      <c r="G28" s="73"/>
      <c r="H28" s="73"/>
      <c r="I28" s="73"/>
      <c r="J28" s="74"/>
      <c r="L28" s="2" t="s">
        <v>172</v>
      </c>
    </row>
    <row r="29" spans="1:19" x14ac:dyDescent="0.2">
      <c r="A29" s="76"/>
      <c r="B29" s="73" t="s">
        <v>73</v>
      </c>
      <c r="C29" s="73"/>
      <c r="D29" s="73"/>
      <c r="E29" s="73"/>
      <c r="F29" s="73"/>
      <c r="G29" s="73"/>
      <c r="H29" s="73"/>
      <c r="I29" s="73"/>
      <c r="J29" s="74"/>
      <c r="L29" s="100" t="s">
        <v>168</v>
      </c>
    </row>
    <row r="30" spans="1:19" x14ac:dyDescent="0.2">
      <c r="A30" s="76"/>
      <c r="B30" s="73" t="s">
        <v>74</v>
      </c>
      <c r="C30" s="73"/>
      <c r="D30" s="73"/>
      <c r="E30" s="73"/>
      <c r="F30" s="73"/>
      <c r="G30" s="73"/>
      <c r="H30" s="73"/>
      <c r="I30" s="73"/>
      <c r="J30" s="74"/>
    </row>
    <row r="31" spans="1:19" x14ac:dyDescent="0.2">
      <c r="A31" s="76"/>
      <c r="B31" s="73"/>
      <c r="C31" s="73"/>
      <c r="D31" s="73"/>
      <c r="E31" s="73"/>
      <c r="F31" s="73"/>
      <c r="G31" s="73"/>
      <c r="H31" s="73"/>
      <c r="I31" s="73"/>
      <c r="J31" s="74"/>
    </row>
    <row r="32" spans="1:19" ht="17" thickBot="1" x14ac:dyDescent="0.25">
      <c r="A32" s="76"/>
      <c r="B32" s="73"/>
      <c r="C32" s="73"/>
      <c r="D32" s="73"/>
      <c r="E32" s="73"/>
      <c r="F32" s="73"/>
      <c r="G32" s="73"/>
      <c r="H32" s="73"/>
      <c r="I32" s="73"/>
      <c r="J32" s="74"/>
    </row>
    <row r="33" spans="1:10" ht="17" thickBot="1" x14ac:dyDescent="0.25">
      <c r="A33" s="323" t="s">
        <v>145</v>
      </c>
      <c r="B33" s="324"/>
      <c r="C33" s="324"/>
      <c r="D33" s="324"/>
      <c r="E33" s="324"/>
      <c r="F33" s="324"/>
      <c r="G33" s="324"/>
      <c r="H33" s="324"/>
      <c r="I33" s="324"/>
      <c r="J33" s="325"/>
    </row>
    <row r="35" spans="1:10" ht="19" x14ac:dyDescent="0.2">
      <c r="A35" s="27"/>
    </row>
    <row r="36" spans="1:10" x14ac:dyDescent="0.2">
      <c r="A36" s="20"/>
      <c r="C36" s="77"/>
      <c r="D36" s="77"/>
      <c r="E36" s="77"/>
      <c r="F36" s="77"/>
      <c r="G36" s="77"/>
      <c r="H36" s="77"/>
      <c r="I36" s="77"/>
      <c r="J36" s="77"/>
    </row>
    <row r="37" spans="1:10" ht="16" customHeight="1" x14ac:dyDescent="0.2"/>
    <row r="40" spans="1:10" x14ac:dyDescent="0.2">
      <c r="C40" s="77"/>
      <c r="D40" s="77"/>
      <c r="E40" s="77"/>
      <c r="F40" s="77"/>
      <c r="G40" s="77"/>
      <c r="H40" s="77"/>
      <c r="I40" s="77"/>
      <c r="J40" s="77"/>
    </row>
    <row r="41" spans="1:10" ht="16" customHeight="1" x14ac:dyDescent="0.2"/>
    <row r="47" spans="1:10" x14ac:dyDescent="0.2">
      <c r="A47" s="20"/>
      <c r="C47" s="78"/>
    </row>
    <row r="57" spans="1:13" x14ac:dyDescent="0.2">
      <c r="L57" s="78"/>
    </row>
    <row r="58" spans="1:13" x14ac:dyDescent="0.2">
      <c r="A58" s="20"/>
      <c r="C58" s="78"/>
      <c r="L58" s="30"/>
      <c r="M58" s="30"/>
    </row>
    <row r="59" spans="1:13" x14ac:dyDescent="0.2">
      <c r="L59" s="30"/>
      <c r="M59" s="30"/>
    </row>
    <row r="60" spans="1:13" x14ac:dyDescent="0.2">
      <c r="L60" s="30"/>
      <c r="M60" s="30"/>
    </row>
    <row r="61" spans="1:13" x14ac:dyDescent="0.2">
      <c r="L61" s="30"/>
      <c r="M61" s="30"/>
    </row>
    <row r="62" spans="1:13" x14ac:dyDescent="0.2">
      <c r="L62" s="30"/>
      <c r="M62" s="30"/>
    </row>
    <row r="63" spans="1:13" x14ac:dyDescent="0.2">
      <c r="L63" s="30"/>
      <c r="M63" s="30"/>
    </row>
    <row r="64" spans="1:13" x14ac:dyDescent="0.2">
      <c r="L64" s="30"/>
      <c r="M64" s="30"/>
    </row>
    <row r="65" spans="12:13" x14ac:dyDescent="0.2">
      <c r="L65" s="30"/>
      <c r="M65" s="30"/>
    </row>
    <row r="66" spans="12:13" x14ac:dyDescent="0.2">
      <c r="L66" s="30"/>
      <c r="M66" s="30"/>
    </row>
    <row r="67" spans="12:13" x14ac:dyDescent="0.2">
      <c r="L67" s="78"/>
    </row>
    <row r="68" spans="12:13" x14ac:dyDescent="0.2">
      <c r="L68" s="30"/>
      <c r="M68" s="30"/>
    </row>
    <row r="69" spans="12:13" x14ac:dyDescent="0.2">
      <c r="L69" s="30"/>
      <c r="M69" s="30"/>
    </row>
    <row r="70" spans="12:13" x14ac:dyDescent="0.2">
      <c r="L70" s="30"/>
      <c r="M70" s="30"/>
    </row>
    <row r="71" spans="12:13" x14ac:dyDescent="0.2">
      <c r="L71" s="30"/>
      <c r="M71" s="30"/>
    </row>
    <row r="72" spans="12:13" x14ac:dyDescent="0.2">
      <c r="L72" s="30"/>
      <c r="M72" s="30"/>
    </row>
    <row r="73" spans="12:13" x14ac:dyDescent="0.2">
      <c r="L73" s="30"/>
      <c r="M73" s="30"/>
    </row>
    <row r="74" spans="12:13" x14ac:dyDescent="0.2">
      <c r="L74" s="30"/>
      <c r="M74" s="30"/>
    </row>
    <row r="75" spans="12:13" x14ac:dyDescent="0.2">
      <c r="L75" s="30"/>
      <c r="M75" s="30"/>
    </row>
    <row r="76" spans="12:13" x14ac:dyDescent="0.2">
      <c r="L76" s="30"/>
      <c r="M76" s="30"/>
    </row>
    <row r="77" spans="12:13" x14ac:dyDescent="0.2">
      <c r="L77" s="78"/>
    </row>
    <row r="78" spans="12:13" x14ac:dyDescent="0.2">
      <c r="L78" s="30"/>
      <c r="M78" s="30"/>
    </row>
    <row r="79" spans="12:13" x14ac:dyDescent="0.2">
      <c r="L79" s="30"/>
      <c r="M79" s="30"/>
    </row>
    <row r="80" spans="12:13" x14ac:dyDescent="0.2">
      <c r="L80" s="30"/>
      <c r="M80" s="30"/>
    </row>
    <row r="81" spans="12:13" x14ac:dyDescent="0.2">
      <c r="L81" s="30"/>
      <c r="M81" s="30"/>
    </row>
    <row r="82" spans="12:13" x14ac:dyDescent="0.2">
      <c r="L82" s="30"/>
      <c r="M82" s="30"/>
    </row>
    <row r="83" spans="12:13" x14ac:dyDescent="0.2">
      <c r="L83" s="30"/>
      <c r="M83" s="30"/>
    </row>
    <row r="84" spans="12:13" x14ac:dyDescent="0.2">
      <c r="L84" s="30"/>
      <c r="M84" s="30"/>
    </row>
    <row r="85" spans="12:13" x14ac:dyDescent="0.2">
      <c r="L85" s="30"/>
      <c r="M85" s="30"/>
    </row>
    <row r="86" spans="12:13" x14ac:dyDescent="0.2">
      <c r="L86" s="30"/>
      <c r="M86" s="30"/>
    </row>
    <row r="87" spans="12:13" x14ac:dyDescent="0.2">
      <c r="L87" s="78"/>
    </row>
    <row r="88" spans="12:13" x14ac:dyDescent="0.2">
      <c r="L88" s="30"/>
      <c r="M88" s="30"/>
    </row>
    <row r="89" spans="12:13" x14ac:dyDescent="0.2">
      <c r="L89" s="30"/>
      <c r="M89" s="30"/>
    </row>
    <row r="90" spans="12:13" x14ac:dyDescent="0.2">
      <c r="L90" s="30"/>
      <c r="M90" s="30"/>
    </row>
    <row r="91" spans="12:13" x14ac:dyDescent="0.2">
      <c r="L91" s="30"/>
      <c r="M91" s="30"/>
    </row>
    <row r="92" spans="12:13" x14ac:dyDescent="0.2">
      <c r="L92" s="30"/>
      <c r="M92" s="30"/>
    </row>
    <row r="93" spans="12:13" x14ac:dyDescent="0.2">
      <c r="L93" s="30"/>
      <c r="M93" s="30"/>
    </row>
    <row r="94" spans="12:13" x14ac:dyDescent="0.2">
      <c r="L94" s="30"/>
      <c r="M94" s="30"/>
    </row>
    <row r="95" spans="12:13" x14ac:dyDescent="0.2">
      <c r="L95" s="30"/>
      <c r="M95" s="30"/>
    </row>
    <row r="96" spans="12:13" x14ac:dyDescent="0.2">
      <c r="L96" s="30"/>
      <c r="M96" s="30"/>
    </row>
    <row r="97" spans="1:64" x14ac:dyDescent="0.2">
      <c r="L97" s="78"/>
    </row>
    <row r="98" spans="1:64" x14ac:dyDescent="0.2">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row>
    <row r="99" spans="1:64" x14ac:dyDescent="0.2">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row>
    <row r="100" spans="1:64" x14ac:dyDescent="0.2">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row>
    <row r="101" spans="1:64" x14ac:dyDescent="0.2">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row>
    <row r="102" spans="1:64" x14ac:dyDescent="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row>
    <row r="103" spans="1:64" x14ac:dyDescent="0.2">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row>
    <row r="104" spans="1:64" x14ac:dyDescent="0.2">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row>
    <row r="105" spans="1:64" x14ac:dyDescent="0.2">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row>
    <row r="106" spans="1:64" x14ac:dyDescent="0.2">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row>
    <row r="107" spans="1:64" x14ac:dyDescent="0.2">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row>
    <row r="108" spans="1:64" x14ac:dyDescent="0.2">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row>
    <row r="109" spans="1:64" x14ac:dyDescent="0.2">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row>
    <row r="110" spans="1:64" x14ac:dyDescent="0.2">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row>
    <row r="111" spans="1:64" x14ac:dyDescent="0.2">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row>
    <row r="112" spans="1:64" x14ac:dyDescent="0.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row>
    <row r="113" spans="1:64" x14ac:dyDescent="0.2">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row>
    <row r="114" spans="1:64" x14ac:dyDescent="0.2">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row>
    <row r="115" spans="1:64" x14ac:dyDescent="0.2">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row>
    <row r="116" spans="1:64" x14ac:dyDescent="0.2">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row>
    <row r="117" spans="1:64" x14ac:dyDescent="0.2">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row>
    <row r="118" spans="1:64" x14ac:dyDescent="0.2">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row>
    <row r="119" spans="1:64" x14ac:dyDescent="0.2">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row>
    <row r="120" spans="1:64" x14ac:dyDescent="0.2">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row>
    <row r="121" spans="1:64" x14ac:dyDescent="0.2">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row>
    <row r="122" spans="1:64" x14ac:dyDescent="0.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row>
    <row r="123" spans="1:64" x14ac:dyDescent="0.2">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row>
    <row r="124" spans="1:64" x14ac:dyDescent="0.2">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row>
    <row r="125" spans="1:64" x14ac:dyDescent="0.2">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row>
    <row r="126" spans="1:64" x14ac:dyDescent="0.2">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row>
    <row r="127" spans="1:64" x14ac:dyDescent="0.2">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row>
    <row r="128" spans="1:64" x14ac:dyDescent="0.2">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row>
    <row r="129" spans="1:64" x14ac:dyDescent="0.2">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row>
    <row r="130" spans="1:64" x14ac:dyDescent="0.2">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row>
    <row r="131" spans="1:64" x14ac:dyDescent="0.2">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row>
    <row r="132" spans="1:64" x14ac:dyDescent="0.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row>
    <row r="133" spans="1:64" x14ac:dyDescent="0.2">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row>
    <row r="134" spans="1:64" x14ac:dyDescent="0.2">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row>
    <row r="135" spans="1:64" x14ac:dyDescent="0.2">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row>
    <row r="136" spans="1:64" x14ac:dyDescent="0.2">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row>
    <row r="137" spans="1:64" x14ac:dyDescent="0.2">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row>
    <row r="138" spans="1:64" x14ac:dyDescent="0.2">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row>
    <row r="139" spans="1:64" x14ac:dyDescent="0.2">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row>
    <row r="140" spans="1:64" x14ac:dyDescent="0.2">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row>
    <row r="141" spans="1:64" x14ac:dyDescent="0.2">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row>
    <row r="142" spans="1:64" x14ac:dyDescent="0.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row>
    <row r="143" spans="1:64" x14ac:dyDescent="0.2">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row>
    <row r="144" spans="1:64" x14ac:dyDescent="0.2">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row>
    <row r="145" spans="1:64" x14ac:dyDescent="0.2">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row>
    <row r="146" spans="1:64" x14ac:dyDescent="0.2">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row>
    <row r="147" spans="1:64" x14ac:dyDescent="0.2">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row>
    <row r="148" spans="1:64" x14ac:dyDescent="0.2">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row>
    <row r="149" spans="1:64" x14ac:dyDescent="0.2">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row>
    <row r="150" spans="1:64" x14ac:dyDescent="0.2">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row>
    <row r="151" spans="1:64" x14ac:dyDescent="0.2">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row>
    <row r="152" spans="1:64" x14ac:dyDescent="0.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row>
    <row r="153" spans="1:64" x14ac:dyDescent="0.2">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row>
    <row r="154" spans="1:64"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row>
    <row r="155" spans="1:64" x14ac:dyDescent="0.2">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row>
    <row r="156" spans="1:64" x14ac:dyDescent="0.2">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row>
    <row r="157" spans="1:64" x14ac:dyDescent="0.2">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row>
    <row r="158" spans="1:64" x14ac:dyDescent="0.2">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row>
    <row r="159" spans="1:64" x14ac:dyDescent="0.2">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row>
    <row r="160" spans="1:64" x14ac:dyDescent="0.2">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row>
    <row r="161" spans="1:64" x14ac:dyDescent="0.2">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row>
    <row r="162" spans="1:64" x14ac:dyDescent="0.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row>
    <row r="163" spans="1:64" x14ac:dyDescent="0.2">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row>
    <row r="164" spans="1:64" x14ac:dyDescent="0.2">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row>
    <row r="165" spans="1:64" x14ac:dyDescent="0.2">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row>
    <row r="166" spans="1:64" x14ac:dyDescent="0.2">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row>
    <row r="167" spans="1:64" x14ac:dyDescent="0.2">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row>
    <row r="168" spans="1:64" x14ac:dyDescent="0.2">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row>
    <row r="169" spans="1:64" x14ac:dyDescent="0.2">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row>
    <row r="170" spans="1:64" x14ac:dyDescent="0.2">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row>
    <row r="171" spans="1:64" x14ac:dyDescent="0.2">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row>
    <row r="172" spans="1:64" x14ac:dyDescent="0.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row>
    <row r="173" spans="1:64" x14ac:dyDescent="0.2">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row>
    <row r="174" spans="1:64" x14ac:dyDescent="0.2">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row>
    <row r="175" spans="1:64" x14ac:dyDescent="0.2">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row>
    <row r="176" spans="1:64" x14ac:dyDescent="0.2">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row>
    <row r="177" spans="1:64" x14ac:dyDescent="0.2">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row>
    <row r="178" spans="1:64" x14ac:dyDescent="0.2">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row>
    <row r="179" spans="1:64" x14ac:dyDescent="0.2">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row>
    <row r="180" spans="1:64" x14ac:dyDescent="0.2">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row>
    <row r="181" spans="1:64" x14ac:dyDescent="0.2">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row>
    <row r="182" spans="1:64" x14ac:dyDescent="0.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row>
    <row r="183" spans="1:64" x14ac:dyDescent="0.2">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row>
    <row r="184" spans="1:64" x14ac:dyDescent="0.2">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row>
    <row r="185" spans="1:64" x14ac:dyDescent="0.2">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row>
    <row r="186" spans="1:64" x14ac:dyDescent="0.2">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row>
    <row r="187" spans="1:64" x14ac:dyDescent="0.2">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row>
    <row r="188" spans="1:64" x14ac:dyDescent="0.2">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row>
    <row r="189" spans="1:64" x14ac:dyDescent="0.2">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row>
    <row r="190" spans="1:64" x14ac:dyDescent="0.2">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row>
    <row r="191" spans="1:64" x14ac:dyDescent="0.2">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row>
    <row r="192" spans="1:64" x14ac:dyDescent="0.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row>
    <row r="193" spans="1:64" x14ac:dyDescent="0.2">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row>
    <row r="194" spans="1:64" x14ac:dyDescent="0.2">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row>
    <row r="195" spans="1:64" x14ac:dyDescent="0.2">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row>
    <row r="196" spans="1:64" x14ac:dyDescent="0.2">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row>
    <row r="197" spans="1:64" x14ac:dyDescent="0.2">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row>
    <row r="198" spans="1:64" x14ac:dyDescent="0.2">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row>
    <row r="199" spans="1:64" x14ac:dyDescent="0.2">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row>
    <row r="200" spans="1:64" x14ac:dyDescent="0.2">
      <c r="A200" s="30"/>
      <c r="B200" s="30"/>
      <c r="C200" s="30"/>
      <c r="D200" s="30"/>
      <c r="E200" s="30"/>
      <c r="F200" s="30"/>
      <c r="G200" s="30"/>
      <c r="H200" s="30"/>
      <c r="I200" s="30"/>
      <c r="J200" s="30"/>
    </row>
    <row r="201" spans="1:64" x14ac:dyDescent="0.2">
      <c r="A201" s="30"/>
      <c r="B201" s="30"/>
      <c r="C201" s="30"/>
      <c r="D201" s="30"/>
      <c r="E201" s="30"/>
      <c r="F201" s="30"/>
      <c r="G201" s="30"/>
      <c r="H201" s="30"/>
      <c r="I201" s="30"/>
      <c r="J201" s="30"/>
    </row>
  </sheetData>
  <mergeCells count="5">
    <mergeCell ref="A33:J33"/>
    <mergeCell ref="C5:G5"/>
    <mergeCell ref="L2:S15"/>
    <mergeCell ref="L18:S26"/>
    <mergeCell ref="C12:F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3DB92-C371-8942-8A9C-F774E09702FD}">
  <dimension ref="A1:S43"/>
  <sheetViews>
    <sheetView workbookViewId="0"/>
  </sheetViews>
  <sheetFormatPr baseColWidth="10" defaultColWidth="11" defaultRowHeight="16" outlineLevelCol="1" x14ac:dyDescent="0.2"/>
  <cols>
    <col min="1" max="1" width="4.5" customWidth="1"/>
    <col min="2" max="11" width="10.83203125" customWidth="1"/>
    <col min="13" max="13" width="15.5" style="120" hidden="1" customWidth="1" outlineLevel="1"/>
    <col min="14" max="14" width="12.6640625" hidden="1" customWidth="1" outlineLevel="1"/>
    <col min="15" max="17" width="10.83203125" hidden="1" customWidth="1" outlineLevel="1"/>
    <col min="18" max="18" width="12" hidden="1" customWidth="1" outlineLevel="1"/>
    <col min="19" max="19" width="11" collapsed="1"/>
  </cols>
  <sheetData>
    <row r="1" spans="1:17" ht="19" x14ac:dyDescent="0.25">
      <c r="A1" s="174" t="s">
        <v>218</v>
      </c>
      <c r="B1" s="173"/>
      <c r="C1" s="172"/>
      <c r="D1" s="172"/>
      <c r="E1" s="172"/>
      <c r="F1" s="171"/>
      <c r="G1" s="171"/>
      <c r="H1" s="171"/>
      <c r="I1" s="171"/>
      <c r="J1" s="170"/>
      <c r="L1" s="169" t="s">
        <v>148</v>
      </c>
    </row>
    <row r="2" spans="1:17" x14ac:dyDescent="0.2">
      <c r="A2" s="136"/>
      <c r="B2" s="134"/>
      <c r="C2" s="134"/>
      <c r="D2" s="134"/>
      <c r="E2" s="134"/>
      <c r="F2" s="134"/>
      <c r="G2" s="134"/>
      <c r="H2" s="134"/>
      <c r="I2" s="134"/>
      <c r="J2" s="133"/>
    </row>
    <row r="3" spans="1:17" x14ac:dyDescent="0.2">
      <c r="A3" s="136"/>
      <c r="B3" s="134" t="s">
        <v>217</v>
      </c>
      <c r="C3" s="134"/>
      <c r="D3" s="134"/>
      <c r="E3" s="134"/>
      <c r="F3" s="134"/>
      <c r="G3" s="134"/>
      <c r="H3" s="134"/>
      <c r="I3" s="134"/>
      <c r="J3" s="133"/>
      <c r="M3" s="132" t="s">
        <v>216</v>
      </c>
    </row>
    <row r="4" spans="1:17" x14ac:dyDescent="0.2">
      <c r="A4" s="136"/>
      <c r="B4" s="134"/>
      <c r="C4" s="134"/>
      <c r="D4" s="134"/>
      <c r="E4" s="134"/>
      <c r="F4" s="134"/>
      <c r="G4" s="134"/>
      <c r="H4" s="134"/>
      <c r="I4" s="134"/>
      <c r="J4" s="133"/>
    </row>
    <row r="5" spans="1:17" x14ac:dyDescent="0.2">
      <c r="A5" s="136"/>
      <c r="B5" s="134"/>
      <c r="C5" s="336" t="s">
        <v>215</v>
      </c>
      <c r="D5" s="337"/>
      <c r="E5" s="337"/>
      <c r="F5" s="337"/>
      <c r="G5" s="338"/>
      <c r="H5" s="134"/>
      <c r="I5" s="134"/>
      <c r="J5" s="133"/>
      <c r="M5" s="168" t="s">
        <v>214</v>
      </c>
      <c r="N5" s="141"/>
      <c r="O5" s="120"/>
      <c r="P5" s="123"/>
    </row>
    <row r="6" spans="1:17" x14ac:dyDescent="0.2">
      <c r="A6" s="136"/>
      <c r="B6" s="134"/>
      <c r="C6" s="167" t="s">
        <v>115</v>
      </c>
      <c r="D6" s="166" t="s">
        <v>213</v>
      </c>
      <c r="E6" s="165" t="s">
        <v>212</v>
      </c>
      <c r="F6" s="165" t="s">
        <v>211</v>
      </c>
      <c r="G6" s="164" t="s">
        <v>210</v>
      </c>
      <c r="H6" s="134"/>
      <c r="I6" s="134"/>
      <c r="J6" s="133"/>
      <c r="N6" s="141"/>
      <c r="O6" s="120"/>
      <c r="P6" s="123"/>
    </row>
    <row r="7" spans="1:17" x14ac:dyDescent="0.2">
      <c r="A7" s="136"/>
      <c r="B7" s="134"/>
      <c r="C7" s="159">
        <v>2009</v>
      </c>
      <c r="D7" s="158">
        <v>3000</v>
      </c>
      <c r="E7" s="157">
        <v>1600</v>
      </c>
      <c r="F7" s="157">
        <v>1000</v>
      </c>
      <c r="G7" s="163">
        <v>600</v>
      </c>
      <c r="H7" s="134"/>
      <c r="I7" s="134"/>
      <c r="J7" s="133"/>
      <c r="M7" s="162" t="s">
        <v>115</v>
      </c>
      <c r="N7" s="161">
        <v>12</v>
      </c>
      <c r="O7" s="160">
        <v>24</v>
      </c>
      <c r="P7" s="160">
        <v>36</v>
      </c>
      <c r="Q7" s="160">
        <v>48</v>
      </c>
    </row>
    <row r="8" spans="1:17" x14ac:dyDescent="0.2">
      <c r="A8" s="136"/>
      <c r="B8" s="134"/>
      <c r="C8" s="159">
        <v>2010</v>
      </c>
      <c r="D8" s="158">
        <v>3200</v>
      </c>
      <c r="E8" s="157">
        <v>1300</v>
      </c>
      <c r="F8" s="139">
        <v>875</v>
      </c>
      <c r="G8" s="156"/>
      <c r="H8" s="134"/>
      <c r="I8" s="134"/>
      <c r="J8" s="133"/>
      <c r="M8" s="150">
        <v>2009</v>
      </c>
      <c r="N8" s="149">
        <f>D7</f>
        <v>3000</v>
      </c>
      <c r="O8" s="151">
        <f>N8+E7</f>
        <v>4600</v>
      </c>
      <c r="P8" s="151">
        <f>O8+F7</f>
        <v>5600</v>
      </c>
      <c r="Q8" s="151">
        <f>P8+G7</f>
        <v>6200</v>
      </c>
    </row>
    <row r="9" spans="1:17" x14ac:dyDescent="0.2">
      <c r="A9" s="136"/>
      <c r="B9" s="134"/>
      <c r="C9" s="159">
        <v>2011</v>
      </c>
      <c r="D9" s="158">
        <v>2600</v>
      </c>
      <c r="E9" s="157">
        <v>1500</v>
      </c>
      <c r="F9" s="139"/>
      <c r="G9" s="156"/>
      <c r="H9" s="134"/>
      <c r="I9" s="134"/>
      <c r="J9" s="133"/>
      <c r="M9" s="150">
        <v>2010</v>
      </c>
      <c r="N9" s="149">
        <f>D8</f>
        <v>3200</v>
      </c>
      <c r="O9" s="151">
        <f>N9+E8</f>
        <v>4500</v>
      </c>
      <c r="P9" s="151">
        <f>O9+F8</f>
        <v>5375</v>
      </c>
      <c r="Q9" s="151"/>
    </row>
    <row r="10" spans="1:17" x14ac:dyDescent="0.2">
      <c r="A10" s="136"/>
      <c r="B10" s="134"/>
      <c r="C10" s="155">
        <v>2012</v>
      </c>
      <c r="D10" s="154">
        <v>3500</v>
      </c>
      <c r="E10" s="153"/>
      <c r="F10" s="153"/>
      <c r="G10" s="152"/>
      <c r="H10" s="134"/>
      <c r="I10" s="134"/>
      <c r="J10" s="133"/>
      <c r="M10" s="150">
        <v>2011</v>
      </c>
      <c r="N10" s="149">
        <f>D9</f>
        <v>2600</v>
      </c>
      <c r="O10" s="151">
        <f>N10+E9</f>
        <v>4100</v>
      </c>
      <c r="P10" s="151"/>
      <c r="Q10" s="151"/>
    </row>
    <row r="11" spans="1:17" x14ac:dyDescent="0.2">
      <c r="A11" s="136"/>
      <c r="B11" s="134"/>
      <c r="C11" s="134"/>
      <c r="D11" s="134"/>
      <c r="E11" s="134"/>
      <c r="F11" s="134"/>
      <c r="G11" s="134"/>
      <c r="H11" s="134"/>
      <c r="I11" s="134"/>
      <c r="J11" s="133"/>
      <c r="M11" s="150">
        <v>2012</v>
      </c>
      <c r="N11" s="149">
        <f>D10</f>
        <v>3500</v>
      </c>
    </row>
    <row r="12" spans="1:17" x14ac:dyDescent="0.2">
      <c r="A12" s="136"/>
      <c r="B12" s="143" t="s">
        <v>209</v>
      </c>
      <c r="C12" s="134"/>
      <c r="D12" s="142">
        <v>1.2</v>
      </c>
      <c r="E12" s="134"/>
      <c r="F12" s="134"/>
      <c r="G12" s="134"/>
      <c r="H12" s="134"/>
      <c r="I12" s="134"/>
      <c r="J12" s="133"/>
      <c r="M12" s="120" t="s">
        <v>208</v>
      </c>
      <c r="N12" s="145"/>
      <c r="O12" s="144">
        <f>SUM(O8:O10)/SUM(N8:N10)</f>
        <v>1.5</v>
      </c>
      <c r="P12" s="144">
        <f>SUM(P8:P9)/SUM(O8:O9)</f>
        <v>1.206043956043956</v>
      </c>
      <c r="Q12" s="144">
        <f>Q8/P8</f>
        <v>1.1071428571428572</v>
      </c>
    </row>
    <row r="13" spans="1:17" x14ac:dyDescent="0.2">
      <c r="A13" s="136"/>
      <c r="B13" s="143" t="s">
        <v>207</v>
      </c>
      <c r="C13" s="134"/>
      <c r="D13" s="142">
        <v>1.25</v>
      </c>
      <c r="E13" s="134"/>
      <c r="F13" s="134"/>
      <c r="G13" s="134"/>
      <c r="H13" s="134"/>
      <c r="I13" s="134"/>
      <c r="J13" s="133"/>
      <c r="M13" s="148" t="s">
        <v>206</v>
      </c>
      <c r="N13" s="147"/>
      <c r="O13" s="146">
        <f>O12*P12*Q12</f>
        <v>2.0028944270015696</v>
      </c>
      <c r="P13" s="146">
        <f>P12*Q12</f>
        <v>1.3352629513343799</v>
      </c>
      <c r="Q13" s="146">
        <f>Q12</f>
        <v>1.1071428571428572</v>
      </c>
    </row>
    <row r="14" spans="1:17" x14ac:dyDescent="0.2">
      <c r="A14" s="136"/>
      <c r="B14" s="143" t="s">
        <v>204</v>
      </c>
      <c r="C14" s="134"/>
      <c r="D14" s="142">
        <v>0.12</v>
      </c>
      <c r="E14" s="134"/>
      <c r="F14" s="134"/>
      <c r="G14" s="134"/>
      <c r="H14" s="134"/>
      <c r="I14" s="134"/>
      <c r="J14" s="133"/>
      <c r="M14" s="120" t="s">
        <v>205</v>
      </c>
      <c r="N14" s="145"/>
      <c r="O14" s="144">
        <f>1/O13</f>
        <v>0.49927743894971471</v>
      </c>
      <c r="P14" s="144">
        <f>1/P13</f>
        <v>0.74891615842457193</v>
      </c>
      <c r="Q14" s="144">
        <f>1/Q13</f>
        <v>0.90322580645161288</v>
      </c>
    </row>
    <row r="15" spans="1:17" x14ac:dyDescent="0.2">
      <c r="A15" s="136"/>
      <c r="B15" s="143" t="s">
        <v>204</v>
      </c>
      <c r="C15" s="134"/>
      <c r="D15" s="142">
        <v>0.15</v>
      </c>
      <c r="E15" s="134"/>
      <c r="F15" s="134"/>
      <c r="G15" s="134"/>
      <c r="H15" s="134"/>
      <c r="I15" s="134"/>
      <c r="J15" s="133"/>
      <c r="N15" s="141"/>
      <c r="O15" s="120"/>
      <c r="P15" s="123"/>
    </row>
    <row r="16" spans="1:17" x14ac:dyDescent="0.2">
      <c r="A16" s="136"/>
      <c r="B16" s="134"/>
      <c r="C16" s="134"/>
      <c r="D16" s="134"/>
      <c r="E16" s="134"/>
      <c r="F16" s="134"/>
      <c r="G16" s="134"/>
      <c r="H16" s="134"/>
      <c r="I16" s="134"/>
      <c r="J16" s="133"/>
      <c r="M16" s="120" t="s">
        <v>605</v>
      </c>
      <c r="N16" s="141"/>
      <c r="O16" s="120"/>
      <c r="P16" s="123"/>
    </row>
    <row r="17" spans="1:16" x14ac:dyDescent="0.2">
      <c r="A17" s="136"/>
      <c r="B17" s="138" t="s">
        <v>0</v>
      </c>
      <c r="C17" s="134"/>
      <c r="D17" s="134"/>
      <c r="E17" s="134"/>
      <c r="F17" s="134"/>
      <c r="G17" s="134"/>
      <c r="H17" s="134"/>
      <c r="I17" s="134"/>
      <c r="J17" s="133"/>
      <c r="M17" s="120" t="s">
        <v>606</v>
      </c>
      <c r="N17" s="141"/>
      <c r="O17" s="120"/>
      <c r="P17" s="123"/>
    </row>
    <row r="18" spans="1:16" x14ac:dyDescent="0.2">
      <c r="A18" s="136"/>
      <c r="B18" s="134" t="s">
        <v>201</v>
      </c>
      <c r="C18" s="134"/>
      <c r="D18" s="134"/>
      <c r="E18" s="134"/>
      <c r="F18" s="134"/>
      <c r="G18" s="134"/>
      <c r="H18" s="134"/>
      <c r="I18" s="134"/>
      <c r="J18" s="133"/>
      <c r="N18" s="141"/>
      <c r="O18" s="120"/>
      <c r="P18" s="123"/>
    </row>
    <row r="19" spans="1:16" x14ac:dyDescent="0.2">
      <c r="A19" s="136"/>
      <c r="B19" s="134"/>
      <c r="C19" s="134"/>
      <c r="D19" s="134"/>
      <c r="E19" s="134"/>
      <c r="F19" s="134"/>
      <c r="G19" s="134"/>
      <c r="H19" s="134"/>
      <c r="I19" s="134"/>
      <c r="J19" s="133"/>
      <c r="M19" s="120" t="s">
        <v>607</v>
      </c>
      <c r="N19" s="181">
        <f>P9*Q13</f>
        <v>5950.8928571428578</v>
      </c>
      <c r="O19" s="120"/>
      <c r="P19" s="123"/>
    </row>
    <row r="20" spans="1:16" x14ac:dyDescent="0.2">
      <c r="A20" s="136"/>
      <c r="B20" s="138" t="s">
        <v>1</v>
      </c>
      <c r="C20" s="134"/>
      <c r="D20" s="134"/>
      <c r="E20" s="134"/>
      <c r="F20" s="134"/>
      <c r="G20" s="134"/>
      <c r="H20" s="134"/>
      <c r="I20" s="134"/>
      <c r="J20" s="133"/>
      <c r="M20" s="120" t="s">
        <v>608</v>
      </c>
      <c r="N20" s="141">
        <f>(1-Q14)</f>
        <v>9.6774193548387122E-2</v>
      </c>
      <c r="O20" s="120"/>
      <c r="P20" s="123"/>
    </row>
    <row r="21" spans="1:16" ht="17" thickBot="1" x14ac:dyDescent="0.25">
      <c r="A21" s="136"/>
      <c r="B21" s="134" t="s">
        <v>199</v>
      </c>
      <c r="C21" s="134"/>
      <c r="D21" s="134"/>
      <c r="E21" s="134"/>
      <c r="F21" s="134"/>
      <c r="G21" s="134"/>
      <c r="H21" s="134"/>
      <c r="I21" s="134"/>
      <c r="J21" s="133"/>
      <c r="N21" s="141"/>
      <c r="O21" s="120"/>
      <c r="P21" s="123"/>
    </row>
    <row r="22" spans="1:16" x14ac:dyDescent="0.2">
      <c r="A22" s="136"/>
      <c r="B22" s="134"/>
      <c r="C22" s="134"/>
      <c r="D22" s="134"/>
      <c r="E22" s="134"/>
      <c r="F22" s="134"/>
      <c r="G22" s="134"/>
      <c r="H22" s="134"/>
      <c r="I22" s="134"/>
      <c r="J22" s="133"/>
      <c r="M22" s="127" t="s">
        <v>194</v>
      </c>
      <c r="N22" s="126">
        <f>N19*N20</f>
        <v>575.89285714285734</v>
      </c>
      <c r="O22" s="120" t="s">
        <v>203</v>
      </c>
      <c r="P22" s="123"/>
    </row>
    <row r="23" spans="1:16" ht="17" thickBot="1" x14ac:dyDescent="0.25">
      <c r="A23" s="136"/>
      <c r="B23" s="138" t="s">
        <v>197</v>
      </c>
      <c r="C23" s="134"/>
      <c r="D23" s="134"/>
      <c r="E23" s="134"/>
      <c r="F23" s="134"/>
      <c r="G23" s="134"/>
      <c r="H23" s="134"/>
      <c r="I23" s="134"/>
      <c r="J23" s="133"/>
      <c r="M23" s="125" t="s">
        <v>191</v>
      </c>
      <c r="N23" s="124">
        <f>N22*D12</f>
        <v>691.07142857142878</v>
      </c>
      <c r="O23" s="120" t="s">
        <v>202</v>
      </c>
      <c r="P23" s="123"/>
    </row>
    <row r="24" spans="1:16" ht="16" customHeight="1" x14ac:dyDescent="0.2">
      <c r="A24" s="136"/>
      <c r="B24" s="335" t="s">
        <v>196</v>
      </c>
      <c r="C24" s="335"/>
      <c r="D24" s="335"/>
      <c r="E24" s="335"/>
      <c r="F24" s="335"/>
      <c r="G24" s="335"/>
      <c r="H24" s="335"/>
      <c r="I24" s="335"/>
      <c r="J24" s="133"/>
      <c r="N24" s="140"/>
      <c r="O24" s="120"/>
      <c r="P24" s="123"/>
    </row>
    <row r="25" spans="1:16" x14ac:dyDescent="0.2">
      <c r="A25" s="136"/>
      <c r="B25" s="335"/>
      <c r="C25" s="335"/>
      <c r="D25" s="335"/>
      <c r="E25" s="335"/>
      <c r="F25" s="335"/>
      <c r="G25" s="335"/>
      <c r="H25" s="335"/>
      <c r="I25" s="335"/>
      <c r="J25" s="133"/>
      <c r="M25" s="132" t="s">
        <v>200</v>
      </c>
      <c r="N25" s="140"/>
      <c r="O25" s="120"/>
      <c r="P25" s="123"/>
    </row>
    <row r="26" spans="1:16" ht="17" thickBot="1" x14ac:dyDescent="0.25">
      <c r="A26" s="136"/>
      <c r="B26" s="139"/>
      <c r="C26" s="134"/>
      <c r="D26" s="134"/>
      <c r="E26" s="134"/>
      <c r="F26" s="134"/>
      <c r="G26" s="134"/>
      <c r="H26" s="134"/>
      <c r="I26" s="134"/>
      <c r="J26" s="133"/>
      <c r="N26" s="140"/>
      <c r="O26" s="120"/>
      <c r="P26" s="123"/>
    </row>
    <row r="27" spans="1:16" x14ac:dyDescent="0.2">
      <c r="A27" s="136"/>
      <c r="B27" s="138" t="s">
        <v>192</v>
      </c>
      <c r="C27" s="134"/>
      <c r="D27" s="134"/>
      <c r="E27" s="134"/>
      <c r="F27" s="134"/>
      <c r="G27" s="134"/>
      <c r="H27" s="134"/>
      <c r="I27" s="134"/>
      <c r="J27" s="133"/>
      <c r="M27" s="127" t="s">
        <v>194</v>
      </c>
      <c r="N27" s="126">
        <f>(Q12-1)*P9</f>
        <v>575.89285714285745</v>
      </c>
      <c r="O27" s="120" t="s">
        <v>193</v>
      </c>
      <c r="P27" s="123"/>
    </row>
    <row r="28" spans="1:16" ht="17" thickBot="1" x14ac:dyDescent="0.25">
      <c r="A28" s="136"/>
      <c r="B28" s="134" t="s">
        <v>189</v>
      </c>
      <c r="C28" s="134"/>
      <c r="D28" s="134"/>
      <c r="E28" s="134"/>
      <c r="F28" s="134"/>
      <c r="G28" s="134"/>
      <c r="H28" s="134"/>
      <c r="I28" s="134"/>
      <c r="J28" s="133"/>
      <c r="M28" s="125" t="s">
        <v>191</v>
      </c>
      <c r="N28" s="124">
        <f>D13*N27*Q12</f>
        <v>796.99457908163311</v>
      </c>
      <c r="O28" s="120" t="s">
        <v>198</v>
      </c>
      <c r="P28" s="123"/>
    </row>
    <row r="29" spans="1:16" ht="17" thickBot="1" x14ac:dyDescent="0.25">
      <c r="A29" s="136"/>
      <c r="B29" s="135"/>
      <c r="C29" s="134"/>
      <c r="D29" s="134"/>
      <c r="E29" s="134"/>
      <c r="F29" s="134"/>
      <c r="G29" s="134"/>
      <c r="H29" s="134"/>
      <c r="I29" s="134"/>
      <c r="J29" s="133"/>
      <c r="N29" s="140"/>
      <c r="O29" s="120"/>
      <c r="P29" s="123"/>
    </row>
    <row r="30" spans="1:16" ht="17" thickBot="1" x14ac:dyDescent="0.25">
      <c r="A30" s="131" t="s">
        <v>145</v>
      </c>
      <c r="B30" s="130"/>
      <c r="C30" s="130"/>
      <c r="D30" s="130"/>
      <c r="E30" s="130"/>
      <c r="F30" s="130"/>
      <c r="G30" s="130"/>
      <c r="H30" s="130"/>
      <c r="I30" s="130"/>
      <c r="J30" s="129"/>
      <c r="M30" s="132" t="s">
        <v>195</v>
      </c>
      <c r="N30" s="140"/>
      <c r="O30" s="120"/>
      <c r="P30" s="123"/>
    </row>
    <row r="31" spans="1:16" ht="17" thickBot="1" x14ac:dyDescent="0.25">
      <c r="N31" s="140"/>
      <c r="O31" s="120"/>
      <c r="P31" s="123"/>
    </row>
    <row r="32" spans="1:16" x14ac:dyDescent="0.2">
      <c r="M32" s="127" t="s">
        <v>194</v>
      </c>
      <c r="N32" s="126">
        <f>(Q12-1)*P9</f>
        <v>575.89285714285745</v>
      </c>
      <c r="O32" s="120" t="s">
        <v>193</v>
      </c>
      <c r="P32" s="123"/>
    </row>
    <row r="33" spans="13:17" ht="17" thickBot="1" x14ac:dyDescent="0.25">
      <c r="M33" s="125" t="s">
        <v>191</v>
      </c>
      <c r="N33" s="124">
        <f>D14*P9</f>
        <v>645</v>
      </c>
      <c r="O33" s="120" t="s">
        <v>190</v>
      </c>
      <c r="P33" s="123"/>
    </row>
    <row r="34" spans="13:17" x14ac:dyDescent="0.2">
      <c r="N34" s="128"/>
      <c r="O34" s="123"/>
      <c r="P34" s="123"/>
      <c r="Q34" s="137"/>
    </row>
    <row r="35" spans="13:17" x14ac:dyDescent="0.2">
      <c r="M35" s="132" t="s">
        <v>188</v>
      </c>
      <c r="N35" s="128"/>
      <c r="O35" s="123"/>
      <c r="P35" s="123"/>
    </row>
    <row r="36" spans="13:17" ht="17" thickBot="1" x14ac:dyDescent="0.25">
      <c r="N36" s="128"/>
      <c r="O36" s="123"/>
      <c r="P36" s="123"/>
    </row>
    <row r="37" spans="13:17" x14ac:dyDescent="0.2">
      <c r="M37" s="127" t="s">
        <v>187</v>
      </c>
      <c r="N37" s="126">
        <f>P9*Q12</f>
        <v>5950.8928571428578</v>
      </c>
      <c r="O37" s="120" t="s">
        <v>186</v>
      </c>
      <c r="P37" s="123"/>
    </row>
    <row r="38" spans="13:17" ht="17" thickBot="1" x14ac:dyDescent="0.25">
      <c r="M38" s="125" t="s">
        <v>185</v>
      </c>
      <c r="N38" s="124">
        <f>P9*D15</f>
        <v>806.25</v>
      </c>
      <c r="O38" s="120" t="s">
        <v>184</v>
      </c>
    </row>
    <row r="39" spans="13:17" x14ac:dyDescent="0.2">
      <c r="N39" s="123"/>
    </row>
    <row r="42" spans="13:17" ht="19" x14ac:dyDescent="0.25">
      <c r="M42" s="122" t="s">
        <v>132</v>
      </c>
      <c r="N42" s="121"/>
    </row>
    <row r="43" spans="13:17" x14ac:dyDescent="0.2">
      <c r="M43" s="120" t="s">
        <v>183</v>
      </c>
    </row>
  </sheetData>
  <mergeCells count="2">
    <mergeCell ref="B24:I25"/>
    <mergeCell ref="C5:G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BDBC-A22B-E840-A27D-BC9B22791B88}">
  <dimension ref="A1:S30"/>
  <sheetViews>
    <sheetView zoomScaleNormal="100" workbookViewId="0"/>
  </sheetViews>
  <sheetFormatPr baseColWidth="10" defaultColWidth="11" defaultRowHeight="16" outlineLevelCol="1" x14ac:dyDescent="0.2"/>
  <cols>
    <col min="1" max="1" width="4.5" customWidth="1"/>
    <col min="2" max="11" width="10.83203125" customWidth="1"/>
    <col min="12" max="12" width="11.1640625" bestFit="1" customWidth="1"/>
    <col min="13" max="13" width="15.5" style="120" hidden="1" customWidth="1" outlineLevel="1"/>
    <col min="14" max="14" width="12.6640625" hidden="1" customWidth="1" outlineLevel="1"/>
    <col min="15" max="17" width="10.83203125" hidden="1" customWidth="1" outlineLevel="1"/>
    <col min="18" max="18" width="12" hidden="1" customWidth="1" outlineLevel="1"/>
    <col min="19" max="19" width="11" collapsed="1"/>
  </cols>
  <sheetData>
    <row r="1" spans="1:17" ht="19" x14ac:dyDescent="0.25">
      <c r="A1" s="174" t="s">
        <v>231</v>
      </c>
      <c r="B1" s="173"/>
      <c r="C1" s="172"/>
      <c r="D1" s="172"/>
      <c r="E1" s="172"/>
      <c r="F1" s="171"/>
      <c r="G1" s="171"/>
      <c r="H1" s="171"/>
      <c r="I1" s="171"/>
      <c r="J1" s="170"/>
      <c r="L1" s="169" t="s">
        <v>148</v>
      </c>
    </row>
    <row r="2" spans="1:17" x14ac:dyDescent="0.2">
      <c r="A2" s="136"/>
      <c r="B2" s="134"/>
      <c r="C2" s="134"/>
      <c r="D2" s="134"/>
      <c r="E2" s="134"/>
      <c r="F2" s="134"/>
      <c r="G2" s="134"/>
      <c r="H2" s="134"/>
      <c r="I2" s="134"/>
      <c r="J2" s="133"/>
    </row>
    <row r="3" spans="1:17" x14ac:dyDescent="0.2">
      <c r="A3" s="136"/>
      <c r="B3" s="134" t="s">
        <v>217</v>
      </c>
      <c r="C3" s="134"/>
      <c r="D3" s="134"/>
      <c r="E3" s="134"/>
      <c r="F3" s="134"/>
      <c r="G3" s="134"/>
      <c r="H3" s="134"/>
      <c r="I3" s="134"/>
      <c r="J3" s="133"/>
      <c r="M3" s="168" t="s">
        <v>230</v>
      </c>
    </row>
    <row r="4" spans="1:17" x14ac:dyDescent="0.2">
      <c r="A4" s="136"/>
      <c r="B4" s="134"/>
      <c r="C4" s="134"/>
      <c r="D4" s="134"/>
      <c r="E4" s="134"/>
      <c r="F4" s="134"/>
      <c r="G4" s="134"/>
      <c r="H4" s="134"/>
      <c r="I4" s="134"/>
      <c r="J4" s="133"/>
      <c r="M4" s="168"/>
    </row>
    <row r="5" spans="1:17" x14ac:dyDescent="0.2">
      <c r="A5" s="136"/>
      <c r="B5" s="134"/>
      <c r="C5" s="336" t="s">
        <v>215</v>
      </c>
      <c r="D5" s="337"/>
      <c r="E5" s="337"/>
      <c r="F5" s="337"/>
      <c r="G5" s="338"/>
      <c r="H5" s="134"/>
      <c r="I5" s="134"/>
      <c r="J5" s="133"/>
      <c r="M5" s="120" t="s">
        <v>229</v>
      </c>
      <c r="N5" s="141">
        <f>SUM(D7:F8)/SUM(D7:E8)</f>
        <v>1.206043956043956</v>
      </c>
      <c r="O5" s="120"/>
      <c r="P5" s="123"/>
    </row>
    <row r="6" spans="1:17" x14ac:dyDescent="0.2">
      <c r="A6" s="136"/>
      <c r="B6" s="134"/>
      <c r="C6" s="167" t="s">
        <v>115</v>
      </c>
      <c r="D6" s="165" t="s">
        <v>213</v>
      </c>
      <c r="E6" s="165" t="s">
        <v>212</v>
      </c>
      <c r="F6" s="165" t="s">
        <v>211</v>
      </c>
      <c r="G6" s="164" t="s">
        <v>210</v>
      </c>
      <c r="H6" s="134"/>
      <c r="I6" s="134"/>
      <c r="J6" s="133"/>
      <c r="M6" s="120" t="s">
        <v>228</v>
      </c>
      <c r="N6" s="141">
        <f>SUM(D7:G7)/SUM(D7:F7)</f>
        <v>1.1071428571428572</v>
      </c>
      <c r="O6" s="120"/>
      <c r="P6" s="123"/>
    </row>
    <row r="7" spans="1:17" x14ac:dyDescent="0.2">
      <c r="A7" s="136"/>
      <c r="B7" s="134"/>
      <c r="C7" s="159">
        <v>2009</v>
      </c>
      <c r="D7" s="157">
        <v>3000</v>
      </c>
      <c r="E7" s="157">
        <v>1600</v>
      </c>
      <c r="F7" s="157">
        <v>1000</v>
      </c>
      <c r="G7" s="163">
        <v>600</v>
      </c>
      <c r="H7" s="134"/>
      <c r="I7" s="134"/>
      <c r="J7" s="133"/>
      <c r="N7" s="181"/>
      <c r="O7" s="123"/>
      <c r="P7" s="123"/>
      <c r="Q7" s="123"/>
    </row>
    <row r="8" spans="1:17" x14ac:dyDescent="0.2">
      <c r="A8" s="136"/>
      <c r="B8" s="134"/>
      <c r="C8" s="159">
        <v>2010</v>
      </c>
      <c r="D8" s="157">
        <v>3200</v>
      </c>
      <c r="E8" s="157">
        <v>1300</v>
      </c>
      <c r="F8" s="139">
        <v>875</v>
      </c>
      <c r="G8" s="156"/>
      <c r="H8" s="134"/>
      <c r="I8" s="134"/>
      <c r="J8" s="133"/>
      <c r="M8" s="120" t="s">
        <v>227</v>
      </c>
      <c r="N8" s="184">
        <f>1/(N5*N6)</f>
        <v>0.74891615842457193</v>
      </c>
      <c r="O8" s="182"/>
      <c r="P8" s="182"/>
      <c r="Q8" s="182"/>
    </row>
    <row r="9" spans="1:17" x14ac:dyDescent="0.2">
      <c r="A9" s="136"/>
      <c r="B9" s="134"/>
      <c r="C9" s="159">
        <v>2011</v>
      </c>
      <c r="D9" s="157">
        <v>2600</v>
      </c>
      <c r="E9" s="157">
        <v>1500</v>
      </c>
      <c r="F9" s="139"/>
      <c r="G9" s="156"/>
      <c r="H9" s="134"/>
      <c r="I9" s="134"/>
      <c r="J9" s="133"/>
      <c r="N9" s="181"/>
      <c r="O9" s="182"/>
      <c r="P9" s="182"/>
      <c r="Q9" s="182"/>
    </row>
    <row r="10" spans="1:17" x14ac:dyDescent="0.2">
      <c r="A10" s="136"/>
      <c r="B10" s="134"/>
      <c r="C10" s="155">
        <v>2012</v>
      </c>
      <c r="D10" s="183">
        <v>3500</v>
      </c>
      <c r="E10" s="153"/>
      <c r="F10" s="153"/>
      <c r="G10" s="152"/>
      <c r="H10" s="134"/>
      <c r="I10" s="134"/>
      <c r="J10" s="133"/>
      <c r="M10" s="120" t="s">
        <v>226</v>
      </c>
      <c r="N10" s="141">
        <f>N8/(C14*C16+N8)</f>
        <v>0.79976851284214245</v>
      </c>
      <c r="O10" s="182" t="s">
        <v>225</v>
      </c>
      <c r="P10" s="182"/>
      <c r="Q10" s="182"/>
    </row>
    <row r="11" spans="1:17" x14ac:dyDescent="0.2">
      <c r="A11" s="136"/>
      <c r="B11" s="134"/>
      <c r="C11" s="134"/>
      <c r="D11" s="134"/>
      <c r="E11" s="134"/>
      <c r="F11" s="134"/>
      <c r="G11" s="134"/>
      <c r="H11" s="134"/>
      <c r="I11" s="134"/>
      <c r="J11" s="133"/>
      <c r="N11" s="181"/>
      <c r="O11" s="120"/>
      <c r="P11" s="123"/>
    </row>
    <row r="12" spans="1:17" ht="18" x14ac:dyDescent="0.25">
      <c r="A12" s="136"/>
      <c r="B12" s="143" t="s">
        <v>610</v>
      </c>
      <c r="C12" s="134"/>
      <c r="D12" s="142"/>
      <c r="E12" s="134"/>
      <c r="F12" s="134"/>
      <c r="G12" s="134"/>
      <c r="H12" s="134"/>
      <c r="I12" s="134"/>
      <c r="J12" s="133"/>
      <c r="M12" s="168" t="s">
        <v>224</v>
      </c>
      <c r="N12" s="141"/>
      <c r="O12" s="178"/>
      <c r="P12" s="178"/>
      <c r="Q12" s="178"/>
    </row>
    <row r="13" spans="1:17" ht="20" x14ac:dyDescent="0.25">
      <c r="A13" s="136"/>
      <c r="B13" s="143" t="s">
        <v>615</v>
      </c>
      <c r="C13" s="134"/>
      <c r="D13" s="142"/>
      <c r="E13" s="134"/>
      <c r="F13" s="134"/>
      <c r="G13" s="134"/>
      <c r="H13" s="134"/>
      <c r="I13" s="134"/>
      <c r="J13" s="133"/>
      <c r="N13" s="141"/>
      <c r="O13" s="178"/>
      <c r="P13" s="123"/>
      <c r="Q13" s="180"/>
    </row>
    <row r="14" spans="1:17" x14ac:dyDescent="0.2">
      <c r="A14" s="136"/>
      <c r="B14" s="143" t="s">
        <v>616</v>
      </c>
      <c r="C14" s="139">
        <v>15</v>
      </c>
      <c r="D14" s="142"/>
      <c r="E14" s="134"/>
      <c r="F14" s="134"/>
      <c r="G14" s="134"/>
      <c r="H14" s="134"/>
      <c r="I14" s="134"/>
      <c r="J14" s="133"/>
      <c r="M14" s="120" t="s">
        <v>223</v>
      </c>
      <c r="N14" s="137">
        <f>SUM(D9:E9)</f>
        <v>4100</v>
      </c>
      <c r="P14" s="178"/>
      <c r="Q14" s="178"/>
    </row>
    <row r="15" spans="1:17" ht="18" x14ac:dyDescent="0.25">
      <c r="A15" s="136"/>
      <c r="B15" s="143" t="s">
        <v>617</v>
      </c>
      <c r="C15" s="139">
        <v>80</v>
      </c>
      <c r="D15" s="142"/>
      <c r="E15" s="134"/>
      <c r="F15" s="134"/>
      <c r="G15" s="134"/>
      <c r="H15" s="134"/>
      <c r="I15" s="134"/>
      <c r="J15" s="133"/>
      <c r="M15" s="120" t="s">
        <v>222</v>
      </c>
      <c r="N15" s="179">
        <f>C15/C16</f>
        <v>6400</v>
      </c>
      <c r="O15" s="178" t="s">
        <v>221</v>
      </c>
      <c r="P15" s="123"/>
    </row>
    <row r="16" spans="1:17" ht="19" thickBot="1" x14ac:dyDescent="0.3">
      <c r="A16" s="136"/>
      <c r="B16" s="143" t="s">
        <v>618</v>
      </c>
      <c r="C16" s="139">
        <v>1.2500000000000001E-2</v>
      </c>
      <c r="D16" s="134"/>
      <c r="E16" s="134"/>
      <c r="F16" s="134"/>
      <c r="G16" s="134"/>
      <c r="H16" s="134"/>
      <c r="I16" s="134"/>
      <c r="J16" s="133"/>
      <c r="N16" s="141"/>
      <c r="O16" s="120"/>
      <c r="P16" s="123"/>
    </row>
    <row r="17" spans="1:17" ht="17" thickBot="1" x14ac:dyDescent="0.25">
      <c r="A17" s="136"/>
      <c r="B17" s="143"/>
      <c r="C17" s="134"/>
      <c r="D17" s="134"/>
      <c r="E17" s="134"/>
      <c r="F17" s="134"/>
      <c r="G17" s="134"/>
      <c r="H17" s="134"/>
      <c r="I17" s="134"/>
      <c r="J17" s="133"/>
      <c r="M17" s="177" t="s">
        <v>220</v>
      </c>
      <c r="N17" s="176">
        <f>N10*(N5-1)*N14+(1-N10)*(N5-1)*N15*(1/(N5*N6))</f>
        <v>873.37358201854806</v>
      </c>
      <c r="O17" s="120" t="s">
        <v>219</v>
      </c>
      <c r="P17" s="123"/>
    </row>
    <row r="18" spans="1:17" ht="18" x14ac:dyDescent="0.25">
      <c r="A18" s="136"/>
      <c r="B18" s="143" t="s">
        <v>619</v>
      </c>
      <c r="C18" s="134"/>
      <c r="D18" s="134"/>
      <c r="E18" s="134"/>
      <c r="F18" s="134"/>
      <c r="G18" s="134"/>
      <c r="H18" s="134"/>
      <c r="I18" s="134"/>
      <c r="J18" s="133"/>
      <c r="N18" s="141"/>
      <c r="O18" s="120"/>
      <c r="P18" s="123"/>
    </row>
    <row r="19" spans="1:17" ht="17" thickBot="1" x14ac:dyDescent="0.25">
      <c r="A19" s="136"/>
      <c r="B19" s="134"/>
      <c r="C19" s="134"/>
      <c r="D19" s="134"/>
      <c r="E19" s="134"/>
      <c r="F19" s="134"/>
      <c r="G19" s="134"/>
      <c r="H19" s="134"/>
      <c r="I19" s="134"/>
      <c r="J19" s="133"/>
      <c r="N19" s="141"/>
      <c r="O19" s="120"/>
      <c r="P19" s="123"/>
    </row>
    <row r="20" spans="1:17" ht="17" thickBot="1" x14ac:dyDescent="0.25">
      <c r="A20" s="131" t="s">
        <v>145</v>
      </c>
      <c r="B20" s="175"/>
      <c r="C20" s="130"/>
      <c r="D20" s="130"/>
      <c r="E20" s="130"/>
      <c r="F20" s="130"/>
      <c r="G20" s="130"/>
      <c r="H20" s="130"/>
      <c r="I20" s="130"/>
      <c r="J20" s="129"/>
      <c r="N20" s="141"/>
      <c r="O20" s="120"/>
      <c r="P20" s="123"/>
    </row>
    <row r="21" spans="1:17" ht="19" x14ac:dyDescent="0.25">
      <c r="M21" s="122" t="s">
        <v>172</v>
      </c>
      <c r="N21" s="141"/>
      <c r="O21" s="120"/>
      <c r="P21" s="123"/>
    </row>
    <row r="22" spans="1:17" x14ac:dyDescent="0.2">
      <c r="M22" s="120" t="s">
        <v>169</v>
      </c>
      <c r="N22" s="137"/>
      <c r="O22" s="123"/>
      <c r="P22" s="123"/>
      <c r="Q22" s="137"/>
    </row>
    <row r="23" spans="1:17" x14ac:dyDescent="0.2">
      <c r="N23" s="123"/>
      <c r="O23" s="123"/>
      <c r="P23" s="123"/>
    </row>
    <row r="24" spans="1:17" x14ac:dyDescent="0.2">
      <c r="N24" s="123"/>
      <c r="O24" s="123"/>
      <c r="P24" s="123"/>
    </row>
    <row r="25" spans="1:17" x14ac:dyDescent="0.2">
      <c r="N25" s="141"/>
      <c r="O25" s="120"/>
      <c r="P25" s="123"/>
    </row>
    <row r="26" spans="1:17" x14ac:dyDescent="0.2">
      <c r="N26" s="141"/>
      <c r="O26" s="120"/>
    </row>
    <row r="27" spans="1:17" x14ac:dyDescent="0.2">
      <c r="N27" s="123"/>
    </row>
    <row r="30" spans="1:17" x14ac:dyDescent="0.2">
      <c r="N30" s="121"/>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9CC5F-8B67-5846-9DAF-BC57793493A6}">
  <dimension ref="A1:T45"/>
  <sheetViews>
    <sheetView zoomScaleNormal="100" workbookViewId="0">
      <selection activeCell="B12" sqref="B12"/>
    </sheetView>
  </sheetViews>
  <sheetFormatPr baseColWidth="10" defaultColWidth="11" defaultRowHeight="16" outlineLevelCol="1" x14ac:dyDescent="0.2"/>
  <cols>
    <col min="1" max="1" width="4.5" customWidth="1"/>
    <col min="2" max="11" width="10.83203125" customWidth="1"/>
    <col min="12" max="12" width="11.1640625" bestFit="1" customWidth="1"/>
    <col min="13" max="13" width="15.5" style="120" hidden="1" customWidth="1" outlineLevel="1"/>
    <col min="14" max="14" width="12.6640625" hidden="1" customWidth="1" outlineLevel="1"/>
    <col min="15" max="15" width="12.5" hidden="1" customWidth="1" outlineLevel="1"/>
    <col min="16" max="18" width="10.83203125" hidden="1" customWidth="1" outlineLevel="1"/>
    <col min="19" max="19" width="12" hidden="1" customWidth="1" outlineLevel="1"/>
    <col min="20" max="20" width="11" collapsed="1"/>
  </cols>
  <sheetData>
    <row r="1" spans="1:18" ht="19" x14ac:dyDescent="0.25">
      <c r="A1" s="174" t="s">
        <v>247</v>
      </c>
      <c r="B1" s="173"/>
      <c r="C1" s="172"/>
      <c r="D1" s="172"/>
      <c r="E1" s="172"/>
      <c r="F1" s="171"/>
      <c r="G1" s="171"/>
      <c r="H1" s="171"/>
      <c r="I1" s="171"/>
      <c r="J1" s="170"/>
      <c r="L1" s="169" t="s">
        <v>148</v>
      </c>
    </row>
    <row r="2" spans="1:18" x14ac:dyDescent="0.2">
      <c r="A2" s="136"/>
      <c r="B2" s="134"/>
      <c r="C2" s="134"/>
      <c r="D2" s="134"/>
      <c r="E2" s="134"/>
      <c r="F2" s="134"/>
      <c r="G2" s="134"/>
      <c r="H2" s="134"/>
      <c r="I2" s="134"/>
      <c r="J2" s="133"/>
    </row>
    <row r="3" spans="1:18" x14ac:dyDescent="0.2">
      <c r="A3" s="136"/>
      <c r="B3" s="134" t="s">
        <v>217</v>
      </c>
      <c r="C3" s="134"/>
      <c r="D3" s="134"/>
      <c r="E3" s="134"/>
      <c r="F3" s="134"/>
      <c r="G3" s="134"/>
      <c r="H3" s="134"/>
      <c r="I3" s="134"/>
      <c r="J3" s="133"/>
      <c r="M3" s="168" t="s">
        <v>246</v>
      </c>
    </row>
    <row r="4" spans="1:18" x14ac:dyDescent="0.2">
      <c r="A4" s="136"/>
      <c r="B4" s="134"/>
      <c r="C4" s="134"/>
      <c r="D4" s="134"/>
      <c r="E4" s="134"/>
      <c r="F4" s="134"/>
      <c r="G4" s="134"/>
      <c r="H4" s="134"/>
      <c r="I4" s="134"/>
      <c r="J4" s="133"/>
    </row>
    <row r="5" spans="1:18" x14ac:dyDescent="0.2">
      <c r="A5" s="136"/>
      <c r="B5" s="134"/>
      <c r="C5" s="336" t="s">
        <v>215</v>
      </c>
      <c r="D5" s="337"/>
      <c r="E5" s="337"/>
      <c r="F5" s="337"/>
      <c r="G5" s="338"/>
      <c r="H5" s="134"/>
      <c r="I5" s="134"/>
      <c r="J5" s="133"/>
      <c r="M5" s="200" t="s">
        <v>115</v>
      </c>
      <c r="N5" s="199">
        <v>12</v>
      </c>
      <c r="O5" s="198">
        <v>24</v>
      </c>
      <c r="P5" s="198">
        <v>36</v>
      </c>
      <c r="Q5" s="198">
        <v>48</v>
      </c>
      <c r="R5" s="197"/>
    </row>
    <row r="6" spans="1:18" x14ac:dyDescent="0.2">
      <c r="A6" s="136"/>
      <c r="B6" s="134"/>
      <c r="C6" s="167" t="s">
        <v>115</v>
      </c>
      <c r="D6" s="165" t="s">
        <v>213</v>
      </c>
      <c r="E6" s="165" t="s">
        <v>212</v>
      </c>
      <c r="F6" s="165" t="s">
        <v>211</v>
      </c>
      <c r="G6" s="164" t="s">
        <v>210</v>
      </c>
      <c r="H6" s="134"/>
      <c r="I6" s="134"/>
      <c r="J6" s="133"/>
      <c r="M6" s="196">
        <v>2009</v>
      </c>
      <c r="N6" s="195">
        <f>D7</f>
        <v>3000</v>
      </c>
      <c r="O6" s="194">
        <f>N6+E7</f>
        <v>4600</v>
      </c>
      <c r="P6" s="194">
        <f>O6+F7</f>
        <v>5600</v>
      </c>
      <c r="Q6" s="194">
        <f>P6+G7</f>
        <v>6200</v>
      </c>
      <c r="R6" s="194"/>
    </row>
    <row r="7" spans="1:18" x14ac:dyDescent="0.2">
      <c r="A7" s="136"/>
      <c r="B7" s="134"/>
      <c r="C7" s="159">
        <v>2009</v>
      </c>
      <c r="D7" s="157">
        <v>3000</v>
      </c>
      <c r="E7" s="157">
        <v>1600</v>
      </c>
      <c r="F7" s="157">
        <v>1000</v>
      </c>
      <c r="G7" s="163">
        <v>600</v>
      </c>
      <c r="H7" s="134"/>
      <c r="I7" s="134"/>
      <c r="J7" s="133"/>
      <c r="M7" s="196">
        <v>2010</v>
      </c>
      <c r="N7" s="195">
        <f>D8</f>
        <v>3200</v>
      </c>
      <c r="O7" s="194">
        <f>N7+E8</f>
        <v>4500</v>
      </c>
      <c r="P7" s="194">
        <f>O7+F8</f>
        <v>5375</v>
      </c>
      <c r="Q7" s="194"/>
      <c r="R7" s="194"/>
    </row>
    <row r="8" spans="1:18" x14ac:dyDescent="0.2">
      <c r="A8" s="136"/>
      <c r="B8" s="134"/>
      <c r="C8" s="159">
        <v>2010</v>
      </c>
      <c r="D8" s="157">
        <v>3200</v>
      </c>
      <c r="E8" s="157">
        <v>1300</v>
      </c>
      <c r="F8" s="139">
        <v>875</v>
      </c>
      <c r="G8" s="156"/>
      <c r="H8" s="134"/>
      <c r="I8" s="134"/>
      <c r="J8" s="133"/>
      <c r="M8" s="196">
        <v>2011</v>
      </c>
      <c r="N8" s="195">
        <f>D9</f>
        <v>2600</v>
      </c>
      <c r="O8" s="194">
        <f>N8+E9</f>
        <v>4100</v>
      </c>
      <c r="P8" s="194"/>
      <c r="Q8" s="194"/>
      <c r="R8" s="194"/>
    </row>
    <row r="9" spans="1:18" x14ac:dyDescent="0.2">
      <c r="A9" s="136"/>
      <c r="B9" s="134"/>
      <c r="C9" s="159">
        <v>2011</v>
      </c>
      <c r="D9" s="157">
        <v>2600</v>
      </c>
      <c r="E9" s="157">
        <v>1500</v>
      </c>
      <c r="F9" s="139"/>
      <c r="G9" s="156"/>
      <c r="H9" s="134"/>
      <c r="I9" s="134"/>
      <c r="J9" s="133"/>
      <c r="M9" s="196">
        <v>2012</v>
      </c>
      <c r="N9" s="195">
        <f>D10</f>
        <v>3500</v>
      </c>
      <c r="O9" s="194"/>
      <c r="P9" s="194"/>
      <c r="Q9" s="194"/>
      <c r="R9" s="194"/>
    </row>
    <row r="10" spans="1:18" x14ac:dyDescent="0.2">
      <c r="A10" s="136"/>
      <c r="B10" s="134"/>
      <c r="C10" s="155">
        <v>2012</v>
      </c>
      <c r="D10" s="183">
        <v>3500</v>
      </c>
      <c r="E10" s="153"/>
      <c r="F10" s="153"/>
      <c r="G10" s="152"/>
      <c r="H10" s="134"/>
      <c r="I10" s="134"/>
      <c r="J10" s="133"/>
      <c r="M10" s="123" t="s">
        <v>208</v>
      </c>
      <c r="N10" s="141"/>
      <c r="O10" s="190">
        <f>SUM(O6:O8)/SUM(N6:N8)</f>
        <v>1.5</v>
      </c>
      <c r="P10" s="190">
        <f>SUM(P6:P7)/SUM(O6:O7)</f>
        <v>1.206043956043956</v>
      </c>
      <c r="Q10" s="190">
        <f>Q6/P6</f>
        <v>1.1071428571428572</v>
      </c>
      <c r="R10" s="190"/>
    </row>
    <row r="11" spans="1:18" x14ac:dyDescent="0.2">
      <c r="A11" s="136"/>
      <c r="B11" s="139"/>
      <c r="C11" s="157"/>
      <c r="D11" s="139"/>
      <c r="E11" s="139"/>
      <c r="F11" s="139"/>
      <c r="G11" s="134"/>
      <c r="H11" s="134"/>
      <c r="I11" s="134"/>
      <c r="J11" s="133"/>
      <c r="M11" s="193" t="s">
        <v>245</v>
      </c>
      <c r="N11" s="192"/>
      <c r="O11" s="191">
        <f>O10*P10*Q10</f>
        <v>2.0028944270015696</v>
      </c>
      <c r="P11" s="191">
        <f>P10*Q10</f>
        <v>1.3352629513343799</v>
      </c>
      <c r="Q11" s="191">
        <f>Q10</f>
        <v>1.1071428571428572</v>
      </c>
      <c r="R11" s="190"/>
    </row>
    <row r="12" spans="1:18" ht="18" x14ac:dyDescent="0.25">
      <c r="A12" s="136"/>
      <c r="B12" s="143" t="s">
        <v>610</v>
      </c>
      <c r="C12" s="134"/>
      <c r="D12" s="142"/>
      <c r="E12" s="134"/>
      <c r="F12" s="134"/>
      <c r="G12" s="134"/>
      <c r="H12" s="134"/>
      <c r="I12" s="134"/>
      <c r="J12" s="133"/>
      <c r="M12" s="123" t="s">
        <v>205</v>
      </c>
      <c r="N12" s="141"/>
      <c r="O12" s="190">
        <f>1/O11</f>
        <v>0.49927743894971471</v>
      </c>
      <c r="P12" s="190">
        <f>1/P11</f>
        <v>0.74891615842457193</v>
      </c>
      <c r="Q12" s="190">
        <f>1/Q11</f>
        <v>0.90322580645161288</v>
      </c>
      <c r="R12" s="190"/>
    </row>
    <row r="13" spans="1:18" ht="18" x14ac:dyDescent="0.25">
      <c r="A13" s="136"/>
      <c r="B13" s="143" t="s">
        <v>611</v>
      </c>
      <c r="C13" s="189">
        <v>6000</v>
      </c>
      <c r="D13" s="139"/>
      <c r="E13" s="139"/>
      <c r="F13" s="139"/>
      <c r="G13" s="134"/>
      <c r="H13" s="134"/>
      <c r="I13" s="134"/>
      <c r="J13" s="133"/>
      <c r="N13" s="141"/>
      <c r="O13" s="178"/>
      <c r="P13" s="178"/>
      <c r="Q13" s="178"/>
      <c r="R13" s="178"/>
    </row>
    <row r="14" spans="1:18" ht="18" x14ac:dyDescent="0.25">
      <c r="A14" s="136"/>
      <c r="B14" s="143" t="s">
        <v>612</v>
      </c>
      <c r="C14" s="189">
        <v>5800</v>
      </c>
      <c r="D14" s="139"/>
      <c r="E14" s="139"/>
      <c r="F14" s="139"/>
      <c r="G14" s="134"/>
      <c r="H14" s="134"/>
      <c r="I14" s="134"/>
      <c r="J14" s="133"/>
      <c r="M14" s="168" t="s">
        <v>244</v>
      </c>
      <c r="N14" s="141"/>
      <c r="O14" s="178"/>
      <c r="P14" s="178"/>
      <c r="Q14" s="178"/>
      <c r="R14" s="178"/>
    </row>
    <row r="15" spans="1:18" ht="18" x14ac:dyDescent="0.25">
      <c r="A15" s="136"/>
      <c r="B15" s="143" t="s">
        <v>613</v>
      </c>
      <c r="C15" s="189">
        <v>5600</v>
      </c>
      <c r="D15" s="139"/>
      <c r="E15" s="139"/>
      <c r="F15" s="139"/>
      <c r="G15" s="134"/>
      <c r="H15" s="134"/>
      <c r="I15" s="134"/>
      <c r="J15" s="133"/>
      <c r="N15" s="141"/>
      <c r="O15" s="178"/>
      <c r="P15" s="178"/>
      <c r="Q15" s="178"/>
      <c r="R15" s="178"/>
    </row>
    <row r="16" spans="1:18" ht="16" customHeight="1" x14ac:dyDescent="0.2">
      <c r="A16" s="136"/>
      <c r="B16" s="339" t="s">
        <v>609</v>
      </c>
      <c r="C16" s="339"/>
      <c r="D16" s="339"/>
      <c r="E16" s="339"/>
      <c r="F16" s="339"/>
      <c r="G16" s="339"/>
      <c r="H16" s="339"/>
      <c r="I16" s="339"/>
      <c r="J16" s="133"/>
      <c r="M16" s="120" t="s">
        <v>243</v>
      </c>
      <c r="N16" s="141">
        <v>1</v>
      </c>
      <c r="O16" s="178" t="s">
        <v>242</v>
      </c>
      <c r="P16" s="178"/>
      <c r="Q16" s="178"/>
      <c r="R16" s="178"/>
    </row>
    <row r="17" spans="1:19" x14ac:dyDescent="0.2">
      <c r="A17" s="136"/>
      <c r="B17" s="339"/>
      <c r="C17" s="339"/>
      <c r="D17" s="339"/>
      <c r="E17" s="339"/>
      <c r="F17" s="339"/>
      <c r="G17" s="339"/>
      <c r="H17" s="339"/>
      <c r="I17" s="339"/>
      <c r="J17" s="133"/>
      <c r="M17" s="120" t="s">
        <v>241</v>
      </c>
      <c r="N17" s="141">
        <f>1+C13*(1-Q12)/G7</f>
        <v>1.967741935483871</v>
      </c>
      <c r="O17" s="178" t="s">
        <v>240</v>
      </c>
      <c r="P17" s="178"/>
      <c r="Q17" s="178"/>
      <c r="R17" s="178"/>
    </row>
    <row r="18" spans="1:19" x14ac:dyDescent="0.2">
      <c r="A18" s="136"/>
      <c r="B18" s="312" t="s">
        <v>614</v>
      </c>
      <c r="C18" s="311"/>
      <c r="D18" s="311"/>
      <c r="E18" s="311"/>
      <c r="F18" s="311"/>
      <c r="G18" s="311"/>
      <c r="H18" s="311"/>
      <c r="I18" s="311"/>
      <c r="J18" s="133"/>
      <c r="N18" s="141"/>
      <c r="O18" s="178"/>
      <c r="P18" s="178"/>
      <c r="Q18" s="178"/>
      <c r="R18" s="178"/>
    </row>
    <row r="19" spans="1:19" x14ac:dyDescent="0.2">
      <c r="A19" s="136"/>
      <c r="B19" s="138"/>
      <c r="C19" s="157"/>
      <c r="D19" s="139"/>
      <c r="E19" s="139"/>
      <c r="F19" s="139"/>
      <c r="G19" s="134"/>
      <c r="H19" s="134"/>
      <c r="I19" s="134"/>
      <c r="J19" s="133"/>
      <c r="M19" s="168"/>
      <c r="N19" s="141"/>
      <c r="O19" s="178" t="s">
        <v>235</v>
      </c>
      <c r="P19" s="178"/>
      <c r="Q19" s="178"/>
      <c r="R19" s="178"/>
    </row>
    <row r="20" spans="1:19" ht="16" customHeight="1" x14ac:dyDescent="0.2">
      <c r="A20" s="136"/>
      <c r="B20" s="134" t="s">
        <v>239</v>
      </c>
      <c r="C20" s="134"/>
      <c r="D20" s="134"/>
      <c r="E20" s="134"/>
      <c r="F20" s="134"/>
      <c r="G20" s="134"/>
      <c r="H20" s="134"/>
      <c r="I20" s="134"/>
      <c r="J20" s="133"/>
      <c r="M20" s="120" t="s">
        <v>194</v>
      </c>
      <c r="N20" s="188">
        <f>(N17-1)*G7</f>
        <v>580.64516129032256</v>
      </c>
      <c r="O20" s="178" t="s">
        <v>238</v>
      </c>
      <c r="P20" s="178"/>
      <c r="Q20" s="178"/>
      <c r="R20" s="178"/>
    </row>
    <row r="21" spans="1:19" ht="17" thickBot="1" x14ac:dyDescent="0.25">
      <c r="A21" s="136"/>
      <c r="B21" s="135"/>
      <c r="C21" s="134"/>
      <c r="D21" s="134"/>
      <c r="E21" s="134"/>
      <c r="F21" s="134"/>
      <c r="G21" s="134"/>
      <c r="H21" s="134"/>
      <c r="I21" s="134"/>
      <c r="J21" s="133"/>
      <c r="M21" s="168"/>
      <c r="N21" s="141"/>
      <c r="O21" s="178"/>
      <c r="P21" s="178"/>
      <c r="Q21" s="178"/>
      <c r="R21" s="178"/>
    </row>
    <row r="22" spans="1:19" ht="17" thickBot="1" x14ac:dyDescent="0.25">
      <c r="A22" s="131" t="s">
        <v>145</v>
      </c>
      <c r="B22" s="130"/>
      <c r="C22" s="130"/>
      <c r="D22" s="130"/>
      <c r="E22" s="130"/>
      <c r="F22" s="130"/>
      <c r="G22" s="130"/>
      <c r="H22" s="130"/>
      <c r="I22" s="130"/>
      <c r="J22" s="129"/>
      <c r="M22" s="120" t="s">
        <v>237</v>
      </c>
      <c r="N22" s="141">
        <f>1+(C14*(1-P12))/(SUM(F7:G8,N20))</f>
        <v>1.4765888067063813</v>
      </c>
      <c r="O22" s="178" t="s">
        <v>236</v>
      </c>
      <c r="P22" s="178"/>
      <c r="Q22" s="178"/>
      <c r="R22" s="178"/>
    </row>
    <row r="23" spans="1:19" x14ac:dyDescent="0.2">
      <c r="O23" s="178" t="s">
        <v>235</v>
      </c>
      <c r="P23" s="187"/>
      <c r="Q23" s="137"/>
      <c r="R23" s="137"/>
    </row>
    <row r="24" spans="1:19" ht="17" thickBot="1" x14ac:dyDescent="0.25">
      <c r="P24" s="123"/>
      <c r="Q24" s="137"/>
      <c r="R24" s="137"/>
    </row>
    <row r="25" spans="1:19" ht="17" thickBot="1" x14ac:dyDescent="0.25">
      <c r="M25" s="177" t="s">
        <v>234</v>
      </c>
      <c r="N25" s="186">
        <f>(N22-1)*(G7+N20)</f>
        <v>562.68226856301783</v>
      </c>
      <c r="O25" s="178" t="s">
        <v>233</v>
      </c>
      <c r="Q25" s="137"/>
      <c r="R25" s="137"/>
    </row>
    <row r="26" spans="1:19" x14ac:dyDescent="0.2">
      <c r="N26" s="123"/>
      <c r="O26" s="123"/>
      <c r="P26" s="123"/>
      <c r="Q26" s="137"/>
      <c r="R26" s="137"/>
    </row>
    <row r="27" spans="1:19" x14ac:dyDescent="0.2">
      <c r="N27" s="123"/>
      <c r="O27" s="123"/>
      <c r="P27" s="123"/>
    </row>
    <row r="28" spans="1:19" x14ac:dyDescent="0.2">
      <c r="N28" s="137"/>
      <c r="O28" s="120"/>
      <c r="P28" s="123"/>
    </row>
    <row r="29" spans="1:19" ht="19" x14ac:dyDescent="0.25">
      <c r="M29" s="122" t="s">
        <v>132</v>
      </c>
      <c r="N29" s="185"/>
      <c r="O29" s="120"/>
      <c r="P29" s="123"/>
    </row>
    <row r="30" spans="1:19" x14ac:dyDescent="0.2">
      <c r="M30" s="340" t="s">
        <v>232</v>
      </c>
      <c r="N30" s="340"/>
      <c r="O30" s="340"/>
      <c r="P30" s="340"/>
      <c r="Q30" s="340"/>
      <c r="R30" s="340"/>
      <c r="S30" s="340"/>
    </row>
    <row r="31" spans="1:19" x14ac:dyDescent="0.2">
      <c r="M31" s="340"/>
      <c r="N31" s="340"/>
      <c r="O31" s="340"/>
      <c r="P31" s="340"/>
      <c r="Q31" s="340"/>
      <c r="R31" s="340"/>
      <c r="S31" s="340"/>
    </row>
    <row r="32" spans="1:19" x14ac:dyDescent="0.2">
      <c r="M32" s="340"/>
      <c r="N32" s="340"/>
      <c r="O32" s="340"/>
      <c r="P32" s="340"/>
      <c r="Q32" s="340"/>
      <c r="R32" s="340"/>
      <c r="S32" s="340"/>
    </row>
    <row r="33" spans="13:19" x14ac:dyDescent="0.2">
      <c r="M33" s="340"/>
      <c r="N33" s="340"/>
      <c r="O33" s="340"/>
      <c r="P33" s="340"/>
      <c r="Q33" s="340"/>
      <c r="R33" s="340"/>
      <c r="S33" s="340"/>
    </row>
    <row r="34" spans="13:19" x14ac:dyDescent="0.2">
      <c r="M34" s="340"/>
      <c r="N34" s="340"/>
      <c r="O34" s="340"/>
      <c r="P34" s="340"/>
      <c r="Q34" s="340"/>
      <c r="R34" s="340"/>
      <c r="S34" s="340"/>
    </row>
    <row r="35" spans="13:19" x14ac:dyDescent="0.2">
      <c r="M35" s="340"/>
      <c r="N35" s="340"/>
      <c r="O35" s="340"/>
      <c r="P35" s="340"/>
      <c r="Q35" s="340"/>
      <c r="R35" s="340"/>
      <c r="S35" s="340"/>
    </row>
    <row r="36" spans="13:19" x14ac:dyDescent="0.2">
      <c r="M36" s="340"/>
      <c r="N36" s="340"/>
      <c r="O36" s="340"/>
      <c r="P36" s="340"/>
      <c r="Q36" s="340"/>
      <c r="R36" s="340"/>
      <c r="S36" s="340"/>
    </row>
    <row r="37" spans="13:19" x14ac:dyDescent="0.2">
      <c r="M37" s="340"/>
      <c r="N37" s="340"/>
      <c r="O37" s="340"/>
      <c r="P37" s="340"/>
      <c r="Q37" s="340"/>
      <c r="R37" s="340"/>
      <c r="S37" s="340"/>
    </row>
    <row r="38" spans="13:19" x14ac:dyDescent="0.2">
      <c r="M38" s="340"/>
      <c r="N38" s="340"/>
      <c r="O38" s="340"/>
      <c r="P38" s="340"/>
      <c r="Q38" s="340"/>
      <c r="R38" s="340"/>
      <c r="S38" s="340"/>
    </row>
    <row r="39" spans="13:19" x14ac:dyDescent="0.2">
      <c r="N39" s="137"/>
      <c r="O39" s="123"/>
    </row>
    <row r="40" spans="13:19" ht="19" x14ac:dyDescent="0.25">
      <c r="M40" s="122" t="s">
        <v>172</v>
      </c>
      <c r="N40" s="123"/>
      <c r="O40" s="123"/>
    </row>
    <row r="41" spans="13:19" x14ac:dyDescent="0.2">
      <c r="M41" s="120" t="s">
        <v>170</v>
      </c>
      <c r="N41" s="137"/>
      <c r="O41" s="123"/>
    </row>
    <row r="42" spans="13:19" x14ac:dyDescent="0.2">
      <c r="M42" s="120" t="s">
        <v>171</v>
      </c>
      <c r="N42" s="137"/>
      <c r="O42" s="123"/>
    </row>
    <row r="43" spans="13:19" x14ac:dyDescent="0.2">
      <c r="N43" s="137"/>
    </row>
    <row r="44" spans="13:19" x14ac:dyDescent="0.2">
      <c r="N44" s="123"/>
    </row>
    <row r="45" spans="13:19" x14ac:dyDescent="0.2">
      <c r="N45" s="151"/>
    </row>
  </sheetData>
  <mergeCells count="3">
    <mergeCell ref="B16:I17"/>
    <mergeCell ref="C5:G5"/>
    <mergeCell ref="M30:S3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33B7A-DAB2-8F40-931D-1FE6D55BCE74}">
  <dimension ref="A1:S36"/>
  <sheetViews>
    <sheetView zoomScaleNormal="100" workbookViewId="0"/>
  </sheetViews>
  <sheetFormatPr baseColWidth="10" defaultColWidth="11" defaultRowHeight="16" outlineLevelCol="1" x14ac:dyDescent="0.2"/>
  <cols>
    <col min="1" max="1" width="4.5" customWidth="1"/>
    <col min="2" max="11" width="10.83203125" customWidth="1"/>
    <col min="12" max="12" width="11.1640625" bestFit="1" customWidth="1"/>
    <col min="13" max="13" width="17.1640625" style="120" hidden="1" customWidth="1" outlineLevel="1"/>
    <col min="14" max="14" width="14" hidden="1" customWidth="1" outlineLevel="1"/>
    <col min="15" max="15" width="12.5" hidden="1" customWidth="1" outlineLevel="1"/>
    <col min="16" max="17" width="10.83203125" hidden="1" customWidth="1" outlineLevel="1"/>
    <col min="18" max="18" width="12" hidden="1" customWidth="1" outlineLevel="1"/>
    <col min="19" max="19" width="11" collapsed="1"/>
  </cols>
  <sheetData>
    <row r="1" spans="1:19" ht="19" x14ac:dyDescent="0.25">
      <c r="A1" s="174" t="s">
        <v>257</v>
      </c>
      <c r="B1" s="173"/>
      <c r="C1" s="172"/>
      <c r="D1" s="172"/>
      <c r="E1" s="172"/>
      <c r="F1" s="171"/>
      <c r="G1" s="171"/>
      <c r="H1" s="171"/>
      <c r="I1" s="171"/>
      <c r="J1" s="170"/>
      <c r="L1" s="169" t="s">
        <v>148</v>
      </c>
    </row>
    <row r="2" spans="1:19" x14ac:dyDescent="0.2">
      <c r="A2" s="136"/>
      <c r="B2" s="134"/>
      <c r="C2" s="134"/>
      <c r="D2" s="134"/>
      <c r="E2" s="134"/>
      <c r="F2" s="134"/>
      <c r="G2" s="134"/>
      <c r="H2" s="134"/>
      <c r="I2" s="134"/>
      <c r="J2" s="133"/>
    </row>
    <row r="3" spans="1:19" x14ac:dyDescent="0.2">
      <c r="A3" s="136"/>
      <c r="B3" s="134" t="s">
        <v>256</v>
      </c>
      <c r="C3" s="134"/>
      <c r="D3" s="134"/>
      <c r="E3" s="134"/>
      <c r="F3" s="134"/>
      <c r="G3" s="134"/>
      <c r="H3" s="134"/>
      <c r="I3" s="134"/>
      <c r="J3" s="133"/>
      <c r="M3" s="132" t="s">
        <v>216</v>
      </c>
      <c r="P3" s="201"/>
    </row>
    <row r="4" spans="1:19" x14ac:dyDescent="0.2">
      <c r="A4" s="136"/>
      <c r="B4" s="134" t="s">
        <v>255</v>
      </c>
      <c r="C4" s="134"/>
      <c r="D4" s="134"/>
      <c r="E4" s="134"/>
      <c r="F4" s="134"/>
      <c r="G4" s="134"/>
      <c r="H4" s="134"/>
      <c r="I4" s="134"/>
      <c r="J4" s="133"/>
      <c r="P4" s="201"/>
    </row>
    <row r="5" spans="1:19" ht="15.75" customHeight="1" x14ac:dyDescent="0.2">
      <c r="A5" s="136"/>
      <c r="B5" s="134"/>
      <c r="C5" s="134"/>
      <c r="D5" s="134"/>
      <c r="E5" s="134"/>
      <c r="F5" s="134"/>
      <c r="G5" s="134"/>
      <c r="H5" s="134"/>
      <c r="I5" s="134"/>
      <c r="J5" s="133"/>
      <c r="M5" s="343" t="s">
        <v>254</v>
      </c>
      <c r="N5" s="343"/>
      <c r="O5" s="343"/>
      <c r="P5" s="343"/>
      <c r="Q5" s="343"/>
      <c r="R5" s="343"/>
    </row>
    <row r="6" spans="1:19" s="206" customFormat="1" x14ac:dyDescent="0.2">
      <c r="A6" s="136"/>
      <c r="B6" s="134"/>
      <c r="C6" s="353" t="s">
        <v>12</v>
      </c>
      <c r="D6" s="350" t="s">
        <v>253</v>
      </c>
      <c r="E6" s="347" t="s">
        <v>252</v>
      </c>
      <c r="F6" s="344" t="s">
        <v>251</v>
      </c>
      <c r="G6" s="134"/>
      <c r="H6" s="134"/>
      <c r="I6" s="134"/>
      <c r="J6" s="133"/>
      <c r="M6" s="343"/>
      <c r="N6" s="343"/>
      <c r="O6" s="343"/>
      <c r="P6" s="343"/>
      <c r="Q6" s="343"/>
      <c r="R6" s="343"/>
      <c r="S6"/>
    </row>
    <row r="7" spans="1:19" x14ac:dyDescent="0.2">
      <c r="A7" s="136"/>
      <c r="B7" s="134"/>
      <c r="C7" s="354"/>
      <c r="D7" s="351"/>
      <c r="E7" s="348"/>
      <c r="F7" s="345"/>
      <c r="G7" s="134"/>
      <c r="H7" s="134"/>
      <c r="I7" s="134"/>
      <c r="J7" s="133"/>
      <c r="P7" s="201"/>
    </row>
    <row r="8" spans="1:19" ht="17" x14ac:dyDescent="0.2">
      <c r="A8" s="211"/>
      <c r="B8" s="134"/>
      <c r="C8" s="355"/>
      <c r="D8" s="352"/>
      <c r="E8" s="349"/>
      <c r="F8" s="346"/>
      <c r="G8" s="210"/>
      <c r="H8" s="210"/>
      <c r="I8" s="210"/>
      <c r="J8" s="209"/>
      <c r="M8" s="208" t="s">
        <v>200</v>
      </c>
      <c r="N8" s="206"/>
      <c r="O8" s="206"/>
      <c r="P8" s="207"/>
      <c r="Q8" s="206"/>
      <c r="R8" s="206"/>
      <c r="S8" s="206"/>
    </row>
    <row r="9" spans="1:19" x14ac:dyDescent="0.2">
      <c r="A9" s="136"/>
      <c r="B9" s="134"/>
      <c r="C9" s="159">
        <v>2009</v>
      </c>
      <c r="D9" s="189">
        <v>950</v>
      </c>
      <c r="E9" s="189">
        <v>952</v>
      </c>
      <c r="F9" s="205">
        <v>970</v>
      </c>
      <c r="G9" s="134"/>
      <c r="H9" s="134"/>
      <c r="I9" s="134"/>
      <c r="J9" s="133"/>
      <c r="P9" s="201"/>
    </row>
    <row r="10" spans="1:19" x14ac:dyDescent="0.2">
      <c r="A10" s="136"/>
      <c r="B10" s="134"/>
      <c r="C10" s="159">
        <v>2010</v>
      </c>
      <c r="D10" s="189">
        <v>2000</v>
      </c>
      <c r="E10" s="189">
        <v>2010</v>
      </c>
      <c r="F10" s="205">
        <v>2050</v>
      </c>
      <c r="G10" s="134"/>
      <c r="H10" s="134"/>
      <c r="I10" s="134"/>
      <c r="J10" s="133"/>
      <c r="M10" s="342" t="s">
        <v>250</v>
      </c>
      <c r="N10" s="342"/>
      <c r="O10" s="342"/>
      <c r="P10" s="342"/>
      <c r="Q10" s="342"/>
      <c r="R10" s="342"/>
    </row>
    <row r="11" spans="1:19" x14ac:dyDescent="0.2">
      <c r="A11" s="136"/>
      <c r="B11" s="134"/>
      <c r="C11" s="159">
        <v>2011</v>
      </c>
      <c r="D11" s="189">
        <v>5000</v>
      </c>
      <c r="E11" s="189">
        <v>5030</v>
      </c>
      <c r="F11" s="205">
        <v>5100</v>
      </c>
      <c r="G11" s="134"/>
      <c r="H11" s="134"/>
      <c r="I11" s="134"/>
      <c r="J11" s="133"/>
      <c r="M11" s="342"/>
      <c r="N11" s="342"/>
      <c r="O11" s="342"/>
      <c r="P11" s="342"/>
      <c r="Q11" s="342"/>
      <c r="R11" s="342"/>
    </row>
    <row r="12" spans="1:19" x14ac:dyDescent="0.2">
      <c r="A12" s="136"/>
      <c r="B12" s="134"/>
      <c r="C12" s="155">
        <v>2012</v>
      </c>
      <c r="D12" s="204">
        <v>9000</v>
      </c>
      <c r="E12" s="204">
        <v>9060</v>
      </c>
      <c r="F12" s="203">
        <v>9150</v>
      </c>
      <c r="G12" s="134"/>
      <c r="H12" s="134"/>
      <c r="I12" s="134"/>
      <c r="J12" s="133"/>
      <c r="M12" s="342"/>
      <c r="N12" s="342"/>
      <c r="O12" s="342"/>
      <c r="P12" s="342"/>
      <c r="Q12" s="342"/>
      <c r="R12" s="342"/>
    </row>
    <row r="13" spans="1:19" ht="16" customHeight="1" x14ac:dyDescent="0.2">
      <c r="A13" s="136"/>
      <c r="B13" s="134"/>
      <c r="C13" s="134"/>
      <c r="D13" s="134"/>
      <c r="E13" s="134"/>
      <c r="F13" s="134"/>
      <c r="G13" s="134"/>
      <c r="H13" s="134"/>
      <c r="I13" s="134"/>
      <c r="J13" s="133"/>
      <c r="P13" s="201"/>
    </row>
    <row r="14" spans="1:19" x14ac:dyDescent="0.2">
      <c r="A14" s="136"/>
      <c r="B14" s="138" t="s">
        <v>0</v>
      </c>
      <c r="C14" s="134"/>
      <c r="D14" s="134"/>
      <c r="E14" s="134"/>
      <c r="F14" s="134"/>
      <c r="G14" s="134"/>
      <c r="H14" s="134"/>
      <c r="I14" s="134"/>
      <c r="J14" s="133"/>
      <c r="P14" s="201"/>
    </row>
    <row r="15" spans="1:19" x14ac:dyDescent="0.2">
      <c r="A15" s="136"/>
      <c r="B15" s="341" t="s">
        <v>249</v>
      </c>
      <c r="C15" s="341"/>
      <c r="D15" s="341"/>
      <c r="E15" s="341"/>
      <c r="F15" s="341"/>
      <c r="G15" s="341"/>
      <c r="H15" s="341"/>
      <c r="I15" s="341"/>
      <c r="J15" s="133"/>
      <c r="P15" s="201"/>
    </row>
    <row r="16" spans="1:19" x14ac:dyDescent="0.2">
      <c r="A16" s="136"/>
      <c r="B16" s="341"/>
      <c r="C16" s="341"/>
      <c r="D16" s="341"/>
      <c r="E16" s="341"/>
      <c r="F16" s="341"/>
      <c r="G16" s="341"/>
      <c r="H16" s="341"/>
      <c r="I16" s="341"/>
      <c r="J16" s="133"/>
      <c r="P16" s="201"/>
    </row>
    <row r="17" spans="1:17" ht="16" customHeight="1" x14ac:dyDescent="0.2">
      <c r="A17" s="136"/>
      <c r="B17" s="139"/>
      <c r="C17" s="134"/>
      <c r="D17" s="134"/>
      <c r="E17" s="134"/>
      <c r="F17" s="134"/>
      <c r="G17" s="134"/>
      <c r="H17" s="134"/>
      <c r="I17" s="134"/>
      <c r="J17" s="133"/>
      <c r="P17" s="201"/>
    </row>
    <row r="18" spans="1:17" x14ac:dyDescent="0.2">
      <c r="A18" s="136"/>
      <c r="B18" s="138" t="s">
        <v>1</v>
      </c>
      <c r="C18" s="134"/>
      <c r="D18" s="134"/>
      <c r="E18" s="134"/>
      <c r="F18" s="134"/>
      <c r="G18" s="134"/>
      <c r="H18" s="134"/>
      <c r="I18" s="134"/>
      <c r="J18" s="133"/>
      <c r="P18" s="201"/>
    </row>
    <row r="19" spans="1:17" ht="18" customHeight="1" x14ac:dyDescent="0.2">
      <c r="A19" s="136"/>
      <c r="B19" s="341" t="s">
        <v>248</v>
      </c>
      <c r="C19" s="341"/>
      <c r="D19" s="341"/>
      <c r="E19" s="341"/>
      <c r="F19" s="341"/>
      <c r="G19" s="341"/>
      <c r="H19" s="341"/>
      <c r="I19" s="341"/>
      <c r="J19" s="133"/>
      <c r="P19" s="201"/>
    </row>
    <row r="20" spans="1:17" ht="18" customHeight="1" x14ac:dyDescent="0.2">
      <c r="A20" s="136"/>
      <c r="B20" s="341"/>
      <c r="C20" s="341"/>
      <c r="D20" s="341"/>
      <c r="E20" s="341"/>
      <c r="F20" s="341"/>
      <c r="G20" s="341"/>
      <c r="H20" s="341"/>
      <c r="I20" s="341"/>
      <c r="J20" s="133"/>
      <c r="P20" s="187"/>
      <c r="Q20" s="137"/>
    </row>
    <row r="21" spans="1:17" ht="18" customHeight="1" x14ac:dyDescent="0.2">
      <c r="A21" s="136"/>
      <c r="B21" s="341"/>
      <c r="C21" s="341"/>
      <c r="D21" s="341"/>
      <c r="E21" s="341"/>
      <c r="F21" s="341"/>
      <c r="G21" s="341"/>
      <c r="H21" s="341"/>
      <c r="I21" s="341"/>
      <c r="J21" s="133"/>
      <c r="P21" s="187"/>
      <c r="Q21" s="137"/>
    </row>
    <row r="22" spans="1:17" ht="17" thickBot="1" x14ac:dyDescent="0.25">
      <c r="A22" s="136"/>
      <c r="B22" s="134"/>
      <c r="C22" s="139"/>
      <c r="D22" s="134"/>
      <c r="E22" s="134"/>
      <c r="F22" s="134"/>
      <c r="G22" s="134"/>
      <c r="H22" s="134"/>
      <c r="I22" s="134"/>
      <c r="J22" s="133"/>
      <c r="P22" s="123"/>
      <c r="Q22" s="137"/>
    </row>
    <row r="23" spans="1:17" ht="17" thickBot="1" x14ac:dyDescent="0.25">
      <c r="A23" s="131" t="s">
        <v>145</v>
      </c>
      <c r="B23" s="175"/>
      <c r="C23" s="130"/>
      <c r="D23" s="130"/>
      <c r="E23" s="130"/>
      <c r="F23" s="130"/>
      <c r="G23" s="130"/>
      <c r="H23" s="130"/>
      <c r="I23" s="130"/>
      <c r="J23" s="129"/>
      <c r="Q23" s="137"/>
    </row>
    <row r="24" spans="1:17" x14ac:dyDescent="0.2">
      <c r="N24" s="123"/>
      <c r="O24" s="123"/>
      <c r="P24" s="123"/>
      <c r="Q24" s="137"/>
    </row>
    <row r="25" spans="1:17" x14ac:dyDescent="0.2">
      <c r="N25" s="123"/>
      <c r="O25" s="123"/>
      <c r="P25" s="123"/>
    </row>
    <row r="26" spans="1:17" x14ac:dyDescent="0.2">
      <c r="N26" s="137"/>
      <c r="O26" s="120"/>
      <c r="P26" s="123"/>
    </row>
    <row r="27" spans="1:17" x14ac:dyDescent="0.2">
      <c r="N27" s="185"/>
      <c r="O27" s="120"/>
      <c r="P27" s="123"/>
    </row>
    <row r="28" spans="1:17" x14ac:dyDescent="0.2">
      <c r="N28" s="137"/>
      <c r="O28" s="120"/>
      <c r="P28" s="123"/>
    </row>
    <row r="29" spans="1:17" x14ac:dyDescent="0.2">
      <c r="N29" s="137"/>
      <c r="O29" s="123"/>
    </row>
    <row r="30" spans="1:17" x14ac:dyDescent="0.2">
      <c r="N30" s="137"/>
      <c r="O30" s="123"/>
    </row>
    <row r="31" spans="1:17" x14ac:dyDescent="0.2">
      <c r="N31" s="123"/>
      <c r="O31" s="123"/>
    </row>
    <row r="32" spans="1:17" x14ac:dyDescent="0.2">
      <c r="N32" s="137"/>
      <c r="O32" s="123"/>
    </row>
    <row r="33" spans="14:15" x14ac:dyDescent="0.2">
      <c r="N33" s="137"/>
      <c r="O33" s="123"/>
    </row>
    <row r="34" spans="14:15" x14ac:dyDescent="0.2">
      <c r="N34" s="137"/>
    </row>
    <row r="35" spans="14:15" x14ac:dyDescent="0.2">
      <c r="N35" s="123"/>
    </row>
    <row r="36" spans="14:15" x14ac:dyDescent="0.2">
      <c r="N36" s="151"/>
    </row>
  </sheetData>
  <mergeCells count="8">
    <mergeCell ref="B19:I21"/>
    <mergeCell ref="M10:R12"/>
    <mergeCell ref="M5:R6"/>
    <mergeCell ref="B15:I16"/>
    <mergeCell ref="F6:F8"/>
    <mergeCell ref="E6:E8"/>
    <mergeCell ref="D6:D8"/>
    <mergeCell ref="C6:C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F365-AB61-BD4A-91E0-4C024F78B24A}">
  <dimension ref="A1:R21"/>
  <sheetViews>
    <sheetView workbookViewId="0"/>
  </sheetViews>
  <sheetFormatPr baseColWidth="10" defaultColWidth="11" defaultRowHeight="16" outlineLevelCol="1" x14ac:dyDescent="0.2"/>
  <cols>
    <col min="1" max="1" width="4" style="120" customWidth="1"/>
    <col min="2" max="2" width="11.5" customWidth="1"/>
    <col min="6" max="6" width="11.83203125" customWidth="1"/>
    <col min="7" max="7" width="13" customWidth="1"/>
    <col min="12" max="12" width="17.6640625" hidden="1" customWidth="1" outlineLevel="1"/>
    <col min="13" max="13" width="13.33203125" hidden="1" customWidth="1" outlineLevel="1"/>
    <col min="14" max="17" width="10.83203125" hidden="1" customWidth="1" outlineLevel="1"/>
    <col min="18" max="18" width="11" customWidth="1" collapsed="1"/>
  </cols>
  <sheetData>
    <row r="1" spans="1:17" x14ac:dyDescent="0.2">
      <c r="A1" s="241"/>
      <c r="B1" s="173" t="s">
        <v>308</v>
      </c>
      <c r="C1" s="172" t="s">
        <v>307</v>
      </c>
      <c r="D1" s="172" t="s">
        <v>306</v>
      </c>
      <c r="E1" s="172" t="s">
        <v>580</v>
      </c>
      <c r="F1" s="171"/>
      <c r="G1" s="171"/>
      <c r="H1" s="171"/>
      <c r="I1" s="171"/>
      <c r="J1" s="170"/>
      <c r="K1" s="227" t="s">
        <v>148</v>
      </c>
      <c r="L1" s="227"/>
    </row>
    <row r="2" spans="1:17" x14ac:dyDescent="0.2">
      <c r="A2" s="218"/>
      <c r="B2" s="240" t="s">
        <v>304</v>
      </c>
      <c r="C2" s="239">
        <v>1.25</v>
      </c>
      <c r="D2" s="134"/>
      <c r="E2" s="134"/>
      <c r="F2" s="134"/>
      <c r="G2" s="134"/>
      <c r="H2" s="134"/>
      <c r="I2" s="134"/>
      <c r="J2" s="133"/>
    </row>
    <row r="3" spans="1:17" x14ac:dyDescent="0.2">
      <c r="A3" s="218"/>
      <c r="B3" s="134"/>
      <c r="C3" s="134"/>
      <c r="D3" s="134"/>
      <c r="E3" s="134"/>
      <c r="F3" s="134"/>
      <c r="G3" s="134"/>
      <c r="H3" s="134"/>
      <c r="I3" s="134"/>
      <c r="J3" s="133"/>
      <c r="L3" s="227" t="s">
        <v>303</v>
      </c>
    </row>
    <row r="4" spans="1:17" x14ac:dyDescent="0.2">
      <c r="A4" s="218"/>
      <c r="B4" s="134"/>
      <c r="C4" s="134" t="s">
        <v>579</v>
      </c>
      <c r="D4" s="134"/>
      <c r="E4" s="134"/>
      <c r="F4" s="134"/>
      <c r="G4" s="134"/>
      <c r="H4" s="134"/>
      <c r="I4" s="134"/>
      <c r="J4" s="133"/>
    </row>
    <row r="5" spans="1:17" ht="19" thickBot="1" x14ac:dyDescent="0.3">
      <c r="A5" s="218"/>
      <c r="B5" s="134"/>
      <c r="C5" s="134"/>
      <c r="D5" s="134"/>
      <c r="E5" s="134"/>
      <c r="F5" s="134"/>
      <c r="G5" s="134"/>
      <c r="H5" s="134"/>
      <c r="I5" s="134"/>
      <c r="J5" s="133"/>
      <c r="L5" t="s">
        <v>578</v>
      </c>
      <c r="M5" t="s">
        <v>577</v>
      </c>
      <c r="N5" s="259">
        <f>(G12*(F8-E8))</f>
        <v>45000000.000000007</v>
      </c>
    </row>
    <row r="6" spans="1:17" ht="19" thickBot="1" x14ac:dyDescent="0.3">
      <c r="A6" s="218"/>
      <c r="B6" s="134"/>
      <c r="C6" s="134"/>
      <c r="D6" s="356" t="s">
        <v>576</v>
      </c>
      <c r="E6" s="356"/>
      <c r="F6" s="356"/>
      <c r="G6" s="356"/>
      <c r="H6" s="134"/>
      <c r="I6" s="134"/>
      <c r="J6" s="133"/>
      <c r="L6" s="236" t="s">
        <v>575</v>
      </c>
      <c r="M6" s="273" t="s">
        <v>574</v>
      </c>
      <c r="N6" s="305">
        <f>E11*N5</f>
        <v>58500000.000000015</v>
      </c>
    </row>
    <row r="7" spans="1:17" x14ac:dyDescent="0.2">
      <c r="A7" s="218"/>
      <c r="B7" s="134"/>
      <c r="C7" s="134"/>
      <c r="D7" s="166">
        <v>12</v>
      </c>
      <c r="E7" s="165">
        <v>24</v>
      </c>
      <c r="F7" s="165">
        <v>36</v>
      </c>
      <c r="G7" s="164">
        <v>48</v>
      </c>
      <c r="H7" s="134"/>
      <c r="I7" s="134"/>
      <c r="J7" s="133"/>
    </row>
    <row r="8" spans="1:17" x14ac:dyDescent="0.2">
      <c r="A8" s="218"/>
      <c r="B8" s="134"/>
      <c r="C8" s="134"/>
      <c r="D8" s="304">
        <v>0.15</v>
      </c>
      <c r="E8" s="303">
        <v>0.35</v>
      </c>
      <c r="F8" s="303">
        <v>0.65</v>
      </c>
      <c r="G8" s="302">
        <v>0.8</v>
      </c>
      <c r="H8" s="134"/>
      <c r="I8" s="134"/>
      <c r="J8" s="133"/>
      <c r="L8" s="227" t="s">
        <v>294</v>
      </c>
    </row>
    <row r="9" spans="1:17" ht="16" customHeight="1" x14ac:dyDescent="0.2">
      <c r="A9" s="218"/>
      <c r="B9" s="134"/>
      <c r="C9" s="134"/>
      <c r="D9" s="134"/>
      <c r="E9" s="134"/>
      <c r="F9" s="134"/>
      <c r="G9" s="134"/>
      <c r="H9" s="134"/>
      <c r="I9" s="134"/>
      <c r="J9" s="133"/>
      <c r="L9" s="340" t="s">
        <v>573</v>
      </c>
      <c r="M9" s="340"/>
      <c r="N9" s="340"/>
      <c r="O9" s="340"/>
      <c r="P9" s="340"/>
      <c r="Q9" s="340"/>
    </row>
    <row r="10" spans="1:17" x14ac:dyDescent="0.2">
      <c r="A10" s="218"/>
      <c r="B10" s="134"/>
      <c r="C10" s="134" t="s">
        <v>572</v>
      </c>
      <c r="D10" s="134"/>
      <c r="E10" s="134"/>
      <c r="F10" s="134"/>
      <c r="G10" s="134"/>
      <c r="H10" s="134"/>
      <c r="I10" s="134"/>
      <c r="J10" s="133"/>
      <c r="L10" s="340"/>
      <c r="M10" s="340"/>
      <c r="N10" s="340"/>
      <c r="O10" s="340"/>
      <c r="P10" s="340"/>
      <c r="Q10" s="340"/>
    </row>
    <row r="11" spans="1:17" x14ac:dyDescent="0.2">
      <c r="A11" s="218"/>
      <c r="B11" s="134"/>
      <c r="C11" s="134" t="s">
        <v>571</v>
      </c>
      <c r="D11" s="134"/>
      <c r="E11" s="138">
        <v>1.3</v>
      </c>
      <c r="F11" s="134"/>
      <c r="G11" s="134"/>
      <c r="H11" s="134"/>
      <c r="I11" s="134"/>
      <c r="J11" s="133"/>
      <c r="L11" s="340"/>
      <c r="M11" s="340"/>
      <c r="N11" s="340"/>
      <c r="O11" s="340"/>
      <c r="P11" s="340"/>
      <c r="Q11" s="340"/>
    </row>
    <row r="12" spans="1:17" x14ac:dyDescent="0.2">
      <c r="A12" s="218"/>
      <c r="B12" s="134"/>
      <c r="C12" s="134" t="s">
        <v>570</v>
      </c>
      <c r="D12" s="134"/>
      <c r="E12" s="134"/>
      <c r="F12" s="134"/>
      <c r="G12" s="301">
        <v>150000000</v>
      </c>
      <c r="H12" s="134"/>
      <c r="I12" s="134"/>
      <c r="J12" s="133"/>
    </row>
    <row r="13" spans="1:17" x14ac:dyDescent="0.2">
      <c r="A13" s="218"/>
      <c r="B13" s="139"/>
      <c r="C13" s="134"/>
      <c r="D13" s="134"/>
      <c r="E13" s="134"/>
      <c r="F13" s="134"/>
      <c r="G13" s="134"/>
      <c r="H13" s="134"/>
      <c r="I13" s="134"/>
      <c r="J13" s="133"/>
      <c r="L13" s="244"/>
    </row>
    <row r="14" spans="1:17" ht="16" customHeight="1" x14ac:dyDescent="0.2">
      <c r="A14" s="218" t="s">
        <v>0</v>
      </c>
      <c r="B14" s="138" t="s">
        <v>287</v>
      </c>
      <c r="C14" s="134" t="s">
        <v>569</v>
      </c>
      <c r="D14" s="134"/>
      <c r="E14" s="134"/>
      <c r="F14" s="134"/>
      <c r="G14" s="134"/>
      <c r="H14" s="134"/>
      <c r="I14" s="134"/>
      <c r="J14" s="133"/>
      <c r="L14" s="244"/>
      <c r="M14" s="244"/>
      <c r="N14" s="244"/>
      <c r="O14" s="244"/>
      <c r="P14" s="244"/>
      <c r="Q14" s="244"/>
    </row>
    <row r="15" spans="1:17" x14ac:dyDescent="0.2">
      <c r="A15" s="218"/>
      <c r="B15" s="138"/>
      <c r="C15" s="134" t="s">
        <v>568</v>
      </c>
      <c r="D15" s="134"/>
      <c r="E15" s="134"/>
      <c r="F15" s="134"/>
      <c r="G15" s="134"/>
      <c r="H15" s="134"/>
      <c r="I15" s="134"/>
      <c r="J15" s="133"/>
    </row>
    <row r="16" spans="1:17" x14ac:dyDescent="0.2">
      <c r="A16" s="218"/>
      <c r="B16" s="138"/>
      <c r="C16" s="134"/>
      <c r="D16" s="134"/>
      <c r="E16" s="134"/>
      <c r="F16" s="134"/>
      <c r="G16" s="134"/>
      <c r="H16" s="134"/>
      <c r="I16" s="134"/>
      <c r="J16" s="133"/>
    </row>
    <row r="17" spans="1:13" x14ac:dyDescent="0.2">
      <c r="A17" s="218" t="s">
        <v>1</v>
      </c>
      <c r="B17" s="138" t="s">
        <v>282</v>
      </c>
      <c r="C17" s="134" t="s">
        <v>567</v>
      </c>
      <c r="D17" s="134"/>
      <c r="E17" s="134"/>
      <c r="F17" s="134"/>
      <c r="G17" s="134"/>
      <c r="H17" s="134"/>
      <c r="I17" s="134"/>
      <c r="J17" s="133"/>
      <c r="L17" s="227"/>
    </row>
    <row r="18" spans="1:13" x14ac:dyDescent="0.2">
      <c r="A18" s="218"/>
      <c r="B18" s="138"/>
      <c r="C18" s="134" t="s">
        <v>566</v>
      </c>
      <c r="D18" s="134"/>
      <c r="E18" s="134"/>
      <c r="F18" s="134"/>
      <c r="G18" s="134"/>
      <c r="H18" s="134"/>
      <c r="I18" s="134"/>
      <c r="J18" s="133"/>
    </row>
    <row r="19" spans="1:13" ht="17" thickBot="1" x14ac:dyDescent="0.25">
      <c r="A19" s="218"/>
      <c r="B19" s="138"/>
      <c r="C19" s="134"/>
      <c r="D19" s="134"/>
      <c r="E19" s="134"/>
      <c r="F19" s="134"/>
      <c r="G19" s="134"/>
      <c r="H19" s="134"/>
      <c r="I19" s="134"/>
      <c r="J19" s="133"/>
      <c r="M19" s="243"/>
    </row>
    <row r="20" spans="1:13" ht="17" thickBot="1" x14ac:dyDescent="0.25">
      <c r="A20" s="229" t="s">
        <v>145</v>
      </c>
      <c r="B20" s="130"/>
      <c r="C20" s="228"/>
      <c r="D20" s="130"/>
      <c r="E20" s="130"/>
      <c r="F20" s="130"/>
      <c r="G20" s="130"/>
      <c r="H20" s="130"/>
      <c r="I20" s="130"/>
      <c r="J20" s="129"/>
    </row>
    <row r="21" spans="1:13" x14ac:dyDescent="0.2">
      <c r="L21" s="227"/>
      <c r="M21" s="226"/>
    </row>
  </sheetData>
  <mergeCells count="2">
    <mergeCell ref="D6:G6"/>
    <mergeCell ref="L9:Q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1677-2CE4-AC4B-B76C-F3F58E2DB6E5}">
  <dimension ref="A1:S26"/>
  <sheetViews>
    <sheetView workbookViewId="0"/>
  </sheetViews>
  <sheetFormatPr baseColWidth="10" defaultColWidth="11" defaultRowHeight="16" outlineLevelCol="1" x14ac:dyDescent="0.2"/>
  <cols>
    <col min="1" max="1" width="4" style="120" customWidth="1"/>
    <col min="2" max="2" width="11.5" customWidth="1"/>
    <col min="12" max="12" width="17" hidden="1" customWidth="1" outlineLevel="1"/>
    <col min="13" max="18" width="10.83203125" hidden="1" customWidth="1" outlineLevel="1"/>
    <col min="19" max="19" width="10.83203125" customWidth="1" collapsed="1"/>
  </cols>
  <sheetData>
    <row r="1" spans="1:18" x14ac:dyDescent="0.2">
      <c r="A1" s="241"/>
      <c r="B1" s="173" t="s">
        <v>308</v>
      </c>
      <c r="C1" s="172" t="s">
        <v>307</v>
      </c>
      <c r="D1" s="172" t="s">
        <v>306</v>
      </c>
      <c r="E1" s="172" t="s">
        <v>305</v>
      </c>
      <c r="F1" s="171"/>
      <c r="G1" s="171"/>
      <c r="H1" s="171"/>
      <c r="I1" s="171"/>
      <c r="J1" s="170"/>
      <c r="K1" s="227" t="s">
        <v>148</v>
      </c>
      <c r="L1" s="227"/>
    </row>
    <row r="2" spans="1:18" x14ac:dyDescent="0.2">
      <c r="A2" s="218"/>
      <c r="B2" s="240" t="s">
        <v>304</v>
      </c>
      <c r="C2" s="239">
        <v>2.25</v>
      </c>
      <c r="D2" s="134"/>
      <c r="E2" s="134"/>
      <c r="F2" s="134"/>
      <c r="G2" s="134"/>
      <c r="H2" s="134"/>
      <c r="I2" s="134"/>
      <c r="J2" s="133"/>
    </row>
    <row r="3" spans="1:18" x14ac:dyDescent="0.2">
      <c r="A3" s="218"/>
      <c r="B3" s="134"/>
      <c r="C3" s="134"/>
      <c r="D3" s="134"/>
      <c r="E3" s="134"/>
      <c r="F3" s="134"/>
      <c r="G3" s="134"/>
      <c r="H3" s="134"/>
      <c r="I3" s="134"/>
      <c r="J3" s="133"/>
      <c r="L3" s="227" t="s">
        <v>303</v>
      </c>
    </row>
    <row r="4" spans="1:18" x14ac:dyDescent="0.2">
      <c r="A4" s="218"/>
      <c r="B4" s="134"/>
      <c r="C4" s="134" t="s">
        <v>302</v>
      </c>
      <c r="D4" s="134"/>
      <c r="E4" s="134"/>
      <c r="F4" s="134"/>
      <c r="G4" s="134"/>
      <c r="H4" s="134"/>
      <c r="I4" s="134"/>
      <c r="J4" s="133"/>
    </row>
    <row r="5" spans="1:18" x14ac:dyDescent="0.2">
      <c r="A5" s="218"/>
      <c r="B5" s="134"/>
      <c r="C5" s="134"/>
      <c r="D5" s="134"/>
      <c r="E5" s="134"/>
      <c r="F5" s="134"/>
      <c r="G5" s="134"/>
      <c r="H5" s="134"/>
      <c r="I5" s="134"/>
      <c r="J5" s="133"/>
      <c r="L5" s="123" t="s">
        <v>301</v>
      </c>
      <c r="M5" s="123">
        <v>1.25</v>
      </c>
    </row>
    <row r="6" spans="1:18" ht="18" x14ac:dyDescent="0.2">
      <c r="A6" s="218"/>
      <c r="B6" s="134"/>
      <c r="C6" s="238" t="s">
        <v>300</v>
      </c>
      <c r="D6" s="336" t="s">
        <v>299</v>
      </c>
      <c r="E6" s="337"/>
      <c r="F6" s="337"/>
      <c r="G6" s="337"/>
      <c r="H6" s="338"/>
      <c r="I6" s="134"/>
      <c r="J6" s="133"/>
      <c r="L6" s="232" t="s">
        <v>298</v>
      </c>
      <c r="M6" s="237">
        <f>SUM(E8:E11)/SUM(D8:D11)</f>
        <v>1.1402497598463017</v>
      </c>
    </row>
    <row r="7" spans="1:18" ht="17" thickBot="1" x14ac:dyDescent="0.25">
      <c r="A7" s="218"/>
      <c r="B7" s="134"/>
      <c r="C7" s="155" t="s">
        <v>297</v>
      </c>
      <c r="D7" s="166">
        <v>12</v>
      </c>
      <c r="E7" s="165">
        <v>24</v>
      </c>
      <c r="F7" s="165">
        <v>36</v>
      </c>
      <c r="G7" s="165">
        <v>48</v>
      </c>
      <c r="H7" s="164">
        <v>60</v>
      </c>
      <c r="I7" s="134"/>
      <c r="J7" s="133"/>
    </row>
    <row r="8" spans="1:18" ht="19" thickBot="1" x14ac:dyDescent="0.3">
      <c r="A8" s="218"/>
      <c r="B8" s="134"/>
      <c r="C8" s="159">
        <v>2006</v>
      </c>
      <c r="D8" s="139">
        <v>510</v>
      </c>
      <c r="E8" s="139">
        <v>605</v>
      </c>
      <c r="F8" s="139">
        <v>583</v>
      </c>
      <c r="G8" s="139">
        <v>592</v>
      </c>
      <c r="H8" s="163">
        <v>607</v>
      </c>
      <c r="I8" s="134"/>
      <c r="J8" s="133"/>
      <c r="L8" s="236" t="s">
        <v>296</v>
      </c>
      <c r="M8" s="235">
        <f>(M6-1)*(D9*1000)</f>
        <v>76155.61959654183</v>
      </c>
    </row>
    <row r="9" spans="1:18" ht="17" thickBot="1" x14ac:dyDescent="0.25">
      <c r="A9" s="218"/>
      <c r="B9" s="134"/>
      <c r="C9" s="159">
        <v>2007</v>
      </c>
      <c r="D9" s="139">
        <v>543</v>
      </c>
      <c r="E9" s="139">
        <v>613</v>
      </c>
      <c r="F9" s="139">
        <v>550</v>
      </c>
      <c r="G9" s="139">
        <v>654</v>
      </c>
      <c r="H9" s="163"/>
      <c r="I9" s="134"/>
      <c r="J9" s="133"/>
    </row>
    <row r="10" spans="1:18" ht="19" thickBot="1" x14ac:dyDescent="0.3">
      <c r="A10" s="218"/>
      <c r="B10" s="134"/>
      <c r="C10" s="159">
        <v>2008</v>
      </c>
      <c r="D10" s="139">
        <v>552</v>
      </c>
      <c r="E10" s="139">
        <v>526</v>
      </c>
      <c r="F10" s="139">
        <v>535</v>
      </c>
      <c r="G10" s="139"/>
      <c r="H10" s="163"/>
      <c r="I10" s="134"/>
      <c r="J10" s="133"/>
      <c r="L10" s="236" t="s">
        <v>295</v>
      </c>
      <c r="M10" s="235">
        <f>M5*M6*(M6-1)*(D9*1000)</f>
        <v>108545.53369487893</v>
      </c>
    </row>
    <row r="11" spans="1:18" x14ac:dyDescent="0.2">
      <c r="A11" s="218"/>
      <c r="B11" s="134"/>
      <c r="C11" s="159">
        <v>2009</v>
      </c>
      <c r="D11" s="139">
        <v>477</v>
      </c>
      <c r="E11" s="139">
        <v>630</v>
      </c>
      <c r="F11" s="139"/>
      <c r="G11" s="139"/>
      <c r="H11" s="163"/>
      <c r="I11" s="134"/>
      <c r="J11" s="133"/>
    </row>
    <row r="12" spans="1:18" x14ac:dyDescent="0.2">
      <c r="A12" s="218"/>
      <c r="B12" s="134"/>
      <c r="C12" s="155">
        <v>2010</v>
      </c>
      <c r="D12" s="153">
        <v>509</v>
      </c>
      <c r="E12" s="153"/>
      <c r="F12" s="153"/>
      <c r="G12" s="153"/>
      <c r="H12" s="234"/>
      <c r="I12" s="134"/>
      <c r="J12" s="133"/>
      <c r="L12" s="227" t="s">
        <v>294</v>
      </c>
    </row>
    <row r="13" spans="1:18" x14ac:dyDescent="0.2">
      <c r="A13" s="218"/>
      <c r="B13" s="139"/>
      <c r="C13" s="233"/>
      <c r="D13" s="233"/>
      <c r="E13" s="233"/>
      <c r="F13" s="233"/>
      <c r="G13" s="233"/>
      <c r="H13" s="233"/>
      <c r="I13" s="134"/>
      <c r="J13" s="133"/>
    </row>
    <row r="14" spans="1:18" ht="18" x14ac:dyDescent="0.2">
      <c r="A14" s="218"/>
      <c r="B14" s="139"/>
      <c r="C14" s="134" t="s">
        <v>293</v>
      </c>
      <c r="D14" s="134"/>
      <c r="E14" s="134"/>
      <c r="F14" s="134"/>
      <c r="G14" s="134"/>
      <c r="H14" s="134"/>
      <c r="I14" s="134"/>
      <c r="J14" s="133"/>
      <c r="L14" s="232" t="s">
        <v>292</v>
      </c>
      <c r="M14" s="144">
        <f>SUM(F8:F10)/SUM(E8:E10)</f>
        <v>0.95642201834862384</v>
      </c>
    </row>
    <row r="15" spans="1:18" x14ac:dyDescent="0.2">
      <c r="A15" s="218"/>
      <c r="B15" s="139"/>
      <c r="C15" s="134"/>
      <c r="D15" s="134"/>
      <c r="E15" s="134"/>
      <c r="F15" s="134"/>
      <c r="G15" s="134"/>
      <c r="H15" s="134"/>
      <c r="I15" s="134"/>
      <c r="J15" s="133"/>
    </row>
    <row r="16" spans="1:18" ht="18" x14ac:dyDescent="0.25">
      <c r="A16" s="218" t="s">
        <v>0</v>
      </c>
      <c r="B16" s="138" t="s">
        <v>291</v>
      </c>
      <c r="C16" s="134" t="s">
        <v>290</v>
      </c>
      <c r="D16" s="134"/>
      <c r="E16" s="134"/>
      <c r="F16" s="134"/>
      <c r="G16" s="134"/>
      <c r="H16" s="134"/>
      <c r="I16" s="134"/>
      <c r="J16" s="133"/>
      <c r="L16" s="343" t="s">
        <v>289</v>
      </c>
      <c r="M16" s="343"/>
      <c r="N16" s="343"/>
      <c r="O16" s="343"/>
      <c r="P16" s="343"/>
      <c r="Q16" s="343"/>
      <c r="R16" s="343"/>
    </row>
    <row r="17" spans="1:18" x14ac:dyDescent="0.2">
      <c r="A17" s="218"/>
      <c r="B17" s="138"/>
      <c r="C17" s="134" t="s">
        <v>288</v>
      </c>
      <c r="D17" s="134"/>
      <c r="E17" s="134"/>
      <c r="F17" s="134"/>
      <c r="G17" s="134"/>
      <c r="H17" s="134"/>
      <c r="I17" s="134"/>
      <c r="J17" s="133"/>
      <c r="L17" s="343"/>
      <c r="M17" s="343"/>
      <c r="N17" s="343"/>
      <c r="O17" s="343"/>
      <c r="P17" s="343"/>
      <c r="Q17" s="343"/>
      <c r="R17" s="343"/>
    </row>
    <row r="18" spans="1:18" x14ac:dyDescent="0.2">
      <c r="A18" s="218"/>
      <c r="B18" s="138"/>
      <c r="C18" s="134"/>
      <c r="D18" s="134"/>
      <c r="E18" s="134"/>
      <c r="F18" s="134"/>
      <c r="G18" s="134"/>
      <c r="H18" s="134"/>
      <c r="I18" s="134"/>
      <c r="J18" s="133"/>
    </row>
    <row r="19" spans="1:18" x14ac:dyDescent="0.2">
      <c r="A19" s="218" t="s">
        <v>1</v>
      </c>
      <c r="B19" s="138" t="s">
        <v>287</v>
      </c>
      <c r="C19" s="134" t="s">
        <v>286</v>
      </c>
      <c r="D19" s="134"/>
      <c r="E19" s="134"/>
      <c r="F19" s="134"/>
      <c r="G19" s="134"/>
      <c r="H19" s="134"/>
      <c r="I19" s="134"/>
      <c r="J19" s="133"/>
      <c r="L19" s="227" t="s">
        <v>285</v>
      </c>
    </row>
    <row r="20" spans="1:18" x14ac:dyDescent="0.2">
      <c r="A20" s="218"/>
      <c r="B20" s="138"/>
      <c r="C20" s="134" t="s">
        <v>284</v>
      </c>
      <c r="D20" s="134"/>
      <c r="E20" s="134"/>
      <c r="F20" s="134"/>
      <c r="G20" s="134"/>
      <c r="H20" s="134"/>
      <c r="I20" s="134"/>
      <c r="J20" s="133"/>
      <c r="L20" s="343" t="s">
        <v>283</v>
      </c>
      <c r="M20" s="343"/>
      <c r="N20" s="343"/>
      <c r="O20" s="343"/>
      <c r="P20" s="343"/>
      <c r="Q20" s="343"/>
      <c r="R20" s="343"/>
    </row>
    <row r="21" spans="1:18" x14ac:dyDescent="0.2">
      <c r="A21" s="218"/>
      <c r="B21" s="138"/>
      <c r="C21" s="134"/>
      <c r="D21" s="134"/>
      <c r="E21" s="134"/>
      <c r="F21" s="134"/>
      <c r="G21" s="134"/>
      <c r="H21" s="134"/>
      <c r="I21" s="134"/>
      <c r="J21" s="133"/>
      <c r="L21" s="343"/>
      <c r="M21" s="343"/>
      <c r="N21" s="343"/>
      <c r="O21" s="343"/>
      <c r="P21" s="343"/>
      <c r="Q21" s="343"/>
      <c r="R21" s="343"/>
    </row>
    <row r="22" spans="1:18" x14ac:dyDescent="0.2">
      <c r="A22" s="218" t="s">
        <v>197</v>
      </c>
      <c r="B22" s="138" t="s">
        <v>282</v>
      </c>
      <c r="C22" s="134" t="s">
        <v>281</v>
      </c>
      <c r="D22" s="134"/>
      <c r="E22" s="134"/>
      <c r="F22" s="134"/>
      <c r="G22" s="134"/>
      <c r="H22" s="134"/>
      <c r="I22" s="134"/>
      <c r="J22" s="133"/>
    </row>
    <row r="23" spans="1:18" ht="19" x14ac:dyDescent="0.2">
      <c r="A23" s="218"/>
      <c r="B23" s="134"/>
      <c r="C23" s="134" t="s">
        <v>280</v>
      </c>
      <c r="D23" s="134"/>
      <c r="E23" s="134"/>
      <c r="F23" s="134"/>
      <c r="G23" s="134"/>
      <c r="H23" s="134"/>
      <c r="I23" s="134"/>
      <c r="J23" s="133"/>
      <c r="L23" s="231" t="s">
        <v>172</v>
      </c>
    </row>
    <row r="24" spans="1:18" ht="17" customHeight="1" thickBot="1" x14ac:dyDescent="0.25">
      <c r="A24" s="218"/>
      <c r="B24" s="134"/>
      <c r="C24" s="143"/>
      <c r="D24" s="134"/>
      <c r="E24" s="134"/>
      <c r="F24" s="134"/>
      <c r="G24" s="134"/>
      <c r="H24" s="134"/>
      <c r="I24" s="134"/>
      <c r="J24" s="133"/>
      <c r="L24" s="230" t="s">
        <v>279</v>
      </c>
      <c r="M24" s="230"/>
      <c r="N24" s="230"/>
      <c r="O24" s="230"/>
      <c r="P24" s="230"/>
      <c r="Q24" s="230"/>
      <c r="R24" s="230"/>
    </row>
    <row r="25" spans="1:18" ht="17" thickBot="1" x14ac:dyDescent="0.25">
      <c r="A25" s="229" t="s">
        <v>145</v>
      </c>
      <c r="B25" s="130"/>
      <c r="C25" s="228"/>
      <c r="D25" s="130"/>
      <c r="E25" s="130"/>
      <c r="F25" s="130"/>
      <c r="G25" s="130"/>
      <c r="H25" s="130"/>
      <c r="I25" s="130"/>
      <c r="J25" s="129"/>
    </row>
    <row r="26" spans="1:18" x14ac:dyDescent="0.2">
      <c r="L26" s="227"/>
      <c r="M26" s="226"/>
    </row>
  </sheetData>
  <mergeCells count="3">
    <mergeCell ref="D6:H6"/>
    <mergeCell ref="L16:R17"/>
    <mergeCell ref="L20:R21"/>
  </mergeCell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814B-44A0-844A-8690-95047C6857FB}">
  <dimension ref="A1:S47"/>
  <sheetViews>
    <sheetView workbookViewId="0"/>
  </sheetViews>
  <sheetFormatPr baseColWidth="10" defaultColWidth="11" defaultRowHeight="16" outlineLevelCol="1" x14ac:dyDescent="0.2"/>
  <cols>
    <col min="1" max="1" width="4" style="120" customWidth="1"/>
    <col min="2" max="2" width="11.5" customWidth="1"/>
    <col min="12" max="12" width="13" hidden="1" customWidth="1" outlineLevel="1"/>
    <col min="13" max="13" width="13.33203125" hidden="1" customWidth="1" outlineLevel="1"/>
    <col min="14" max="18" width="10.83203125" hidden="1" customWidth="1" outlineLevel="1"/>
    <col min="19" max="19" width="13.6640625" bestFit="1" customWidth="1" collapsed="1"/>
  </cols>
  <sheetData>
    <row r="1" spans="1:17" x14ac:dyDescent="0.2">
      <c r="A1" s="241"/>
      <c r="B1" s="173" t="s">
        <v>308</v>
      </c>
      <c r="C1" s="172" t="s">
        <v>351</v>
      </c>
      <c r="D1" s="172" t="s">
        <v>306</v>
      </c>
      <c r="E1" s="172" t="s">
        <v>350</v>
      </c>
      <c r="F1" s="171"/>
      <c r="G1" s="171"/>
      <c r="H1" s="171"/>
      <c r="I1" s="171"/>
      <c r="J1" s="170"/>
      <c r="K1" s="227" t="s">
        <v>148</v>
      </c>
      <c r="L1" s="227"/>
    </row>
    <row r="2" spans="1:17" x14ac:dyDescent="0.2">
      <c r="A2" s="218"/>
      <c r="B2" s="240" t="s">
        <v>304</v>
      </c>
      <c r="C2" s="239">
        <v>3.75</v>
      </c>
      <c r="D2" s="134"/>
      <c r="E2" s="134"/>
      <c r="F2" s="134"/>
      <c r="G2" s="134"/>
      <c r="H2" s="134"/>
      <c r="I2" s="134"/>
      <c r="J2" s="133"/>
    </row>
    <row r="3" spans="1:17" x14ac:dyDescent="0.2">
      <c r="A3" s="218"/>
      <c r="B3" s="134"/>
      <c r="C3" s="134"/>
      <c r="D3" s="134"/>
      <c r="E3" s="134"/>
      <c r="F3" s="134"/>
      <c r="G3" s="134"/>
      <c r="H3" s="134"/>
      <c r="I3" s="134"/>
      <c r="J3" s="133"/>
      <c r="L3" s="227" t="s">
        <v>303</v>
      </c>
    </row>
    <row r="4" spans="1:17" ht="18" x14ac:dyDescent="0.25">
      <c r="A4" s="218"/>
      <c r="B4" s="134"/>
      <c r="C4" s="134" t="s">
        <v>349</v>
      </c>
      <c r="D4" s="134"/>
      <c r="E4" s="134"/>
      <c r="F4" s="134"/>
      <c r="G4" s="134"/>
      <c r="H4" s="134"/>
      <c r="I4" s="134"/>
      <c r="J4" s="133"/>
      <c r="L4" s="123" t="s">
        <v>348</v>
      </c>
      <c r="M4" s="123">
        <v>100</v>
      </c>
    </row>
    <row r="5" spans="1:17" ht="18" x14ac:dyDescent="0.25">
      <c r="A5" s="218"/>
      <c r="B5" s="134"/>
      <c r="C5" s="134"/>
      <c r="D5" s="134"/>
      <c r="E5" s="134"/>
      <c r="F5" s="134"/>
      <c r="G5" s="134"/>
      <c r="H5" s="134"/>
      <c r="I5" s="134"/>
      <c r="J5" s="133"/>
      <c r="L5" s="123" t="s">
        <v>347</v>
      </c>
      <c r="M5" s="123">
        <v>1.1429999999999999E-2</v>
      </c>
    </row>
    <row r="6" spans="1:17" ht="18" x14ac:dyDescent="0.2">
      <c r="A6" s="218"/>
      <c r="B6" s="134"/>
      <c r="C6" s="336" t="s">
        <v>346</v>
      </c>
      <c r="D6" s="337"/>
      <c r="E6" s="337"/>
      <c r="F6" s="337"/>
      <c r="G6" s="337"/>
      <c r="H6" s="338"/>
      <c r="I6" s="134"/>
      <c r="J6" s="133"/>
      <c r="L6" s="232" t="s">
        <v>345</v>
      </c>
      <c r="M6" s="259">
        <f>M4/M5</f>
        <v>8748.906386701663</v>
      </c>
      <c r="N6" t="s">
        <v>344</v>
      </c>
    </row>
    <row r="7" spans="1:17" ht="18" x14ac:dyDescent="0.2">
      <c r="A7" s="218"/>
      <c r="B7" s="134"/>
      <c r="C7" s="353" t="s">
        <v>343</v>
      </c>
      <c r="D7" s="347" t="s">
        <v>342</v>
      </c>
      <c r="E7" s="347" t="s">
        <v>336</v>
      </c>
      <c r="F7" s="347" t="s">
        <v>335</v>
      </c>
      <c r="G7" s="347" t="s">
        <v>334</v>
      </c>
      <c r="H7" s="344" t="s">
        <v>333</v>
      </c>
      <c r="I7" s="134"/>
      <c r="J7" s="133"/>
      <c r="L7" s="232" t="s">
        <v>341</v>
      </c>
      <c r="M7" s="259">
        <f>D12+E12</f>
        <v>7350</v>
      </c>
    </row>
    <row r="8" spans="1:17" x14ac:dyDescent="0.2">
      <c r="A8" s="218"/>
      <c r="B8" s="134"/>
      <c r="C8" s="360"/>
      <c r="D8" s="358"/>
      <c r="E8" s="358"/>
      <c r="F8" s="358"/>
      <c r="G8" s="358"/>
      <c r="H8" s="359"/>
      <c r="I8" s="134"/>
      <c r="J8" s="133"/>
    </row>
    <row r="9" spans="1:17" x14ac:dyDescent="0.2">
      <c r="A9" s="218"/>
      <c r="B9" s="134"/>
      <c r="C9" s="159">
        <v>2007</v>
      </c>
      <c r="D9" s="157">
        <v>5800</v>
      </c>
      <c r="E9" s="157">
        <v>1754</v>
      </c>
      <c r="F9" s="157">
        <v>875</v>
      </c>
      <c r="G9" s="157">
        <v>310</v>
      </c>
      <c r="H9" s="256">
        <v>54</v>
      </c>
      <c r="I9" s="134"/>
      <c r="J9" s="133"/>
      <c r="L9" s="258"/>
      <c r="M9" s="257">
        <v>12</v>
      </c>
      <c r="N9" s="257">
        <v>24</v>
      </c>
      <c r="O9" s="257">
        <v>36</v>
      </c>
      <c r="P9" s="257">
        <v>48</v>
      </c>
      <c r="Q9" s="257">
        <v>60</v>
      </c>
    </row>
    <row r="10" spans="1:17" x14ac:dyDescent="0.2">
      <c r="A10" s="218"/>
      <c r="B10" s="134"/>
      <c r="C10" s="159">
        <v>2008</v>
      </c>
      <c r="D10" s="157">
        <v>6000</v>
      </c>
      <c r="E10" s="157">
        <v>1675</v>
      </c>
      <c r="F10" s="157">
        <v>780</v>
      </c>
      <c r="G10" s="157">
        <v>285</v>
      </c>
      <c r="H10" s="256"/>
      <c r="I10" s="134"/>
      <c r="J10" s="133"/>
      <c r="L10" s="255" t="s">
        <v>101</v>
      </c>
      <c r="M10" s="254">
        <f>D18*N10</f>
        <v>1.4935949208000001</v>
      </c>
      <c r="N10" s="254">
        <f>E18*O10</f>
        <v>1.1578255200000001</v>
      </c>
      <c r="O10" s="254">
        <f>F18*P10</f>
        <v>1.04121</v>
      </c>
      <c r="P10" s="254">
        <f>G18*Q10</f>
        <v>1.006</v>
      </c>
      <c r="Q10" s="254">
        <f>H18</f>
        <v>1</v>
      </c>
    </row>
    <row r="11" spans="1:17" ht="18" x14ac:dyDescent="0.2">
      <c r="A11" s="218"/>
      <c r="B11" s="134"/>
      <c r="C11" s="159">
        <v>2009</v>
      </c>
      <c r="D11" s="157">
        <v>5700</v>
      </c>
      <c r="E11" s="157">
        <v>1850</v>
      </c>
      <c r="F11" s="157">
        <v>888</v>
      </c>
      <c r="G11" s="157"/>
      <c r="H11" s="256"/>
      <c r="I11" s="134"/>
      <c r="J11" s="133"/>
      <c r="L11" s="255" t="s">
        <v>340</v>
      </c>
      <c r="M11" s="254">
        <f>1/M10</f>
        <v>0.66952557622811104</v>
      </c>
      <c r="N11" s="254">
        <f>1/N10</f>
        <v>0.86368799333426327</v>
      </c>
      <c r="O11" s="254">
        <f>1/O10</f>
        <v>0.96042104858770083</v>
      </c>
      <c r="P11" s="254">
        <f>1/P10</f>
        <v>0.99403578528827041</v>
      </c>
      <c r="Q11" s="254">
        <f>1/Q10</f>
        <v>1</v>
      </c>
    </row>
    <row r="12" spans="1:17" ht="18" x14ac:dyDescent="0.2">
      <c r="A12" s="218"/>
      <c r="B12" s="134"/>
      <c r="C12" s="159">
        <v>2010</v>
      </c>
      <c r="D12" s="157">
        <v>5850</v>
      </c>
      <c r="E12" s="157">
        <v>1500</v>
      </c>
      <c r="F12" s="157"/>
      <c r="G12" s="157"/>
      <c r="H12" s="256"/>
      <c r="I12" s="134"/>
      <c r="J12" s="133"/>
      <c r="L12" s="255" t="s">
        <v>339</v>
      </c>
      <c r="M12" s="254">
        <f>M11</f>
        <v>0.66952557622811104</v>
      </c>
      <c r="N12" s="254">
        <f>N11-M11</f>
        <v>0.19416241710615223</v>
      </c>
      <c r="O12" s="254">
        <f>O11-N11</f>
        <v>9.6733055253437561E-2</v>
      </c>
      <c r="P12" s="254">
        <f>P11-O11</f>
        <v>3.3614736700569581E-2</v>
      </c>
      <c r="Q12" s="254">
        <f>Q11-P11</f>
        <v>5.9642147117295874E-3</v>
      </c>
    </row>
    <row r="13" spans="1:17" x14ac:dyDescent="0.2">
      <c r="A13" s="218"/>
      <c r="B13" s="139"/>
      <c r="C13" s="155">
        <v>2011</v>
      </c>
      <c r="D13" s="183">
        <v>6300</v>
      </c>
      <c r="E13" s="183"/>
      <c r="F13" s="183"/>
      <c r="G13" s="183"/>
      <c r="H13" s="253"/>
      <c r="I13" s="134"/>
      <c r="J13" s="133"/>
    </row>
    <row r="14" spans="1:17" ht="19" x14ac:dyDescent="0.2">
      <c r="A14" s="218"/>
      <c r="B14" s="139"/>
      <c r="C14" s="134"/>
      <c r="D14" s="134"/>
      <c r="E14" s="134"/>
      <c r="F14" s="134"/>
      <c r="G14" s="134"/>
      <c r="H14" s="134"/>
      <c r="I14" s="134"/>
      <c r="J14" s="133"/>
      <c r="L14" s="232" t="s">
        <v>338</v>
      </c>
      <c r="M14" s="232">
        <f>(E18-1)*M7</f>
        <v>823.20000000000073</v>
      </c>
      <c r="N14" s="252"/>
    </row>
    <row r="15" spans="1:17" x14ac:dyDescent="0.2">
      <c r="A15" s="218"/>
      <c r="B15" s="139"/>
      <c r="C15" s="134"/>
      <c r="D15" s="356" t="s">
        <v>337</v>
      </c>
      <c r="E15" s="356"/>
      <c r="F15" s="356"/>
      <c r="G15" s="356"/>
      <c r="H15" s="356"/>
      <c r="I15" s="134"/>
      <c r="J15" s="133"/>
    </row>
    <row r="16" spans="1:17" ht="18" customHeight="1" x14ac:dyDescent="0.2">
      <c r="A16" s="218"/>
      <c r="B16" s="139"/>
      <c r="C16" s="134"/>
      <c r="D16" s="350" t="s">
        <v>336</v>
      </c>
      <c r="E16" s="347" t="s">
        <v>335</v>
      </c>
      <c r="F16" s="347" t="s">
        <v>334</v>
      </c>
      <c r="G16" s="347" t="s">
        <v>333</v>
      </c>
      <c r="H16" s="344" t="s">
        <v>332</v>
      </c>
      <c r="I16" s="134"/>
      <c r="J16" s="133"/>
      <c r="L16" s="232" t="s">
        <v>331</v>
      </c>
      <c r="M16" s="251">
        <f>M6*O12</f>
        <v>846.30844491196478</v>
      </c>
    </row>
    <row r="17" spans="1:18" x14ac:dyDescent="0.2">
      <c r="A17" s="218"/>
      <c r="B17" s="139"/>
      <c r="C17" s="134"/>
      <c r="D17" s="357"/>
      <c r="E17" s="358"/>
      <c r="F17" s="358"/>
      <c r="G17" s="358"/>
      <c r="H17" s="359"/>
      <c r="I17" s="134"/>
      <c r="J17" s="133"/>
    </row>
    <row r="18" spans="1:18" x14ac:dyDescent="0.2">
      <c r="A18" s="218"/>
      <c r="B18" s="139"/>
      <c r="C18" s="134"/>
      <c r="D18" s="249">
        <v>1.29</v>
      </c>
      <c r="E18" s="248">
        <v>1.1120000000000001</v>
      </c>
      <c r="F18" s="248">
        <v>1.0349999999999999</v>
      </c>
      <c r="G18" s="248">
        <v>1.006</v>
      </c>
      <c r="H18" s="247">
        <v>1</v>
      </c>
      <c r="I18" s="134"/>
      <c r="J18" s="133"/>
      <c r="L18" s="232" t="s">
        <v>330</v>
      </c>
      <c r="M18" s="237">
        <f>N11/((M5*I26)+N11)</f>
        <v>0.89964550779888852</v>
      </c>
      <c r="N18" t="s">
        <v>329</v>
      </c>
    </row>
    <row r="19" spans="1:18" ht="17" thickBot="1" x14ac:dyDescent="0.25">
      <c r="A19" s="218"/>
      <c r="B19" s="139"/>
      <c r="C19" s="134"/>
      <c r="D19" s="134"/>
      <c r="E19" s="134"/>
      <c r="F19" s="134"/>
      <c r="G19" s="134"/>
      <c r="H19" s="134"/>
      <c r="I19" s="134"/>
      <c r="J19" s="133"/>
    </row>
    <row r="20" spans="1:18" ht="20" thickBot="1" x14ac:dyDescent="0.3">
      <c r="A20" s="218"/>
      <c r="B20" s="139"/>
      <c r="C20" s="134" t="s">
        <v>328</v>
      </c>
      <c r="D20" s="134"/>
      <c r="E20" s="134"/>
      <c r="F20" s="134"/>
      <c r="G20" s="134"/>
      <c r="H20" s="134"/>
      <c r="I20" s="134"/>
      <c r="J20" s="133"/>
      <c r="L20" s="246" t="s">
        <v>327</v>
      </c>
      <c r="M20" s="245">
        <f>(M18*M14)+((1-M18)*M16)</f>
        <v>825.51903625469822</v>
      </c>
      <c r="N20" t="s">
        <v>326</v>
      </c>
    </row>
    <row r="21" spans="1:18" ht="18" x14ac:dyDescent="0.25">
      <c r="A21" s="218"/>
      <c r="B21" s="139"/>
      <c r="C21" s="134" t="s">
        <v>325</v>
      </c>
      <c r="D21" s="134"/>
      <c r="E21" s="134"/>
      <c r="F21" s="134"/>
      <c r="G21" s="134"/>
      <c r="H21" s="134"/>
      <c r="I21" s="134"/>
      <c r="J21" s="133"/>
    </row>
    <row r="22" spans="1:18" ht="18" x14ac:dyDescent="0.25">
      <c r="A22" s="218"/>
      <c r="B22" s="139"/>
      <c r="C22" s="134" t="s">
        <v>324</v>
      </c>
      <c r="D22" s="134"/>
      <c r="E22" s="134"/>
      <c r="F22" s="134"/>
      <c r="G22" s="134"/>
      <c r="H22" s="134"/>
      <c r="I22" s="134"/>
      <c r="J22" s="133"/>
      <c r="L22" s="227" t="s">
        <v>294</v>
      </c>
    </row>
    <row r="23" spans="1:18" ht="18" customHeight="1" x14ac:dyDescent="0.25">
      <c r="A23" s="218"/>
      <c r="B23" s="139"/>
      <c r="C23" s="134" t="s">
        <v>323</v>
      </c>
      <c r="D23" s="134"/>
      <c r="E23" s="134"/>
      <c r="F23" s="134"/>
      <c r="G23" s="134"/>
      <c r="H23" s="134"/>
      <c r="I23" s="134"/>
      <c r="J23" s="133"/>
      <c r="L23" s="343" t="s">
        <v>581</v>
      </c>
      <c r="M23" s="343"/>
      <c r="N23" s="343"/>
      <c r="O23" s="343"/>
      <c r="P23" s="343"/>
      <c r="Q23" s="343"/>
      <c r="R23" s="343"/>
    </row>
    <row r="24" spans="1:18" ht="19" customHeight="1" x14ac:dyDescent="0.2">
      <c r="A24" s="218"/>
      <c r="B24" s="139"/>
      <c r="C24" s="134" t="s">
        <v>322</v>
      </c>
      <c r="D24" s="134"/>
      <c r="E24" s="134"/>
      <c r="F24" s="134"/>
      <c r="G24" s="134"/>
      <c r="H24" s="134"/>
      <c r="I24" s="134"/>
      <c r="J24" s="133"/>
      <c r="L24" s="343"/>
      <c r="M24" s="343"/>
      <c r="N24" s="343"/>
      <c r="O24" s="343"/>
      <c r="P24" s="343"/>
      <c r="Q24" s="343"/>
      <c r="R24" s="343"/>
    </row>
    <row r="25" spans="1:18" ht="20" x14ac:dyDescent="0.25">
      <c r="A25" s="218"/>
      <c r="B25" s="139"/>
      <c r="C25" s="134" t="s">
        <v>321</v>
      </c>
      <c r="D25" s="134"/>
      <c r="E25" s="134"/>
      <c r="F25" s="134"/>
      <c r="G25" s="134"/>
      <c r="H25" s="134"/>
      <c r="I25" s="134"/>
      <c r="J25" s="133"/>
      <c r="L25" s="343"/>
      <c r="M25" s="343"/>
      <c r="N25" s="343"/>
      <c r="O25" s="343"/>
      <c r="P25" s="343"/>
      <c r="Q25" s="343"/>
      <c r="R25" s="343"/>
    </row>
    <row r="26" spans="1:18" x14ac:dyDescent="0.2">
      <c r="A26" s="218"/>
      <c r="B26" s="139"/>
      <c r="C26" s="134" t="s">
        <v>320</v>
      </c>
      <c r="D26" s="134"/>
      <c r="E26" s="134"/>
      <c r="F26" s="134"/>
      <c r="G26" s="134"/>
      <c r="H26" s="134"/>
      <c r="I26" s="139">
        <v>8.4290000000000003</v>
      </c>
      <c r="J26" s="133"/>
      <c r="L26" s="343"/>
      <c r="M26" s="343"/>
      <c r="N26" s="343"/>
      <c r="O26" s="343"/>
      <c r="P26" s="343"/>
      <c r="Q26" s="343"/>
      <c r="R26" s="343"/>
    </row>
    <row r="27" spans="1:18" x14ac:dyDescent="0.2">
      <c r="A27" s="218"/>
      <c r="B27" s="139"/>
      <c r="C27" s="134" t="s">
        <v>319</v>
      </c>
      <c r="D27" s="134"/>
      <c r="E27" s="134"/>
      <c r="F27" s="134"/>
      <c r="G27" s="134"/>
      <c r="H27" s="134"/>
      <c r="I27" s="134"/>
      <c r="J27" s="133"/>
      <c r="L27" s="300"/>
      <c r="M27" s="300"/>
      <c r="N27" s="300"/>
      <c r="O27" s="300"/>
      <c r="P27" s="300"/>
      <c r="Q27" s="300"/>
      <c r="R27" s="300"/>
    </row>
    <row r="28" spans="1:18" ht="16" customHeight="1" x14ac:dyDescent="0.25">
      <c r="A28" s="218"/>
      <c r="B28" s="139"/>
      <c r="C28" s="134"/>
      <c r="D28" s="134"/>
      <c r="E28" s="134"/>
      <c r="F28" s="134"/>
      <c r="G28" s="134"/>
      <c r="H28" s="134"/>
      <c r="I28" s="134"/>
      <c r="J28" s="133"/>
      <c r="L28" s="169" t="s">
        <v>172</v>
      </c>
    </row>
    <row r="29" spans="1:18" ht="18" x14ac:dyDescent="0.25">
      <c r="A29" s="218"/>
      <c r="B29" s="139"/>
      <c r="C29" s="134" t="s">
        <v>317</v>
      </c>
      <c r="D29" s="134"/>
      <c r="E29" s="134"/>
      <c r="F29" s="134"/>
      <c r="G29" s="134"/>
      <c r="H29" s="134"/>
      <c r="I29" s="134"/>
      <c r="J29" s="133"/>
      <c r="L29" s="244" t="s">
        <v>318</v>
      </c>
      <c r="M29" s="244"/>
      <c r="N29" s="244"/>
      <c r="O29" s="244"/>
      <c r="P29" s="244"/>
      <c r="Q29" s="244"/>
      <c r="R29" s="244"/>
    </row>
    <row r="30" spans="1:18" x14ac:dyDescent="0.2">
      <c r="A30" s="218"/>
      <c r="B30" s="139"/>
      <c r="C30" s="134"/>
      <c r="D30" s="134"/>
      <c r="E30" s="134"/>
      <c r="F30" s="134"/>
      <c r="G30" s="134"/>
      <c r="H30" s="134"/>
      <c r="I30" s="134"/>
      <c r="J30" s="133"/>
      <c r="M30" s="243"/>
    </row>
    <row r="31" spans="1:18" x14ac:dyDescent="0.2">
      <c r="A31" s="218"/>
      <c r="B31" s="139"/>
      <c r="C31" s="134"/>
      <c r="D31" s="134"/>
      <c r="E31" s="134"/>
      <c r="F31" s="134"/>
      <c r="G31" s="134"/>
      <c r="H31" s="134"/>
      <c r="I31" s="134"/>
      <c r="J31" s="133"/>
      <c r="M31" s="243"/>
    </row>
    <row r="32" spans="1:18" x14ac:dyDescent="0.2">
      <c r="A32" s="218"/>
      <c r="B32" s="139"/>
      <c r="C32" s="134"/>
      <c r="D32" s="134"/>
      <c r="E32" s="134"/>
      <c r="F32" s="134"/>
      <c r="G32" s="134"/>
      <c r="H32" s="134"/>
      <c r="I32" s="134"/>
      <c r="J32" s="133"/>
      <c r="M32" s="243"/>
    </row>
    <row r="33" spans="1:13" x14ac:dyDescent="0.2">
      <c r="A33" s="218"/>
      <c r="B33" s="139"/>
      <c r="C33" s="134" t="s">
        <v>316</v>
      </c>
      <c r="D33" s="134"/>
      <c r="E33" s="134"/>
      <c r="F33" s="134"/>
      <c r="G33" s="134"/>
      <c r="H33" s="134"/>
      <c r="I33" s="134"/>
      <c r="J33" s="133"/>
      <c r="M33" s="243"/>
    </row>
    <row r="34" spans="1:13" x14ac:dyDescent="0.2">
      <c r="A34" s="218"/>
      <c r="B34" s="139"/>
      <c r="C34" s="134"/>
      <c r="D34" s="134"/>
      <c r="E34" s="134"/>
      <c r="F34" s="134"/>
      <c r="G34" s="134"/>
      <c r="H34" s="134"/>
      <c r="I34" s="134"/>
      <c r="J34" s="133"/>
      <c r="M34" s="243"/>
    </row>
    <row r="35" spans="1:13" x14ac:dyDescent="0.2">
      <c r="A35" s="218"/>
      <c r="B35" s="139"/>
      <c r="C35" s="134"/>
      <c r="D35" s="134"/>
      <c r="E35" s="134"/>
      <c r="F35" s="134"/>
      <c r="G35" s="134"/>
      <c r="H35" s="134"/>
      <c r="I35" s="134"/>
      <c r="J35" s="133"/>
      <c r="M35" s="243"/>
    </row>
    <row r="36" spans="1:13" x14ac:dyDescent="0.2">
      <c r="A36" s="218"/>
      <c r="B36" s="139"/>
      <c r="C36" s="134"/>
      <c r="D36" s="134"/>
      <c r="E36" s="134"/>
      <c r="F36" s="134"/>
      <c r="G36" s="134"/>
      <c r="H36" s="134"/>
      <c r="I36" s="134"/>
      <c r="J36" s="133"/>
      <c r="M36" s="243"/>
    </row>
    <row r="37" spans="1:13" x14ac:dyDescent="0.2">
      <c r="A37" s="218"/>
      <c r="B37" s="139"/>
      <c r="C37" s="134"/>
      <c r="D37" s="134"/>
      <c r="E37" s="134"/>
      <c r="F37" s="134"/>
      <c r="G37" s="134"/>
      <c r="H37" s="134"/>
      <c r="I37" s="134"/>
      <c r="J37" s="133"/>
      <c r="M37" s="243"/>
    </row>
    <row r="38" spans="1:13" ht="18" x14ac:dyDescent="0.25">
      <c r="A38" s="218"/>
      <c r="B38" s="139"/>
      <c r="C38" s="134" t="s">
        <v>315</v>
      </c>
      <c r="D38" s="134"/>
      <c r="E38" s="134"/>
      <c r="F38" s="134"/>
      <c r="G38" s="134"/>
      <c r="H38" s="134"/>
      <c r="I38" s="134"/>
      <c r="J38" s="133"/>
      <c r="M38" s="243"/>
    </row>
    <row r="39" spans="1:13" ht="18" x14ac:dyDescent="0.25">
      <c r="A39" s="218"/>
      <c r="B39" s="139"/>
      <c r="C39" s="134" t="s">
        <v>314</v>
      </c>
      <c r="D39" s="134"/>
      <c r="E39" s="134"/>
      <c r="F39" s="134"/>
      <c r="G39" s="134"/>
      <c r="H39" s="134"/>
      <c r="I39" s="134"/>
      <c r="J39" s="133"/>
      <c r="M39" s="243"/>
    </row>
    <row r="40" spans="1:13" x14ac:dyDescent="0.2">
      <c r="A40" s="218"/>
      <c r="B40" s="139"/>
      <c r="C40" s="134"/>
      <c r="D40" s="134"/>
      <c r="E40" s="134"/>
      <c r="F40" s="134"/>
      <c r="G40" s="134"/>
      <c r="H40" s="134"/>
      <c r="I40" s="134"/>
      <c r="J40" s="133"/>
      <c r="M40" s="243"/>
    </row>
    <row r="41" spans="1:13" x14ac:dyDescent="0.2">
      <c r="A41" s="218" t="s">
        <v>0</v>
      </c>
      <c r="B41" s="138" t="s">
        <v>313</v>
      </c>
      <c r="C41" s="134" t="s">
        <v>312</v>
      </c>
      <c r="D41" s="134"/>
      <c r="E41" s="134"/>
      <c r="F41" s="134"/>
      <c r="G41" s="134"/>
      <c r="H41" s="134"/>
      <c r="I41" s="134"/>
      <c r="J41" s="133"/>
      <c r="M41" s="243"/>
    </row>
    <row r="42" spans="1:13" x14ac:dyDescent="0.2">
      <c r="A42" s="218"/>
      <c r="B42" s="139"/>
      <c r="C42" s="134" t="s">
        <v>311</v>
      </c>
      <c r="D42" s="134"/>
      <c r="E42" s="134"/>
      <c r="F42" s="134"/>
      <c r="G42" s="134"/>
      <c r="H42" s="134"/>
      <c r="I42" s="134"/>
      <c r="J42" s="133"/>
    </row>
    <row r="43" spans="1:13" x14ac:dyDescent="0.2">
      <c r="A43" s="218"/>
      <c r="B43" s="139"/>
      <c r="C43" s="134"/>
      <c r="D43" s="134"/>
      <c r="E43" s="134"/>
      <c r="F43" s="134"/>
      <c r="G43" s="134"/>
      <c r="H43" s="134"/>
      <c r="I43" s="134"/>
      <c r="J43" s="133"/>
      <c r="M43" s="242"/>
    </row>
    <row r="44" spans="1:13" x14ac:dyDescent="0.2">
      <c r="A44" s="218" t="s">
        <v>1</v>
      </c>
      <c r="B44" s="138" t="s">
        <v>287</v>
      </c>
      <c r="C44" s="134" t="s">
        <v>310</v>
      </c>
      <c r="D44" s="134"/>
      <c r="E44" s="134"/>
      <c r="F44" s="134"/>
      <c r="G44" s="134"/>
      <c r="H44" s="134"/>
      <c r="I44" s="134"/>
      <c r="J44" s="133"/>
    </row>
    <row r="45" spans="1:13" x14ac:dyDescent="0.2">
      <c r="A45" s="218"/>
      <c r="B45" s="134"/>
      <c r="C45" s="134" t="s">
        <v>309</v>
      </c>
      <c r="D45" s="134"/>
      <c r="E45" s="134"/>
      <c r="F45" s="134"/>
      <c r="G45" s="134"/>
      <c r="H45" s="134"/>
      <c r="I45" s="134"/>
      <c r="J45" s="133"/>
      <c r="L45" s="227"/>
      <c r="M45" s="226"/>
    </row>
    <row r="46" spans="1:13" ht="17" thickBot="1" x14ac:dyDescent="0.25">
      <c r="A46" s="218"/>
      <c r="B46" s="134"/>
      <c r="C46" s="143"/>
      <c r="D46" s="134"/>
      <c r="E46" s="134"/>
      <c r="F46" s="134"/>
      <c r="G46" s="134"/>
      <c r="H46" s="134"/>
      <c r="I46" s="134"/>
      <c r="J46" s="133"/>
    </row>
    <row r="47" spans="1:13" ht="17" thickBot="1" x14ac:dyDescent="0.25">
      <c r="A47" s="229" t="s">
        <v>145</v>
      </c>
      <c r="B47" s="130"/>
      <c r="C47" s="228"/>
      <c r="D47" s="130"/>
      <c r="E47" s="130"/>
      <c r="F47" s="130"/>
      <c r="G47" s="130"/>
      <c r="H47" s="130"/>
      <c r="I47" s="130"/>
      <c r="J47" s="129"/>
    </row>
  </sheetData>
  <mergeCells count="14">
    <mergeCell ref="C6:H6"/>
    <mergeCell ref="D15:H15"/>
    <mergeCell ref="C7:C8"/>
    <mergeCell ref="D7:D8"/>
    <mergeCell ref="E7:E8"/>
    <mergeCell ref="F7:F8"/>
    <mergeCell ref="G7:G8"/>
    <mergeCell ref="H7:H8"/>
    <mergeCell ref="L23:R26"/>
    <mergeCell ref="D16:D17"/>
    <mergeCell ref="E16:E17"/>
    <mergeCell ref="F16:F17"/>
    <mergeCell ref="G16:G17"/>
    <mergeCell ref="H16:H17"/>
  </mergeCells>
  <pageMargins left="0.7" right="0.7" top="0.75" bottom="0.75" header="0.3" footer="0.3"/>
  <pageSetup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77C03-9D67-024E-BC8E-BFA905CA8746}">
  <sheetPr>
    <pageSetUpPr fitToPage="1"/>
  </sheetPr>
  <dimension ref="A1:W48"/>
  <sheetViews>
    <sheetView workbookViewId="0">
      <selection activeCell="B1" sqref="B1"/>
    </sheetView>
  </sheetViews>
  <sheetFormatPr baseColWidth="10" defaultColWidth="11" defaultRowHeight="16" outlineLevelCol="1" x14ac:dyDescent="0.2"/>
  <cols>
    <col min="1" max="1" width="4" style="120" customWidth="1"/>
    <col min="2" max="2" width="11.5" customWidth="1"/>
    <col min="12" max="18" width="10.83203125" hidden="1" customWidth="1" outlineLevel="1"/>
    <col min="19" max="19" width="11" collapsed="1"/>
  </cols>
  <sheetData>
    <row r="1" spans="1:20" x14ac:dyDescent="0.2">
      <c r="A1" s="241"/>
      <c r="B1" s="173" t="s">
        <v>308</v>
      </c>
      <c r="C1" s="172" t="s">
        <v>379</v>
      </c>
      <c r="D1" s="172" t="s">
        <v>306</v>
      </c>
      <c r="E1" s="172" t="s">
        <v>305</v>
      </c>
      <c r="F1" s="171"/>
      <c r="G1" s="171"/>
      <c r="H1" s="171"/>
      <c r="I1" s="171"/>
      <c r="J1" s="170"/>
      <c r="K1" s="227" t="s">
        <v>148</v>
      </c>
      <c r="L1" s="227"/>
    </row>
    <row r="2" spans="1:20" x14ac:dyDescent="0.2">
      <c r="A2" s="218"/>
      <c r="B2" s="240" t="s">
        <v>304</v>
      </c>
      <c r="C2" s="239">
        <v>3.5</v>
      </c>
      <c r="D2" s="134"/>
      <c r="E2" s="134"/>
      <c r="F2" s="134"/>
      <c r="G2" s="134"/>
      <c r="H2" s="134"/>
      <c r="I2" s="134"/>
      <c r="J2" s="133"/>
    </row>
    <row r="3" spans="1:20" x14ac:dyDescent="0.2">
      <c r="A3" s="218"/>
      <c r="B3" s="134"/>
      <c r="C3" s="134"/>
      <c r="D3" s="134"/>
      <c r="E3" s="134"/>
      <c r="F3" s="134"/>
      <c r="G3" s="134"/>
      <c r="H3" s="134"/>
      <c r="I3" s="134"/>
      <c r="J3" s="133"/>
      <c r="L3" s="227" t="s">
        <v>303</v>
      </c>
    </row>
    <row r="4" spans="1:20" x14ac:dyDescent="0.2">
      <c r="A4" s="218"/>
      <c r="B4" s="134"/>
      <c r="C4" s="134" t="s">
        <v>378</v>
      </c>
      <c r="D4" s="134"/>
      <c r="E4" s="134"/>
      <c r="F4" s="134"/>
      <c r="G4" s="134"/>
      <c r="H4" s="134"/>
      <c r="I4" s="134"/>
      <c r="J4" s="133"/>
    </row>
    <row r="5" spans="1:20" x14ac:dyDescent="0.2">
      <c r="A5" s="218"/>
      <c r="B5" s="134"/>
      <c r="C5" s="134" t="s">
        <v>377</v>
      </c>
      <c r="D5" s="134"/>
      <c r="E5" s="134"/>
      <c r="F5" s="134"/>
      <c r="G5" s="134"/>
      <c r="H5" s="134"/>
      <c r="I5" s="134"/>
      <c r="J5" s="133"/>
      <c r="L5" s="343" t="s">
        <v>376</v>
      </c>
      <c r="M5" s="343"/>
      <c r="N5" s="343"/>
      <c r="O5" s="343"/>
      <c r="P5" s="343"/>
      <c r="Q5" s="343"/>
      <c r="R5" s="343"/>
      <c r="T5" s="264"/>
    </row>
    <row r="6" spans="1:20" x14ac:dyDescent="0.2">
      <c r="A6" s="218"/>
      <c r="B6" s="134"/>
      <c r="C6" s="134" t="s">
        <v>375</v>
      </c>
      <c r="D6" s="134"/>
      <c r="E6" s="134"/>
      <c r="F6" s="134"/>
      <c r="G6" s="134"/>
      <c r="H6" s="134"/>
      <c r="I6" s="134"/>
      <c r="J6" s="133"/>
      <c r="L6" s="343"/>
      <c r="M6" s="343"/>
      <c r="N6" s="343"/>
      <c r="O6" s="343"/>
      <c r="P6" s="343"/>
      <c r="Q6" s="343"/>
      <c r="R6" s="343"/>
    </row>
    <row r="7" spans="1:20" x14ac:dyDescent="0.2">
      <c r="A7" s="218"/>
      <c r="B7" s="134"/>
      <c r="C7" s="134"/>
      <c r="D7" s="134"/>
      <c r="E7" s="134"/>
      <c r="F7" s="134"/>
      <c r="G7" s="134"/>
      <c r="H7" s="134"/>
      <c r="I7" s="134"/>
      <c r="J7" s="133"/>
    </row>
    <row r="8" spans="1:20" x14ac:dyDescent="0.2">
      <c r="A8" s="218" t="s">
        <v>0</v>
      </c>
      <c r="B8" s="138" t="s">
        <v>282</v>
      </c>
      <c r="C8" s="134" t="s">
        <v>374</v>
      </c>
      <c r="D8" s="134"/>
      <c r="E8" s="134"/>
      <c r="F8" s="134"/>
      <c r="G8" s="134"/>
      <c r="H8" s="134"/>
      <c r="I8" s="134"/>
      <c r="J8" s="133"/>
      <c r="L8" s="227" t="s">
        <v>294</v>
      </c>
    </row>
    <row r="9" spans="1:20" x14ac:dyDescent="0.2">
      <c r="A9" s="218"/>
      <c r="B9" s="138"/>
      <c r="C9" s="134" t="s">
        <v>373</v>
      </c>
      <c r="D9" s="134"/>
      <c r="E9" s="134"/>
      <c r="F9" s="134"/>
      <c r="G9" s="134"/>
      <c r="H9" s="134"/>
      <c r="I9" s="134"/>
      <c r="J9" s="133"/>
    </row>
    <row r="10" spans="1:20" x14ac:dyDescent="0.2">
      <c r="A10" s="218"/>
      <c r="B10" s="138"/>
      <c r="C10" s="134" t="s">
        <v>372</v>
      </c>
      <c r="D10" s="134"/>
      <c r="E10" s="134"/>
      <c r="F10" s="134"/>
      <c r="G10" s="134"/>
      <c r="H10" s="134"/>
      <c r="I10" s="134"/>
      <c r="J10" s="133"/>
      <c r="L10" s="343" t="s">
        <v>371</v>
      </c>
      <c r="M10" s="343"/>
      <c r="N10" s="343"/>
      <c r="O10" s="343"/>
      <c r="P10" s="343"/>
      <c r="Q10" s="343"/>
      <c r="R10" s="343"/>
    </row>
    <row r="11" spans="1:20" x14ac:dyDescent="0.2">
      <c r="A11" s="218"/>
      <c r="B11" s="138"/>
      <c r="C11" s="134"/>
      <c r="D11" s="134"/>
      <c r="E11" s="134"/>
      <c r="F11" s="134"/>
      <c r="G11" s="134"/>
      <c r="H11" s="134"/>
      <c r="I11" s="134"/>
      <c r="J11" s="133"/>
      <c r="L11" s="343"/>
      <c r="M11" s="343"/>
      <c r="N11" s="343"/>
      <c r="O11" s="343"/>
      <c r="P11" s="343"/>
      <c r="Q11" s="343"/>
      <c r="R11" s="343"/>
    </row>
    <row r="12" spans="1:20" x14ac:dyDescent="0.2">
      <c r="A12" s="218" t="s">
        <v>1</v>
      </c>
      <c r="B12" s="138" t="s">
        <v>282</v>
      </c>
      <c r="C12" s="134" t="s">
        <v>370</v>
      </c>
      <c r="D12" s="134"/>
      <c r="E12" s="134"/>
      <c r="F12" s="134"/>
      <c r="G12" s="134"/>
      <c r="H12" s="134"/>
      <c r="I12" s="134"/>
      <c r="J12" s="133"/>
      <c r="L12" s="343"/>
      <c r="M12" s="343"/>
      <c r="N12" s="343"/>
      <c r="O12" s="343"/>
      <c r="P12" s="343"/>
      <c r="Q12" s="343"/>
      <c r="R12" s="343"/>
    </row>
    <row r="13" spans="1:20" x14ac:dyDescent="0.2">
      <c r="A13" s="218"/>
      <c r="B13" s="138"/>
      <c r="C13" s="134" t="s">
        <v>369</v>
      </c>
      <c r="D13" s="134"/>
      <c r="E13" s="134"/>
      <c r="F13" s="134"/>
      <c r="G13" s="134"/>
      <c r="H13" s="134"/>
      <c r="I13" s="134"/>
      <c r="J13" s="133"/>
    </row>
    <row r="14" spans="1:20" x14ac:dyDescent="0.2">
      <c r="A14" s="218"/>
      <c r="B14" s="138"/>
      <c r="C14" s="134" t="s">
        <v>368</v>
      </c>
      <c r="D14" s="134"/>
      <c r="E14" s="134"/>
      <c r="F14" s="134"/>
      <c r="G14" s="134"/>
      <c r="H14" s="134"/>
      <c r="I14" s="134"/>
      <c r="J14" s="133"/>
      <c r="L14" s="227" t="s">
        <v>285</v>
      </c>
    </row>
    <row r="15" spans="1:20" x14ac:dyDescent="0.2">
      <c r="A15" s="218"/>
      <c r="B15" s="138"/>
      <c r="C15" s="134" t="s">
        <v>367</v>
      </c>
      <c r="D15" s="134"/>
      <c r="E15" s="134"/>
      <c r="F15" s="134"/>
      <c r="G15" s="134"/>
      <c r="H15" s="134"/>
      <c r="I15" s="134"/>
      <c r="J15" s="133"/>
    </row>
    <row r="16" spans="1:20" x14ac:dyDescent="0.2">
      <c r="A16" s="218"/>
      <c r="B16" s="138"/>
      <c r="C16" s="134"/>
      <c r="D16" s="134"/>
      <c r="E16" s="134"/>
      <c r="F16" s="134"/>
      <c r="G16" s="134"/>
      <c r="H16" s="134"/>
      <c r="I16" s="134"/>
      <c r="J16" s="133"/>
      <c r="L16" s="343" t="s">
        <v>366</v>
      </c>
      <c r="M16" s="343"/>
      <c r="N16" s="343"/>
      <c r="O16" s="343"/>
      <c r="P16" s="343"/>
      <c r="Q16" s="343"/>
      <c r="R16" s="343"/>
    </row>
    <row r="17" spans="1:18" x14ac:dyDescent="0.2">
      <c r="A17" s="218" t="s">
        <v>197</v>
      </c>
      <c r="B17" s="138" t="s">
        <v>362</v>
      </c>
      <c r="C17" s="134" t="s">
        <v>365</v>
      </c>
      <c r="D17" s="134"/>
      <c r="E17" s="134"/>
      <c r="F17" s="134"/>
      <c r="G17" s="134"/>
      <c r="H17" s="134"/>
      <c r="I17" s="134"/>
      <c r="J17" s="133"/>
      <c r="L17" s="343"/>
      <c r="M17" s="343"/>
      <c r="N17" s="343"/>
      <c r="O17" s="343"/>
      <c r="P17" s="343"/>
      <c r="Q17" s="343"/>
      <c r="R17" s="343"/>
    </row>
    <row r="18" spans="1:18" x14ac:dyDescent="0.2">
      <c r="A18" s="218"/>
      <c r="B18" s="138"/>
      <c r="C18" s="134" t="s">
        <v>364</v>
      </c>
      <c r="D18" s="134"/>
      <c r="E18" s="134"/>
      <c r="F18" s="134"/>
      <c r="G18" s="134"/>
      <c r="H18" s="134"/>
      <c r="I18" s="134"/>
      <c r="J18" s="133"/>
    </row>
    <row r="19" spans="1:18" x14ac:dyDescent="0.2">
      <c r="A19" s="218"/>
      <c r="B19" s="138"/>
      <c r="C19" s="134"/>
      <c r="D19" s="134"/>
      <c r="E19" s="134"/>
      <c r="F19" s="134"/>
      <c r="G19" s="134"/>
      <c r="H19" s="134"/>
      <c r="I19" s="134"/>
      <c r="J19" s="133"/>
      <c r="L19" s="227" t="s">
        <v>363</v>
      </c>
    </row>
    <row r="20" spans="1:18" x14ac:dyDescent="0.2">
      <c r="A20" s="218" t="s">
        <v>192</v>
      </c>
      <c r="B20" s="138" t="s">
        <v>362</v>
      </c>
      <c r="C20" s="134" t="s">
        <v>361</v>
      </c>
      <c r="D20" s="134"/>
      <c r="E20" s="134"/>
      <c r="F20" s="134"/>
      <c r="G20" s="134"/>
      <c r="H20" s="134"/>
      <c r="I20" s="134"/>
      <c r="J20" s="133"/>
    </row>
    <row r="21" spans="1:18" x14ac:dyDescent="0.2">
      <c r="A21" s="218"/>
      <c r="B21" s="138"/>
      <c r="C21" s="134" t="s">
        <v>360</v>
      </c>
      <c r="D21" s="134"/>
      <c r="E21" s="134"/>
      <c r="F21" s="134"/>
      <c r="G21" s="134"/>
      <c r="H21" s="134"/>
      <c r="I21" s="134"/>
      <c r="J21" s="133"/>
      <c r="L21" s="343" t="s">
        <v>359</v>
      </c>
      <c r="M21" s="343"/>
      <c r="N21" s="343"/>
      <c r="O21" s="343"/>
      <c r="P21" s="343"/>
      <c r="Q21" s="343"/>
      <c r="R21" s="343"/>
    </row>
    <row r="22" spans="1:18" x14ac:dyDescent="0.2">
      <c r="A22" s="218"/>
      <c r="B22" s="138"/>
      <c r="C22" s="134"/>
      <c r="D22" s="134"/>
      <c r="E22" s="134"/>
      <c r="F22" s="134"/>
      <c r="G22" s="134"/>
      <c r="H22" s="134"/>
      <c r="I22" s="134"/>
      <c r="J22" s="133"/>
      <c r="L22" s="343"/>
      <c r="M22" s="343"/>
      <c r="N22" s="343"/>
      <c r="O22" s="343"/>
      <c r="P22" s="343"/>
      <c r="Q22" s="343"/>
      <c r="R22" s="343"/>
    </row>
    <row r="23" spans="1:18" x14ac:dyDescent="0.2">
      <c r="A23" s="218" t="s">
        <v>358</v>
      </c>
      <c r="B23" s="138" t="s">
        <v>282</v>
      </c>
      <c r="C23" s="134" t="s">
        <v>357</v>
      </c>
      <c r="D23" s="134"/>
      <c r="E23" s="134"/>
      <c r="F23" s="134"/>
      <c r="G23" s="134"/>
      <c r="H23" s="134"/>
      <c r="I23" s="134"/>
      <c r="J23" s="133"/>
      <c r="L23" s="343"/>
      <c r="M23" s="343"/>
      <c r="N23" s="343"/>
      <c r="O23" s="343"/>
      <c r="P23" s="343"/>
      <c r="Q23" s="343"/>
      <c r="R23" s="343"/>
    </row>
    <row r="24" spans="1:18" x14ac:dyDescent="0.2">
      <c r="A24" s="218"/>
      <c r="B24" s="139"/>
      <c r="C24" s="134" t="s">
        <v>356</v>
      </c>
      <c r="D24" s="134"/>
      <c r="E24" s="134"/>
      <c r="F24" s="134"/>
      <c r="G24" s="134"/>
      <c r="H24" s="134"/>
      <c r="I24" s="134"/>
      <c r="J24" s="133"/>
      <c r="L24" s="343"/>
      <c r="M24" s="343"/>
      <c r="N24" s="343"/>
      <c r="O24" s="343"/>
      <c r="P24" s="343"/>
      <c r="Q24" s="343"/>
      <c r="R24" s="343"/>
    </row>
    <row r="25" spans="1:18" x14ac:dyDescent="0.2">
      <c r="A25" s="218"/>
      <c r="B25" s="139"/>
      <c r="C25" s="134"/>
      <c r="D25" s="134"/>
      <c r="E25" s="134"/>
      <c r="F25" s="134"/>
      <c r="G25" s="134"/>
      <c r="H25" s="134"/>
      <c r="I25" s="134"/>
      <c r="J25" s="133"/>
    </row>
    <row r="26" spans="1:18" ht="17" thickBot="1" x14ac:dyDescent="0.25">
      <c r="A26" s="216"/>
      <c r="B26" s="262"/>
      <c r="C26" s="263"/>
      <c r="D26" s="262"/>
      <c r="E26" s="262"/>
      <c r="F26" s="262"/>
      <c r="G26" s="262"/>
      <c r="H26" s="262"/>
      <c r="I26" s="262"/>
      <c r="J26" s="261"/>
      <c r="L26" s="227" t="s">
        <v>355</v>
      </c>
    </row>
    <row r="27" spans="1:18" ht="17" thickBot="1" x14ac:dyDescent="0.25">
      <c r="A27" s="229" t="s">
        <v>145</v>
      </c>
      <c r="B27" s="130"/>
      <c r="C27" s="228"/>
      <c r="D27" s="130"/>
      <c r="E27" s="130"/>
      <c r="F27" s="130"/>
      <c r="G27" s="130"/>
      <c r="H27" s="130"/>
      <c r="I27" s="130"/>
      <c r="J27" s="129"/>
    </row>
    <row r="28" spans="1:18" x14ac:dyDescent="0.2">
      <c r="L28" s="343" t="s">
        <v>354</v>
      </c>
      <c r="M28" s="343"/>
      <c r="N28" s="343"/>
      <c r="O28" s="343"/>
      <c r="P28" s="343"/>
      <c r="Q28" s="343"/>
      <c r="R28" s="343"/>
    </row>
    <row r="29" spans="1:18" x14ac:dyDescent="0.2">
      <c r="L29" s="343"/>
      <c r="M29" s="343"/>
      <c r="N29" s="343"/>
      <c r="O29" s="343"/>
      <c r="P29" s="343"/>
      <c r="Q29" s="343"/>
      <c r="R29" s="343"/>
    </row>
    <row r="30" spans="1:18" x14ac:dyDescent="0.2">
      <c r="L30" s="343"/>
      <c r="M30" s="343"/>
      <c r="N30" s="343"/>
      <c r="O30" s="343"/>
      <c r="P30" s="343"/>
      <c r="Q30" s="343"/>
      <c r="R30" s="343"/>
    </row>
    <row r="32" spans="1:18" ht="19" x14ac:dyDescent="0.2">
      <c r="L32" s="231" t="s">
        <v>132</v>
      </c>
    </row>
    <row r="33" spans="12:23" x14ac:dyDescent="0.2">
      <c r="L33" s="343" t="s">
        <v>558</v>
      </c>
      <c r="M33" s="343"/>
      <c r="N33" s="343"/>
      <c r="O33" s="343"/>
      <c r="P33" s="343"/>
      <c r="Q33" s="343"/>
      <c r="R33" s="343"/>
    </row>
    <row r="34" spans="12:23" x14ac:dyDescent="0.2">
      <c r="L34" s="343"/>
      <c r="M34" s="343"/>
      <c r="N34" s="343"/>
      <c r="O34" s="343"/>
      <c r="P34" s="343"/>
      <c r="Q34" s="343"/>
      <c r="R34" s="343"/>
    </row>
    <row r="35" spans="12:23" x14ac:dyDescent="0.2">
      <c r="L35" s="343"/>
      <c r="M35" s="343"/>
      <c r="N35" s="343"/>
      <c r="O35" s="343"/>
      <c r="P35" s="343"/>
      <c r="Q35" s="343"/>
      <c r="R35" s="343"/>
    </row>
    <row r="36" spans="12:23" x14ac:dyDescent="0.2">
      <c r="L36" s="343"/>
      <c r="M36" s="343"/>
      <c r="N36" s="343"/>
      <c r="O36" s="343"/>
      <c r="P36" s="343"/>
      <c r="Q36" s="343"/>
      <c r="R36" s="343"/>
    </row>
    <row r="37" spans="12:23" x14ac:dyDescent="0.2">
      <c r="L37" s="343"/>
      <c r="M37" s="343"/>
      <c r="N37" s="343"/>
      <c r="O37" s="343"/>
      <c r="P37" s="343"/>
      <c r="Q37" s="343"/>
      <c r="R37" s="343"/>
    </row>
    <row r="38" spans="12:23" x14ac:dyDescent="0.2">
      <c r="L38" s="343"/>
      <c r="M38" s="343"/>
      <c r="N38" s="343"/>
      <c r="O38" s="343"/>
      <c r="P38" s="343"/>
      <c r="Q38" s="343"/>
      <c r="R38" s="343"/>
    </row>
    <row r="39" spans="12:23" x14ac:dyDescent="0.2">
      <c r="L39" s="343"/>
      <c r="M39" s="343"/>
      <c r="N39" s="343"/>
      <c r="O39" s="343"/>
      <c r="P39" s="343"/>
      <c r="Q39" s="343"/>
      <c r="R39" s="343"/>
    </row>
    <row r="40" spans="12:23" x14ac:dyDescent="0.2">
      <c r="L40" s="343"/>
      <c r="M40" s="343"/>
      <c r="N40" s="343"/>
      <c r="O40" s="343"/>
      <c r="P40" s="343"/>
      <c r="Q40" s="343"/>
      <c r="R40" s="343"/>
    </row>
    <row r="41" spans="12:23" x14ac:dyDescent="0.2">
      <c r="L41" s="343"/>
      <c r="M41" s="343"/>
      <c r="N41" s="343"/>
      <c r="O41" s="343"/>
      <c r="P41" s="343"/>
      <c r="Q41" s="343"/>
      <c r="R41" s="343"/>
    </row>
    <row r="42" spans="12:23" x14ac:dyDescent="0.2">
      <c r="L42" s="343"/>
      <c r="M42" s="343"/>
      <c r="N42" s="343"/>
      <c r="O42" s="343"/>
      <c r="P42" s="343"/>
      <c r="Q42" s="343"/>
      <c r="R42" s="343"/>
    </row>
    <row r="43" spans="12:23" x14ac:dyDescent="0.2">
      <c r="L43" s="343"/>
      <c r="M43" s="343"/>
      <c r="N43" s="343"/>
      <c r="O43" s="343"/>
      <c r="P43" s="343"/>
      <c r="Q43" s="343"/>
      <c r="R43" s="343"/>
    </row>
    <row r="44" spans="12:23" x14ac:dyDescent="0.2">
      <c r="L44" s="343"/>
      <c r="M44" s="343"/>
      <c r="N44" s="343"/>
      <c r="O44" s="343"/>
      <c r="P44" s="343"/>
      <c r="Q44" s="343"/>
      <c r="R44" s="343"/>
    </row>
    <row r="45" spans="12:23" x14ac:dyDescent="0.2">
      <c r="L45" s="260"/>
      <c r="M45" s="260"/>
      <c r="N45" s="260"/>
      <c r="O45" s="260"/>
      <c r="P45" s="260"/>
      <c r="Q45" s="260"/>
      <c r="R45" s="260"/>
    </row>
    <row r="46" spans="12:23" ht="15" customHeight="1" x14ac:dyDescent="0.2">
      <c r="L46" s="231" t="s">
        <v>172</v>
      </c>
    </row>
    <row r="47" spans="12:23" ht="15.75" customHeight="1" x14ac:dyDescent="0.2">
      <c r="L47" s="343" t="s">
        <v>353</v>
      </c>
      <c r="M47" s="343"/>
      <c r="N47" s="343"/>
      <c r="O47" s="343"/>
      <c r="P47" s="343"/>
      <c r="Q47" s="343"/>
      <c r="R47" s="343"/>
    </row>
    <row r="48" spans="12:23" x14ac:dyDescent="0.2">
      <c r="L48" t="s">
        <v>352</v>
      </c>
      <c r="M48" s="260"/>
      <c r="N48" s="260"/>
      <c r="O48" s="260"/>
      <c r="P48" s="260"/>
      <c r="Q48" s="260"/>
      <c r="R48" s="260"/>
      <c r="S48" s="260"/>
      <c r="T48" s="260"/>
      <c r="U48" s="260"/>
      <c r="V48" s="260"/>
      <c r="W48" s="260"/>
    </row>
  </sheetData>
  <mergeCells count="7">
    <mergeCell ref="L33:R44"/>
    <mergeCell ref="L47:R47"/>
    <mergeCell ref="L5:R6"/>
    <mergeCell ref="L10:R12"/>
    <mergeCell ref="L16:R17"/>
    <mergeCell ref="L21:R24"/>
    <mergeCell ref="L28:R30"/>
  </mergeCells>
  <pageMargins left="0.7" right="0.7" top="0.75" bottom="0.75" header="0.3" footer="0.3"/>
  <pageSetup fitToWidth="2" orientation="portrait" horizontalDpi="0" verticalDpi="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8590-B958-4046-BE66-294D63B169BB}">
  <dimension ref="A1:S21"/>
  <sheetViews>
    <sheetView workbookViewId="0">
      <selection activeCell="T23" sqref="T23"/>
    </sheetView>
  </sheetViews>
  <sheetFormatPr baseColWidth="10" defaultColWidth="11" defaultRowHeight="16" outlineLevelCol="1" x14ac:dyDescent="0.2"/>
  <cols>
    <col min="1" max="1" width="4" style="120" customWidth="1"/>
    <col min="2" max="2" width="11.5" customWidth="1"/>
    <col min="12" max="12" width="10.83203125" hidden="1" customWidth="1" outlineLevel="1"/>
    <col min="13" max="13" width="13.33203125" hidden="1" customWidth="1" outlineLevel="1"/>
    <col min="14" max="18" width="10.83203125" hidden="1" customWidth="1" outlineLevel="1"/>
    <col min="19" max="19" width="11" collapsed="1"/>
  </cols>
  <sheetData>
    <row r="1" spans="1:19" x14ac:dyDescent="0.2">
      <c r="A1" s="241"/>
      <c r="B1" s="173" t="s">
        <v>308</v>
      </c>
      <c r="C1" s="172" t="s">
        <v>390</v>
      </c>
      <c r="D1" s="172" t="s">
        <v>306</v>
      </c>
      <c r="E1" s="172" t="s">
        <v>389</v>
      </c>
      <c r="F1" s="171"/>
      <c r="G1" s="171"/>
      <c r="H1" s="171"/>
      <c r="I1" s="171"/>
      <c r="J1" s="170"/>
      <c r="K1" s="227" t="s">
        <v>148</v>
      </c>
      <c r="L1" s="227"/>
    </row>
    <row r="2" spans="1:19" ht="19" x14ac:dyDescent="0.2">
      <c r="A2" s="218"/>
      <c r="B2" s="240" t="s">
        <v>304</v>
      </c>
      <c r="C2" s="239">
        <v>1</v>
      </c>
      <c r="D2" s="134"/>
      <c r="E2" s="134"/>
      <c r="F2" s="134"/>
      <c r="G2" s="134"/>
      <c r="H2" s="134"/>
      <c r="I2" s="134"/>
      <c r="J2" s="133"/>
      <c r="S2" s="231"/>
    </row>
    <row r="3" spans="1:19" x14ac:dyDescent="0.2">
      <c r="A3" s="218"/>
      <c r="B3" s="134"/>
      <c r="C3" s="134"/>
      <c r="D3" s="134"/>
      <c r="E3" s="134"/>
      <c r="F3" s="134"/>
      <c r="G3" s="134"/>
      <c r="H3" s="134"/>
      <c r="I3" s="134"/>
      <c r="J3" s="133"/>
      <c r="L3" s="227" t="s">
        <v>303</v>
      </c>
    </row>
    <row r="4" spans="1:19" ht="16" customHeight="1" x14ac:dyDescent="0.2">
      <c r="A4" s="218" t="s">
        <v>0</v>
      </c>
      <c r="B4" s="138" t="s">
        <v>282</v>
      </c>
      <c r="C4" s="134" t="s">
        <v>388</v>
      </c>
      <c r="D4" s="134"/>
      <c r="E4" s="134"/>
      <c r="F4" s="134"/>
      <c r="G4" s="134"/>
      <c r="H4" s="134"/>
      <c r="I4" s="134"/>
      <c r="J4" s="133"/>
      <c r="L4" s="343" t="s">
        <v>565</v>
      </c>
      <c r="M4" s="343"/>
      <c r="N4" s="343"/>
      <c r="O4" s="343"/>
      <c r="P4" s="343"/>
      <c r="Q4" s="343"/>
      <c r="R4" s="343"/>
    </row>
    <row r="5" spans="1:19" x14ac:dyDescent="0.2">
      <c r="A5" s="218"/>
      <c r="B5" s="134"/>
      <c r="C5" s="134" t="s">
        <v>387</v>
      </c>
      <c r="D5" s="134"/>
      <c r="E5" s="134"/>
      <c r="F5" s="134"/>
      <c r="G5" s="134"/>
      <c r="H5" s="134"/>
      <c r="I5" s="134"/>
      <c r="J5" s="133"/>
      <c r="L5" s="343"/>
      <c r="M5" s="343"/>
      <c r="N5" s="343"/>
      <c r="O5" s="343"/>
      <c r="P5" s="343"/>
      <c r="Q5" s="343"/>
      <c r="R5" s="343"/>
    </row>
    <row r="6" spans="1:19" x14ac:dyDescent="0.2">
      <c r="A6" s="218"/>
      <c r="B6" s="134"/>
      <c r="C6" s="134" t="s">
        <v>386</v>
      </c>
      <c r="D6" s="134"/>
      <c r="E6" s="134"/>
      <c r="F6" s="134"/>
      <c r="G6" s="134"/>
      <c r="H6" s="134"/>
      <c r="I6" s="134"/>
      <c r="J6" s="133"/>
      <c r="L6" s="343"/>
      <c r="M6" s="343"/>
      <c r="N6" s="343"/>
      <c r="O6" s="343"/>
      <c r="P6" s="343"/>
      <c r="Q6" s="343"/>
      <c r="R6" s="343"/>
    </row>
    <row r="7" spans="1:19" x14ac:dyDescent="0.2">
      <c r="A7" s="218"/>
      <c r="B7" s="134"/>
      <c r="C7" s="134"/>
      <c r="D7" s="134"/>
      <c r="E7" s="134"/>
      <c r="F7" s="134"/>
      <c r="G7" s="134"/>
      <c r="H7" s="134"/>
      <c r="I7" s="134"/>
      <c r="J7" s="133"/>
      <c r="L7" s="343"/>
      <c r="M7" s="343"/>
      <c r="N7" s="343"/>
      <c r="O7" s="343"/>
      <c r="P7" s="343"/>
      <c r="Q7" s="343"/>
      <c r="R7" s="343"/>
    </row>
    <row r="8" spans="1:19" x14ac:dyDescent="0.2">
      <c r="A8" s="218" t="s">
        <v>1</v>
      </c>
      <c r="B8" s="138" t="s">
        <v>282</v>
      </c>
      <c r="C8" s="134" t="s">
        <v>385</v>
      </c>
      <c r="D8" s="134"/>
      <c r="E8" s="134"/>
      <c r="F8" s="134"/>
      <c r="G8" s="134"/>
      <c r="H8" s="134"/>
      <c r="I8" s="134"/>
      <c r="J8" s="133"/>
      <c r="L8" s="343"/>
      <c r="M8" s="343"/>
      <c r="N8" s="343"/>
      <c r="O8" s="343"/>
      <c r="P8" s="343"/>
      <c r="Q8" s="343"/>
      <c r="R8" s="343"/>
    </row>
    <row r="9" spans="1:19" x14ac:dyDescent="0.2">
      <c r="A9" s="218"/>
      <c r="B9" s="134"/>
      <c r="C9" s="134"/>
      <c r="D9" s="134"/>
      <c r="E9" s="134"/>
      <c r="F9" s="134"/>
      <c r="G9" s="134"/>
      <c r="H9" s="134"/>
      <c r="I9" s="134"/>
      <c r="J9" s="133"/>
      <c r="L9" s="343"/>
      <c r="M9" s="343"/>
      <c r="N9" s="343"/>
      <c r="O9" s="343"/>
      <c r="P9" s="343"/>
      <c r="Q9" s="343"/>
      <c r="R9" s="343"/>
    </row>
    <row r="10" spans="1:19" ht="18" x14ac:dyDescent="0.25">
      <c r="A10" s="218"/>
      <c r="B10" s="134"/>
      <c r="C10" s="166" t="s">
        <v>384</v>
      </c>
      <c r="D10" s="165" t="s">
        <v>383</v>
      </c>
      <c r="E10" s="164" t="s">
        <v>21</v>
      </c>
      <c r="F10" s="134"/>
      <c r="G10" s="134"/>
      <c r="H10" s="134"/>
      <c r="I10" s="134"/>
      <c r="J10" s="133"/>
    </row>
    <row r="11" spans="1:19" x14ac:dyDescent="0.2">
      <c r="A11" s="218"/>
      <c r="B11" s="134"/>
      <c r="C11" s="158">
        <v>30000</v>
      </c>
      <c r="D11" s="266">
        <v>12</v>
      </c>
      <c r="E11" s="256">
        <v>2500</v>
      </c>
      <c r="F11" s="134"/>
      <c r="G11" s="134"/>
      <c r="H11" s="134"/>
      <c r="I11" s="134"/>
      <c r="J11" s="133"/>
      <c r="L11" s="227" t="s">
        <v>294</v>
      </c>
    </row>
    <row r="12" spans="1:19" x14ac:dyDescent="0.2">
      <c r="A12" s="218"/>
      <c r="B12" s="134"/>
      <c r="C12" s="158">
        <v>3000</v>
      </c>
      <c r="D12" s="266">
        <v>1.2</v>
      </c>
      <c r="E12" s="256">
        <v>2500</v>
      </c>
      <c r="F12" s="134"/>
      <c r="G12" s="134"/>
      <c r="H12" s="134"/>
      <c r="I12" s="134"/>
      <c r="J12" s="133"/>
      <c r="L12" s="343" t="s">
        <v>382</v>
      </c>
      <c r="M12" s="343"/>
      <c r="N12" s="343"/>
      <c r="O12" s="343"/>
      <c r="P12" s="343"/>
      <c r="Q12" s="343"/>
      <c r="R12" s="343"/>
    </row>
    <row r="13" spans="1:19" x14ac:dyDescent="0.2">
      <c r="A13" s="218"/>
      <c r="B13" s="139"/>
      <c r="C13" s="250">
        <v>300</v>
      </c>
      <c r="D13" s="265">
        <v>0.12</v>
      </c>
      <c r="E13" s="253">
        <v>2500</v>
      </c>
      <c r="F13" s="134"/>
      <c r="G13" s="134"/>
      <c r="H13" s="134"/>
      <c r="I13" s="134"/>
      <c r="J13" s="133"/>
      <c r="L13" s="343"/>
      <c r="M13" s="343"/>
      <c r="N13" s="343"/>
      <c r="O13" s="343"/>
      <c r="P13" s="343"/>
      <c r="Q13" s="343"/>
      <c r="R13" s="343"/>
    </row>
    <row r="14" spans="1:19" x14ac:dyDescent="0.2">
      <c r="A14" s="218"/>
      <c r="B14" s="139"/>
      <c r="C14" s="134"/>
      <c r="D14" s="134"/>
      <c r="E14" s="134"/>
      <c r="F14" s="134"/>
      <c r="G14" s="134"/>
      <c r="H14" s="134"/>
      <c r="I14" s="134"/>
      <c r="J14" s="133"/>
      <c r="L14" s="343"/>
      <c r="M14" s="343"/>
      <c r="N14" s="343"/>
      <c r="O14" s="343"/>
      <c r="P14" s="343"/>
      <c r="Q14" s="343"/>
      <c r="R14" s="343"/>
    </row>
    <row r="15" spans="1:19" ht="18" x14ac:dyDescent="0.25">
      <c r="A15" s="218"/>
      <c r="B15" s="139"/>
      <c r="C15" s="134" t="s">
        <v>381</v>
      </c>
      <c r="D15" s="134"/>
      <c r="E15" s="134"/>
      <c r="F15" s="134"/>
      <c r="G15" s="134"/>
      <c r="H15" s="134"/>
      <c r="I15" s="134"/>
      <c r="J15" s="133"/>
      <c r="L15" s="343"/>
      <c r="M15" s="343"/>
      <c r="N15" s="343"/>
      <c r="O15" s="343"/>
      <c r="P15" s="343"/>
      <c r="Q15" s="343"/>
      <c r="R15" s="343"/>
    </row>
    <row r="16" spans="1:19" x14ac:dyDescent="0.2">
      <c r="A16" s="218"/>
      <c r="B16" s="139"/>
      <c r="C16" s="134" t="s">
        <v>380</v>
      </c>
      <c r="D16" s="134"/>
      <c r="E16" s="134"/>
      <c r="F16" s="134"/>
      <c r="G16" s="134"/>
      <c r="H16" s="134"/>
      <c r="I16" s="134"/>
      <c r="J16" s="133"/>
      <c r="L16" s="343"/>
      <c r="M16" s="343"/>
      <c r="N16" s="343"/>
      <c r="O16" s="343"/>
      <c r="P16" s="343"/>
      <c r="Q16" s="343"/>
      <c r="R16" s="343"/>
    </row>
    <row r="17" spans="1:18" ht="17" thickBot="1" x14ac:dyDescent="0.25">
      <c r="A17" s="218"/>
      <c r="B17" s="139"/>
      <c r="C17" s="134"/>
      <c r="D17" s="134"/>
      <c r="E17" s="134"/>
      <c r="F17" s="134"/>
      <c r="G17" s="134"/>
      <c r="H17" s="134"/>
      <c r="I17" s="134"/>
      <c r="J17" s="133"/>
      <c r="L17" s="343"/>
      <c r="M17" s="343"/>
      <c r="N17" s="343"/>
      <c r="O17" s="343"/>
      <c r="P17" s="343"/>
      <c r="Q17" s="343"/>
      <c r="R17" s="343"/>
    </row>
    <row r="18" spans="1:18" ht="17" thickBot="1" x14ac:dyDescent="0.25">
      <c r="A18" s="229" t="s">
        <v>145</v>
      </c>
      <c r="B18" s="130"/>
      <c r="C18" s="228"/>
      <c r="D18" s="130"/>
      <c r="E18" s="130"/>
      <c r="F18" s="130"/>
      <c r="G18" s="130"/>
      <c r="H18" s="130"/>
      <c r="I18" s="130"/>
      <c r="J18" s="129"/>
      <c r="L18" s="343"/>
      <c r="M18" s="343"/>
      <c r="N18" s="343"/>
      <c r="O18" s="343"/>
      <c r="P18" s="343"/>
      <c r="Q18" s="343"/>
      <c r="R18" s="343"/>
    </row>
    <row r="20" spans="1:18" ht="19" x14ac:dyDescent="0.2">
      <c r="L20" s="231" t="s">
        <v>172</v>
      </c>
    </row>
    <row r="21" spans="1:18" x14ac:dyDescent="0.2">
      <c r="L21" s="343" t="s">
        <v>318</v>
      </c>
      <c r="M21" s="343"/>
      <c r="N21" s="343"/>
      <c r="O21" s="343"/>
      <c r="P21" s="343"/>
      <c r="Q21" s="343"/>
      <c r="R21" s="343"/>
    </row>
  </sheetData>
  <mergeCells count="3">
    <mergeCell ref="L12:R18"/>
    <mergeCell ref="L21:R21"/>
    <mergeCell ref="L4:R9"/>
  </mergeCells>
  <pageMargins left="0.7" right="0.7" top="0.75" bottom="0.75" header="0.3" footer="0.3"/>
  <pageSetup orientation="portrait" horizontalDpi="0" verticalDpi="0"/>
  <drawing r:id="rId1"/>
  <legacyDrawing r:id="rId2"/>
  <oleObjects>
    <mc:AlternateContent xmlns:mc="http://schemas.openxmlformats.org/markup-compatibility/2006">
      <mc:Choice Requires="x14">
        <oleObject progId="Equation.DSMT4" shapeId="16385" r:id="rId3">
          <objectPr defaultSize="0" autoPict="0" r:id="rId4">
            <anchor moveWithCells="1" sizeWithCells="1">
              <from>
                <xdr:col>11</xdr:col>
                <xdr:colOff>203200</xdr:colOff>
                <xdr:row>13</xdr:row>
                <xdr:rowOff>76200</xdr:rowOff>
              </from>
              <to>
                <xdr:col>12</xdr:col>
                <xdr:colOff>406400</xdr:colOff>
                <xdr:row>15</xdr:row>
                <xdr:rowOff>76200</xdr:rowOff>
              </to>
            </anchor>
          </objectPr>
        </oleObject>
      </mc:Choice>
      <mc:Fallback>
        <oleObject progId="Equation.DSMT4" shapeId="16385" r:id="rId3"/>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0FAFC-DF39-F545-9A75-C9368B843A2E}">
  <dimension ref="A1:S36"/>
  <sheetViews>
    <sheetView workbookViewId="0">
      <selection activeCell="B1" sqref="B1"/>
    </sheetView>
  </sheetViews>
  <sheetFormatPr baseColWidth="10" defaultColWidth="11" defaultRowHeight="16" outlineLevelCol="1" x14ac:dyDescent="0.2"/>
  <cols>
    <col min="1" max="1" width="4" style="120" customWidth="1"/>
    <col min="2" max="2" width="11.5" customWidth="1"/>
    <col min="3" max="5" width="11.33203125" customWidth="1"/>
    <col min="12" max="12" width="10.83203125" hidden="1" customWidth="1" outlineLevel="1"/>
    <col min="13" max="13" width="11.33203125" hidden="1" customWidth="1" outlineLevel="1"/>
    <col min="14" max="18" width="10.83203125" hidden="1" customWidth="1" outlineLevel="1"/>
    <col min="19" max="19" width="11" collapsed="1"/>
  </cols>
  <sheetData>
    <row r="1" spans="1:18" x14ac:dyDescent="0.2">
      <c r="A1" s="241"/>
      <c r="B1" s="173" t="s">
        <v>308</v>
      </c>
      <c r="C1" s="172" t="s">
        <v>425</v>
      </c>
      <c r="D1" s="172" t="s">
        <v>306</v>
      </c>
      <c r="E1" s="172" t="s">
        <v>424</v>
      </c>
      <c r="F1" s="171"/>
      <c r="G1" s="171"/>
      <c r="H1" s="171"/>
      <c r="I1" s="171"/>
      <c r="J1" s="170"/>
      <c r="K1" s="227" t="s">
        <v>148</v>
      </c>
      <c r="L1" s="227"/>
    </row>
    <row r="2" spans="1:18" x14ac:dyDescent="0.2">
      <c r="A2" s="218"/>
      <c r="B2" s="240" t="s">
        <v>304</v>
      </c>
      <c r="C2" s="239">
        <v>2.5</v>
      </c>
      <c r="D2" s="134"/>
      <c r="E2" s="134"/>
      <c r="F2" s="134"/>
      <c r="G2" s="134"/>
      <c r="H2" s="134"/>
      <c r="I2" s="134"/>
      <c r="J2" s="133"/>
    </row>
    <row r="3" spans="1:18" x14ac:dyDescent="0.2">
      <c r="A3" s="218"/>
      <c r="B3" s="134"/>
      <c r="C3" s="134"/>
      <c r="D3" s="134"/>
      <c r="E3" s="134"/>
      <c r="F3" s="134"/>
      <c r="G3" s="134"/>
      <c r="H3" s="134"/>
      <c r="I3" s="134"/>
      <c r="J3" s="133"/>
      <c r="L3" s="227" t="s">
        <v>303</v>
      </c>
      <c r="M3" s="271"/>
    </row>
    <row r="4" spans="1:18" x14ac:dyDescent="0.2">
      <c r="A4" s="218"/>
      <c r="B4" s="134"/>
      <c r="C4" s="134" t="s">
        <v>423</v>
      </c>
      <c r="D4" s="134"/>
      <c r="E4" s="134"/>
      <c r="F4" s="134"/>
      <c r="G4" s="134"/>
      <c r="H4" s="134"/>
      <c r="I4" s="134"/>
      <c r="J4" s="133"/>
      <c r="M4" s="271"/>
    </row>
    <row r="5" spans="1:18" x14ac:dyDescent="0.2">
      <c r="A5" s="218"/>
      <c r="B5" s="134"/>
      <c r="C5" s="134" t="s">
        <v>422</v>
      </c>
      <c r="D5" s="134"/>
      <c r="E5" s="134"/>
      <c r="F5" s="134"/>
      <c r="G5" s="134"/>
      <c r="H5" s="134"/>
      <c r="I5" s="134"/>
      <c r="J5" s="133"/>
      <c r="L5" t="s">
        <v>421</v>
      </c>
      <c r="M5" s="252">
        <f>H14/H13</f>
        <v>1.5</v>
      </c>
      <c r="N5" s="264"/>
    </row>
    <row r="6" spans="1:18" x14ac:dyDescent="0.2">
      <c r="A6" s="218"/>
      <c r="B6" s="134"/>
      <c r="C6" s="134"/>
      <c r="D6" s="134"/>
      <c r="E6" s="134"/>
      <c r="F6" s="134"/>
      <c r="G6" s="134"/>
      <c r="H6" s="134"/>
      <c r="I6" s="134"/>
      <c r="J6" s="133"/>
    </row>
    <row r="7" spans="1:18" x14ac:dyDescent="0.2">
      <c r="A7" s="218"/>
      <c r="B7" s="134"/>
      <c r="C7" s="134" t="s">
        <v>420</v>
      </c>
      <c r="D7" s="134"/>
      <c r="E7" s="134"/>
      <c r="F7" s="134"/>
      <c r="G7" s="134"/>
      <c r="H7" s="134"/>
      <c r="I7" s="134"/>
      <c r="J7" s="133"/>
      <c r="L7" s="270" t="s">
        <v>419</v>
      </c>
      <c r="M7" s="160" t="s">
        <v>418</v>
      </c>
    </row>
    <row r="8" spans="1:18" x14ac:dyDescent="0.2">
      <c r="A8" s="218"/>
      <c r="B8" s="134"/>
      <c r="C8" s="134" t="s">
        <v>417</v>
      </c>
      <c r="D8" s="134"/>
      <c r="E8" s="134"/>
      <c r="F8" s="134"/>
      <c r="G8" s="134"/>
      <c r="H8" s="134"/>
      <c r="I8" s="134"/>
      <c r="J8" s="133"/>
      <c r="L8" s="269" t="s">
        <v>416</v>
      </c>
      <c r="M8" s="268">
        <f>F19*(H14-H13)</f>
        <v>37500</v>
      </c>
      <c r="N8" t="s">
        <v>415</v>
      </c>
    </row>
    <row r="9" spans="1:18" x14ac:dyDescent="0.2">
      <c r="A9" s="218"/>
      <c r="B9" s="134"/>
      <c r="C9" s="134" t="s">
        <v>414</v>
      </c>
      <c r="D9" s="134"/>
      <c r="E9" s="134"/>
      <c r="F9" s="134"/>
      <c r="G9" s="134"/>
      <c r="H9" s="134"/>
      <c r="I9" s="134"/>
      <c r="J9" s="133"/>
      <c r="L9" s="269" t="s">
        <v>413</v>
      </c>
      <c r="M9" s="268">
        <f>G20*M5*(M5-1)*H13</f>
        <v>46875</v>
      </c>
      <c r="N9" t="s">
        <v>412</v>
      </c>
    </row>
    <row r="10" spans="1:18" x14ac:dyDescent="0.2">
      <c r="A10" s="218"/>
      <c r="B10" s="134"/>
      <c r="C10" s="134"/>
      <c r="D10" s="134"/>
      <c r="E10" s="134"/>
      <c r="F10" s="134"/>
      <c r="G10" s="134"/>
      <c r="H10" s="134"/>
      <c r="I10" s="134"/>
      <c r="J10" s="133"/>
      <c r="L10" s="269" t="s">
        <v>411</v>
      </c>
      <c r="M10" s="268">
        <f>F21*H13</f>
        <v>87500</v>
      </c>
      <c r="N10" t="s">
        <v>410</v>
      </c>
    </row>
    <row r="11" spans="1:18" x14ac:dyDescent="0.2">
      <c r="A11" s="218"/>
      <c r="B11" s="134"/>
      <c r="C11" s="134" t="s">
        <v>11</v>
      </c>
      <c r="D11" s="134"/>
      <c r="E11" s="134"/>
      <c r="F11" s="134"/>
      <c r="G11" s="134"/>
      <c r="H11" s="134"/>
      <c r="I11" s="134"/>
      <c r="J11" s="133"/>
      <c r="L11" s="227"/>
      <c r="M11" s="226"/>
    </row>
    <row r="12" spans="1:18" x14ac:dyDescent="0.2">
      <c r="A12" s="218"/>
      <c r="B12" s="134"/>
      <c r="C12" s="134"/>
      <c r="D12" s="134"/>
      <c r="E12" s="134"/>
      <c r="F12" s="134"/>
      <c r="G12" s="134"/>
      <c r="H12" s="134"/>
      <c r="I12" s="134"/>
      <c r="J12" s="133"/>
      <c r="L12" s="227" t="s">
        <v>294</v>
      </c>
    </row>
    <row r="13" spans="1:18" ht="16" customHeight="1" x14ac:dyDescent="0.2">
      <c r="A13" s="218"/>
      <c r="B13" s="134"/>
      <c r="C13" s="134" t="s">
        <v>409</v>
      </c>
      <c r="D13" s="134"/>
      <c r="E13" s="134"/>
      <c r="F13" s="134"/>
      <c r="G13" s="134"/>
      <c r="H13" s="267">
        <v>50000</v>
      </c>
      <c r="I13" s="134"/>
      <c r="J13" s="133"/>
      <c r="L13" s="342" t="s">
        <v>408</v>
      </c>
      <c r="M13" s="342"/>
      <c r="N13" s="342"/>
      <c r="O13" s="342"/>
      <c r="P13" s="342"/>
      <c r="Q13" s="342"/>
      <c r="R13" s="342"/>
    </row>
    <row r="14" spans="1:18" ht="15.5" customHeight="1" x14ac:dyDescent="0.2">
      <c r="A14" s="218"/>
      <c r="B14" s="139"/>
      <c r="C14" s="134" t="s">
        <v>407</v>
      </c>
      <c r="D14" s="134"/>
      <c r="E14" s="134"/>
      <c r="F14" s="134"/>
      <c r="G14" s="134"/>
      <c r="H14" s="267">
        <v>75000</v>
      </c>
      <c r="I14" s="134"/>
      <c r="J14" s="133"/>
      <c r="L14" s="342"/>
      <c r="M14" s="342"/>
      <c r="N14" s="342"/>
      <c r="O14" s="342"/>
      <c r="P14" s="342"/>
      <c r="Q14" s="342"/>
      <c r="R14" s="342"/>
    </row>
    <row r="15" spans="1:18" x14ac:dyDescent="0.2">
      <c r="A15" s="218"/>
      <c r="B15" s="139"/>
      <c r="C15" s="134"/>
      <c r="D15" s="134"/>
      <c r="E15" s="134"/>
      <c r="F15" s="134"/>
      <c r="G15" s="134"/>
      <c r="H15" s="134"/>
      <c r="I15" s="134"/>
      <c r="J15" s="133"/>
      <c r="L15" s="342"/>
      <c r="M15" s="342"/>
      <c r="N15" s="342"/>
      <c r="O15" s="342"/>
      <c r="P15" s="342"/>
      <c r="Q15" s="342"/>
      <c r="R15" s="342"/>
    </row>
    <row r="16" spans="1:18" x14ac:dyDescent="0.2">
      <c r="A16" s="218" t="s">
        <v>0</v>
      </c>
      <c r="B16" s="138" t="s">
        <v>406</v>
      </c>
      <c r="C16" s="134" t="s">
        <v>405</v>
      </c>
      <c r="D16" s="134"/>
      <c r="E16" s="134"/>
      <c r="F16" s="134"/>
      <c r="G16" s="134"/>
      <c r="H16" s="134"/>
      <c r="I16" s="134"/>
      <c r="J16" s="133"/>
      <c r="L16" s="342"/>
      <c r="M16" s="342"/>
      <c r="N16" s="342"/>
      <c r="O16" s="342"/>
      <c r="P16" s="342"/>
      <c r="Q16" s="342"/>
      <c r="R16" s="342"/>
    </row>
    <row r="17" spans="1:18" x14ac:dyDescent="0.2">
      <c r="A17" s="218"/>
      <c r="B17" s="139"/>
      <c r="C17" s="134" t="s">
        <v>404</v>
      </c>
      <c r="D17" s="134"/>
      <c r="E17" s="134"/>
      <c r="F17" s="134"/>
      <c r="G17" s="134"/>
      <c r="H17" s="134"/>
      <c r="I17" s="134"/>
      <c r="J17" s="133"/>
    </row>
    <row r="18" spans="1:18" x14ac:dyDescent="0.2">
      <c r="A18" s="218"/>
      <c r="B18" s="139"/>
      <c r="C18" s="134"/>
      <c r="D18" s="134"/>
      <c r="E18" s="134"/>
      <c r="F18" s="134"/>
      <c r="G18" s="134"/>
      <c r="H18" s="134"/>
      <c r="I18" s="134"/>
      <c r="J18" s="133"/>
      <c r="L18" s="227" t="s">
        <v>285</v>
      </c>
    </row>
    <row r="19" spans="1:18" x14ac:dyDescent="0.2">
      <c r="A19" s="218"/>
      <c r="B19" s="139"/>
      <c r="C19" s="134" t="s">
        <v>403</v>
      </c>
      <c r="D19" s="134"/>
      <c r="E19" s="134"/>
      <c r="F19" s="139">
        <v>1.5</v>
      </c>
      <c r="G19" s="139"/>
      <c r="H19" s="134"/>
      <c r="I19" s="134"/>
      <c r="J19" s="133"/>
      <c r="L19" s="342" t="s">
        <v>402</v>
      </c>
      <c r="M19" s="342"/>
      <c r="N19" s="342"/>
      <c r="O19" s="342"/>
      <c r="P19" s="342"/>
      <c r="Q19" s="342"/>
      <c r="R19" s="342"/>
    </row>
    <row r="20" spans="1:18" ht="15.5" customHeight="1" x14ac:dyDescent="0.2">
      <c r="A20" s="218"/>
      <c r="B20" s="139"/>
      <c r="C20" s="134" t="s">
        <v>401</v>
      </c>
      <c r="D20" s="134"/>
      <c r="E20" s="134"/>
      <c r="F20" s="139"/>
      <c r="G20" s="139">
        <v>1.25</v>
      </c>
      <c r="H20" s="134"/>
      <c r="I20" s="134"/>
      <c r="J20" s="133"/>
      <c r="L20" s="342"/>
      <c r="M20" s="342"/>
      <c r="N20" s="342"/>
      <c r="O20" s="342"/>
      <c r="P20" s="342"/>
      <c r="Q20" s="342"/>
      <c r="R20" s="342"/>
    </row>
    <row r="21" spans="1:18" x14ac:dyDescent="0.2">
      <c r="A21" s="218"/>
      <c r="B21" s="139"/>
      <c r="C21" s="134" t="s">
        <v>400</v>
      </c>
      <c r="D21" s="134"/>
      <c r="E21" s="134"/>
      <c r="F21" s="139">
        <v>1.75</v>
      </c>
      <c r="G21" s="139"/>
      <c r="H21" s="134"/>
      <c r="I21" s="134"/>
      <c r="J21" s="133"/>
      <c r="L21" s="342"/>
      <c r="M21" s="342"/>
      <c r="N21" s="342"/>
      <c r="O21" s="342"/>
      <c r="P21" s="342"/>
      <c r="Q21" s="342"/>
      <c r="R21" s="342"/>
    </row>
    <row r="22" spans="1:18" x14ac:dyDescent="0.2">
      <c r="A22" s="218"/>
      <c r="B22" s="139"/>
      <c r="C22" s="134"/>
      <c r="D22" s="134"/>
      <c r="E22" s="134"/>
      <c r="F22" s="134"/>
      <c r="G22" s="134"/>
      <c r="H22" s="134"/>
      <c r="I22" s="134"/>
      <c r="J22" s="133"/>
      <c r="M22" s="243"/>
    </row>
    <row r="23" spans="1:18" x14ac:dyDescent="0.2">
      <c r="A23" s="218" t="s">
        <v>1</v>
      </c>
      <c r="B23" s="138" t="s">
        <v>282</v>
      </c>
      <c r="C23" s="134" t="s">
        <v>399</v>
      </c>
      <c r="D23" s="134"/>
      <c r="E23" s="134"/>
      <c r="F23" s="134"/>
      <c r="G23" s="134"/>
      <c r="H23" s="134"/>
      <c r="I23" s="134"/>
      <c r="J23" s="133"/>
      <c r="M23" s="243"/>
    </row>
    <row r="24" spans="1:18" ht="19" x14ac:dyDescent="0.25">
      <c r="A24" s="218"/>
      <c r="B24" s="139"/>
      <c r="C24" s="134" t="s">
        <v>398</v>
      </c>
      <c r="D24" s="134"/>
      <c r="E24" s="134"/>
      <c r="F24" s="134"/>
      <c r="G24" s="134"/>
      <c r="H24" s="134"/>
      <c r="I24" s="134"/>
      <c r="J24" s="133"/>
      <c r="L24" s="169" t="s">
        <v>132</v>
      </c>
      <c r="M24" s="242"/>
    </row>
    <row r="25" spans="1:18" ht="16" customHeight="1" x14ac:dyDescent="0.2">
      <c r="A25" s="218"/>
      <c r="B25" s="134"/>
      <c r="C25" s="134" t="s">
        <v>397</v>
      </c>
      <c r="D25" s="134"/>
      <c r="E25" s="134"/>
      <c r="F25" s="134"/>
      <c r="G25" s="134"/>
      <c r="H25" s="134"/>
      <c r="I25" s="134"/>
      <c r="J25" s="133"/>
      <c r="L25" s="340" t="s">
        <v>396</v>
      </c>
      <c r="M25" s="340"/>
      <c r="N25" s="340"/>
      <c r="O25" s="340"/>
      <c r="P25" s="340"/>
      <c r="Q25" s="340"/>
      <c r="R25" s="340"/>
    </row>
    <row r="26" spans="1:18" x14ac:dyDescent="0.2">
      <c r="A26" s="218"/>
      <c r="B26" s="134"/>
      <c r="C26" s="143"/>
      <c r="D26" s="134"/>
      <c r="E26" s="134"/>
      <c r="F26" s="134"/>
      <c r="G26" s="134"/>
      <c r="H26" s="134"/>
      <c r="I26" s="134"/>
      <c r="J26" s="133"/>
      <c r="L26" s="340"/>
      <c r="M26" s="340"/>
      <c r="N26" s="340"/>
      <c r="O26" s="340"/>
      <c r="P26" s="340"/>
      <c r="Q26" s="340"/>
      <c r="R26" s="340"/>
    </row>
    <row r="27" spans="1:18" x14ac:dyDescent="0.2">
      <c r="A27" s="218" t="s">
        <v>197</v>
      </c>
      <c r="B27" s="134" t="s">
        <v>282</v>
      </c>
      <c r="C27" s="143" t="s">
        <v>395</v>
      </c>
      <c r="D27" s="134"/>
      <c r="E27" s="134"/>
      <c r="F27" s="134"/>
      <c r="G27" s="134"/>
      <c r="H27" s="134"/>
      <c r="I27" s="134"/>
      <c r="J27" s="133"/>
      <c r="L27" s="340"/>
      <c r="M27" s="340"/>
      <c r="N27" s="340"/>
      <c r="O27" s="340"/>
      <c r="P27" s="340"/>
      <c r="Q27" s="340"/>
      <c r="R27" s="340"/>
    </row>
    <row r="28" spans="1:18" x14ac:dyDescent="0.2">
      <c r="A28" s="218"/>
      <c r="B28" s="134"/>
      <c r="C28" s="143" t="s">
        <v>394</v>
      </c>
      <c r="D28" s="134"/>
      <c r="E28" s="134"/>
      <c r="F28" s="134"/>
      <c r="G28" s="134"/>
      <c r="H28" s="134"/>
      <c r="I28" s="134"/>
      <c r="J28" s="133"/>
      <c r="L28" s="340"/>
      <c r="M28" s="340"/>
      <c r="N28" s="340"/>
      <c r="O28" s="340"/>
      <c r="P28" s="340"/>
      <c r="Q28" s="340"/>
      <c r="R28" s="340"/>
    </row>
    <row r="29" spans="1:18" x14ac:dyDescent="0.2">
      <c r="A29" s="218"/>
      <c r="B29" s="134"/>
      <c r="C29" s="143" t="s">
        <v>393</v>
      </c>
      <c r="D29" s="134"/>
      <c r="E29" s="134"/>
      <c r="F29" s="134"/>
      <c r="G29" s="134"/>
      <c r="H29" s="134"/>
      <c r="I29" s="134"/>
      <c r="J29" s="133"/>
      <c r="L29" s="340"/>
      <c r="M29" s="340"/>
      <c r="N29" s="340"/>
      <c r="O29" s="340"/>
      <c r="P29" s="340"/>
      <c r="Q29" s="340"/>
      <c r="R29" s="340"/>
    </row>
    <row r="30" spans="1:18" x14ac:dyDescent="0.2">
      <c r="A30" s="218"/>
      <c r="B30" s="134"/>
      <c r="C30" s="134" t="s">
        <v>392</v>
      </c>
      <c r="D30" s="134"/>
      <c r="E30" s="134"/>
      <c r="F30" s="134"/>
      <c r="G30" s="134"/>
      <c r="H30" s="134"/>
      <c r="I30" s="134"/>
      <c r="J30" s="133"/>
      <c r="L30" s="340"/>
      <c r="M30" s="340"/>
      <c r="N30" s="340"/>
      <c r="O30" s="340"/>
      <c r="P30" s="340"/>
      <c r="Q30" s="340"/>
      <c r="R30" s="340"/>
    </row>
    <row r="31" spans="1:18" ht="17" thickBot="1" x14ac:dyDescent="0.25">
      <c r="A31" s="216"/>
      <c r="B31" s="262"/>
      <c r="C31" s="263"/>
      <c r="D31" s="262"/>
      <c r="E31" s="262"/>
      <c r="F31" s="262"/>
      <c r="G31" s="262"/>
      <c r="H31" s="262"/>
      <c r="I31" s="262"/>
      <c r="J31" s="261"/>
      <c r="L31" s="340"/>
      <c r="M31" s="340"/>
      <c r="N31" s="340"/>
      <c r="O31" s="340"/>
      <c r="P31" s="340"/>
      <c r="Q31" s="340"/>
      <c r="R31" s="340"/>
    </row>
    <row r="32" spans="1:18" ht="17" thickBot="1" x14ac:dyDescent="0.25">
      <c r="A32" s="229" t="s">
        <v>145</v>
      </c>
      <c r="B32" s="130"/>
      <c r="C32" s="228"/>
      <c r="D32" s="130"/>
      <c r="E32" s="130"/>
      <c r="F32" s="130"/>
      <c r="G32" s="130"/>
      <c r="H32" s="130"/>
      <c r="I32" s="130"/>
      <c r="J32" s="129"/>
      <c r="L32" s="340"/>
      <c r="M32" s="340"/>
      <c r="N32" s="340"/>
      <c r="O32" s="340"/>
      <c r="P32" s="340"/>
      <c r="Q32" s="340"/>
      <c r="R32" s="340"/>
    </row>
    <row r="34" spans="12:13" x14ac:dyDescent="0.2">
      <c r="L34" s="227"/>
      <c r="M34" s="226"/>
    </row>
    <row r="35" spans="12:13" ht="19" x14ac:dyDescent="0.25">
      <c r="L35" s="169" t="s">
        <v>172</v>
      </c>
    </row>
    <row r="36" spans="12:13" x14ac:dyDescent="0.2">
      <c r="L36" t="s">
        <v>391</v>
      </c>
    </row>
  </sheetData>
  <mergeCells count="3">
    <mergeCell ref="L19:R21"/>
    <mergeCell ref="L13:R16"/>
    <mergeCell ref="L25:R32"/>
  </mergeCells>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501E9-E2AA-1A40-A303-76D40ECBD602}">
  <dimension ref="A1:S55"/>
  <sheetViews>
    <sheetView workbookViewId="0">
      <selection activeCell="B1" sqref="B1"/>
    </sheetView>
  </sheetViews>
  <sheetFormatPr baseColWidth="10" defaultColWidth="11" defaultRowHeight="16" outlineLevelCol="1" x14ac:dyDescent="0.2"/>
  <cols>
    <col min="1" max="1" width="4" style="120" customWidth="1"/>
    <col min="2" max="2" width="11.5" customWidth="1"/>
    <col min="4" max="5" width="11.6640625" customWidth="1"/>
    <col min="6" max="6" width="12.1640625" customWidth="1"/>
    <col min="12" max="12" width="12.6640625" hidden="1" customWidth="1" outlineLevel="1"/>
    <col min="13" max="13" width="10.83203125" hidden="1" customWidth="1" outlineLevel="1"/>
    <col min="14" max="14" width="11.6640625" hidden="1" customWidth="1" outlineLevel="1"/>
    <col min="15" max="18" width="10.83203125" hidden="1" customWidth="1" outlineLevel="1"/>
    <col min="19" max="19" width="11" collapsed="1"/>
  </cols>
  <sheetData>
    <row r="1" spans="1:15" x14ac:dyDescent="0.2">
      <c r="A1" s="241"/>
      <c r="B1" s="173" t="s">
        <v>308</v>
      </c>
      <c r="C1" s="172" t="s">
        <v>465</v>
      </c>
      <c r="D1" s="172" t="s">
        <v>306</v>
      </c>
      <c r="E1" s="172" t="s">
        <v>424</v>
      </c>
      <c r="F1" s="171"/>
      <c r="G1" s="171"/>
      <c r="H1" s="171"/>
      <c r="I1" s="171"/>
      <c r="J1" s="170"/>
      <c r="K1" s="227" t="s">
        <v>148</v>
      </c>
      <c r="L1" s="227"/>
    </row>
    <row r="2" spans="1:15" x14ac:dyDescent="0.2">
      <c r="A2" s="218"/>
      <c r="B2" s="240" t="s">
        <v>304</v>
      </c>
      <c r="C2" s="239">
        <v>2.5</v>
      </c>
      <c r="D2" s="134"/>
      <c r="E2" s="134"/>
      <c r="F2" s="134"/>
      <c r="G2" s="134"/>
      <c r="H2" s="134"/>
      <c r="I2" s="134"/>
      <c r="J2" s="133"/>
    </row>
    <row r="3" spans="1:15" x14ac:dyDescent="0.2">
      <c r="A3" s="218"/>
      <c r="B3" s="134"/>
      <c r="C3" s="134"/>
      <c r="D3" s="134"/>
      <c r="E3" s="134"/>
      <c r="F3" s="134"/>
      <c r="G3" s="134"/>
      <c r="H3" s="134"/>
      <c r="I3" s="134"/>
      <c r="J3" s="133"/>
      <c r="L3" s="227" t="s">
        <v>303</v>
      </c>
      <c r="M3" s="271"/>
    </row>
    <row r="4" spans="1:15" x14ac:dyDescent="0.2">
      <c r="A4" s="218"/>
      <c r="B4" s="134"/>
      <c r="C4" s="134" t="s">
        <v>11</v>
      </c>
      <c r="D4" s="134"/>
      <c r="E4" s="134"/>
      <c r="F4" s="134"/>
      <c r="G4" s="134"/>
      <c r="H4" s="134"/>
      <c r="I4" s="134"/>
      <c r="J4" s="133"/>
      <c r="M4" s="271"/>
    </row>
    <row r="5" spans="1:15" x14ac:dyDescent="0.2">
      <c r="A5" s="218"/>
      <c r="B5" s="134"/>
      <c r="C5" s="134"/>
      <c r="D5" s="134"/>
      <c r="E5" s="134"/>
      <c r="F5" s="134"/>
      <c r="G5" s="134"/>
      <c r="H5" s="134"/>
      <c r="I5" s="134"/>
      <c r="J5" s="133"/>
      <c r="L5" s="123" t="s">
        <v>85</v>
      </c>
      <c r="M5" s="137">
        <v>100</v>
      </c>
    </row>
    <row r="6" spans="1:15" x14ac:dyDescent="0.2">
      <c r="A6" s="218"/>
      <c r="B6" s="134"/>
      <c r="C6" s="134" t="s">
        <v>464</v>
      </c>
      <c r="D6" s="134"/>
      <c r="E6" s="134"/>
      <c r="F6" s="134"/>
      <c r="G6" s="134"/>
      <c r="H6" s="285">
        <v>9000</v>
      </c>
      <c r="I6" s="134"/>
      <c r="J6" s="133"/>
      <c r="L6" s="123" t="s">
        <v>561</v>
      </c>
      <c r="M6" s="284">
        <v>1.234E-2</v>
      </c>
    </row>
    <row r="7" spans="1:15" x14ac:dyDescent="0.2">
      <c r="A7" s="218"/>
      <c r="B7" s="134"/>
      <c r="C7" s="134" t="s">
        <v>463</v>
      </c>
      <c r="D7" s="134"/>
      <c r="E7" s="134"/>
      <c r="F7" s="134"/>
      <c r="G7" s="134"/>
      <c r="H7" s="134"/>
      <c r="I7" s="134"/>
      <c r="J7" s="133"/>
      <c r="L7" s="123"/>
      <c r="M7" s="284"/>
    </row>
    <row r="8" spans="1:15" ht="18" x14ac:dyDescent="0.25">
      <c r="A8" s="218"/>
      <c r="B8" s="134"/>
      <c r="C8" s="134"/>
      <c r="D8" s="134"/>
      <c r="E8" s="134"/>
      <c r="F8" s="134"/>
      <c r="G8" s="134"/>
      <c r="H8" s="134"/>
      <c r="I8" s="134"/>
      <c r="J8" s="133"/>
      <c r="L8" s="123" t="s">
        <v>462</v>
      </c>
      <c r="M8" s="137">
        <f>M5/M6</f>
        <v>8103.7277147487839</v>
      </c>
      <c r="N8" s="121" t="s">
        <v>562</v>
      </c>
    </row>
    <row r="9" spans="1:15" ht="16" customHeight="1" x14ac:dyDescent="0.2">
      <c r="A9" s="218"/>
      <c r="B9" s="134"/>
      <c r="C9" s="134"/>
      <c r="D9" s="362" t="s">
        <v>461</v>
      </c>
      <c r="E9" s="347" t="s">
        <v>460</v>
      </c>
      <c r="F9" s="347" t="s">
        <v>459</v>
      </c>
      <c r="G9" s="365" t="s">
        <v>458</v>
      </c>
      <c r="H9" s="134"/>
      <c r="I9" s="134"/>
      <c r="J9" s="133"/>
      <c r="L9" s="120"/>
      <c r="M9" s="252"/>
    </row>
    <row r="10" spans="1:15" x14ac:dyDescent="0.2">
      <c r="A10" s="218"/>
      <c r="B10" s="134"/>
      <c r="C10" s="134"/>
      <c r="D10" s="363"/>
      <c r="E10" s="364"/>
      <c r="F10" s="364"/>
      <c r="G10" s="366"/>
      <c r="H10" s="134"/>
      <c r="I10" s="134"/>
      <c r="J10" s="133"/>
      <c r="L10" s="283" t="s">
        <v>457</v>
      </c>
    </row>
    <row r="11" spans="1:15" x14ac:dyDescent="0.2">
      <c r="A11" s="218"/>
      <c r="B11" s="134"/>
      <c r="C11" s="134"/>
      <c r="D11" s="360"/>
      <c r="E11" s="358"/>
      <c r="F11" s="358"/>
      <c r="G11" s="359"/>
      <c r="H11" s="134"/>
      <c r="I11" s="134"/>
      <c r="J11" s="133"/>
    </row>
    <row r="12" spans="1:15" x14ac:dyDescent="0.2">
      <c r="A12" s="218"/>
      <c r="B12" s="134"/>
      <c r="C12" s="134"/>
      <c r="D12" s="159">
        <v>12</v>
      </c>
      <c r="E12" s="281">
        <v>2</v>
      </c>
      <c r="F12" s="281">
        <f>E12*F13</f>
        <v>3.0003225999999996</v>
      </c>
      <c r="G12" s="280">
        <f>1/F12</f>
        <v>0.33329749274294707</v>
      </c>
      <c r="H12" s="134"/>
      <c r="I12" s="134"/>
      <c r="J12" s="133"/>
      <c r="L12" s="123" t="s">
        <v>456</v>
      </c>
      <c r="M12" s="282">
        <f>G13/(M6*I24+G13)</f>
        <v>0.85548913837962004</v>
      </c>
      <c r="N12" s="121" t="s">
        <v>431</v>
      </c>
    </row>
    <row r="13" spans="1:15" ht="19" x14ac:dyDescent="0.2">
      <c r="A13" s="218"/>
      <c r="B13" s="139"/>
      <c r="C13" s="134"/>
      <c r="D13" s="159">
        <v>24</v>
      </c>
      <c r="E13" s="281">
        <v>1.3640000000000001</v>
      </c>
      <c r="F13" s="281">
        <f>E13*F14</f>
        <v>1.5001612999999998</v>
      </c>
      <c r="G13" s="280">
        <f>1/F13</f>
        <v>0.66659498548589413</v>
      </c>
      <c r="H13" s="134"/>
      <c r="I13" s="134"/>
      <c r="J13" s="133"/>
      <c r="L13" t="s">
        <v>455</v>
      </c>
      <c r="M13" s="137">
        <f>H6*(E13*E14-1)</f>
        <v>4172.148000000001</v>
      </c>
    </row>
    <row r="14" spans="1:15" ht="19" x14ac:dyDescent="0.2">
      <c r="A14" s="218"/>
      <c r="B14" s="139"/>
      <c r="C14" s="134"/>
      <c r="D14" s="159">
        <v>36</v>
      </c>
      <c r="E14" s="281">
        <v>1.073</v>
      </c>
      <c r="F14" s="281">
        <f>E14*F15</f>
        <v>1.0998249999999998</v>
      </c>
      <c r="G14" s="280">
        <f>1/F14</f>
        <v>0.90923556020275964</v>
      </c>
      <c r="H14" s="134"/>
      <c r="I14" s="134"/>
      <c r="J14" s="133"/>
      <c r="L14" t="s">
        <v>454</v>
      </c>
      <c r="M14" s="137">
        <f>M8*(G15-G13)</f>
        <v>2504.1715608725035</v>
      </c>
    </row>
    <row r="15" spans="1:15" ht="17" thickBot="1" x14ac:dyDescent="0.25">
      <c r="A15" s="218"/>
      <c r="B15" s="139"/>
      <c r="C15" s="134"/>
      <c r="D15" s="159">
        <v>48</v>
      </c>
      <c r="E15" s="281">
        <v>1.0249999999999999</v>
      </c>
      <c r="F15" s="281">
        <f>E15*F16</f>
        <v>1.0249999999999999</v>
      </c>
      <c r="G15" s="280">
        <f>1/F15</f>
        <v>0.97560975609756106</v>
      </c>
      <c r="H15" s="134"/>
      <c r="I15" s="134"/>
      <c r="J15" s="133"/>
    </row>
    <row r="16" spans="1:15" ht="17" thickBot="1" x14ac:dyDescent="0.25">
      <c r="A16" s="218"/>
      <c r="B16" s="139"/>
      <c r="C16" s="134"/>
      <c r="D16" s="155">
        <v>60</v>
      </c>
      <c r="E16" s="279">
        <v>1</v>
      </c>
      <c r="F16" s="279">
        <v>1</v>
      </c>
      <c r="G16" s="278">
        <f>1/F16</f>
        <v>1</v>
      </c>
      <c r="H16" s="134"/>
      <c r="I16" s="134"/>
      <c r="J16" s="133"/>
      <c r="L16" s="236" t="s">
        <v>426</v>
      </c>
      <c r="M16" s="273"/>
      <c r="N16" s="277">
        <f>(M12*M13+(1-M12)*M14)</f>
        <v>3931.1072876191929</v>
      </c>
      <c r="O16" s="121" t="s">
        <v>427</v>
      </c>
    </row>
    <row r="17" spans="1:18" x14ac:dyDescent="0.2">
      <c r="A17" s="218"/>
      <c r="B17" s="139"/>
      <c r="C17" s="134"/>
      <c r="D17" s="134"/>
      <c r="E17" s="134"/>
      <c r="F17" s="134"/>
      <c r="G17" s="134"/>
      <c r="H17" s="134"/>
      <c r="I17" s="134"/>
      <c r="J17" s="133"/>
    </row>
    <row r="18" spans="1:18" ht="18" x14ac:dyDescent="0.25">
      <c r="A18" s="218"/>
      <c r="B18" s="139"/>
      <c r="C18" s="134" t="s">
        <v>453</v>
      </c>
      <c r="D18" s="134"/>
      <c r="E18" s="134"/>
      <c r="F18" s="134"/>
      <c r="G18" s="134"/>
      <c r="H18" s="134"/>
      <c r="I18" s="134"/>
      <c r="J18" s="133"/>
    </row>
    <row r="19" spans="1:18" ht="17.5" customHeight="1" x14ac:dyDescent="0.25">
      <c r="A19" s="218"/>
      <c r="B19" s="139"/>
      <c r="C19" s="134" t="s">
        <v>452</v>
      </c>
      <c r="D19" s="134"/>
      <c r="E19" s="134"/>
      <c r="F19" s="134"/>
      <c r="G19" s="134"/>
      <c r="H19" s="134"/>
      <c r="I19" s="134"/>
      <c r="J19" s="133"/>
      <c r="L19" s="227" t="s">
        <v>294</v>
      </c>
    </row>
    <row r="20" spans="1:18" ht="17.5" customHeight="1" x14ac:dyDescent="0.25">
      <c r="A20" s="218"/>
      <c r="B20" s="139"/>
      <c r="C20" s="134" t="s">
        <v>451</v>
      </c>
      <c r="D20" s="134"/>
      <c r="E20" s="134"/>
      <c r="F20" s="134"/>
      <c r="G20" s="134"/>
      <c r="H20" s="134"/>
      <c r="I20" s="134"/>
      <c r="J20" s="133"/>
      <c r="L20" s="340" t="s">
        <v>450</v>
      </c>
      <c r="M20" s="340"/>
      <c r="N20" s="340"/>
      <c r="O20" s="340"/>
      <c r="P20" s="340"/>
      <c r="Q20" s="340"/>
      <c r="R20" s="340"/>
    </row>
    <row r="21" spans="1:18" ht="18" x14ac:dyDescent="0.25">
      <c r="A21" s="218"/>
      <c r="B21" s="139"/>
      <c r="C21" s="134" t="s">
        <v>449</v>
      </c>
      <c r="D21" s="134"/>
      <c r="E21" s="134"/>
      <c r="F21" s="134"/>
      <c r="G21" s="134"/>
      <c r="H21" s="134"/>
      <c r="I21" s="134"/>
      <c r="J21" s="133"/>
      <c r="L21" s="340"/>
      <c r="M21" s="340"/>
      <c r="N21" s="340"/>
      <c r="O21" s="340"/>
      <c r="P21" s="340"/>
      <c r="Q21" s="340"/>
      <c r="R21" s="340"/>
    </row>
    <row r="22" spans="1:18" x14ac:dyDescent="0.2">
      <c r="A22" s="218"/>
      <c r="B22" s="139"/>
      <c r="C22" s="134" t="s">
        <v>448</v>
      </c>
      <c r="D22" s="134"/>
      <c r="E22" s="134"/>
      <c r="F22" s="134"/>
      <c r="G22" s="134"/>
      <c r="H22" s="134"/>
      <c r="I22" s="134"/>
      <c r="J22" s="133"/>
      <c r="L22" s="340"/>
      <c r="M22" s="340"/>
      <c r="N22" s="340"/>
      <c r="O22" s="340"/>
      <c r="P22" s="340"/>
      <c r="Q22" s="340"/>
      <c r="R22" s="340"/>
    </row>
    <row r="23" spans="1:18" ht="20" x14ac:dyDescent="0.25">
      <c r="A23" s="218"/>
      <c r="B23" s="139"/>
      <c r="C23" s="134" t="s">
        <v>564</v>
      </c>
      <c r="D23" s="134"/>
      <c r="E23" s="134"/>
      <c r="F23" s="134"/>
      <c r="G23" s="134"/>
      <c r="H23" s="134"/>
      <c r="I23" s="134"/>
      <c r="J23" s="133"/>
    </row>
    <row r="24" spans="1:18" x14ac:dyDescent="0.2">
      <c r="A24" s="218"/>
      <c r="B24" s="139"/>
      <c r="C24" s="134" t="s">
        <v>446</v>
      </c>
      <c r="D24" s="134"/>
      <c r="E24" s="134"/>
      <c r="F24" s="134"/>
      <c r="G24" s="134"/>
      <c r="H24" s="134"/>
      <c r="I24" s="138">
        <v>9.125</v>
      </c>
      <c r="J24" s="133"/>
    </row>
    <row r="25" spans="1:18" ht="19" x14ac:dyDescent="0.25">
      <c r="A25" s="218"/>
      <c r="B25" s="139"/>
      <c r="C25" s="134" t="s">
        <v>563</v>
      </c>
      <c r="D25" s="134"/>
      <c r="E25" s="134"/>
      <c r="F25" s="134"/>
      <c r="G25" s="134"/>
      <c r="H25" s="134"/>
      <c r="I25" s="134"/>
      <c r="J25" s="133"/>
      <c r="L25" s="169" t="s">
        <v>132</v>
      </c>
    </row>
    <row r="26" spans="1:18" ht="18" x14ac:dyDescent="0.25">
      <c r="A26" s="218"/>
      <c r="B26" s="139"/>
      <c r="C26" s="134" t="s">
        <v>445</v>
      </c>
      <c r="D26" s="134"/>
      <c r="E26" s="134"/>
      <c r="F26" s="134"/>
      <c r="G26" s="134"/>
      <c r="H26" s="134"/>
      <c r="I26" s="134"/>
      <c r="J26" s="133"/>
      <c r="L26" s="342" t="s">
        <v>444</v>
      </c>
      <c r="M26" s="342"/>
      <c r="N26" s="342"/>
      <c r="O26" s="342"/>
      <c r="P26" s="342"/>
      <c r="Q26" s="342"/>
      <c r="R26" s="342"/>
    </row>
    <row r="27" spans="1:18" x14ac:dyDescent="0.2">
      <c r="A27" s="218"/>
      <c r="B27" s="139"/>
      <c r="C27" s="134"/>
      <c r="D27" s="134"/>
      <c r="E27" s="134"/>
      <c r="F27" s="134"/>
      <c r="G27" s="134"/>
      <c r="H27" s="134"/>
      <c r="I27" s="134"/>
      <c r="J27" s="133"/>
      <c r="L27" s="342"/>
      <c r="M27" s="342"/>
      <c r="N27" s="342"/>
      <c r="O27" s="342"/>
      <c r="P27" s="342"/>
      <c r="Q27" s="342"/>
      <c r="R27" s="342"/>
    </row>
    <row r="28" spans="1:18" x14ac:dyDescent="0.2">
      <c r="A28" s="218"/>
      <c r="B28" s="139"/>
      <c r="C28" s="134"/>
      <c r="D28" s="134"/>
      <c r="E28" s="134"/>
      <c r="F28" s="134"/>
      <c r="G28" s="134" t="s">
        <v>443</v>
      </c>
      <c r="H28" s="134"/>
      <c r="I28" s="134"/>
      <c r="J28" s="133"/>
    </row>
    <row r="29" spans="1:18" ht="19" x14ac:dyDescent="0.25">
      <c r="A29" s="218"/>
      <c r="B29" s="139"/>
      <c r="C29" s="134"/>
      <c r="D29" s="134"/>
      <c r="E29" s="134"/>
      <c r="F29" s="134"/>
      <c r="G29" s="134"/>
      <c r="H29" s="134"/>
      <c r="I29" s="134"/>
      <c r="J29" s="133"/>
      <c r="L29" s="276" t="s">
        <v>442</v>
      </c>
      <c r="M29" s="202"/>
      <c r="N29" s="202"/>
      <c r="O29" s="202"/>
      <c r="P29" s="202"/>
    </row>
    <row r="30" spans="1:18" ht="18" x14ac:dyDescent="0.25">
      <c r="A30" s="218"/>
      <c r="B30" s="139"/>
      <c r="C30" s="134" t="s">
        <v>441</v>
      </c>
      <c r="D30" s="134"/>
      <c r="E30" s="134"/>
      <c r="F30" s="134"/>
      <c r="G30" s="134"/>
      <c r="H30" s="134"/>
      <c r="I30" s="134"/>
      <c r="J30" s="133"/>
      <c r="L30" s="202"/>
      <c r="M30" s="202"/>
      <c r="N30" s="202"/>
      <c r="O30" s="202"/>
      <c r="P30" s="202"/>
    </row>
    <row r="31" spans="1:18" ht="18" x14ac:dyDescent="0.25">
      <c r="A31" s="218"/>
      <c r="B31" s="139"/>
      <c r="C31" s="134" t="s">
        <v>440</v>
      </c>
      <c r="D31" s="134"/>
      <c r="E31" s="134"/>
      <c r="F31" s="134"/>
      <c r="G31" s="134"/>
      <c r="H31" s="134"/>
      <c r="I31" s="134"/>
      <c r="J31" s="133"/>
      <c r="L31" t="s">
        <v>439</v>
      </c>
      <c r="M31" s="226"/>
    </row>
    <row r="32" spans="1:18" x14ac:dyDescent="0.2">
      <c r="A32" s="218"/>
      <c r="B32" s="139"/>
      <c r="C32" s="134"/>
      <c r="D32" s="134"/>
      <c r="E32" s="134"/>
      <c r="F32" s="134"/>
      <c r="G32" s="134"/>
      <c r="H32" s="134"/>
      <c r="I32" s="134"/>
      <c r="J32" s="133"/>
    </row>
    <row r="33" spans="1:18" x14ac:dyDescent="0.2">
      <c r="A33" s="218" t="s">
        <v>0</v>
      </c>
      <c r="B33" s="138" t="s">
        <v>438</v>
      </c>
      <c r="C33" s="134" t="s">
        <v>437</v>
      </c>
      <c r="D33" s="134"/>
      <c r="E33" s="134"/>
      <c r="F33" s="134"/>
      <c r="G33" s="134"/>
      <c r="H33" s="134"/>
      <c r="I33" s="134"/>
      <c r="J33" s="133"/>
      <c r="M33" s="361" t="s">
        <v>436</v>
      </c>
      <c r="N33" s="361"/>
    </row>
    <row r="34" spans="1:18" x14ac:dyDescent="0.2">
      <c r="A34" s="218"/>
      <c r="B34" s="139"/>
      <c r="C34" s="134" t="s">
        <v>435</v>
      </c>
      <c r="D34" s="134"/>
      <c r="E34" s="134"/>
      <c r="F34" s="134"/>
      <c r="G34" s="134"/>
      <c r="H34" s="134"/>
      <c r="I34" s="134"/>
      <c r="J34" s="133"/>
      <c r="L34" s="270"/>
      <c r="M34" s="193" t="s">
        <v>434</v>
      </c>
      <c r="N34" s="193" t="s">
        <v>433</v>
      </c>
    </row>
    <row r="35" spans="1:18" x14ac:dyDescent="0.2">
      <c r="A35" s="218"/>
      <c r="B35" s="139"/>
      <c r="C35" s="134"/>
      <c r="D35" s="134"/>
      <c r="E35" s="134"/>
      <c r="F35" s="134"/>
      <c r="G35" s="134"/>
      <c r="H35" s="134"/>
      <c r="I35" s="134"/>
      <c r="J35" s="133"/>
      <c r="L35" s="269" t="s">
        <v>432</v>
      </c>
      <c r="M35" s="275">
        <f>G13/(M6*I24+G13)</f>
        <v>0.85548913837962004</v>
      </c>
      <c r="N35" s="275">
        <f>G14/(M6*I24+G14)</f>
        <v>0.88980396758987745</v>
      </c>
      <c r="O35" s="121" t="s">
        <v>431</v>
      </c>
    </row>
    <row r="36" spans="1:18" x14ac:dyDescent="0.2">
      <c r="A36" s="218" t="s">
        <v>1</v>
      </c>
      <c r="B36" s="138" t="s">
        <v>282</v>
      </c>
      <c r="C36" s="134" t="s">
        <v>430</v>
      </c>
      <c r="D36" s="134"/>
      <c r="E36" s="134"/>
      <c r="F36" s="134"/>
      <c r="G36" s="134"/>
      <c r="H36" s="134"/>
      <c r="I36" s="134"/>
      <c r="J36" s="133"/>
      <c r="L36" s="269" t="s">
        <v>138</v>
      </c>
      <c r="M36" s="137">
        <f>H6*(E13-1)</f>
        <v>3276.0000000000009</v>
      </c>
      <c r="N36" s="137">
        <f>(H6+M38)*(E14-1)</f>
        <v>882.33151882904258</v>
      </c>
      <c r="Q36" s="202"/>
      <c r="R36" s="202"/>
    </row>
    <row r="37" spans="1:18" x14ac:dyDescent="0.2">
      <c r="A37" s="218"/>
      <c r="B37" s="139"/>
      <c r="C37" s="134" t="s">
        <v>429</v>
      </c>
      <c r="D37" s="134"/>
      <c r="E37" s="134"/>
      <c r="F37" s="134"/>
      <c r="G37" s="134"/>
      <c r="H37" s="134"/>
      <c r="I37" s="134"/>
      <c r="J37" s="133"/>
      <c r="L37" s="270" t="s">
        <v>139</v>
      </c>
      <c r="M37" s="274">
        <f>M8*(G14-G13)</f>
        <v>1966.293150055636</v>
      </c>
      <c r="N37" s="274">
        <f>M8*(G15-G14)</f>
        <v>537.87841081686724</v>
      </c>
      <c r="Q37" s="202"/>
      <c r="R37" s="202"/>
    </row>
    <row r="38" spans="1:18" ht="17" thickBot="1" x14ac:dyDescent="0.25">
      <c r="A38" s="218"/>
      <c r="B38" s="139"/>
      <c r="C38" s="134"/>
      <c r="D38" s="134"/>
      <c r="E38" s="134"/>
      <c r="F38" s="134"/>
      <c r="G38" s="134"/>
      <c r="H38" s="134"/>
      <c r="I38" s="134"/>
      <c r="J38" s="133"/>
      <c r="L38" s="269" t="s">
        <v>428</v>
      </c>
      <c r="M38" s="137">
        <f>M35*M36+(1-M35)*M37</f>
        <v>3086.7331346444271</v>
      </c>
      <c r="N38" s="137">
        <f>N35*N36+(1-N35)*N37</f>
        <v>844.37415297476548</v>
      </c>
      <c r="O38" s="121" t="s">
        <v>427</v>
      </c>
      <c r="Q38" s="202"/>
      <c r="R38" s="202"/>
    </row>
    <row r="39" spans="1:18" ht="17" thickBot="1" x14ac:dyDescent="0.25">
      <c r="A39" s="229" t="s">
        <v>145</v>
      </c>
      <c r="B39" s="130"/>
      <c r="C39" s="228"/>
      <c r="D39" s="130"/>
      <c r="E39" s="130"/>
      <c r="F39" s="130"/>
      <c r="G39" s="130"/>
      <c r="H39" s="130"/>
      <c r="I39" s="130"/>
      <c r="J39" s="129"/>
    </row>
    <row r="40" spans="1:18" ht="17" thickBot="1" x14ac:dyDescent="0.25">
      <c r="L40" s="236" t="s">
        <v>426</v>
      </c>
      <c r="M40" s="273"/>
      <c r="N40" s="272">
        <f>M38+N38</f>
        <v>3931.1072876191924</v>
      </c>
    </row>
    <row r="41" spans="1:18" x14ac:dyDescent="0.2">
      <c r="M41" s="243"/>
    </row>
    <row r="42" spans="1:18" ht="19" x14ac:dyDescent="0.25">
      <c r="L42" s="169" t="s">
        <v>172</v>
      </c>
      <c r="M42" s="243"/>
    </row>
    <row r="43" spans="1:18" x14ac:dyDescent="0.2">
      <c r="L43" t="s">
        <v>169</v>
      </c>
      <c r="M43" s="243"/>
    </row>
    <row r="55" spans="12:13" x14ac:dyDescent="0.2">
      <c r="L55" s="227"/>
      <c r="M55" s="226"/>
    </row>
  </sheetData>
  <mergeCells count="7">
    <mergeCell ref="L26:R27"/>
    <mergeCell ref="L20:R22"/>
    <mergeCell ref="M33:N33"/>
    <mergeCell ref="D9:D11"/>
    <mergeCell ref="E9:E11"/>
    <mergeCell ref="F9:F11"/>
    <mergeCell ref="G9:G11"/>
  </mergeCells>
  <pageMargins left="0.7" right="0.7" top="0.75" bottom="0.75" header="0.3" footer="0.3"/>
  <pageSetup orientation="portrait" horizontalDpi="0" verticalDpi="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92CAD-F54F-AD41-8D81-636FC090550E}">
  <dimension ref="A1:S23"/>
  <sheetViews>
    <sheetView workbookViewId="0">
      <selection activeCell="B1" sqref="B1"/>
    </sheetView>
  </sheetViews>
  <sheetFormatPr baseColWidth="10" defaultColWidth="11" defaultRowHeight="16" outlineLevelCol="1" x14ac:dyDescent="0.2"/>
  <cols>
    <col min="1" max="1" width="4" style="120" customWidth="1"/>
    <col min="2" max="2" width="11.5" customWidth="1"/>
    <col min="12" max="18" width="10.83203125" hidden="1" customWidth="1" outlineLevel="1"/>
    <col min="19" max="19" width="11" collapsed="1"/>
  </cols>
  <sheetData>
    <row r="1" spans="1:18" x14ac:dyDescent="0.2">
      <c r="A1" s="241"/>
      <c r="B1" s="173" t="s">
        <v>308</v>
      </c>
      <c r="C1" s="172" t="s">
        <v>483</v>
      </c>
      <c r="D1" s="172" t="s">
        <v>306</v>
      </c>
      <c r="E1" s="172" t="s">
        <v>482</v>
      </c>
      <c r="F1" s="171"/>
      <c r="G1" s="171"/>
      <c r="H1" s="171"/>
      <c r="I1" s="171"/>
      <c r="J1" s="170"/>
      <c r="K1" s="227" t="s">
        <v>148</v>
      </c>
      <c r="L1" s="227"/>
    </row>
    <row r="2" spans="1:18" x14ac:dyDescent="0.2">
      <c r="A2" s="218"/>
      <c r="B2" s="240" t="s">
        <v>304</v>
      </c>
      <c r="C2" s="239">
        <v>2.25</v>
      </c>
      <c r="D2" s="134"/>
      <c r="E2" s="134"/>
      <c r="F2" s="134"/>
      <c r="G2" s="134"/>
      <c r="H2" s="134"/>
      <c r="I2" s="134"/>
      <c r="J2" s="133"/>
    </row>
    <row r="3" spans="1:18" x14ac:dyDescent="0.2">
      <c r="A3" s="218"/>
      <c r="B3" s="134"/>
      <c r="C3" s="134"/>
      <c r="D3" s="134"/>
      <c r="E3" s="134"/>
      <c r="F3" s="134"/>
      <c r="G3" s="134"/>
      <c r="H3" s="134"/>
      <c r="I3" s="134"/>
      <c r="J3" s="133"/>
      <c r="L3" s="227" t="s">
        <v>303</v>
      </c>
      <c r="M3" s="271"/>
    </row>
    <row r="4" spans="1:18" x14ac:dyDescent="0.2">
      <c r="A4" s="218"/>
      <c r="B4" s="134"/>
      <c r="C4" s="134" t="s">
        <v>481</v>
      </c>
      <c r="D4" s="134"/>
      <c r="E4" s="134"/>
      <c r="F4" s="134"/>
      <c r="G4" s="134"/>
      <c r="H4" s="134"/>
      <c r="I4" s="134"/>
      <c r="J4" s="133"/>
      <c r="L4" t="s">
        <v>480</v>
      </c>
      <c r="M4" s="271"/>
    </row>
    <row r="5" spans="1:18" x14ac:dyDescent="0.2">
      <c r="A5" s="218"/>
      <c r="B5" s="134"/>
      <c r="C5" s="134"/>
      <c r="D5" s="134"/>
      <c r="E5" s="134"/>
      <c r="F5" s="134"/>
      <c r="G5" s="134"/>
      <c r="H5" s="134"/>
      <c r="I5" s="134"/>
      <c r="J5" s="133"/>
      <c r="L5" t="s">
        <v>479</v>
      </c>
      <c r="M5" s="271"/>
    </row>
    <row r="6" spans="1:18" x14ac:dyDescent="0.2">
      <c r="A6" s="218"/>
      <c r="B6" s="134"/>
      <c r="C6" s="286" t="s">
        <v>478</v>
      </c>
      <c r="D6" s="134"/>
      <c r="E6" s="134"/>
      <c r="F6" s="134"/>
      <c r="G6" s="134"/>
      <c r="H6" s="134"/>
      <c r="I6" s="134"/>
      <c r="J6" s="133"/>
      <c r="L6" t="s">
        <v>477</v>
      </c>
    </row>
    <row r="7" spans="1:18" x14ac:dyDescent="0.2">
      <c r="A7" s="218"/>
      <c r="B7" s="134"/>
      <c r="C7" s="286" t="s">
        <v>476</v>
      </c>
      <c r="D7" s="134"/>
      <c r="E7" s="134"/>
      <c r="F7" s="134"/>
      <c r="G7" s="134"/>
      <c r="H7" s="134"/>
      <c r="I7" s="134"/>
      <c r="J7" s="133"/>
      <c r="M7" s="287"/>
    </row>
    <row r="8" spans="1:18" x14ac:dyDescent="0.2">
      <c r="A8" s="218"/>
      <c r="B8" s="134"/>
      <c r="C8" s="286" t="s">
        <v>475</v>
      </c>
      <c r="D8" s="134"/>
      <c r="E8" s="134"/>
      <c r="F8" s="134"/>
      <c r="G8" s="134"/>
      <c r="H8" s="134"/>
      <c r="I8" s="134"/>
      <c r="J8" s="133"/>
      <c r="L8" s="227" t="s">
        <v>294</v>
      </c>
      <c r="M8" s="180"/>
    </row>
    <row r="9" spans="1:18" x14ac:dyDescent="0.2">
      <c r="A9" s="218"/>
      <c r="B9" s="134"/>
      <c r="C9" s="134"/>
      <c r="D9" s="134"/>
      <c r="E9" s="134"/>
      <c r="F9" s="134"/>
      <c r="G9" s="134"/>
      <c r="H9" s="134"/>
      <c r="I9" s="134"/>
      <c r="J9" s="133"/>
      <c r="L9" t="s">
        <v>474</v>
      </c>
      <c r="M9" s="206"/>
      <c r="N9" s="206"/>
      <c r="O9" s="206"/>
      <c r="P9" s="206"/>
      <c r="Q9" s="206"/>
      <c r="R9" s="206"/>
    </row>
    <row r="10" spans="1:18" x14ac:dyDescent="0.2">
      <c r="A10" s="218" t="s">
        <v>0</v>
      </c>
      <c r="B10" s="134" t="s">
        <v>287</v>
      </c>
      <c r="C10" s="134" t="s">
        <v>473</v>
      </c>
      <c r="D10" s="134"/>
      <c r="E10" s="134"/>
      <c r="F10" s="134"/>
      <c r="G10" s="134"/>
      <c r="H10" s="134"/>
      <c r="I10" s="134"/>
      <c r="J10" s="133"/>
      <c r="L10" s="342" t="s">
        <v>472</v>
      </c>
      <c r="M10" s="342"/>
      <c r="N10" s="342"/>
      <c r="O10" s="342"/>
      <c r="P10" s="342"/>
      <c r="Q10" s="342"/>
      <c r="R10" s="342"/>
    </row>
    <row r="11" spans="1:18" ht="15.5" customHeight="1" x14ac:dyDescent="0.2">
      <c r="A11" s="218"/>
      <c r="B11" s="134"/>
      <c r="C11" s="134"/>
      <c r="D11" s="134"/>
      <c r="E11" s="134"/>
      <c r="F11" s="134"/>
      <c r="G11" s="134"/>
      <c r="H11" s="134"/>
      <c r="I11" s="134"/>
      <c r="J11" s="133"/>
      <c r="L11" s="342"/>
      <c r="M11" s="342"/>
      <c r="N11" s="342"/>
      <c r="O11" s="342"/>
      <c r="P11" s="342"/>
      <c r="Q11" s="342"/>
      <c r="R11" s="342"/>
    </row>
    <row r="12" spans="1:18" x14ac:dyDescent="0.2">
      <c r="A12" s="218" t="s">
        <v>1</v>
      </c>
      <c r="B12" s="134" t="s">
        <v>287</v>
      </c>
      <c r="C12" s="134" t="s">
        <v>471</v>
      </c>
      <c r="D12" s="134"/>
      <c r="E12" s="134"/>
      <c r="F12" s="134"/>
      <c r="G12" s="134"/>
      <c r="H12" s="134"/>
      <c r="I12" s="134"/>
      <c r="J12" s="133"/>
      <c r="L12" s="342" t="s">
        <v>470</v>
      </c>
      <c r="M12" s="342"/>
      <c r="N12" s="342"/>
      <c r="O12" s="342"/>
      <c r="P12" s="342"/>
      <c r="Q12" s="342"/>
      <c r="R12" s="342"/>
    </row>
    <row r="13" spans="1:18" ht="15.5" customHeight="1" x14ac:dyDescent="0.2">
      <c r="A13" s="218"/>
      <c r="B13" s="134"/>
      <c r="C13" s="134"/>
      <c r="D13" s="134"/>
      <c r="E13" s="134"/>
      <c r="F13" s="134"/>
      <c r="G13" s="134"/>
      <c r="H13" s="134"/>
      <c r="I13" s="134"/>
      <c r="J13" s="133"/>
      <c r="L13" s="342"/>
      <c r="M13" s="342"/>
      <c r="N13" s="342"/>
      <c r="O13" s="342"/>
      <c r="P13" s="342"/>
      <c r="Q13" s="342"/>
      <c r="R13" s="342"/>
    </row>
    <row r="14" spans="1:18" x14ac:dyDescent="0.2">
      <c r="A14" s="218" t="s">
        <v>197</v>
      </c>
      <c r="B14" s="138" t="s">
        <v>287</v>
      </c>
      <c r="C14" s="134" t="s">
        <v>469</v>
      </c>
      <c r="D14" s="134"/>
      <c r="E14" s="134"/>
      <c r="F14" s="134"/>
      <c r="G14" s="134"/>
      <c r="H14" s="134"/>
      <c r="I14" s="134"/>
      <c r="J14" s="133"/>
      <c r="L14" s="206"/>
    </row>
    <row r="15" spans="1:18" ht="17" thickBot="1" x14ac:dyDescent="0.25">
      <c r="A15" s="218"/>
      <c r="B15" s="139"/>
      <c r="C15" s="134"/>
      <c r="D15" s="134"/>
      <c r="E15" s="134"/>
      <c r="F15" s="134"/>
      <c r="G15" s="134"/>
      <c r="H15" s="134"/>
      <c r="I15" s="134"/>
      <c r="J15" s="133"/>
      <c r="L15" s="227" t="s">
        <v>285</v>
      </c>
      <c r="M15" s="226"/>
    </row>
    <row r="16" spans="1:18" ht="17" thickBot="1" x14ac:dyDescent="0.25">
      <c r="A16" s="229" t="s">
        <v>145</v>
      </c>
      <c r="B16" s="130"/>
      <c r="C16" s="228"/>
      <c r="D16" s="130"/>
      <c r="E16" s="130"/>
      <c r="F16" s="130"/>
      <c r="G16" s="130"/>
      <c r="H16" s="130"/>
      <c r="I16" s="130"/>
      <c r="J16" s="129"/>
      <c r="L16" s="342" t="s">
        <v>468</v>
      </c>
      <c r="M16" s="342"/>
      <c r="N16" s="342"/>
      <c r="O16" s="342"/>
      <c r="P16" s="342"/>
      <c r="Q16" s="342"/>
      <c r="R16" s="342"/>
    </row>
    <row r="17" spans="12:18" x14ac:dyDescent="0.2">
      <c r="L17" s="342"/>
      <c r="M17" s="342"/>
      <c r="N17" s="342"/>
      <c r="O17" s="342"/>
      <c r="P17" s="342"/>
      <c r="Q17" s="342"/>
      <c r="R17" s="342"/>
    </row>
    <row r="18" spans="12:18" x14ac:dyDescent="0.2">
      <c r="L18" t="s">
        <v>467</v>
      </c>
    </row>
    <row r="19" spans="12:18" x14ac:dyDescent="0.2">
      <c r="L19" s="342" t="s">
        <v>466</v>
      </c>
      <c r="M19" s="342"/>
      <c r="N19" s="342"/>
      <c r="O19" s="342"/>
      <c r="P19" s="342"/>
      <c r="Q19" s="342"/>
      <c r="R19" s="342"/>
    </row>
    <row r="20" spans="12:18" x14ac:dyDescent="0.2">
      <c r="L20" s="342"/>
      <c r="M20" s="342"/>
      <c r="N20" s="342"/>
      <c r="O20" s="342"/>
      <c r="P20" s="342"/>
      <c r="Q20" s="342"/>
      <c r="R20" s="342"/>
    </row>
    <row r="23" spans="12:18" ht="19" x14ac:dyDescent="0.25">
      <c r="L23" s="169"/>
    </row>
  </sheetData>
  <mergeCells count="4">
    <mergeCell ref="L19:R20"/>
    <mergeCell ref="L10:R11"/>
    <mergeCell ref="L12:R13"/>
    <mergeCell ref="L16:R17"/>
  </mergeCells>
  <pageMargins left="0.7" right="0.7" top="0.75" bottom="0.75" header="0.3" footer="0.3"/>
  <pageSetup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D7FC-4388-CF44-AE9B-F8FB4256C2DF}">
  <dimension ref="A1:U76"/>
  <sheetViews>
    <sheetView zoomScale="96" zoomScaleNormal="96" workbookViewId="0">
      <selection activeCell="B1" sqref="B1"/>
    </sheetView>
  </sheetViews>
  <sheetFormatPr baseColWidth="10" defaultColWidth="11" defaultRowHeight="16" outlineLevelCol="1" x14ac:dyDescent="0.2"/>
  <cols>
    <col min="1" max="1" width="4" style="120" customWidth="1"/>
    <col min="2" max="2" width="11.5" customWidth="1"/>
    <col min="3" max="3" width="12.1640625" customWidth="1"/>
    <col min="7" max="7" width="10.83203125" customWidth="1"/>
    <col min="8" max="8" width="12.1640625" customWidth="1"/>
    <col min="11" max="11" width="11" customWidth="1"/>
    <col min="13" max="13" width="10.83203125" customWidth="1"/>
    <col min="14" max="14" width="14.5" hidden="1" customWidth="1" outlineLevel="1"/>
    <col min="15" max="15" width="15.6640625" hidden="1" customWidth="1" outlineLevel="1"/>
    <col min="16" max="16" width="15.5" hidden="1" customWidth="1" outlineLevel="1"/>
    <col min="17" max="17" width="14.6640625" hidden="1" customWidth="1" outlineLevel="1"/>
    <col min="18" max="20" width="10.83203125" hidden="1" customWidth="1" outlineLevel="1"/>
    <col min="21" max="21" width="11" collapsed="1"/>
  </cols>
  <sheetData>
    <row r="1" spans="1:20" x14ac:dyDescent="0.2">
      <c r="A1" s="241"/>
      <c r="B1" s="173" t="s">
        <v>308</v>
      </c>
      <c r="C1" s="172" t="s">
        <v>556</v>
      </c>
      <c r="D1" s="172" t="s">
        <v>306</v>
      </c>
      <c r="E1" s="224" t="s">
        <v>555</v>
      </c>
      <c r="F1" s="171"/>
      <c r="G1" s="171"/>
      <c r="H1" s="171"/>
      <c r="I1" s="171"/>
      <c r="J1" s="171"/>
      <c r="K1" s="171"/>
      <c r="L1" s="170"/>
      <c r="M1" s="227" t="s">
        <v>148</v>
      </c>
      <c r="N1" s="227"/>
    </row>
    <row r="2" spans="1:20" x14ac:dyDescent="0.2">
      <c r="A2" s="218"/>
      <c r="B2" s="240" t="s">
        <v>304</v>
      </c>
      <c r="C2" s="239">
        <v>5</v>
      </c>
      <c r="D2" s="134"/>
      <c r="E2" s="134"/>
      <c r="F2" s="134"/>
      <c r="G2" s="134"/>
      <c r="H2" s="134"/>
      <c r="I2" s="134"/>
      <c r="J2" s="134"/>
      <c r="K2" s="134"/>
      <c r="L2" s="133"/>
    </row>
    <row r="3" spans="1:20" x14ac:dyDescent="0.2">
      <c r="A3" s="218"/>
      <c r="B3" s="134"/>
      <c r="C3" s="134"/>
      <c r="D3" s="134"/>
      <c r="E3" s="134"/>
      <c r="F3" s="134"/>
      <c r="G3" s="134"/>
      <c r="H3" s="134"/>
      <c r="I3" s="134"/>
      <c r="J3" s="134"/>
      <c r="K3" s="134"/>
      <c r="L3" s="133"/>
      <c r="N3" s="227" t="s">
        <v>554</v>
      </c>
      <c r="O3" s="271"/>
    </row>
    <row r="4" spans="1:20" x14ac:dyDescent="0.2">
      <c r="A4" s="218"/>
      <c r="B4" s="134"/>
      <c r="C4" s="134" t="s">
        <v>553</v>
      </c>
      <c r="D4" s="134"/>
      <c r="E4" s="134"/>
      <c r="F4" s="134"/>
      <c r="G4" s="134"/>
      <c r="H4" s="134"/>
      <c r="I4" s="134"/>
      <c r="J4" s="134"/>
      <c r="K4" s="134"/>
      <c r="L4" s="133"/>
      <c r="O4" s="271"/>
    </row>
    <row r="5" spans="1:20" x14ac:dyDescent="0.2">
      <c r="A5" s="218"/>
      <c r="B5" s="134"/>
      <c r="C5" s="134" t="s">
        <v>552</v>
      </c>
      <c r="D5" s="134"/>
      <c r="E5" s="134"/>
      <c r="F5" s="134"/>
      <c r="G5" s="134"/>
      <c r="H5" s="134"/>
      <c r="I5" s="134"/>
      <c r="J5" s="134"/>
      <c r="K5" s="134"/>
      <c r="L5" s="133"/>
      <c r="N5" s="200"/>
      <c r="O5" s="193" t="s">
        <v>514</v>
      </c>
      <c r="P5" s="193" t="s">
        <v>513</v>
      </c>
      <c r="Q5" s="193" t="s">
        <v>512</v>
      </c>
    </row>
    <row r="6" spans="1:20" x14ac:dyDescent="0.2">
      <c r="A6" s="218"/>
      <c r="B6" s="134"/>
      <c r="C6" s="134" t="s">
        <v>551</v>
      </c>
      <c r="D6" s="134"/>
      <c r="E6" s="134"/>
      <c r="F6" s="134"/>
      <c r="G6" s="134"/>
      <c r="H6" s="134"/>
      <c r="I6" s="134"/>
      <c r="J6" s="134"/>
      <c r="K6" s="134"/>
      <c r="L6" s="133"/>
      <c r="N6" s="196" t="s">
        <v>21</v>
      </c>
      <c r="O6" s="179">
        <f>E41/E42</f>
        <v>25000</v>
      </c>
      <c r="P6" s="179">
        <f>F41/F42</f>
        <v>25000</v>
      </c>
      <c r="Q6" s="179">
        <f>G41/G42</f>
        <v>12500</v>
      </c>
    </row>
    <row r="7" spans="1:20" x14ac:dyDescent="0.2">
      <c r="A7" s="218"/>
      <c r="B7" s="134"/>
      <c r="C7" s="134"/>
      <c r="D7" s="134"/>
      <c r="E7" s="134"/>
      <c r="F7" s="134"/>
      <c r="G7" s="134"/>
      <c r="H7" s="134"/>
      <c r="I7" s="134"/>
      <c r="J7" s="134"/>
      <c r="K7" s="134"/>
      <c r="L7" s="133"/>
      <c r="N7" s="196" t="s">
        <v>418</v>
      </c>
      <c r="O7" s="179">
        <f>E41/E42^2</f>
        <v>12500000</v>
      </c>
      <c r="P7" s="179">
        <f>F41/F42^2</f>
        <v>3125000</v>
      </c>
      <c r="Q7" s="179">
        <f>G41/G42^2</f>
        <v>124999.99999999997</v>
      </c>
    </row>
    <row r="8" spans="1:20" x14ac:dyDescent="0.2">
      <c r="A8" s="218"/>
      <c r="B8" s="134"/>
      <c r="C8" s="134" t="s">
        <v>550</v>
      </c>
      <c r="D8" s="134"/>
      <c r="E8" s="134"/>
      <c r="F8" s="134"/>
      <c r="G8" s="134"/>
      <c r="H8" s="134"/>
      <c r="I8" s="134"/>
      <c r="J8" s="134"/>
      <c r="K8" s="134"/>
      <c r="L8" s="133"/>
      <c r="O8" s="287"/>
    </row>
    <row r="9" spans="1:20" ht="15.5" customHeight="1" x14ac:dyDescent="0.2">
      <c r="A9" s="218"/>
      <c r="B9" s="134"/>
      <c r="C9" s="134" t="s">
        <v>549</v>
      </c>
      <c r="D9" s="134"/>
      <c r="E9" s="134"/>
      <c r="F9" s="134"/>
      <c r="G9" s="134"/>
      <c r="H9" s="134"/>
      <c r="I9" s="134"/>
      <c r="J9" s="134"/>
      <c r="K9" s="134"/>
      <c r="L9" s="133"/>
      <c r="N9" s="342" t="s">
        <v>548</v>
      </c>
      <c r="O9" s="342"/>
      <c r="P9" s="342"/>
      <c r="Q9" s="342"/>
      <c r="R9" s="342"/>
      <c r="S9" s="342"/>
      <c r="T9" s="342"/>
    </row>
    <row r="10" spans="1:20" x14ac:dyDescent="0.2">
      <c r="A10" s="218"/>
      <c r="B10" s="134"/>
      <c r="C10" s="134"/>
      <c r="D10" s="134"/>
      <c r="E10" s="134"/>
      <c r="F10" s="134"/>
      <c r="G10" s="134"/>
      <c r="H10" s="134"/>
      <c r="I10" s="134"/>
      <c r="J10" s="134"/>
      <c r="K10" s="134"/>
      <c r="L10" s="133"/>
      <c r="N10" s="342"/>
      <c r="O10" s="342"/>
      <c r="P10" s="342"/>
      <c r="Q10" s="342"/>
      <c r="R10" s="342"/>
      <c r="S10" s="342"/>
      <c r="T10" s="342"/>
    </row>
    <row r="11" spans="1:20" x14ac:dyDescent="0.2">
      <c r="A11" s="218"/>
      <c r="B11" s="134"/>
      <c r="C11" s="350" t="s">
        <v>547</v>
      </c>
      <c r="D11" s="367"/>
      <c r="E11" s="367"/>
      <c r="F11" s="365"/>
      <c r="G11" s="134"/>
      <c r="H11" s="350" t="s">
        <v>546</v>
      </c>
      <c r="I11" s="367"/>
      <c r="J11" s="367"/>
      <c r="K11" s="365"/>
      <c r="L11" s="133"/>
      <c r="N11" s="342"/>
      <c r="O11" s="342"/>
      <c r="P11" s="342"/>
      <c r="Q11" s="342"/>
      <c r="R11" s="342"/>
      <c r="S11" s="342"/>
      <c r="T11" s="342"/>
    </row>
    <row r="12" spans="1:20" x14ac:dyDescent="0.2">
      <c r="A12" s="218"/>
      <c r="B12" s="134"/>
      <c r="C12" s="357"/>
      <c r="D12" s="358"/>
      <c r="E12" s="358"/>
      <c r="F12" s="359"/>
      <c r="G12" s="134"/>
      <c r="H12" s="357"/>
      <c r="I12" s="358"/>
      <c r="J12" s="358"/>
      <c r="K12" s="359"/>
      <c r="L12" s="133"/>
      <c r="N12" s="342"/>
      <c r="O12" s="342"/>
      <c r="P12" s="342"/>
      <c r="Q12" s="342"/>
      <c r="R12" s="342"/>
      <c r="S12" s="342"/>
      <c r="T12" s="342"/>
    </row>
    <row r="13" spans="1:20" x14ac:dyDescent="0.2">
      <c r="A13" s="218"/>
      <c r="B13" s="134"/>
      <c r="C13" s="167" t="s">
        <v>115</v>
      </c>
      <c r="D13" s="298">
        <v>12</v>
      </c>
      <c r="E13" s="165">
        <v>24</v>
      </c>
      <c r="F13" s="164">
        <v>36</v>
      </c>
      <c r="G13" s="134"/>
      <c r="H13" s="167" t="s">
        <v>115</v>
      </c>
      <c r="I13" s="165">
        <v>12</v>
      </c>
      <c r="J13" s="165">
        <v>24</v>
      </c>
      <c r="K13" s="164">
        <v>36</v>
      </c>
      <c r="L13" s="133"/>
    </row>
    <row r="14" spans="1:20" x14ac:dyDescent="0.2">
      <c r="A14" s="218"/>
      <c r="B14" s="134"/>
      <c r="C14" s="159">
        <v>2016</v>
      </c>
      <c r="D14" s="157">
        <v>16500</v>
      </c>
      <c r="E14" s="157">
        <v>6000</v>
      </c>
      <c r="F14" s="256">
        <v>2500</v>
      </c>
      <c r="G14" s="134"/>
      <c r="H14" s="159">
        <v>2016</v>
      </c>
      <c r="I14" s="157">
        <v>16500</v>
      </c>
      <c r="J14" s="157">
        <v>6000</v>
      </c>
      <c r="K14" s="256">
        <v>2500</v>
      </c>
      <c r="L14" s="133"/>
      <c r="N14" s="227" t="s">
        <v>545</v>
      </c>
    </row>
    <row r="15" spans="1:20" x14ac:dyDescent="0.2">
      <c r="A15" s="218"/>
      <c r="B15" s="134"/>
      <c r="C15" s="159">
        <v>2017</v>
      </c>
      <c r="D15" s="157">
        <v>17000</v>
      </c>
      <c r="E15" s="157">
        <v>5000</v>
      </c>
      <c r="F15" s="163"/>
      <c r="G15" s="134"/>
      <c r="H15" s="159">
        <v>2017</v>
      </c>
      <c r="I15" s="157">
        <v>17000</v>
      </c>
      <c r="J15" s="157">
        <v>5000</v>
      </c>
      <c r="K15" s="163"/>
      <c r="L15" s="133"/>
      <c r="N15" s="227"/>
    </row>
    <row r="16" spans="1:20" x14ac:dyDescent="0.2">
      <c r="A16" s="218"/>
      <c r="B16" s="134"/>
      <c r="C16" s="155">
        <v>2018</v>
      </c>
      <c r="D16" s="183">
        <v>14000</v>
      </c>
      <c r="E16" s="153"/>
      <c r="F16" s="234"/>
      <c r="G16" s="134"/>
      <c r="H16" s="155">
        <v>2018</v>
      </c>
      <c r="I16" s="183">
        <v>11000</v>
      </c>
      <c r="J16" s="153"/>
      <c r="K16" s="234"/>
      <c r="L16" s="133"/>
      <c r="N16" s="120" t="s">
        <v>544</v>
      </c>
      <c r="O16" s="151">
        <f>P6</f>
        <v>25000</v>
      </c>
    </row>
    <row r="17" spans="1:17" x14ac:dyDescent="0.2">
      <c r="A17" s="218"/>
      <c r="B17" s="134"/>
      <c r="C17" s="134"/>
      <c r="D17" s="134"/>
      <c r="E17" s="134"/>
      <c r="F17" s="134"/>
      <c r="G17" s="134"/>
      <c r="H17" s="134"/>
      <c r="I17" s="134"/>
      <c r="J17" s="134"/>
      <c r="K17" s="134"/>
      <c r="L17" s="133"/>
      <c r="N17" s="120"/>
      <c r="O17" s="252"/>
    </row>
    <row r="18" spans="1:17" x14ac:dyDescent="0.2">
      <c r="A18" s="218"/>
      <c r="B18" s="134"/>
      <c r="C18" s="134" t="s">
        <v>543</v>
      </c>
      <c r="D18" s="134"/>
      <c r="E18" s="134"/>
      <c r="F18" s="134"/>
      <c r="G18" s="134"/>
      <c r="H18" s="134"/>
      <c r="I18" s="134"/>
      <c r="J18" s="134"/>
      <c r="K18" s="134"/>
      <c r="L18" s="133"/>
      <c r="N18" s="200"/>
      <c r="O18" s="297" t="s">
        <v>542</v>
      </c>
      <c r="P18" s="193" t="s">
        <v>541</v>
      </c>
      <c r="Q18" s="193" t="s">
        <v>540</v>
      </c>
    </row>
    <row r="19" spans="1:17" x14ac:dyDescent="0.2">
      <c r="A19" s="218"/>
      <c r="B19" s="134"/>
      <c r="C19" s="134"/>
      <c r="D19" s="134"/>
      <c r="E19" s="134"/>
      <c r="F19" s="134"/>
      <c r="G19" s="134"/>
      <c r="H19" s="134"/>
      <c r="I19" s="134"/>
      <c r="J19" s="134"/>
      <c r="K19" s="134"/>
      <c r="L19" s="133"/>
      <c r="N19" s="295" t="s">
        <v>100</v>
      </c>
      <c r="O19" s="296">
        <f>SUM(D14:E15)/SUM(D14:D15)</f>
        <v>1.3283582089552239</v>
      </c>
      <c r="P19" s="296">
        <f>SUM(D14:F14)/SUM(D14:E14)</f>
        <v>1.1111111111111112</v>
      </c>
      <c r="Q19" s="296">
        <v>1</v>
      </c>
    </row>
    <row r="20" spans="1:17" ht="18" x14ac:dyDescent="0.25">
      <c r="A20" s="218"/>
      <c r="B20" s="134"/>
      <c r="C20" s="134" t="s">
        <v>539</v>
      </c>
      <c r="D20" s="134"/>
      <c r="E20" s="134"/>
      <c r="F20" s="134"/>
      <c r="G20" s="134"/>
      <c r="H20" s="134"/>
      <c r="I20" s="134"/>
      <c r="J20" s="134"/>
      <c r="K20" s="134"/>
      <c r="L20" s="133"/>
      <c r="N20" s="295" t="s">
        <v>101</v>
      </c>
      <c r="O20" s="296">
        <f>O19*P20</f>
        <v>1.4759535655058045</v>
      </c>
      <c r="P20" s="296">
        <f>P19*Q20</f>
        <v>1.1111111111111112</v>
      </c>
      <c r="Q20" s="296">
        <f>Q19</f>
        <v>1</v>
      </c>
    </row>
    <row r="21" spans="1:17" ht="18" x14ac:dyDescent="0.25">
      <c r="A21" s="218"/>
      <c r="B21" s="134"/>
      <c r="C21" s="134" t="s">
        <v>538</v>
      </c>
      <c r="D21" s="134"/>
      <c r="E21" s="134"/>
      <c r="F21" s="134"/>
      <c r="G21" s="134"/>
      <c r="H21" s="134"/>
      <c r="I21" s="134"/>
      <c r="J21" s="134"/>
      <c r="K21" s="134"/>
      <c r="L21" s="133"/>
      <c r="N21" s="295" t="s">
        <v>102</v>
      </c>
      <c r="O21" s="294">
        <f>1/O20</f>
        <v>0.67752808988764035</v>
      </c>
      <c r="P21" s="294">
        <f>1/P20</f>
        <v>0.89999999999999991</v>
      </c>
      <c r="Q21" s="294">
        <f>1/Q20</f>
        <v>1</v>
      </c>
    </row>
    <row r="22" spans="1:17" ht="18" x14ac:dyDescent="0.25">
      <c r="A22" s="218"/>
      <c r="B22" s="134"/>
      <c r="C22" s="134" t="s">
        <v>537</v>
      </c>
      <c r="D22" s="134"/>
      <c r="E22" s="134"/>
      <c r="F22" s="134"/>
      <c r="G22" s="134"/>
      <c r="H22" s="134"/>
      <c r="I22" s="134"/>
      <c r="J22" s="134"/>
      <c r="K22" s="134"/>
      <c r="L22" s="133"/>
      <c r="N22" s="295" t="s">
        <v>103</v>
      </c>
      <c r="O22" s="294">
        <f>O21</f>
        <v>0.67752808988764035</v>
      </c>
      <c r="P22" s="294">
        <f>P21-O21</f>
        <v>0.22247191011235956</v>
      </c>
      <c r="Q22" s="294">
        <f>Q21-P21</f>
        <v>0.10000000000000009</v>
      </c>
    </row>
    <row r="23" spans="1:17" ht="18" x14ac:dyDescent="0.25">
      <c r="A23" s="218"/>
      <c r="B23" s="134"/>
      <c r="C23" s="134" t="s">
        <v>536</v>
      </c>
      <c r="D23" s="134"/>
      <c r="E23" s="134"/>
      <c r="F23" s="134"/>
      <c r="G23" s="134"/>
      <c r="H23" s="134"/>
      <c r="I23" s="134"/>
      <c r="J23" s="134"/>
      <c r="K23" s="134"/>
      <c r="L23" s="133"/>
      <c r="N23" s="120"/>
      <c r="O23" s="252"/>
    </row>
    <row r="24" spans="1:17" ht="20" x14ac:dyDescent="0.25">
      <c r="A24" s="218"/>
      <c r="B24" s="134"/>
      <c r="C24" s="134" t="s">
        <v>447</v>
      </c>
      <c r="D24" s="134"/>
      <c r="E24" s="134"/>
      <c r="F24" s="134"/>
      <c r="G24" s="134"/>
      <c r="H24" s="134"/>
      <c r="I24" s="134"/>
      <c r="J24" s="134"/>
      <c r="K24" s="134"/>
      <c r="L24" s="133"/>
      <c r="N24" s="283" t="s">
        <v>535</v>
      </c>
    </row>
    <row r="25" spans="1:17" x14ac:dyDescent="0.2">
      <c r="A25" s="218"/>
      <c r="B25" s="134"/>
      <c r="C25" s="134" t="s">
        <v>534</v>
      </c>
      <c r="D25" s="134"/>
      <c r="E25" s="134"/>
      <c r="F25" s="134"/>
      <c r="G25" s="134"/>
      <c r="H25" s="134"/>
      <c r="I25" s="139">
        <v>93</v>
      </c>
      <c r="J25" s="134"/>
      <c r="K25" s="134"/>
      <c r="L25" s="133"/>
    </row>
    <row r="26" spans="1:17" ht="18" x14ac:dyDescent="0.25">
      <c r="A26" s="218"/>
      <c r="B26" s="134"/>
      <c r="C26" s="134" t="s">
        <v>533</v>
      </c>
      <c r="D26" s="134"/>
      <c r="E26" s="134"/>
      <c r="F26" s="134"/>
      <c r="G26" s="134"/>
      <c r="H26" s="134"/>
      <c r="I26" s="134"/>
      <c r="J26" s="134"/>
      <c r="K26" s="134"/>
      <c r="L26" s="133"/>
      <c r="N26" s="123" t="s">
        <v>456</v>
      </c>
      <c r="O26" s="144">
        <f>O21/(I25*F42+O21)</f>
        <v>0.47661955800056904</v>
      </c>
      <c r="P26" s="121" t="s">
        <v>532</v>
      </c>
    </row>
    <row r="27" spans="1:17" ht="20" x14ac:dyDescent="0.25">
      <c r="A27" s="218"/>
      <c r="B27" s="134"/>
      <c r="C27" s="134" t="s">
        <v>531</v>
      </c>
      <c r="D27" s="134"/>
      <c r="E27" s="134"/>
      <c r="F27" s="134"/>
      <c r="G27" s="134"/>
      <c r="H27" s="134"/>
      <c r="I27" s="134"/>
      <c r="J27" s="134"/>
      <c r="K27" s="134"/>
      <c r="L27" s="133"/>
      <c r="N27" t="s">
        <v>454</v>
      </c>
      <c r="O27" s="151">
        <f>O16*SUM(P22:Q22)</f>
        <v>8061.7977528089914</v>
      </c>
    </row>
    <row r="28" spans="1:17" ht="20" x14ac:dyDescent="0.25">
      <c r="A28" s="218"/>
      <c r="B28" s="134"/>
      <c r="C28" s="134" t="s">
        <v>530</v>
      </c>
      <c r="D28" s="134"/>
      <c r="E28" s="134"/>
      <c r="F28" s="134"/>
      <c r="G28" s="134"/>
      <c r="H28" s="134"/>
      <c r="I28" s="134"/>
      <c r="J28" s="134"/>
      <c r="K28" s="134"/>
      <c r="L28" s="133"/>
      <c r="N28" t="s">
        <v>455</v>
      </c>
      <c r="O28" s="151">
        <f>D16*(O20-1)</f>
        <v>6663.3499170812629</v>
      </c>
    </row>
    <row r="29" spans="1:17" ht="17" thickBot="1" x14ac:dyDescent="0.25">
      <c r="A29" s="218"/>
      <c r="B29" s="139"/>
      <c r="C29" s="134" t="s">
        <v>529</v>
      </c>
      <c r="D29" s="134"/>
      <c r="E29" s="134"/>
      <c r="F29" s="134"/>
      <c r="G29" s="134"/>
      <c r="H29" s="134"/>
      <c r="I29" s="134"/>
      <c r="J29" s="134"/>
      <c r="K29" s="134"/>
      <c r="L29" s="133"/>
    </row>
    <row r="30" spans="1:17" ht="19" thickBot="1" x14ac:dyDescent="0.3">
      <c r="A30" s="218"/>
      <c r="B30" s="139"/>
      <c r="C30" s="134" t="s">
        <v>528</v>
      </c>
      <c r="D30" s="134"/>
      <c r="E30" s="134"/>
      <c r="F30" s="134"/>
      <c r="G30" s="134"/>
      <c r="H30" s="134"/>
      <c r="I30" s="134"/>
      <c r="J30" s="134"/>
      <c r="K30" s="134"/>
      <c r="L30" s="133"/>
      <c r="N30" s="236" t="s">
        <v>527</v>
      </c>
      <c r="O30" s="273"/>
      <c r="P30" s="277">
        <f>(O26*O28+(1-O26)*O27)*1000</f>
        <v>7395270.1634575892</v>
      </c>
    </row>
    <row r="31" spans="1:17" x14ac:dyDescent="0.2">
      <c r="A31" s="218"/>
      <c r="B31" s="139"/>
      <c r="C31" s="134"/>
      <c r="D31" s="134"/>
      <c r="E31" s="134"/>
      <c r="F31" s="134"/>
      <c r="G31" s="134"/>
      <c r="H31" s="134"/>
      <c r="I31" s="134"/>
      <c r="J31" s="134"/>
      <c r="K31" s="134"/>
      <c r="L31" s="133"/>
      <c r="N31" s="227"/>
    </row>
    <row r="32" spans="1:17" x14ac:dyDescent="0.2">
      <c r="A32" s="218"/>
      <c r="B32" s="139"/>
      <c r="C32" s="134"/>
      <c r="D32" s="134"/>
      <c r="E32" s="134"/>
      <c r="F32" s="134"/>
      <c r="G32" s="134" t="s">
        <v>443</v>
      </c>
      <c r="H32" s="134"/>
      <c r="I32" s="134"/>
      <c r="J32" s="134"/>
      <c r="K32" s="134"/>
      <c r="L32" s="133"/>
      <c r="N32" s="227"/>
    </row>
    <row r="33" spans="1:20" x14ac:dyDescent="0.2">
      <c r="A33" s="218"/>
      <c r="B33" s="139"/>
      <c r="C33" s="134"/>
      <c r="D33" s="134"/>
      <c r="E33" s="134"/>
      <c r="F33" s="134"/>
      <c r="G33" s="134"/>
      <c r="H33" s="134"/>
      <c r="I33" s="134"/>
      <c r="J33" s="134"/>
      <c r="K33" s="134"/>
      <c r="L33" s="133"/>
      <c r="N33" s="227" t="s">
        <v>526</v>
      </c>
    </row>
    <row r="34" spans="1:20" x14ac:dyDescent="0.2">
      <c r="A34" s="218"/>
      <c r="B34" s="139"/>
      <c r="C34" s="134" t="s">
        <v>525</v>
      </c>
      <c r="D34" s="134"/>
      <c r="E34" s="134"/>
      <c r="F34" s="134"/>
      <c r="G34" s="134"/>
      <c r="H34" s="134"/>
      <c r="I34" s="134"/>
      <c r="J34" s="134"/>
      <c r="K34" s="134"/>
      <c r="L34" s="133"/>
    </row>
    <row r="35" spans="1:20" x14ac:dyDescent="0.2">
      <c r="A35" s="218"/>
      <c r="B35" s="139"/>
      <c r="C35" s="134" t="s">
        <v>524</v>
      </c>
      <c r="D35" s="134"/>
      <c r="E35" s="134"/>
      <c r="F35" s="134"/>
      <c r="G35" s="134"/>
      <c r="H35" s="134"/>
      <c r="I35" s="134"/>
      <c r="J35" s="134"/>
      <c r="K35" s="134"/>
      <c r="L35" s="133"/>
      <c r="N35" s="293" t="s">
        <v>523</v>
      </c>
      <c r="P35" s="151">
        <f>J47</f>
        <v>5000000</v>
      </c>
    </row>
    <row r="36" spans="1:20" x14ac:dyDescent="0.2">
      <c r="A36" s="218"/>
      <c r="B36" s="139"/>
      <c r="C36" s="134"/>
      <c r="D36" s="134"/>
      <c r="E36" s="134"/>
      <c r="F36" s="134"/>
      <c r="G36" s="134"/>
      <c r="H36" s="134"/>
      <c r="I36" s="134"/>
      <c r="J36" s="134"/>
      <c r="K36" s="134"/>
      <c r="L36" s="133"/>
      <c r="N36" s="293" t="s">
        <v>522</v>
      </c>
      <c r="P36" s="151">
        <f>J48</f>
        <v>1000000</v>
      </c>
    </row>
    <row r="37" spans="1:20" x14ac:dyDescent="0.2">
      <c r="A37" s="218"/>
      <c r="B37" s="139"/>
      <c r="C37" s="134" t="s">
        <v>521</v>
      </c>
      <c r="D37" s="134"/>
      <c r="E37" s="134"/>
      <c r="F37" s="134"/>
      <c r="G37" s="134"/>
      <c r="H37" s="134"/>
      <c r="I37" s="134"/>
      <c r="J37" s="134"/>
      <c r="K37" s="134"/>
      <c r="L37" s="133"/>
      <c r="N37" s="293" t="s">
        <v>520</v>
      </c>
      <c r="P37" s="292">
        <f>J49</f>
        <v>0.75</v>
      </c>
    </row>
    <row r="38" spans="1:20" x14ac:dyDescent="0.2">
      <c r="A38" s="218"/>
      <c r="B38" s="139"/>
      <c r="C38" s="134" t="s">
        <v>519</v>
      </c>
      <c r="D38" s="134"/>
      <c r="E38" s="134"/>
      <c r="F38" s="134"/>
      <c r="G38" s="134"/>
      <c r="H38" s="134"/>
      <c r="I38" s="134"/>
      <c r="J38" s="134"/>
      <c r="K38" s="134"/>
      <c r="L38" s="133"/>
      <c r="N38" s="293" t="s">
        <v>518</v>
      </c>
      <c r="P38" s="292">
        <f>J50</f>
        <v>0.1</v>
      </c>
    </row>
    <row r="39" spans="1:20" ht="15.5" customHeight="1" x14ac:dyDescent="0.2">
      <c r="A39" s="218"/>
      <c r="B39" s="139"/>
      <c r="C39" s="134"/>
      <c r="D39" s="134"/>
      <c r="E39" s="134"/>
      <c r="F39" s="134"/>
      <c r="G39" s="134"/>
      <c r="H39" s="134"/>
      <c r="I39" s="134"/>
      <c r="J39" s="134"/>
      <c r="K39" s="134"/>
      <c r="L39" s="133"/>
      <c r="N39" s="120" t="s">
        <v>517</v>
      </c>
      <c r="P39" s="151">
        <f>P37^2*(P36^2)</f>
        <v>562500000000</v>
      </c>
      <c r="Q39" t="s">
        <v>516</v>
      </c>
    </row>
    <row r="40" spans="1:20" x14ac:dyDescent="0.2">
      <c r="A40" s="218"/>
      <c r="B40" s="139"/>
      <c r="C40" s="134"/>
      <c r="D40" s="167" t="s">
        <v>515</v>
      </c>
      <c r="E40" s="165" t="s">
        <v>514</v>
      </c>
      <c r="F40" s="165" t="s">
        <v>513</v>
      </c>
      <c r="G40" s="164" t="s">
        <v>512</v>
      </c>
      <c r="H40" s="134"/>
      <c r="I40" s="134"/>
      <c r="J40" s="134"/>
      <c r="K40" s="134"/>
      <c r="L40" s="133"/>
      <c r="N40" s="120" t="s">
        <v>511</v>
      </c>
      <c r="P40" s="151">
        <f>P38^2*(P36^2+P35^2)</f>
        <v>260000000000.00006</v>
      </c>
      <c r="Q40" t="s">
        <v>510</v>
      </c>
    </row>
    <row r="41" spans="1:20" x14ac:dyDescent="0.2">
      <c r="A41" s="218"/>
      <c r="B41" s="139"/>
      <c r="C41" s="134"/>
      <c r="D41" s="159" t="s">
        <v>113</v>
      </c>
      <c r="E41" s="139">
        <v>50</v>
      </c>
      <c r="F41" s="139">
        <v>200</v>
      </c>
      <c r="G41" s="256">
        <v>1250</v>
      </c>
      <c r="H41" s="134"/>
      <c r="I41" s="134"/>
      <c r="J41" s="134"/>
      <c r="K41" s="134"/>
      <c r="L41" s="133"/>
      <c r="N41" s="120" t="s">
        <v>456</v>
      </c>
      <c r="P41" s="252">
        <f>P39/(P39+P40)</f>
        <v>0.68389057750759874</v>
      </c>
    </row>
    <row r="42" spans="1:20" x14ac:dyDescent="0.2">
      <c r="A42" s="218"/>
      <c r="B42" s="139"/>
      <c r="C42" s="134"/>
      <c r="D42" s="155" t="s">
        <v>81</v>
      </c>
      <c r="E42" s="153">
        <v>2E-3</v>
      </c>
      <c r="F42" s="153">
        <v>8.0000000000000002E-3</v>
      </c>
      <c r="G42" s="291">
        <v>0.1</v>
      </c>
      <c r="H42" s="134"/>
      <c r="I42" s="134"/>
      <c r="J42" s="134"/>
      <c r="K42" s="134"/>
      <c r="L42" s="133"/>
    </row>
    <row r="43" spans="1:20" x14ac:dyDescent="0.2">
      <c r="A43" s="218"/>
      <c r="B43" s="139"/>
      <c r="C43" s="134"/>
      <c r="D43" s="134"/>
      <c r="E43" s="134"/>
      <c r="F43" s="134"/>
      <c r="G43" s="134"/>
      <c r="H43" s="134"/>
      <c r="I43" s="134"/>
      <c r="J43" s="134"/>
      <c r="K43" s="134"/>
      <c r="L43" s="133"/>
      <c r="N43" s="120" t="s">
        <v>509</v>
      </c>
      <c r="P43" s="151">
        <f>(D16-I16)*1000</f>
        <v>3000000</v>
      </c>
      <c r="Q43" s="340" t="s">
        <v>508</v>
      </c>
      <c r="R43" s="340"/>
      <c r="S43" s="340"/>
      <c r="T43" s="340"/>
    </row>
    <row r="44" spans="1:20" ht="17" thickBot="1" x14ac:dyDescent="0.25">
      <c r="A44" s="218"/>
      <c r="B44" s="139"/>
      <c r="C44" s="134" t="s">
        <v>507</v>
      </c>
      <c r="D44" s="134"/>
      <c r="E44" s="134"/>
      <c r="F44" s="134"/>
      <c r="G44" s="134"/>
      <c r="H44" s="134"/>
      <c r="I44" s="134"/>
      <c r="J44" s="134"/>
      <c r="K44" s="134"/>
      <c r="L44" s="133"/>
      <c r="Q44" s="340"/>
      <c r="R44" s="340"/>
      <c r="S44" s="340"/>
      <c r="T44" s="340"/>
    </row>
    <row r="45" spans="1:20" ht="17" thickBot="1" x14ac:dyDescent="0.25">
      <c r="A45" s="218"/>
      <c r="B45" s="139"/>
      <c r="C45" s="134" t="s">
        <v>506</v>
      </c>
      <c r="D45" s="134"/>
      <c r="E45" s="134"/>
      <c r="F45" s="134"/>
      <c r="G45" s="134"/>
      <c r="H45" s="134"/>
      <c r="I45" s="134"/>
      <c r="J45" s="134"/>
      <c r="K45" s="134"/>
      <c r="L45" s="133"/>
      <c r="N45" s="368" t="s">
        <v>505</v>
      </c>
      <c r="O45" s="369"/>
      <c r="P45" s="277">
        <f>P41*(P43/P37)+(1-P41)*P35</f>
        <v>4316109.4224924017</v>
      </c>
      <c r="Q45" s="290"/>
      <c r="R45" s="290"/>
      <c r="S45" s="290"/>
      <c r="T45" s="290"/>
    </row>
    <row r="46" spans="1:20" x14ac:dyDescent="0.2">
      <c r="A46" s="218"/>
      <c r="B46" s="139"/>
      <c r="C46" s="134"/>
      <c r="D46" s="134"/>
      <c r="E46" s="134"/>
      <c r="F46" s="134"/>
      <c r="G46" s="134"/>
      <c r="H46" s="134"/>
      <c r="I46" s="134"/>
      <c r="J46" s="134"/>
      <c r="K46" s="134"/>
      <c r="L46" s="133"/>
    </row>
    <row r="47" spans="1:20" x14ac:dyDescent="0.2">
      <c r="A47" s="218"/>
      <c r="B47" s="139"/>
      <c r="C47" s="134" t="s">
        <v>504</v>
      </c>
      <c r="D47" s="134"/>
      <c r="E47" s="134"/>
      <c r="F47" s="134"/>
      <c r="G47" s="134"/>
      <c r="H47" s="134"/>
      <c r="I47" s="134"/>
      <c r="J47" s="189">
        <v>5000000</v>
      </c>
      <c r="K47" s="134"/>
      <c r="L47" s="133"/>
    </row>
    <row r="48" spans="1:20" x14ac:dyDescent="0.2">
      <c r="A48" s="218"/>
      <c r="B48" s="139"/>
      <c r="C48" s="134" t="s">
        <v>503</v>
      </c>
      <c r="D48" s="134"/>
      <c r="E48" s="134"/>
      <c r="F48" s="134"/>
      <c r="G48" s="134"/>
      <c r="H48" s="134"/>
      <c r="I48" s="134"/>
      <c r="J48" s="189">
        <v>1000000</v>
      </c>
      <c r="K48" s="134"/>
      <c r="L48" s="133"/>
      <c r="N48" s="227" t="s">
        <v>502</v>
      </c>
    </row>
    <row r="49" spans="1:20" x14ac:dyDescent="0.2">
      <c r="A49" s="218"/>
      <c r="B49" s="139"/>
      <c r="C49" s="134" t="s">
        <v>501</v>
      </c>
      <c r="D49" s="134"/>
      <c r="E49" s="134"/>
      <c r="F49" s="134"/>
      <c r="G49" s="134"/>
      <c r="H49" s="134"/>
      <c r="I49" s="134"/>
      <c r="J49" s="289">
        <v>0.75</v>
      </c>
      <c r="K49" s="134"/>
      <c r="L49" s="133"/>
    </row>
    <row r="50" spans="1:20" x14ac:dyDescent="0.2">
      <c r="A50" s="218"/>
      <c r="B50" s="134"/>
      <c r="C50" s="134" t="s">
        <v>500</v>
      </c>
      <c r="D50" s="134"/>
      <c r="E50" s="134"/>
      <c r="F50" s="134"/>
      <c r="G50" s="134"/>
      <c r="H50" s="134"/>
      <c r="I50" s="134"/>
      <c r="J50" s="289">
        <v>0.1</v>
      </c>
      <c r="K50" s="134"/>
      <c r="L50" s="133"/>
      <c r="N50" t="s">
        <v>499</v>
      </c>
      <c r="P50" s="151">
        <f>P30</f>
        <v>7395270.1634575892</v>
      </c>
    </row>
    <row r="51" spans="1:20" ht="17" thickBot="1" x14ac:dyDescent="0.25">
      <c r="A51" s="218"/>
      <c r="B51" s="134"/>
      <c r="C51" s="134"/>
      <c r="D51" s="134"/>
      <c r="E51" s="134"/>
      <c r="F51" s="134"/>
      <c r="G51" s="134"/>
      <c r="H51" s="134"/>
      <c r="I51" s="134"/>
      <c r="J51" s="134"/>
      <c r="K51" s="134"/>
      <c r="L51" s="133"/>
      <c r="N51" t="s">
        <v>498</v>
      </c>
      <c r="P51" s="151">
        <f>P45-P43</f>
        <v>1316109.4224924017</v>
      </c>
      <c r="Q51" t="s">
        <v>497</v>
      </c>
    </row>
    <row r="52" spans="1:20" ht="17" thickBot="1" x14ac:dyDescent="0.25">
      <c r="A52" s="218" t="s">
        <v>0</v>
      </c>
      <c r="B52" s="134" t="s">
        <v>362</v>
      </c>
      <c r="C52" s="134" t="s">
        <v>496</v>
      </c>
      <c r="D52" s="134"/>
      <c r="E52" s="134"/>
      <c r="F52" s="134"/>
      <c r="G52" s="134"/>
      <c r="H52" s="134"/>
      <c r="I52" s="134"/>
      <c r="J52" s="134"/>
      <c r="K52" s="134"/>
      <c r="L52" s="133"/>
      <c r="N52" s="236" t="s">
        <v>495</v>
      </c>
      <c r="O52" s="273"/>
      <c r="P52" s="288">
        <f>P50-P51</f>
        <v>6079160.7409651875</v>
      </c>
    </row>
    <row r="53" spans="1:20" x14ac:dyDescent="0.2">
      <c r="A53" s="218"/>
      <c r="B53" s="134"/>
      <c r="C53" s="134" t="s">
        <v>494</v>
      </c>
      <c r="D53" s="134"/>
      <c r="E53" s="134"/>
      <c r="F53" s="134"/>
      <c r="G53" s="134"/>
      <c r="H53" s="134"/>
      <c r="I53" s="134"/>
      <c r="J53" s="134"/>
      <c r="K53" s="134"/>
      <c r="L53" s="133"/>
      <c r="O53" s="243"/>
    </row>
    <row r="54" spans="1:20" x14ac:dyDescent="0.2">
      <c r="A54" s="218"/>
      <c r="B54" s="134"/>
      <c r="C54" s="134"/>
      <c r="D54" s="134"/>
      <c r="E54" s="134"/>
      <c r="F54" s="134"/>
      <c r="G54" s="134"/>
      <c r="H54" s="134"/>
      <c r="I54" s="134"/>
      <c r="J54" s="134"/>
      <c r="K54" s="134"/>
      <c r="L54" s="133"/>
      <c r="O54" s="243"/>
    </row>
    <row r="55" spans="1:20" ht="19" x14ac:dyDescent="0.25">
      <c r="A55" s="218" t="s">
        <v>1</v>
      </c>
      <c r="B55" s="134" t="s">
        <v>438</v>
      </c>
      <c r="C55" s="134" t="s">
        <v>493</v>
      </c>
      <c r="D55" s="134"/>
      <c r="E55" s="134"/>
      <c r="F55" s="134"/>
      <c r="G55" s="134"/>
      <c r="H55" s="134"/>
      <c r="I55" s="134"/>
      <c r="J55" s="134"/>
      <c r="K55" s="134"/>
      <c r="L55" s="133"/>
      <c r="N55" s="169" t="s">
        <v>132</v>
      </c>
      <c r="O55" s="243"/>
    </row>
    <row r="56" spans="1:20" x14ac:dyDescent="0.2">
      <c r="A56" s="218"/>
      <c r="B56" s="134"/>
      <c r="C56" s="134" t="s">
        <v>492</v>
      </c>
      <c r="D56" s="134"/>
      <c r="E56" s="134"/>
      <c r="F56" s="134"/>
      <c r="G56" s="134"/>
      <c r="H56" s="134"/>
      <c r="I56" s="134"/>
      <c r="J56" s="134"/>
      <c r="K56" s="134"/>
      <c r="L56" s="133"/>
      <c r="N56" s="342" t="s">
        <v>491</v>
      </c>
      <c r="O56" s="342"/>
      <c r="P56" s="342"/>
      <c r="Q56" s="342"/>
      <c r="R56" s="342"/>
      <c r="S56" s="342"/>
      <c r="T56" s="342"/>
    </row>
    <row r="57" spans="1:20" x14ac:dyDescent="0.2">
      <c r="A57" s="218"/>
      <c r="B57" s="134"/>
      <c r="C57" s="134"/>
      <c r="D57" s="134"/>
      <c r="E57" s="134"/>
      <c r="F57" s="134"/>
      <c r="G57" s="134"/>
      <c r="H57" s="134"/>
      <c r="I57" s="134"/>
      <c r="J57" s="134"/>
      <c r="K57" s="134"/>
      <c r="L57" s="133"/>
      <c r="N57" s="342"/>
      <c r="O57" s="342"/>
      <c r="P57" s="342"/>
      <c r="Q57" s="342"/>
      <c r="R57" s="342"/>
      <c r="S57" s="342"/>
      <c r="T57" s="342"/>
    </row>
    <row r="58" spans="1:20" x14ac:dyDescent="0.2">
      <c r="A58" s="218" t="s">
        <v>197</v>
      </c>
      <c r="B58" s="134"/>
      <c r="C58" s="134" t="s">
        <v>484</v>
      </c>
      <c r="D58" s="134"/>
      <c r="E58" s="134"/>
      <c r="F58" s="134"/>
      <c r="G58" s="134"/>
      <c r="H58" s="134"/>
      <c r="I58" s="134"/>
      <c r="J58" s="134"/>
      <c r="K58" s="134"/>
      <c r="L58" s="133"/>
    </row>
    <row r="59" spans="1:20" ht="19" x14ac:dyDescent="0.25">
      <c r="A59" s="218"/>
      <c r="B59" s="134"/>
      <c r="C59" s="134"/>
      <c r="D59" s="134"/>
      <c r="E59" s="134"/>
      <c r="F59" s="134"/>
      <c r="G59" s="134"/>
      <c r="H59" s="134"/>
      <c r="I59" s="134"/>
      <c r="J59" s="134"/>
      <c r="K59" s="134"/>
      <c r="L59" s="133"/>
      <c r="N59" s="169" t="s">
        <v>172</v>
      </c>
    </row>
    <row r="60" spans="1:20" x14ac:dyDescent="0.2">
      <c r="A60" s="218" t="s">
        <v>192</v>
      </c>
      <c r="B60" s="134" t="s">
        <v>490</v>
      </c>
      <c r="C60" s="134" t="s">
        <v>489</v>
      </c>
      <c r="D60" s="134"/>
      <c r="E60" s="134"/>
      <c r="F60" s="134"/>
      <c r="G60" s="134"/>
      <c r="H60" s="134"/>
      <c r="I60" s="134"/>
      <c r="J60" s="134"/>
      <c r="K60" s="134"/>
      <c r="L60" s="133"/>
      <c r="N60" t="s">
        <v>488</v>
      </c>
    </row>
    <row r="61" spans="1:20" x14ac:dyDescent="0.2">
      <c r="A61" s="218"/>
      <c r="B61" s="134"/>
      <c r="C61" s="134"/>
      <c r="D61" s="134"/>
      <c r="E61" s="134"/>
      <c r="F61" s="134"/>
      <c r="G61" s="134"/>
      <c r="H61" s="134"/>
      <c r="I61" s="134"/>
      <c r="J61" s="134"/>
      <c r="K61" s="134"/>
      <c r="L61" s="133"/>
      <c r="N61" t="s">
        <v>169</v>
      </c>
    </row>
    <row r="62" spans="1:20" x14ac:dyDescent="0.2">
      <c r="A62" s="218" t="s">
        <v>358</v>
      </c>
      <c r="B62" s="134"/>
      <c r="C62" s="134" t="s">
        <v>484</v>
      </c>
      <c r="D62" s="134"/>
      <c r="E62" s="134"/>
      <c r="F62" s="134"/>
      <c r="G62" s="134"/>
      <c r="H62" s="134"/>
      <c r="I62" s="134"/>
      <c r="J62" s="134"/>
      <c r="K62" s="134"/>
      <c r="L62" s="133"/>
    </row>
    <row r="63" spans="1:20" x14ac:dyDescent="0.2">
      <c r="A63" s="218"/>
      <c r="B63" s="134"/>
      <c r="C63" s="134"/>
      <c r="D63" s="134"/>
      <c r="E63" s="134"/>
      <c r="F63" s="134"/>
      <c r="G63" s="134"/>
      <c r="H63" s="134"/>
      <c r="I63" s="134"/>
      <c r="J63" s="134"/>
      <c r="K63" s="134"/>
      <c r="L63" s="133"/>
    </row>
    <row r="64" spans="1:20" x14ac:dyDescent="0.2">
      <c r="A64" s="218" t="s">
        <v>487</v>
      </c>
      <c r="B64" s="134" t="s">
        <v>282</v>
      </c>
      <c r="C64" s="134" t="s">
        <v>486</v>
      </c>
      <c r="D64" s="134"/>
      <c r="E64" s="134"/>
      <c r="F64" s="134"/>
      <c r="G64" s="134"/>
      <c r="H64" s="134"/>
      <c r="I64" s="134"/>
      <c r="J64" s="134"/>
      <c r="K64" s="134"/>
      <c r="L64" s="133"/>
    </row>
    <row r="65" spans="1:15" x14ac:dyDescent="0.2">
      <c r="A65" s="218"/>
      <c r="B65" s="134"/>
      <c r="C65" s="134"/>
      <c r="D65" s="134"/>
      <c r="E65" s="134"/>
      <c r="F65" s="134"/>
      <c r="G65" s="134"/>
      <c r="H65" s="134"/>
      <c r="I65" s="134"/>
      <c r="J65" s="134"/>
      <c r="K65" s="134"/>
      <c r="L65" s="133"/>
    </row>
    <row r="66" spans="1:15" x14ac:dyDescent="0.2">
      <c r="A66" s="218" t="s">
        <v>485</v>
      </c>
      <c r="B66" s="134"/>
      <c r="C66" s="134" t="s">
        <v>484</v>
      </c>
      <c r="D66" s="134"/>
      <c r="E66" s="134"/>
      <c r="F66" s="134"/>
      <c r="G66" s="134"/>
      <c r="H66" s="134"/>
      <c r="I66" s="134"/>
      <c r="J66" s="134"/>
      <c r="K66" s="134"/>
      <c r="L66" s="133"/>
    </row>
    <row r="67" spans="1:15" ht="17" thickBot="1" x14ac:dyDescent="0.25">
      <c r="A67" s="218"/>
      <c r="B67" s="134"/>
      <c r="C67" s="134"/>
      <c r="D67" s="134"/>
      <c r="E67" s="134"/>
      <c r="F67" s="134"/>
      <c r="G67" s="134"/>
      <c r="H67" s="134"/>
      <c r="I67" s="134"/>
      <c r="J67" s="134"/>
      <c r="K67" s="134"/>
      <c r="L67" s="133"/>
    </row>
    <row r="68" spans="1:15" ht="17" thickBot="1" x14ac:dyDescent="0.25">
      <c r="A68" s="229" t="s">
        <v>145</v>
      </c>
      <c r="B68" s="130"/>
      <c r="C68" s="228"/>
      <c r="D68" s="130"/>
      <c r="E68" s="130"/>
      <c r="F68" s="130"/>
      <c r="G68" s="130"/>
      <c r="H68" s="130"/>
      <c r="I68" s="130"/>
      <c r="J68" s="130"/>
      <c r="K68" s="130"/>
      <c r="L68" s="129"/>
    </row>
    <row r="76" spans="1:15" x14ac:dyDescent="0.2">
      <c r="N76" s="227"/>
      <c r="O76" s="226"/>
    </row>
  </sheetData>
  <mergeCells count="6">
    <mergeCell ref="H11:K12"/>
    <mergeCell ref="C11:F12"/>
    <mergeCell ref="N56:T57"/>
    <mergeCell ref="N45:O45"/>
    <mergeCell ref="N9:T12"/>
    <mergeCell ref="Q43:T44"/>
  </mergeCells>
  <pageMargins left="0.7" right="0.7" top="0.75" bottom="0.75" header="0.3" footer="0.3"/>
  <pageSetup orientation="portrait" horizontalDpi="0" verticalDpi="0"/>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53F3-2485-1A40-B7FB-E5CEDAA3A47D}">
  <dimension ref="A1:S47"/>
  <sheetViews>
    <sheetView workbookViewId="0">
      <selection activeCell="B1" sqref="B1"/>
    </sheetView>
  </sheetViews>
  <sheetFormatPr baseColWidth="10" defaultColWidth="11" defaultRowHeight="16" outlineLevelCol="1" x14ac:dyDescent="0.2"/>
  <cols>
    <col min="1" max="1" width="4" style="120" customWidth="1"/>
    <col min="2" max="2" width="11.5" customWidth="1"/>
    <col min="5" max="5" width="12.33203125" customWidth="1"/>
    <col min="6" max="6" width="12.1640625" customWidth="1"/>
    <col min="12" max="12" width="16.5" hidden="1" customWidth="1" outlineLevel="1"/>
    <col min="13" max="14" width="10.83203125" hidden="1" customWidth="1" outlineLevel="1"/>
    <col min="15" max="15" width="10.6640625" hidden="1" customWidth="1" outlineLevel="1"/>
    <col min="16" max="18" width="10.83203125" hidden="1" customWidth="1" outlineLevel="1"/>
    <col min="19" max="19" width="11" collapsed="1"/>
  </cols>
  <sheetData>
    <row r="1" spans="1:18" x14ac:dyDescent="0.2">
      <c r="A1" s="241"/>
      <c r="B1" s="173" t="s">
        <v>308</v>
      </c>
      <c r="C1" s="172" t="s">
        <v>556</v>
      </c>
      <c r="D1" s="172" t="s">
        <v>306</v>
      </c>
      <c r="E1" s="172" t="s">
        <v>424</v>
      </c>
      <c r="F1" s="173" t="s">
        <v>620</v>
      </c>
      <c r="G1" s="171"/>
      <c r="H1" s="171"/>
      <c r="I1" s="171"/>
      <c r="J1" s="170"/>
      <c r="K1" s="227" t="s">
        <v>148</v>
      </c>
      <c r="L1" s="227"/>
    </row>
    <row r="2" spans="1:18" x14ac:dyDescent="0.2">
      <c r="A2" s="218"/>
      <c r="B2" s="240" t="s">
        <v>304</v>
      </c>
      <c r="C2" s="239">
        <v>2</v>
      </c>
      <c r="D2" s="134"/>
      <c r="E2" s="134"/>
      <c r="F2" s="134"/>
      <c r="G2" s="134"/>
      <c r="H2" s="134"/>
      <c r="I2" s="134"/>
      <c r="J2" s="133"/>
    </row>
    <row r="3" spans="1:18" x14ac:dyDescent="0.2">
      <c r="A3" s="218"/>
      <c r="B3" s="134"/>
      <c r="C3" s="134"/>
      <c r="D3" s="134"/>
      <c r="E3" s="134"/>
      <c r="F3" s="134"/>
      <c r="G3" s="134"/>
      <c r="H3" s="134"/>
      <c r="I3" s="134"/>
      <c r="J3" s="133"/>
      <c r="L3" s="227" t="s">
        <v>303</v>
      </c>
      <c r="M3" s="271"/>
    </row>
    <row r="4" spans="1:18" x14ac:dyDescent="0.2">
      <c r="A4" s="218"/>
      <c r="B4" s="134"/>
      <c r="C4" s="134" t="s">
        <v>599</v>
      </c>
      <c r="D4" s="134"/>
      <c r="E4" s="134"/>
      <c r="F4" s="134"/>
      <c r="G4" s="134"/>
      <c r="H4" s="134"/>
      <c r="I4" s="134"/>
      <c r="J4" s="133"/>
      <c r="L4" s="342" t="s">
        <v>600</v>
      </c>
      <c r="M4" s="342"/>
      <c r="N4" s="342"/>
      <c r="O4" s="342"/>
      <c r="P4" s="342"/>
      <c r="Q4" s="342"/>
      <c r="R4" s="342"/>
    </row>
    <row r="5" spans="1:18" x14ac:dyDescent="0.2">
      <c r="A5" s="218"/>
      <c r="B5" s="134"/>
      <c r="C5" s="134"/>
      <c r="D5" s="134"/>
      <c r="E5" s="134"/>
      <c r="F5" s="134"/>
      <c r="G5" s="134"/>
      <c r="H5" s="134"/>
      <c r="I5" s="134"/>
      <c r="J5" s="133"/>
      <c r="L5" s="342"/>
      <c r="M5" s="342"/>
      <c r="N5" s="342"/>
      <c r="O5" s="342"/>
      <c r="P5" s="342"/>
      <c r="Q5" s="342"/>
      <c r="R5" s="342"/>
    </row>
    <row r="6" spans="1:18" ht="16" customHeight="1" x14ac:dyDescent="0.2">
      <c r="A6" s="218"/>
      <c r="B6" s="134"/>
      <c r="C6" s="353" t="s">
        <v>343</v>
      </c>
      <c r="D6" s="350" t="s">
        <v>598</v>
      </c>
      <c r="E6" s="347" t="s">
        <v>597</v>
      </c>
      <c r="F6" s="347" t="s">
        <v>596</v>
      </c>
      <c r="G6" s="344" t="s">
        <v>595</v>
      </c>
      <c r="H6" s="344" t="s">
        <v>625</v>
      </c>
      <c r="I6" s="134"/>
      <c r="J6" s="133"/>
      <c r="L6" s="342"/>
      <c r="M6" s="342"/>
      <c r="N6" s="342"/>
      <c r="O6" s="342"/>
      <c r="P6" s="342"/>
      <c r="Q6" s="342"/>
      <c r="R6" s="342"/>
    </row>
    <row r="7" spans="1:18" x14ac:dyDescent="0.2">
      <c r="A7" s="218"/>
      <c r="B7" s="134"/>
      <c r="C7" s="354"/>
      <c r="D7" s="351"/>
      <c r="E7" s="348"/>
      <c r="F7" s="348"/>
      <c r="G7" s="345"/>
      <c r="H7" s="345"/>
      <c r="I7" s="134"/>
      <c r="J7" s="133"/>
      <c r="L7" s="202"/>
      <c r="M7" s="202"/>
      <c r="N7" s="202"/>
      <c r="O7" s="202"/>
      <c r="P7" s="202"/>
      <c r="Q7" s="202"/>
      <c r="R7" s="202"/>
    </row>
    <row r="8" spans="1:18" x14ac:dyDescent="0.2">
      <c r="A8" s="218"/>
      <c r="B8" s="134"/>
      <c r="C8" s="354"/>
      <c r="D8" s="351"/>
      <c r="E8" s="348"/>
      <c r="F8" s="348"/>
      <c r="G8" s="345"/>
      <c r="H8" s="345"/>
      <c r="I8" s="134"/>
      <c r="J8" s="133"/>
      <c r="L8" s="227" t="s">
        <v>294</v>
      </c>
      <c r="M8" s="180"/>
    </row>
    <row r="9" spans="1:18" x14ac:dyDescent="0.2">
      <c r="A9" s="218"/>
      <c r="B9" s="134"/>
      <c r="C9" s="355"/>
      <c r="D9" s="352"/>
      <c r="E9" s="349"/>
      <c r="F9" s="349"/>
      <c r="G9" s="346"/>
      <c r="H9" s="346"/>
      <c r="I9" s="134"/>
      <c r="J9" s="133"/>
    </row>
    <row r="10" spans="1:18" x14ac:dyDescent="0.2">
      <c r="A10" s="218"/>
      <c r="B10" s="134"/>
      <c r="C10" s="159">
        <v>2013</v>
      </c>
      <c r="D10" s="157">
        <v>4400</v>
      </c>
      <c r="E10" s="157">
        <v>4400</v>
      </c>
      <c r="F10" s="157">
        <v>4400</v>
      </c>
      <c r="G10" s="256">
        <v>4400</v>
      </c>
      <c r="H10" s="378">
        <v>4500</v>
      </c>
      <c r="I10" s="134"/>
      <c r="J10" s="133"/>
      <c r="L10" t="s">
        <v>227</v>
      </c>
      <c r="M10" s="144">
        <f>D15/E15</f>
        <v>0.25</v>
      </c>
    </row>
    <row r="11" spans="1:18" x14ac:dyDescent="0.2">
      <c r="A11" s="218"/>
      <c r="B11" s="134"/>
      <c r="C11" s="159">
        <v>2014</v>
      </c>
      <c r="D11" s="157">
        <v>5000</v>
      </c>
      <c r="E11" s="157">
        <v>6000</v>
      </c>
      <c r="F11" s="157">
        <v>5833</v>
      </c>
      <c r="G11" s="256">
        <v>5840</v>
      </c>
      <c r="H11" s="378">
        <v>5250</v>
      </c>
      <c r="I11" s="134"/>
      <c r="J11" s="133"/>
      <c r="L11" t="s">
        <v>330</v>
      </c>
      <c r="M11" s="144">
        <f>M10/(D18*D19+M10)</f>
        <v>8.3333333333333329E-2</v>
      </c>
      <c r="N11" s="121" t="s">
        <v>594</v>
      </c>
    </row>
    <row r="12" spans="1:18" ht="17" thickBot="1" x14ac:dyDescent="0.25">
      <c r="A12" s="218"/>
      <c r="B12" s="134"/>
      <c r="C12" s="159">
        <v>2015</v>
      </c>
      <c r="D12" s="157">
        <v>2800</v>
      </c>
      <c r="E12" s="157">
        <v>4000</v>
      </c>
      <c r="F12" s="157">
        <v>4300</v>
      </c>
      <c r="G12" s="256">
        <v>4278</v>
      </c>
      <c r="H12" s="378">
        <v>5750</v>
      </c>
      <c r="I12" s="134"/>
      <c r="J12" s="133"/>
    </row>
    <row r="13" spans="1:18" ht="17" thickBot="1" x14ac:dyDescent="0.25">
      <c r="A13" s="218"/>
      <c r="B13" s="134"/>
      <c r="C13" s="159">
        <v>2016</v>
      </c>
      <c r="D13" s="157">
        <v>3000</v>
      </c>
      <c r="E13" s="157">
        <v>5400</v>
      </c>
      <c r="F13" s="157">
        <v>5222</v>
      </c>
      <c r="G13" s="256">
        <v>5301</v>
      </c>
      <c r="H13" s="378">
        <v>6000</v>
      </c>
      <c r="I13" s="134"/>
      <c r="J13" s="133"/>
      <c r="L13" s="236" t="s">
        <v>629</v>
      </c>
      <c r="M13" s="277">
        <f>M11*E15+(1-M11)*F15</f>
        <v>4375</v>
      </c>
      <c r="N13" s="121" t="s">
        <v>592</v>
      </c>
    </row>
    <row r="14" spans="1:18" x14ac:dyDescent="0.2">
      <c r="A14" s="218"/>
      <c r="B14" s="134"/>
      <c r="C14" s="159">
        <v>2017</v>
      </c>
      <c r="D14" s="157">
        <v>4000</v>
      </c>
      <c r="E14" s="157">
        <v>10000</v>
      </c>
      <c r="F14" s="157">
        <v>7000</v>
      </c>
      <c r="G14" s="256">
        <v>7750</v>
      </c>
      <c r="H14" s="378">
        <v>7500</v>
      </c>
      <c r="I14" s="134"/>
      <c r="J14" s="133"/>
    </row>
    <row r="15" spans="1:18" x14ac:dyDescent="0.2">
      <c r="A15" s="218"/>
      <c r="B15" s="139"/>
      <c r="C15" s="155">
        <v>2018</v>
      </c>
      <c r="D15" s="183">
        <v>750</v>
      </c>
      <c r="E15" s="183">
        <v>3000</v>
      </c>
      <c r="F15" s="183">
        <v>4500</v>
      </c>
      <c r="G15" s="253"/>
      <c r="H15" s="253"/>
      <c r="I15" s="134"/>
      <c r="J15" s="133"/>
      <c r="L15" s="374" t="s">
        <v>285</v>
      </c>
      <c r="M15" s="373"/>
      <c r="N15" s="373"/>
      <c r="O15" s="373"/>
      <c r="P15" s="373"/>
      <c r="Q15" s="373"/>
      <c r="R15" s="373"/>
    </row>
    <row r="16" spans="1:18" x14ac:dyDescent="0.2">
      <c r="A16" s="218"/>
      <c r="B16" s="139"/>
      <c r="C16" s="134"/>
      <c r="D16" s="134"/>
      <c r="E16" s="134"/>
      <c r="F16" s="134"/>
      <c r="G16" s="134"/>
      <c r="H16" s="134"/>
      <c r="I16" s="134"/>
      <c r="J16" s="133"/>
      <c r="L16" s="375"/>
      <c r="M16" s="373"/>
      <c r="N16" s="373"/>
      <c r="O16" s="373"/>
      <c r="P16" s="373"/>
      <c r="Q16" s="373"/>
      <c r="R16" s="373"/>
    </row>
    <row r="17" spans="1:18" ht="18" x14ac:dyDescent="0.25">
      <c r="A17" s="218"/>
      <c r="B17" s="139"/>
      <c r="C17" s="379" t="s">
        <v>636</v>
      </c>
      <c r="D17" s="157">
        <v>12500</v>
      </c>
      <c r="E17" s="134"/>
      <c r="F17" s="134"/>
      <c r="G17" s="134"/>
      <c r="H17" s="134"/>
      <c r="I17" s="134"/>
      <c r="J17" s="133"/>
      <c r="L17" s="375"/>
      <c r="M17" s="373"/>
      <c r="N17" s="373"/>
      <c r="O17" s="373"/>
      <c r="P17" s="373"/>
      <c r="Q17" s="373"/>
      <c r="R17" s="373"/>
    </row>
    <row r="18" spans="1:18" ht="19" x14ac:dyDescent="0.2">
      <c r="A18" s="218"/>
      <c r="B18" s="139"/>
      <c r="C18" s="380" t="s">
        <v>635</v>
      </c>
      <c r="D18" s="139">
        <v>2.5</v>
      </c>
      <c r="E18" s="134"/>
      <c r="F18" s="134"/>
      <c r="G18" s="134"/>
      <c r="H18" s="134"/>
      <c r="I18" s="134"/>
      <c r="J18" s="133"/>
      <c r="L18" s="375"/>
      <c r="M18" s="373"/>
      <c r="N18" s="373"/>
      <c r="O18" s="373"/>
      <c r="P18" s="373"/>
      <c r="Q18" s="373"/>
      <c r="R18" s="373"/>
    </row>
    <row r="19" spans="1:18" ht="18" x14ac:dyDescent="0.25">
      <c r="A19" s="218"/>
      <c r="B19" s="139"/>
      <c r="C19" s="308" t="s">
        <v>591</v>
      </c>
      <c r="D19" s="139">
        <v>1.1000000000000001</v>
      </c>
      <c r="E19" s="134"/>
      <c r="F19" s="134"/>
      <c r="G19" s="134"/>
      <c r="H19" s="134"/>
      <c r="I19" s="134"/>
      <c r="J19" s="133"/>
      <c r="L19" s="375"/>
      <c r="M19" s="373"/>
      <c r="N19" s="373"/>
      <c r="O19" s="373"/>
      <c r="P19" s="373"/>
      <c r="Q19" s="373"/>
      <c r="R19" s="373"/>
    </row>
    <row r="20" spans="1:18" ht="18" x14ac:dyDescent="0.25">
      <c r="A20" s="218"/>
      <c r="B20" s="139"/>
      <c r="C20" s="308"/>
      <c r="D20" s="139"/>
      <c r="E20" s="134"/>
      <c r="F20" s="134"/>
      <c r="G20" s="134"/>
      <c r="H20" s="134"/>
      <c r="I20" s="134"/>
      <c r="J20" s="133"/>
      <c r="L20" s="381" t="s">
        <v>628</v>
      </c>
      <c r="M20" s="382">
        <f>LN(H10)+D34+D30+D32</f>
        <v>8.0368326757584114</v>
      </c>
      <c r="N20" s="373"/>
      <c r="O20" s="373"/>
      <c r="P20" s="373"/>
      <c r="Q20" s="373"/>
      <c r="R20" s="373"/>
    </row>
    <row r="21" spans="1:18" ht="17" thickBot="1" x14ac:dyDescent="0.25">
      <c r="A21" s="218"/>
      <c r="B21" s="139"/>
      <c r="C21" s="376" t="s">
        <v>626</v>
      </c>
      <c r="D21" s="139"/>
      <c r="E21" s="134"/>
      <c r="F21" s="134"/>
      <c r="G21" s="134"/>
      <c r="H21" s="134"/>
      <c r="I21" s="134"/>
      <c r="J21" s="133"/>
      <c r="L21" s="375"/>
      <c r="M21" s="373"/>
      <c r="N21" s="373"/>
      <c r="O21" s="373"/>
      <c r="P21" s="373"/>
      <c r="Q21" s="373"/>
      <c r="R21" s="373"/>
    </row>
    <row r="22" spans="1:18" ht="19" thickBot="1" x14ac:dyDescent="0.3">
      <c r="A22" s="218"/>
      <c r="B22" s="139"/>
      <c r="C22" s="134"/>
      <c r="D22" s="134"/>
      <c r="E22" s="134"/>
      <c r="F22" s="134"/>
      <c r="G22" s="134"/>
      <c r="H22" s="134"/>
      <c r="I22" s="134"/>
      <c r="J22" s="133"/>
      <c r="L22" s="377" t="s">
        <v>627</v>
      </c>
      <c r="M22" s="310">
        <f>LN(H11)+D34+D31+D32+D33*(LN(D10)-M20)</f>
        <v>8.3264887844152558</v>
      </c>
    </row>
    <row r="23" spans="1:18" x14ac:dyDescent="0.2">
      <c r="A23" s="218" t="s">
        <v>0</v>
      </c>
      <c r="B23" s="138" t="s">
        <v>282</v>
      </c>
      <c r="C23" s="134" t="s">
        <v>590</v>
      </c>
      <c r="D23" s="134"/>
      <c r="E23" s="134"/>
      <c r="F23" s="134"/>
      <c r="G23" s="134"/>
      <c r="H23" s="134"/>
      <c r="I23" s="134"/>
      <c r="J23" s="133"/>
    </row>
    <row r="24" spans="1:18" x14ac:dyDescent="0.2">
      <c r="A24" s="218"/>
      <c r="B24" s="138"/>
      <c r="C24" s="134"/>
      <c r="D24" s="134"/>
      <c r="E24" s="134"/>
      <c r="F24" s="134"/>
      <c r="G24" s="134"/>
      <c r="H24" s="134"/>
      <c r="I24" s="134"/>
      <c r="J24" s="133"/>
      <c r="L24" s="227" t="s">
        <v>363</v>
      </c>
      <c r="M24" s="243"/>
    </row>
    <row r="25" spans="1:18" x14ac:dyDescent="0.2">
      <c r="A25" s="218" t="s">
        <v>1</v>
      </c>
      <c r="B25" s="138" t="s">
        <v>282</v>
      </c>
      <c r="C25" s="134" t="s">
        <v>589</v>
      </c>
      <c r="D25" s="134"/>
      <c r="E25" s="134"/>
      <c r="F25" s="134"/>
      <c r="G25" s="134"/>
      <c r="H25" s="134"/>
      <c r="I25" s="134"/>
      <c r="J25" s="133"/>
      <c r="L25" s="309" t="s">
        <v>622</v>
      </c>
      <c r="M25" s="243"/>
    </row>
    <row r="26" spans="1:18" x14ac:dyDescent="0.2">
      <c r="A26" s="218"/>
      <c r="B26" s="138"/>
      <c r="C26" s="134"/>
      <c r="D26" s="134"/>
      <c r="E26" s="134"/>
      <c r="F26" s="134"/>
      <c r="G26" s="134"/>
      <c r="H26" s="134"/>
      <c r="I26" s="134"/>
      <c r="J26" s="133"/>
      <c r="L26" s="373" t="s">
        <v>588</v>
      </c>
      <c r="M26" s="243"/>
    </row>
    <row r="27" spans="1:18" x14ac:dyDescent="0.2">
      <c r="A27" s="218" t="s">
        <v>197</v>
      </c>
      <c r="B27" s="138" t="s">
        <v>282</v>
      </c>
      <c r="C27" s="134" t="s">
        <v>623</v>
      </c>
      <c r="D27" s="134"/>
      <c r="E27" s="134"/>
      <c r="F27" s="134"/>
      <c r="G27" s="134"/>
      <c r="H27" s="134"/>
      <c r="I27" s="134"/>
      <c r="J27" s="133"/>
      <c r="L27" s="373" t="s">
        <v>638</v>
      </c>
      <c r="M27" s="243"/>
    </row>
    <row r="28" spans="1:18" x14ac:dyDescent="0.2">
      <c r="A28" s="218"/>
      <c r="B28" s="138"/>
      <c r="C28" s="134" t="s">
        <v>630</v>
      </c>
      <c r="D28" s="134"/>
      <c r="E28" s="134"/>
      <c r="F28" s="134"/>
      <c r="G28" s="134"/>
      <c r="H28" s="134"/>
      <c r="I28" s="134"/>
      <c r="J28" s="133"/>
      <c r="M28" s="243"/>
    </row>
    <row r="29" spans="1:18" x14ac:dyDescent="0.2">
      <c r="A29" s="218"/>
      <c r="B29" s="138"/>
      <c r="C29" s="134"/>
      <c r="D29" s="134"/>
      <c r="E29" s="134"/>
      <c r="F29" s="134"/>
      <c r="G29" s="134"/>
      <c r="H29" s="134"/>
      <c r="I29" s="134"/>
      <c r="J29" s="133"/>
      <c r="L29" s="309" t="s">
        <v>587</v>
      </c>
      <c r="M29" s="243"/>
    </row>
    <row r="30" spans="1:18" ht="18" x14ac:dyDescent="0.25">
      <c r="A30" s="218"/>
      <c r="B30" s="138"/>
      <c r="C30" s="379" t="s">
        <v>633</v>
      </c>
      <c r="D30" s="134">
        <v>0</v>
      </c>
      <c r="E30" s="134"/>
      <c r="F30" s="134"/>
      <c r="G30" s="134"/>
      <c r="H30" s="134"/>
      <c r="I30" s="134"/>
      <c r="J30" s="133"/>
      <c r="L30" t="s">
        <v>586</v>
      </c>
      <c r="M30" s="243"/>
    </row>
    <row r="31" spans="1:18" ht="18" x14ac:dyDescent="0.25">
      <c r="A31" s="218"/>
      <c r="B31" s="138"/>
      <c r="C31" s="379" t="s">
        <v>637</v>
      </c>
      <c r="D31" s="134">
        <v>6.5000000000000002E-2</v>
      </c>
      <c r="E31" s="134"/>
      <c r="F31" s="134"/>
      <c r="G31" s="134"/>
      <c r="H31" s="134"/>
      <c r="I31" s="134"/>
      <c r="J31" s="133"/>
      <c r="L31" t="s">
        <v>585</v>
      </c>
    </row>
    <row r="32" spans="1:18" ht="16" customHeight="1" x14ac:dyDescent="0.25">
      <c r="A32" s="218"/>
      <c r="B32" s="138"/>
      <c r="C32" s="379" t="s">
        <v>634</v>
      </c>
      <c r="D32" s="134">
        <v>0</v>
      </c>
      <c r="E32" s="134"/>
      <c r="F32" s="134"/>
      <c r="G32" s="134"/>
      <c r="H32" s="134"/>
      <c r="I32" s="134"/>
      <c r="J32" s="133"/>
    </row>
    <row r="33" spans="1:18" x14ac:dyDescent="0.2">
      <c r="A33" s="218"/>
      <c r="B33" s="138"/>
      <c r="C33" s="379" t="s">
        <v>631</v>
      </c>
      <c r="D33" s="134">
        <v>0.2</v>
      </c>
      <c r="E33" s="134"/>
      <c r="F33" s="134"/>
      <c r="G33" s="134"/>
      <c r="H33" s="134"/>
      <c r="I33" s="134"/>
      <c r="J33" s="133"/>
    </row>
    <row r="34" spans="1:18" ht="19" x14ac:dyDescent="0.25">
      <c r="A34" s="218"/>
      <c r="B34" s="138"/>
      <c r="C34" s="379" t="s">
        <v>632</v>
      </c>
      <c r="D34" s="134">
        <v>-0.375</v>
      </c>
      <c r="E34" s="134"/>
      <c r="F34" s="134"/>
      <c r="G34" s="134"/>
      <c r="H34" s="134"/>
      <c r="I34" s="134"/>
      <c r="J34" s="133"/>
      <c r="L34" s="169" t="s">
        <v>132</v>
      </c>
    </row>
    <row r="35" spans="1:18" x14ac:dyDescent="0.2">
      <c r="A35" s="218"/>
      <c r="B35" s="138"/>
      <c r="C35" s="308"/>
      <c r="D35" s="134"/>
      <c r="E35" s="134"/>
      <c r="F35" s="134"/>
      <c r="G35" s="134"/>
      <c r="H35" s="134"/>
      <c r="I35" s="134"/>
      <c r="J35" s="133"/>
      <c r="L35" s="370" t="s">
        <v>584</v>
      </c>
      <c r="M35" s="370"/>
      <c r="N35" s="370"/>
      <c r="O35" s="370"/>
      <c r="P35" s="370"/>
      <c r="Q35" s="370"/>
      <c r="R35" s="370"/>
    </row>
    <row r="36" spans="1:18" x14ac:dyDescent="0.2">
      <c r="A36" s="218"/>
      <c r="B36" s="138"/>
      <c r="C36" s="134"/>
      <c r="D36" s="134"/>
      <c r="E36" s="134"/>
      <c r="F36" s="134"/>
      <c r="G36" s="134"/>
      <c r="H36" s="134"/>
      <c r="I36" s="134"/>
      <c r="J36" s="133"/>
      <c r="L36" s="370"/>
      <c r="M36" s="370"/>
      <c r="N36" s="370"/>
      <c r="O36" s="370"/>
      <c r="P36" s="370"/>
      <c r="Q36" s="370"/>
      <c r="R36" s="370"/>
    </row>
    <row r="37" spans="1:18" x14ac:dyDescent="0.2">
      <c r="A37" s="218" t="s">
        <v>192</v>
      </c>
      <c r="B37" s="138" t="s">
        <v>282</v>
      </c>
      <c r="C37" s="134" t="s">
        <v>583</v>
      </c>
      <c r="D37" s="134"/>
      <c r="E37" s="134"/>
      <c r="F37" s="134"/>
      <c r="G37" s="134"/>
      <c r="H37" s="134"/>
      <c r="I37" s="134"/>
      <c r="J37" s="133"/>
      <c r="L37" s="370"/>
      <c r="M37" s="370"/>
      <c r="N37" s="370"/>
      <c r="O37" s="370"/>
      <c r="P37" s="370"/>
      <c r="Q37" s="370"/>
      <c r="R37" s="370"/>
    </row>
    <row r="38" spans="1:18" x14ac:dyDescent="0.2">
      <c r="A38" s="218"/>
      <c r="B38" s="134"/>
      <c r="C38" s="134"/>
      <c r="D38" s="134"/>
      <c r="E38" s="134"/>
      <c r="F38" s="134"/>
      <c r="G38" s="134"/>
      <c r="H38" s="134"/>
      <c r="I38" s="134"/>
      <c r="J38" s="133"/>
      <c r="L38" s="306"/>
      <c r="M38" s="306"/>
      <c r="N38" s="306"/>
      <c r="O38" s="306"/>
      <c r="P38" s="306"/>
      <c r="Q38" s="306"/>
      <c r="R38" s="306"/>
    </row>
    <row r="39" spans="1:18" ht="19" x14ac:dyDescent="0.25">
      <c r="A39" s="218"/>
      <c r="B39" s="134"/>
      <c r="C39" s="307" t="s">
        <v>621</v>
      </c>
      <c r="D39" s="134"/>
      <c r="E39" s="134"/>
      <c r="F39" s="134"/>
      <c r="G39" s="134"/>
      <c r="H39" s="134"/>
      <c r="I39" s="134"/>
      <c r="J39" s="133"/>
      <c r="L39" s="276" t="s">
        <v>601</v>
      </c>
      <c r="M39" s="306"/>
      <c r="N39" s="306"/>
      <c r="O39" s="306"/>
      <c r="P39" s="306"/>
      <c r="Q39" s="306"/>
      <c r="R39" s="306"/>
    </row>
    <row r="40" spans="1:18" x14ac:dyDescent="0.2">
      <c r="A40" s="218"/>
      <c r="B40" s="134"/>
      <c r="C40" s="307" t="s">
        <v>582</v>
      </c>
      <c r="D40" s="134"/>
      <c r="E40" s="134"/>
      <c r="F40" s="134"/>
      <c r="G40" s="134"/>
      <c r="H40" s="134"/>
      <c r="I40" s="134"/>
      <c r="J40" s="133"/>
      <c r="L40" t="s">
        <v>603</v>
      </c>
      <c r="M40" s="151">
        <f>E15-D15</f>
        <v>2250</v>
      </c>
    </row>
    <row r="41" spans="1:18" ht="17" thickBot="1" x14ac:dyDescent="0.25">
      <c r="A41" s="218"/>
      <c r="B41" s="134"/>
      <c r="C41" s="143"/>
      <c r="D41" s="134"/>
      <c r="E41" s="134"/>
      <c r="F41" s="134"/>
      <c r="G41" s="134"/>
      <c r="H41" s="134"/>
      <c r="I41" s="134"/>
      <c r="J41" s="133"/>
      <c r="L41" t="s">
        <v>602</v>
      </c>
      <c r="M41" s="151">
        <f>F15-D15</f>
        <v>3750</v>
      </c>
    </row>
    <row r="42" spans="1:18" ht="17" thickBot="1" x14ac:dyDescent="0.25">
      <c r="A42" s="229" t="s">
        <v>145</v>
      </c>
      <c r="B42" s="130"/>
      <c r="C42" s="228"/>
      <c r="D42" s="130"/>
      <c r="E42" s="130"/>
      <c r="F42" s="130"/>
      <c r="G42" s="130"/>
      <c r="H42" s="130"/>
      <c r="I42" s="130"/>
      <c r="J42" s="129"/>
      <c r="L42" t="s">
        <v>604</v>
      </c>
      <c r="M42" s="151">
        <f>M40*M11+(1-M11)*M41</f>
        <v>3625</v>
      </c>
    </row>
    <row r="43" spans="1:18" ht="17" thickBot="1" x14ac:dyDescent="0.25">
      <c r="L43" s="236" t="s">
        <v>593</v>
      </c>
      <c r="M43" s="288">
        <f>M42+D15</f>
        <v>4375</v>
      </c>
    </row>
    <row r="45" spans="1:18" ht="19" x14ac:dyDescent="0.25">
      <c r="L45" s="169" t="s">
        <v>172</v>
      </c>
    </row>
    <row r="46" spans="1:18" x14ac:dyDescent="0.2">
      <c r="L46" t="s">
        <v>624</v>
      </c>
    </row>
    <row r="47" spans="1:18" x14ac:dyDescent="0.2">
      <c r="L47" t="s">
        <v>169</v>
      </c>
    </row>
  </sheetData>
  <mergeCells count="8">
    <mergeCell ref="L35:R37"/>
    <mergeCell ref="L4:R6"/>
    <mergeCell ref="C6:C9"/>
    <mergeCell ref="D6:D9"/>
    <mergeCell ref="E6:E9"/>
    <mergeCell ref="F6:F9"/>
    <mergeCell ref="G6:G9"/>
    <mergeCell ref="H6:H9"/>
  </mergeCell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4600E-13A4-1C4C-B82D-D0FBD19218A8}">
  <dimension ref="A1:T86"/>
  <sheetViews>
    <sheetView workbookViewId="0"/>
  </sheetViews>
  <sheetFormatPr baseColWidth="10" defaultColWidth="10.83203125" defaultRowHeight="16" outlineLevelCol="1" x14ac:dyDescent="0.2"/>
  <cols>
    <col min="1" max="1" width="4.5" style="120" customWidth="1"/>
    <col min="2" max="2" width="10.83203125" style="120"/>
    <col min="3" max="3" width="13.83203125" style="120" bestFit="1" customWidth="1"/>
    <col min="4" max="4" width="13.6640625" style="120" bestFit="1" customWidth="1"/>
    <col min="5" max="7" width="10.83203125" style="120"/>
    <col min="8" max="8" width="11.5" style="120" customWidth="1"/>
    <col min="9" max="11" width="10.5" style="120" customWidth="1"/>
    <col min="12" max="12" width="12" style="120" bestFit="1" customWidth="1"/>
    <col min="13" max="19" width="10.83203125" style="120" hidden="1" customWidth="1" outlineLevel="1"/>
    <col min="20" max="20" width="10.83203125" style="120" collapsed="1"/>
    <col min="21" max="16384" width="10.83203125" style="120"/>
  </cols>
  <sheetData>
    <row r="1" spans="1:19" ht="19" x14ac:dyDescent="0.25">
      <c r="A1" s="225" t="s">
        <v>278</v>
      </c>
      <c r="B1" s="173"/>
      <c r="C1" s="172"/>
      <c r="D1" s="172"/>
      <c r="E1" s="172"/>
      <c r="F1" s="224"/>
      <c r="G1" s="224"/>
      <c r="H1" s="224"/>
      <c r="I1" s="223"/>
      <c r="L1" s="169" t="s">
        <v>277</v>
      </c>
    </row>
    <row r="2" spans="1:19" x14ac:dyDescent="0.2">
      <c r="A2" s="218"/>
      <c r="B2" s="138"/>
      <c r="C2" s="138"/>
      <c r="D2" s="138"/>
      <c r="E2" s="138"/>
      <c r="F2" s="138"/>
      <c r="G2" s="138"/>
      <c r="H2" s="138"/>
      <c r="I2" s="219"/>
    </row>
    <row r="3" spans="1:19" x14ac:dyDescent="0.2">
      <c r="A3" s="218"/>
      <c r="B3" s="220" t="s">
        <v>276</v>
      </c>
      <c r="C3" s="138"/>
      <c r="D3" s="138"/>
      <c r="E3" s="138"/>
      <c r="F3" s="138"/>
      <c r="G3" s="138"/>
      <c r="H3" s="138"/>
      <c r="I3" s="219"/>
      <c r="M3" s="213" t="s">
        <v>276</v>
      </c>
    </row>
    <row r="4" spans="1:19" x14ac:dyDescent="0.2">
      <c r="A4" s="218"/>
      <c r="B4" s="138"/>
      <c r="C4" s="138"/>
      <c r="D4" s="138"/>
      <c r="E4" s="138"/>
      <c r="F4" s="138"/>
      <c r="G4" s="138"/>
      <c r="H4" s="138"/>
      <c r="I4" s="219"/>
      <c r="M4" s="212"/>
    </row>
    <row r="5" spans="1:19" x14ac:dyDescent="0.2">
      <c r="A5" s="218"/>
      <c r="B5" s="372" t="s">
        <v>275</v>
      </c>
      <c r="C5" s="372"/>
      <c r="D5" s="372"/>
      <c r="E5" s="372"/>
      <c r="F5" s="372"/>
      <c r="G5" s="372"/>
      <c r="H5" s="372"/>
      <c r="I5" s="222"/>
      <c r="M5" s="212" t="s">
        <v>274</v>
      </c>
    </row>
    <row r="6" spans="1:19" x14ac:dyDescent="0.2">
      <c r="A6" s="218"/>
      <c r="B6" s="372"/>
      <c r="C6" s="372"/>
      <c r="D6" s="372"/>
      <c r="E6" s="372"/>
      <c r="F6" s="372"/>
      <c r="G6" s="372"/>
      <c r="H6" s="372"/>
      <c r="I6" s="222"/>
      <c r="M6" s="212"/>
    </row>
    <row r="7" spans="1:19" x14ac:dyDescent="0.2">
      <c r="A7" s="218"/>
      <c r="B7" s="138"/>
      <c r="C7" s="138"/>
      <c r="D7" s="138"/>
      <c r="E7" s="138"/>
      <c r="F7" s="138"/>
      <c r="G7" s="138"/>
      <c r="H7" s="138"/>
      <c r="I7" s="219"/>
      <c r="M7" s="371" t="s">
        <v>560</v>
      </c>
      <c r="N7" s="371"/>
      <c r="O7" s="371"/>
      <c r="P7" s="371"/>
      <c r="Q7" s="371"/>
      <c r="R7" s="371"/>
      <c r="S7" s="371"/>
    </row>
    <row r="8" spans="1:19" x14ac:dyDescent="0.2">
      <c r="A8" s="218"/>
      <c r="B8" s="220" t="s">
        <v>269</v>
      </c>
      <c r="C8" s="138"/>
      <c r="D8" s="138"/>
      <c r="E8" s="138"/>
      <c r="F8" s="138"/>
      <c r="G8" s="138"/>
      <c r="H8" s="138"/>
      <c r="I8" s="219"/>
      <c r="M8" s="371"/>
      <c r="N8" s="371"/>
      <c r="O8" s="371"/>
      <c r="P8" s="371"/>
      <c r="Q8" s="371"/>
      <c r="R8" s="371"/>
      <c r="S8" s="371"/>
    </row>
    <row r="9" spans="1:19" x14ac:dyDescent="0.2">
      <c r="A9" s="218"/>
      <c r="B9" s="138"/>
      <c r="C9" s="138"/>
      <c r="D9" s="138"/>
      <c r="E9" s="138"/>
      <c r="F9" s="138"/>
      <c r="G9" s="138"/>
      <c r="H9" s="138"/>
      <c r="I9" s="219"/>
      <c r="M9" s="212"/>
    </row>
    <row r="10" spans="1:19" x14ac:dyDescent="0.2">
      <c r="A10" s="218"/>
      <c r="B10" s="138" t="s">
        <v>0</v>
      </c>
      <c r="C10" s="138"/>
      <c r="D10" s="138"/>
      <c r="E10" s="138"/>
      <c r="F10" s="138"/>
      <c r="G10" s="138"/>
      <c r="H10" s="138"/>
      <c r="I10" s="219"/>
      <c r="M10" s="371" t="s">
        <v>273</v>
      </c>
      <c r="N10" s="371"/>
      <c r="O10" s="371"/>
      <c r="P10" s="371"/>
      <c r="Q10" s="371"/>
      <c r="R10" s="371"/>
      <c r="S10" s="371"/>
    </row>
    <row r="11" spans="1:19" x14ac:dyDescent="0.2">
      <c r="A11" s="218"/>
      <c r="B11" s="138" t="s">
        <v>272</v>
      </c>
      <c r="C11" s="138"/>
      <c r="D11" s="138"/>
      <c r="E11" s="138"/>
      <c r="F11" s="138"/>
      <c r="G11" s="138"/>
      <c r="H11" s="138"/>
      <c r="I11" s="219"/>
      <c r="M11" s="371"/>
      <c r="N11" s="371"/>
      <c r="O11" s="371"/>
      <c r="P11" s="371"/>
      <c r="Q11" s="371"/>
      <c r="R11" s="371"/>
      <c r="S11" s="371"/>
    </row>
    <row r="12" spans="1:19" x14ac:dyDescent="0.2">
      <c r="A12" s="218"/>
      <c r="B12" s="139"/>
      <c r="C12" s="138"/>
      <c r="D12" s="138"/>
      <c r="E12" s="138"/>
      <c r="F12" s="138"/>
      <c r="G12" s="138"/>
      <c r="H12" s="138"/>
      <c r="I12" s="219"/>
    </row>
    <row r="13" spans="1:19" x14ac:dyDescent="0.2">
      <c r="A13" s="218"/>
      <c r="B13" s="138" t="s">
        <v>1</v>
      </c>
      <c r="C13" s="138"/>
      <c r="D13" s="138"/>
      <c r="E13" s="138"/>
      <c r="F13" s="138"/>
      <c r="G13" s="138"/>
      <c r="H13" s="138"/>
      <c r="I13" s="219"/>
      <c r="M13" s="342" t="s">
        <v>271</v>
      </c>
      <c r="N13" s="342"/>
      <c r="O13" s="342"/>
      <c r="P13" s="342"/>
      <c r="Q13" s="342"/>
      <c r="R13" s="342"/>
      <c r="S13" s="342"/>
    </row>
    <row r="14" spans="1:19" x14ac:dyDescent="0.2">
      <c r="A14" s="218"/>
      <c r="B14" s="138" t="s">
        <v>270</v>
      </c>
      <c r="C14" s="138"/>
      <c r="D14" s="138"/>
      <c r="E14" s="138"/>
      <c r="F14" s="138"/>
      <c r="G14" s="138"/>
      <c r="H14" s="138"/>
      <c r="I14" s="219"/>
      <c r="M14" s="342"/>
      <c r="N14" s="342"/>
      <c r="O14" s="342"/>
      <c r="P14" s="342"/>
      <c r="Q14" s="342"/>
      <c r="R14" s="342"/>
      <c r="S14" s="342"/>
    </row>
    <row r="15" spans="1:19" x14ac:dyDescent="0.2">
      <c r="A15" s="218"/>
      <c r="B15" s="138"/>
      <c r="C15" s="138"/>
      <c r="D15" s="138"/>
      <c r="E15" s="138"/>
      <c r="F15" s="138"/>
      <c r="G15" s="138"/>
      <c r="H15" s="138"/>
      <c r="I15" s="219"/>
      <c r="M15" s="212"/>
    </row>
    <row r="16" spans="1:19" x14ac:dyDescent="0.2">
      <c r="A16" s="218"/>
      <c r="B16" s="220" t="s">
        <v>264</v>
      </c>
      <c r="C16" s="138"/>
      <c r="D16" s="138"/>
      <c r="E16" s="138"/>
      <c r="F16" s="138"/>
      <c r="G16" s="138"/>
      <c r="H16" s="138"/>
      <c r="I16" s="219"/>
      <c r="M16" s="213" t="s">
        <v>269</v>
      </c>
    </row>
    <row r="17" spans="1:19" x14ac:dyDescent="0.2">
      <c r="A17" s="218"/>
      <c r="B17" s="138"/>
      <c r="C17" s="138"/>
      <c r="D17" s="138"/>
      <c r="E17" s="138"/>
      <c r="F17" s="138"/>
      <c r="G17" s="138"/>
      <c r="H17" s="138"/>
      <c r="I17" s="219"/>
      <c r="M17" s="221"/>
    </row>
    <row r="18" spans="1:19" x14ac:dyDescent="0.2">
      <c r="A18" s="218"/>
      <c r="B18" s="138" t="s">
        <v>268</v>
      </c>
      <c r="C18" s="138"/>
      <c r="D18" s="138"/>
      <c r="E18" s="138"/>
      <c r="F18" s="138"/>
      <c r="G18" s="138"/>
      <c r="H18" s="138"/>
      <c r="I18" s="219"/>
      <c r="M18" s="221" t="s">
        <v>216</v>
      </c>
    </row>
    <row r="19" spans="1:19" x14ac:dyDescent="0.2">
      <c r="A19" s="218"/>
      <c r="B19" s="138"/>
      <c r="C19" s="138"/>
      <c r="D19" s="138"/>
      <c r="E19" s="138"/>
      <c r="F19" s="138"/>
      <c r="G19" s="138"/>
      <c r="H19" s="138"/>
      <c r="I19" s="219"/>
    </row>
    <row r="20" spans="1:19" x14ac:dyDescent="0.2">
      <c r="A20" s="218"/>
      <c r="B20" s="220" t="s">
        <v>261</v>
      </c>
      <c r="C20" s="138"/>
      <c r="D20" s="138"/>
      <c r="E20" s="138"/>
      <c r="F20" s="138"/>
      <c r="G20" s="138"/>
      <c r="H20" s="138"/>
      <c r="I20" s="219"/>
      <c r="M20" s="120" t="s">
        <v>267</v>
      </c>
    </row>
    <row r="21" spans="1:19" x14ac:dyDescent="0.2">
      <c r="A21" s="218"/>
      <c r="B21" s="138"/>
      <c r="C21" s="138"/>
      <c r="D21" s="138"/>
      <c r="E21" s="138"/>
      <c r="F21" s="138"/>
      <c r="G21" s="138"/>
      <c r="H21" s="138"/>
      <c r="I21" s="219"/>
    </row>
    <row r="22" spans="1:19" x14ac:dyDescent="0.2">
      <c r="A22" s="218"/>
      <c r="B22" s="335" t="s">
        <v>266</v>
      </c>
      <c r="C22" s="335"/>
      <c r="D22" s="335"/>
      <c r="E22" s="335"/>
      <c r="F22" s="335"/>
      <c r="G22" s="335"/>
      <c r="H22" s="335"/>
      <c r="I22" s="217"/>
      <c r="M22" s="168" t="s">
        <v>200</v>
      </c>
    </row>
    <row r="23" spans="1:19" x14ac:dyDescent="0.2">
      <c r="A23" s="218"/>
      <c r="B23" s="335"/>
      <c r="C23" s="335"/>
      <c r="D23" s="335"/>
      <c r="E23" s="335"/>
      <c r="F23" s="335"/>
      <c r="G23" s="335"/>
      <c r="H23" s="335"/>
      <c r="I23" s="217"/>
    </row>
    <row r="24" spans="1:19" ht="17" thickBot="1" x14ac:dyDescent="0.25">
      <c r="A24" s="216"/>
      <c r="B24" s="215"/>
      <c r="C24" s="215"/>
      <c r="D24" s="215"/>
      <c r="E24" s="215"/>
      <c r="F24" s="215"/>
      <c r="G24" s="215"/>
      <c r="H24" s="215"/>
      <c r="I24" s="214"/>
      <c r="M24" s="342" t="s">
        <v>265</v>
      </c>
      <c r="N24" s="342"/>
      <c r="O24" s="342"/>
      <c r="P24" s="342"/>
      <c r="Q24" s="342"/>
      <c r="R24" s="342"/>
      <c r="S24" s="342"/>
    </row>
    <row r="25" spans="1:19" x14ac:dyDescent="0.2">
      <c r="M25" s="342"/>
      <c r="N25" s="342"/>
      <c r="O25" s="342"/>
      <c r="P25" s="342"/>
      <c r="Q25" s="342"/>
      <c r="R25" s="342"/>
      <c r="S25" s="342"/>
    </row>
    <row r="26" spans="1:19" x14ac:dyDescent="0.2">
      <c r="M26" s="342"/>
      <c r="N26" s="342"/>
      <c r="O26" s="342"/>
      <c r="P26" s="342"/>
      <c r="Q26" s="342"/>
      <c r="R26" s="342"/>
      <c r="S26" s="342"/>
    </row>
    <row r="28" spans="1:19" x14ac:dyDescent="0.2">
      <c r="M28" s="213" t="s">
        <v>264</v>
      </c>
    </row>
    <row r="30" spans="1:19" x14ac:dyDescent="0.2">
      <c r="M30" s="120" t="s">
        <v>263</v>
      </c>
    </row>
    <row r="31" spans="1:19" x14ac:dyDescent="0.2">
      <c r="M31" s="342" t="s">
        <v>262</v>
      </c>
      <c r="N31" s="342"/>
      <c r="O31" s="342"/>
      <c r="P31" s="342"/>
      <c r="Q31" s="342"/>
      <c r="R31" s="342"/>
      <c r="S31" s="342"/>
    </row>
    <row r="32" spans="1:19" x14ac:dyDescent="0.2">
      <c r="M32" s="342"/>
      <c r="N32" s="342"/>
      <c r="O32" s="342"/>
      <c r="P32" s="342"/>
      <c r="Q32" s="342"/>
      <c r="R32" s="342"/>
      <c r="S32" s="342"/>
    </row>
    <row r="34" spans="13:19" x14ac:dyDescent="0.2">
      <c r="M34" s="213" t="s">
        <v>261</v>
      </c>
    </row>
    <row r="36" spans="13:19" x14ac:dyDescent="0.2">
      <c r="M36" s="371" t="s">
        <v>260</v>
      </c>
      <c r="N36" s="371"/>
      <c r="O36" s="371"/>
      <c r="P36" s="371"/>
      <c r="Q36" s="371"/>
      <c r="R36" s="371"/>
      <c r="S36" s="371"/>
    </row>
    <row r="37" spans="13:19" x14ac:dyDescent="0.2">
      <c r="M37" s="371"/>
      <c r="N37" s="371"/>
      <c r="O37" s="371"/>
      <c r="P37" s="371"/>
      <c r="Q37" s="371"/>
      <c r="R37" s="371"/>
      <c r="S37" s="371"/>
    </row>
    <row r="38" spans="13:19" x14ac:dyDescent="0.2">
      <c r="M38" s="371"/>
      <c r="N38" s="371"/>
      <c r="O38" s="371"/>
      <c r="P38" s="371"/>
      <c r="Q38" s="371"/>
      <c r="R38" s="371"/>
      <c r="S38" s="371"/>
    </row>
    <row r="40" spans="13:19" x14ac:dyDescent="0.2">
      <c r="M40" s="371" t="s">
        <v>259</v>
      </c>
      <c r="N40" s="371"/>
      <c r="O40" s="371"/>
      <c r="P40" s="371"/>
      <c r="Q40" s="371"/>
      <c r="R40" s="371"/>
      <c r="S40" s="371"/>
    </row>
    <row r="41" spans="13:19" x14ac:dyDescent="0.2">
      <c r="M41" s="371"/>
      <c r="N41" s="371"/>
      <c r="O41" s="371"/>
      <c r="P41" s="371"/>
      <c r="Q41" s="371"/>
      <c r="R41" s="371"/>
      <c r="S41" s="371"/>
    </row>
    <row r="42" spans="13:19" x14ac:dyDescent="0.2">
      <c r="M42" s="371"/>
      <c r="N42" s="371"/>
      <c r="O42" s="371"/>
      <c r="P42" s="371"/>
      <c r="Q42" s="371"/>
      <c r="R42" s="371"/>
      <c r="S42" s="371"/>
    </row>
    <row r="44" spans="13:19" x14ac:dyDescent="0.2">
      <c r="M44" s="371" t="s">
        <v>258</v>
      </c>
      <c r="N44" s="371"/>
      <c r="O44" s="371"/>
      <c r="P44" s="371"/>
      <c r="Q44" s="371"/>
      <c r="R44" s="371"/>
      <c r="S44" s="371"/>
    </row>
    <row r="45" spans="13:19" x14ac:dyDescent="0.2">
      <c r="M45" s="371"/>
      <c r="N45" s="371"/>
      <c r="O45" s="371"/>
      <c r="P45" s="371"/>
      <c r="Q45" s="371"/>
      <c r="R45" s="371"/>
      <c r="S45" s="371"/>
    </row>
    <row r="46" spans="13:19" x14ac:dyDescent="0.2">
      <c r="M46" s="168"/>
    </row>
    <row r="51" spans="13:14" x14ac:dyDescent="0.2">
      <c r="N51" s="212"/>
    </row>
    <row r="53" spans="13:14" x14ac:dyDescent="0.2">
      <c r="N53" s="212"/>
    </row>
    <row r="59" spans="13:14" x14ac:dyDescent="0.2">
      <c r="N59" s="212"/>
    </row>
    <row r="60" spans="13:14" x14ac:dyDescent="0.2">
      <c r="N60" s="212"/>
    </row>
    <row r="63" spans="13:14" x14ac:dyDescent="0.2">
      <c r="M63" s="168"/>
    </row>
    <row r="72" spans="13:13" x14ac:dyDescent="0.2">
      <c r="M72" s="168"/>
    </row>
    <row r="86" spans="13:13" x14ac:dyDescent="0.2">
      <c r="M86" s="168"/>
    </row>
  </sheetData>
  <mergeCells count="10">
    <mergeCell ref="M31:S32"/>
    <mergeCell ref="M36:S38"/>
    <mergeCell ref="M40:S42"/>
    <mergeCell ref="M44:S45"/>
    <mergeCell ref="B5:H6"/>
    <mergeCell ref="B22:H23"/>
    <mergeCell ref="M7:S8"/>
    <mergeCell ref="M10:S11"/>
    <mergeCell ref="M13:S14"/>
    <mergeCell ref="M24:S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Overview</vt:lpstr>
      <vt:lpstr>Q #1</vt:lpstr>
      <vt:lpstr>Q #2</vt:lpstr>
      <vt:lpstr>Q #3</vt:lpstr>
      <vt:lpstr>Q #4</vt:lpstr>
      <vt:lpstr>Q #5</vt:lpstr>
      <vt:lpstr>Q #6</vt:lpstr>
      <vt:lpstr>Q #7</vt:lpstr>
      <vt:lpstr>Q #8</vt:lpstr>
      <vt:lpstr>Q #9</vt:lpstr>
      <vt:lpstr>Q #10</vt:lpstr>
      <vt:lpstr>Q #11</vt:lpstr>
      <vt:lpstr>2011 #7</vt:lpstr>
      <vt:lpstr>2011 #9</vt:lpstr>
      <vt:lpstr>2012 #8</vt:lpstr>
      <vt:lpstr>2013 #9</vt:lpstr>
      <vt:lpstr>2014 #10</vt:lpstr>
      <vt:lpstr>2016 #11</vt:lpstr>
      <vt:lpstr>2017 #11</vt:lpstr>
      <vt:lpstr>2018 #15</vt:lpstr>
      <vt:lpstr>2019 #1</vt:lpstr>
      <vt:lpstr>2019 #11</vt:lpstr>
      <vt:lpstr>Essay Problems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2026-07-01T14:42:52Z</dcterms:modified>
</cp:coreProperties>
</file>