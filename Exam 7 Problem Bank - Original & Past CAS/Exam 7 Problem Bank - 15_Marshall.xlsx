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AEAB6BE4-0150-924E-BCEA-583CA87AFC17}" xr6:coauthVersionLast="47" xr6:coauthVersionMax="47" xr10:uidLastSave="{00000000-0000-0000-0000-000000000000}"/>
  <bookViews>
    <workbookView xWindow="3900" yWindow="1480" windowWidth="29100" windowHeight="17700" xr2:uid="{B2F629C4-F532-0048-94B5-6129BC4B4200}"/>
  </bookViews>
  <sheets>
    <sheet name="Overview" sheetId="7" r:id="rId1"/>
    <sheet name="Q #1" sheetId="1" r:id="rId2"/>
    <sheet name="Q #2" sheetId="2" r:id="rId3"/>
    <sheet name="Q #3" sheetId="3" r:id="rId4"/>
    <sheet name="Q #4" sheetId="4" r:id="rId5"/>
    <sheet name="Q #5" sheetId="5" r:id="rId6"/>
    <sheet name="Q #6" sheetId="6" r:id="rId7"/>
    <sheet name="Q #7" sheetId="8" r:id="rId8"/>
    <sheet name="2013 #8" sheetId="10" r:id="rId9"/>
    <sheet name="2013 #13" sheetId="11" r:id="rId10"/>
    <sheet name="2014 #8" sheetId="12" r:id="rId11"/>
    <sheet name="2014 #11" sheetId="13" r:id="rId12"/>
    <sheet name="2015 #7" sheetId="14" r:id="rId13"/>
    <sheet name="2015 #8" sheetId="15" r:id="rId14"/>
    <sheet name="2015 #9" sheetId="16" r:id="rId15"/>
    <sheet name="2016 #10" sheetId="17" r:id="rId16"/>
    <sheet name="2017 #8" sheetId="18" r:id="rId17"/>
    <sheet name="2019 #9" sheetId="19" r:id="rId18"/>
    <sheet name="Essay Problems" sheetId="9"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9" i="10" l="1"/>
  <c r="M37" i="10"/>
  <c r="M21" i="10"/>
  <c r="M22" i="10"/>
  <c r="M11" i="10" a="1"/>
  <c r="M11" i="10" s="1"/>
  <c r="O29" i="10" a="1"/>
  <c r="O29" i="10" s="1"/>
  <c r="N25" i="10"/>
  <c r="N21" i="10"/>
  <c r="M29" i="10"/>
  <c r="M19" i="18"/>
  <c r="N19" i="18"/>
  <c r="O19" i="18"/>
  <c r="M28" i="18" s="1"/>
  <c r="P19" i="18"/>
  <c r="M29" i="18" s="1"/>
  <c r="M20" i="18"/>
  <c r="N20" i="18"/>
  <c r="O20" i="18"/>
  <c r="P20" i="18"/>
  <c r="M21" i="18"/>
  <c r="N21" i="18"/>
  <c r="O21" i="18"/>
  <c r="P21" i="18"/>
  <c r="M22" i="18"/>
  <c r="N22" i="18"/>
  <c r="O22" i="18"/>
  <c r="P22" i="18"/>
  <c r="M23" i="18"/>
  <c r="N23" i="18"/>
  <c r="O23" i="18"/>
  <c r="P23" i="18"/>
  <c r="M24" i="18"/>
  <c r="N24" i="18"/>
  <c r="O24" i="18"/>
  <c r="P24" i="18"/>
  <c r="M37" i="18"/>
  <c r="N37" i="18"/>
  <c r="M38" i="18"/>
  <c r="P58" i="18" s="1"/>
  <c r="N38" i="18"/>
  <c r="O58" i="18" s="1"/>
  <c r="M58" i="18" s="1"/>
  <c r="N40" i="18"/>
  <c r="M43" i="18" s="1"/>
  <c r="M44" i="18" s="1"/>
  <c r="N53" i="18"/>
  <c r="M54" i="18"/>
  <c r="O57" i="18"/>
  <c r="P57" i="18"/>
  <c r="M59" i="18"/>
  <c r="M57" i="18" s="1"/>
  <c r="M60" i="18"/>
  <c r="N60" i="18"/>
  <c r="N25" i="15" a="1"/>
  <c r="N25" i="15" s="1"/>
  <c r="M6" i="10"/>
  <c r="M7" i="10"/>
  <c r="M8" i="10"/>
  <c r="O11" i="10"/>
  <c r="P21" i="10"/>
  <c r="Q21" i="10"/>
  <c r="P22" i="10"/>
  <c r="Q22" i="10"/>
  <c r="P23" i="10"/>
  <c r="Q23" i="10"/>
  <c r="M24" i="10"/>
  <c r="M23" i="10" s="1"/>
  <c r="N24" i="10"/>
  <c r="N23" i="10" s="1"/>
  <c r="O24" i="10"/>
  <c r="O21" i="10" s="1"/>
  <c r="M25" i="10"/>
  <c r="O25" i="10"/>
  <c r="N59" i="18" l="1"/>
  <c r="N22" i="10"/>
  <c r="M33" i="10" s="1"/>
  <c r="O22" i="10"/>
  <c r="O23" i="10"/>
  <c r="N58" i="18" l="1"/>
  <c r="N57" i="18"/>
  <c r="N62" i="18" s="1"/>
  <c r="N13" i="8" a="1"/>
  <c r="N13" i="8" s="1"/>
  <c r="N26" i="8" s="1"/>
  <c r="N30" i="8" s="1"/>
  <c r="N19" i="8"/>
  <c r="N34" i="8"/>
  <c r="N35" i="8"/>
  <c r="N37" i="8" s="1"/>
  <c r="S14" i="5" l="1"/>
  <c r="S13" i="5"/>
  <c r="R14" i="5"/>
  <c r="R13" i="5"/>
  <c r="N14" i="5"/>
  <c r="P19" i="5" s="1"/>
  <c r="N13" i="5"/>
  <c r="N20" i="5" s="1"/>
  <c r="N7" i="5"/>
  <c r="O21" i="5" s="1"/>
  <c r="N6" i="5"/>
  <c r="N21" i="5" s="1"/>
  <c r="N34" i="1"/>
  <c r="R21" i="1"/>
  <c r="Q21" i="1"/>
  <c r="R20" i="1"/>
  <c r="Q20" i="1"/>
  <c r="M12" i="1"/>
  <c r="M11" i="1"/>
  <c r="M21" i="1"/>
  <c r="O26" i="1" s="1"/>
  <c r="M20" i="1"/>
  <c r="M27" i="1" s="1"/>
  <c r="M5" i="1"/>
  <c r="N28" i="1" s="1"/>
  <c r="M4" i="1"/>
  <c r="P25" i="1" s="1"/>
  <c r="Q18" i="5" l="1"/>
  <c r="Q19" i="5"/>
  <c r="N19" i="5" s="1"/>
  <c r="N35" i="5"/>
  <c r="N39" i="5" s="1"/>
  <c r="P18" i="5"/>
  <c r="O20" i="5"/>
  <c r="N27" i="1"/>
  <c r="O25" i="1"/>
  <c r="Q12" i="1"/>
  <c r="P26" i="1"/>
  <c r="Q11" i="1"/>
  <c r="M28" i="1"/>
  <c r="N18" i="5" l="1"/>
  <c r="M25" i="1"/>
  <c r="O18" i="5"/>
  <c r="O19" i="5"/>
  <c r="N14" i="1"/>
  <c r="N25" i="1"/>
  <c r="M26" i="1"/>
  <c r="N26" i="1"/>
  <c r="N5" i="2"/>
  <c r="N3" i="2"/>
  <c r="O23" i="5" l="1"/>
  <c r="O42" i="5"/>
  <c r="O44" i="5" s="1"/>
  <c r="O46" i="5" s="1"/>
  <c r="O25" i="5"/>
  <c r="O27" i="5" s="1"/>
  <c r="O29" i="5" s="1"/>
  <c r="N30" i="1"/>
  <c r="N38" i="1" s="1"/>
  <c r="N40" i="1" s="1"/>
  <c r="O48"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<sst xmlns="http://schemas.openxmlformats.org/spreadsheetml/2006/main" count="1023" uniqueCount="605">
  <si>
    <t>a.</t>
  </si>
  <si>
    <t>b.</t>
  </si>
  <si>
    <t>c.</t>
  </si>
  <si>
    <t>Part a</t>
  </si>
  <si>
    <t>Part b</t>
  </si>
  <si>
    <t>Part c</t>
  </si>
  <si>
    <t>Given the following information as of December 31, 2016:</t>
  </si>
  <si>
    <t>Line of Business</t>
  </si>
  <si>
    <t>Outstanding Claims (OSC)</t>
  </si>
  <si>
    <t>Auto</t>
  </si>
  <si>
    <t>Home</t>
  </si>
  <si>
    <t>A Mack model is used to quantify the uncertainty in outstanding claims liabilities due to independent risk.</t>
  </si>
  <si>
    <t>Below are the results from the model for Auto and Home:</t>
  </si>
  <si>
    <t>Reserve</t>
  </si>
  <si>
    <t>s.e.(Reserve)</t>
  </si>
  <si>
    <t>Mack Model Results ($000)</t>
  </si>
  <si>
    <t>Insurance Liabilities ($000)</t>
  </si>
  <si>
    <t>Internal systemic risk was analyzed with a balanced scorecard approach. Below are the results and the</t>
  </si>
  <si>
    <t>correlations between valuation classes:</t>
  </si>
  <si>
    <t>Score</t>
  </si>
  <si>
    <t>Auto OSC</t>
  </si>
  <si>
    <t>Home OSC</t>
  </si>
  <si>
    <t>Balanced Scorecard Results</t>
  </si>
  <si>
    <t>Internal Systemic Risk Correlation Matrix:</t>
  </si>
  <si>
    <t>Balanced Scorecard Score</t>
  </si>
  <si>
    <t>Auto CoV</t>
  </si>
  <si>
    <t>Home CoV</t>
  </si>
  <si>
    <t>Internal Systemic Risk 
CoV Scale</t>
  </si>
  <si>
    <t>External Systemic Risk:</t>
  </si>
  <si>
    <t>•     Total Event Risk CoV</t>
  </si>
  <si>
    <t>•     Total Social Risk CoV</t>
  </si>
  <si>
    <t>The z-value for the 75th percentile of the standard normal distribution is 0.674.</t>
  </si>
  <si>
    <t>Calculate the risk margin as a percent of total liabilities for a required probability of adequacy of 75%.</t>
  </si>
  <si>
    <t>As part of a risk margin assessment, an actuary is using a balanced scorecard to calculate the internal</t>
  </si>
  <si>
    <t>systemic risk CoV.</t>
  </si>
  <si>
    <t>The following information is a summary of the balanced scorecard for outstanding claim liabilities (OSC):</t>
  </si>
  <si>
    <t>Auto OSC Score</t>
  </si>
  <si>
    <t>Auto Weight</t>
  </si>
  <si>
    <t>Workers Comp Weight</t>
  </si>
  <si>
    <t>Specification Error</t>
  </si>
  <si>
    <t xml:space="preserve">Number of independent models </t>
  </si>
  <si>
    <t>Checks made on reasonableness</t>
  </si>
  <si>
    <t>Parameter Selection Error</t>
  </si>
  <si>
    <t>Best predictors identified</t>
  </si>
  <si>
    <t>Value of predictors used</t>
  </si>
  <si>
    <t>Data Error</t>
  </si>
  <si>
    <t>Reconciliations and quality control</t>
  </si>
  <si>
    <t>Reliability of information</t>
  </si>
  <si>
    <t>Potential Risk Indicator:</t>
  </si>
  <si>
    <t>Workers Comp OSC Score</t>
  </si>
  <si>
    <t>CoV</t>
  </si>
  <si>
    <t>Workers Comp CoV</t>
  </si>
  <si>
    <t>1-2</t>
  </si>
  <si>
    <t>2-3</t>
  </si>
  <si>
    <t>3-4</t>
  </si>
  <si>
    <t>4-5</t>
  </si>
  <si>
    <t>Calculate the Auto and Workers Comp internal systemic risk CoVs for outstanding claims liabilities</t>
  </si>
  <si>
    <t>(OSC) using the balanced scorecard.</t>
  </si>
  <si>
    <t>Evaluate the reasonableness of the CoVs used in the CoV scale and recommend changes where the</t>
  </si>
  <si>
    <t>scale is unreasonable.</t>
  </si>
  <si>
    <t>The minimum CoV for best practice shouldn’t be much below 5% because even a “perfect” model won’t be able to completely represent the true underlying process. The 3% CoV for Auto appears unreasonable (I recommend 5%).
WC has a longer tail than Auto, and the CoV at each score should be higher (due to the difficulty in modeling long-tail lines). We see this in the table, so the comparison between Auto and WC seems reasonable.
The scale should not be linear because marginal improvements will have diminishing returns. The WC CoV scale is linear and is unreasonable. 
I recommend the following CoVs to correct the issues above:</t>
  </si>
  <si>
    <t xml:space="preserve">Score(Auto) = </t>
  </si>
  <si>
    <t xml:space="preserve">Score(WC) = </t>
  </si>
  <si>
    <t>Segment</t>
  </si>
  <si>
    <t>WC OSC</t>
  </si>
  <si>
    <t>ɸ(internal)</t>
  </si>
  <si>
    <t>For each of the following, describe the source of uncertainty and discuss the appropriateness of using</t>
  </si>
  <si>
    <t>quantitative modeling techniques for the source of uncertainty when assessing risk margins.</t>
  </si>
  <si>
    <t>i.</t>
  </si>
  <si>
    <t>ii.</t>
  </si>
  <si>
    <t>iii.</t>
  </si>
  <si>
    <t>Internal systemic risk</t>
  </si>
  <si>
    <t>External systemic risk</t>
  </si>
  <si>
    <t>Independent risk</t>
  </si>
  <si>
    <t>Discuss why an actuary assessing risk margins shouldn’t directly use quantitative methods to select</t>
  </si>
  <si>
    <t>correlations between valuation classes for sources of risk.</t>
  </si>
  <si>
    <t>Discuss considerations when selecting correlation coefficients for internal systemic risks.</t>
  </si>
  <si>
    <t>Discuss considerations when selecting correlations coefficients for external systemic risks.</t>
  </si>
  <si>
    <t>Quantitative methods to estimate correlations are technically complex and require lots of data. Also, the correlations would be heavily influenced by past events and may not be appropriate for the future. It would be difficult or impossible to break out correlations to different risk sources.
Therefore, an actuary should use judgment to select correlation coefficients to assess risk margins.</t>
  </si>
  <si>
    <t>•	Internal systemic risk sources should be considered uncorrelated with independent risk and external systemic risks.
•	Different valuation classes may be correlated due to the ‘same actuary effect’ or if similar models or approach is used.
•	There may be correlation between outstanding claim and premium liabilities due to linkages between methodologies.</t>
  </si>
  <si>
    <t xml:space="preserve">•	It’s reasonable to assume that each external systemic risk source is uncorrelated (e.g. a hurricane is uncorrelated with latent claim risk). 
•	There may be correlations for a common risk source across multiple classes (e.g. a hurricane impacting Home and Commercial Property). </t>
  </si>
  <si>
    <t>Given the following information:</t>
  </si>
  <si>
    <t>Calculate the risk margin in dollars for the overall book of business that provides a 75% probability of</t>
  </si>
  <si>
    <t>reserve adequacy.</t>
  </si>
  <si>
    <t>Calculate the sensitivity to the risk margin in part a if the event risk CoV for home is increased to 10%.</t>
  </si>
  <si>
    <t>•    Event risk is assumed to be independent between Auto and Home</t>
  </si>
  <si>
    <t>Valuation Class</t>
  </si>
  <si>
    <t>Claim Liabilities ($000)</t>
  </si>
  <si>
    <t>•    Total independent risk CoV is:</t>
  </si>
  <si>
    <t>Class</t>
  </si>
  <si>
    <t>Internal System Risk CoV</t>
  </si>
  <si>
    <t xml:space="preserve">Internal Systemic Risk Correlation Matrix </t>
  </si>
  <si>
    <t>Social Risk</t>
  </si>
  <si>
    <t>Event Risk</t>
  </si>
  <si>
    <t>Total</t>
  </si>
  <si>
    <t>External System Risk CoV</t>
  </si>
  <si>
    <t>•    Z-value for the 75th percentile of the normal distribution is:</t>
  </si>
  <si>
    <t>An insurer is setting up a process to assess risk margins for its portfolio of Commercial Auto and Workers</t>
  </si>
  <si>
    <t>Compensation policies.</t>
  </si>
  <si>
    <t>To assess internal systemic risk, a balanced scorecard is used. The modeling infrastructure is scored on a</t>
  </si>
  <si>
    <t>scale of 1 to 5 (with 5 representing best practice). Scores are mapped to a CoV scale.</t>
  </si>
  <si>
    <t>Below is the proposed Internal Systemic Risk CoV scale:</t>
  </si>
  <si>
    <t>Identify and briefly discuss three problems with the proposed CoV scale.</t>
  </si>
  <si>
    <t>Discussion</t>
  </si>
  <si>
    <t>Claims</t>
  </si>
  <si>
    <t>Proportion of Liabilities (weights)</t>
  </si>
  <si>
    <t>Independent Risk (𝜙)</t>
  </si>
  <si>
    <t>Independent Risk: (𝜙*w)^2</t>
  </si>
  <si>
    <t>Claims CoV</t>
  </si>
  <si>
    <t>Total Independent Risk CoV:</t>
  </si>
  <si>
    <t>Internal Systemic Risk Correlation Matrix</t>
  </si>
  <si>
    <t>Internal Systemic Risk (𝜙)</t>
  </si>
  <si>
    <t>Internal Systemic Risk Calculation</t>
  </si>
  <si>
    <t>Weight</t>
  </si>
  <si>
    <t xml:space="preserve">Total Internal Systemic Risk CoV: </t>
  </si>
  <si>
    <t xml:space="preserve">Total External Systemic Risk CoV: </t>
  </si>
  <si>
    <t xml:space="preserve">Total Consolidated CoV: </t>
  </si>
  <si>
    <t>Percentile</t>
  </si>
  <si>
    <t>Risk Margin (% of Liabilities)</t>
  </si>
  <si>
    <t>z-score</t>
  </si>
  <si>
    <t>Get the Independent Risk CoVs from the Mack Model results and consolidate:</t>
  </si>
  <si>
    <t>Internal Systemic Risk CoV, based on CoVs from balanced scorecard:</t>
  </si>
  <si>
    <t>Total Risk CoV:</t>
  </si>
  <si>
    <t>Internal Systemic Risk CoV:</t>
  </si>
  <si>
    <t xml:space="preserve">Internal Systemic Risk CoV: </t>
  </si>
  <si>
    <t>Risk Margin ($) =</t>
  </si>
  <si>
    <t>($000)</t>
  </si>
  <si>
    <t>(𝜙_event)^2 = ∑∑⍴(i,j) * (𝜙_i*w_i)(𝜙_j*w_j)</t>
  </si>
  <si>
    <t xml:space="preserve">(𝜙_event)^2 = </t>
  </si>
  <si>
    <t xml:space="preserve">(𝜙_ext)^2 = </t>
  </si>
  <si>
    <t>Calculate the new event risk CoV:</t>
  </si>
  <si>
    <t>Risk Margin increase =</t>
  </si>
  <si>
    <t>Different solutions would also be acceptable for this type of question as long as they’re grounded in the syllabus paper and answer the question. On an exam, use the point value of the problem as a guide for how much detail to show.</t>
  </si>
  <si>
    <t>There are a couple twists in this problem compared to the problem in the Cookbook recipe. First, instead of being given the independent risk CoV directly, you need to calculate it from the Mack model results. Second, the results from the balanced scorecard are given and you need to look up the CoV in the table.</t>
  </si>
  <si>
    <t>SHOW ALL WORK.</t>
  </si>
  <si>
    <t>Solution -&gt;</t>
  </si>
  <si>
    <t>RF Marshall - 1</t>
  </si>
  <si>
    <t>RF Marshall - 2</t>
  </si>
  <si>
    <t>RF Marshall - 3</t>
  </si>
  <si>
    <t>RF Marshall - 4</t>
  </si>
  <si>
    <t>RF Marshall - 5</t>
  </si>
  <si>
    <t>RF Marshall - 6</t>
  </si>
  <si>
    <t>Marshall - Risk Margin Calculation</t>
  </si>
  <si>
    <t>Recipe</t>
  </si>
  <si>
    <t>Marshall - Internal Risk Balanced Scorecard</t>
  </si>
  <si>
    <r>
      <rPr>
        <b/>
        <sz val="12"/>
        <color theme="1"/>
        <rFont val="Calibri"/>
        <family val="2"/>
      </rPr>
      <t>The scale is linear</t>
    </r>
    <r>
      <rPr>
        <sz val="12"/>
        <color theme="1"/>
        <rFont val="Calibri"/>
        <family val="2"/>
      </rPr>
      <t xml:space="preserve">
•    The scale should be non-linear with a greater decrease in CoV as the score improves from 1.5 to 2.5 than for an improvement from 3.5 to 4.5
</t>
    </r>
    <r>
      <rPr>
        <b/>
        <sz val="12"/>
        <color theme="1"/>
        <rFont val="Calibri"/>
        <family val="2"/>
      </rPr>
      <t>The CoV for the 4-5 score is too low</t>
    </r>
    <r>
      <rPr>
        <sz val="12"/>
        <color theme="1"/>
        <rFont val="Calibri"/>
        <family val="2"/>
      </rPr>
      <t xml:space="preserve">
•    The best CoV shouldn’t be much lower than 5% because a best practice model still won’t completely replicate the true insurance process or incorporate all claim predictors.
</t>
    </r>
    <r>
      <rPr>
        <b/>
        <sz val="12"/>
        <color theme="1"/>
        <rFont val="Calibri"/>
        <family val="2"/>
      </rPr>
      <t>The scale should differ between Auto and WC</t>
    </r>
    <r>
      <rPr>
        <sz val="12"/>
        <color theme="1"/>
        <rFont val="Calibri"/>
        <family val="2"/>
      </rPr>
      <t xml:space="preserve">
•    WC is a long-tail portfolio and Auto is short-tail. It’s more difficult to model the long-tail insurance process so the internal risk CoVs should be higher for each score.</t>
    </r>
  </si>
  <si>
    <r>
      <t xml:space="preserve">Here’s another possible answer:
</t>
    </r>
    <r>
      <rPr>
        <b/>
        <sz val="12"/>
        <color theme="1"/>
        <rFont val="Calibri"/>
        <family val="2"/>
      </rPr>
      <t>The highest CoV is too low, especially for WC</t>
    </r>
    <r>
      <rPr>
        <sz val="12"/>
        <color theme="1"/>
        <rFont val="Calibri"/>
        <family val="2"/>
      </rPr>
      <t xml:space="preserve">
•    A single model with limited data that scores poorly compared to best practice could have an internal systemic risk CoV of &gt;20%</t>
    </r>
  </si>
  <si>
    <t>I assume independence between social and event risk:</t>
  </si>
  <si>
    <t>The total external systemic risk is the sum of the squared CoVs because we assume independence between the different external systemic risks. 
Because the risk margin calculation has many underlying assumptions, it’s important to do sensitivity testing to understand which assumptions impact the final risk margin the most. See Marshall pg. 23-24 for more information about sensitivity testing. This topic would make for a good essay question or multiple choice question.</t>
  </si>
  <si>
    <r>
      <rPr>
        <b/>
        <sz val="12"/>
        <color theme="1"/>
        <rFont val="Calibri"/>
        <family val="2"/>
      </rPr>
      <t>Internal systemic risk</t>
    </r>
    <r>
      <rPr>
        <sz val="12"/>
        <color theme="1"/>
        <rFont val="Calibri"/>
        <family val="2"/>
      </rPr>
      <t xml:space="preserve"> is uncertainty in liabilities due to the internal valuation process and the fact that valuation models are an imperfect representation of the insurance process. The 3 main sources of internal systemic risk are specification error, parameter selection error, and data error.
Quantitative modeling could be used to inform the approach, but a balanced scorecard process to assess the risk indicators should be used.</t>
    </r>
  </si>
  <si>
    <r>
      <rPr>
        <b/>
        <sz val="12"/>
        <color theme="1"/>
        <rFont val="Calibri"/>
        <family val="2"/>
      </rPr>
      <t xml:space="preserve">External systemic risk </t>
    </r>
    <r>
      <rPr>
        <sz val="12"/>
        <color theme="1"/>
        <rFont val="Calibri"/>
        <family val="2"/>
      </rPr>
      <t>represents risks that are shared across claim groups or valuation classes and that are external to the valuation process (e.g. a hurricane impacting Home and Commercial Property is event risk)
Quantitative modeling can analyze past episodes of external systemic risk, but can’t adequately capture potential future external systemic risks to the extent they’re different than the past.</t>
    </r>
  </si>
  <si>
    <r>
      <rPr>
        <b/>
        <sz val="12"/>
        <color theme="1"/>
        <rFont val="Calibri"/>
        <family val="2"/>
      </rPr>
      <t>Independent Risk</t>
    </r>
    <r>
      <rPr>
        <sz val="12"/>
        <color theme="1"/>
        <rFont val="Calibri"/>
        <family val="2"/>
      </rPr>
      <t xml:space="preserve"> represents risk due to randomness in the insurance process and includes parameter risk and process risk. 
Stochastic modeling techniques such as the Mack method, Bootstrapping, or Bayesian techniques are appropriate to assess independent risk.</t>
    </r>
  </si>
  <si>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</si>
  <si>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</si>
  <si>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</si>
  <si>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</si>
  <si>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</si>
  <si>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</si>
  <si>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</si>
  <si>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</si>
  <si>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</si>
  <si>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Assuming that the total insurance liabilities are lognormally distributed, calculate the risk margin for the auto outstanding claims that provides a 90% probability of reserve adequacy</t>
  </si>
  <si>
    <t>e.</t>
  </si>
  <si>
    <t>Assuming that the total insurance liabilities are normally distributed, calculate the risk margin for the overall book of business that provides</t>
  </si>
  <si>
    <t>d.</t>
  </si>
  <si>
    <t>Calculate the total insurance liabilities CoV for all sources of risk combined.</t>
  </si>
  <si>
    <t>Calculate the total insurance liabilities CoV for internal systemic risk for the Auto line.</t>
  </si>
  <si>
    <t>Calculate the total insurance liabilities CoV for independent risk for both lines combined.</t>
  </si>
  <si>
    <t>&lt;-e^(sigma*z - sigma^2/2)-1</t>
  </si>
  <si>
    <t>Risk Margin =</t>
  </si>
  <si>
    <t>&lt;-ln(1 + CoV^2)</t>
  </si>
  <si>
    <t>sigma^2 =</t>
  </si>
  <si>
    <t>• Assume that each source of independent risk is uncorrelated with any other source of risk</t>
  </si>
  <si>
    <t>&lt;-Combining risk sources for Auto OCL</t>
  </si>
  <si>
    <t>CoV Auto OCL =</t>
  </si>
  <si>
    <t>• The z-value for the 90th percentile of the normal distribution is:</t>
  </si>
  <si>
    <t>Part e:</t>
  </si>
  <si>
    <t>&lt;-Z*CoV</t>
  </si>
  <si>
    <t>Risk margin =</t>
  </si>
  <si>
    <t>Total Liabilities</t>
  </si>
  <si>
    <t>Premium Liabilities</t>
  </si>
  <si>
    <t>Outstanding Claims</t>
  </si>
  <si>
    <t>Part d:</t>
  </si>
  <si>
    <t>External Systemic Risk CoVs</t>
  </si>
  <si>
    <t>LOB</t>
  </si>
  <si>
    <t>CoV =</t>
  </si>
  <si>
    <t>Home PL</t>
  </si>
  <si>
    <t>Home OCL</t>
  </si>
  <si>
    <t>Since each source of risk is independent, no correlation</t>
  </si>
  <si>
    <t>Auto PL</t>
  </si>
  <si>
    <t>Auto OCL</t>
  </si>
  <si>
    <t>Part c:</t>
  </si>
  <si>
    <t>2*w_1*w_3*CoV_1*CoV_3*rho))/(w_1 + w_3)</t>
  </si>
  <si>
    <t>&lt;-sqrt((w_1*CoV_1)^2+((w_3*CoV_3)^2 +</t>
  </si>
  <si>
    <t>For int. sys. risk, must consider correlation</t>
  </si>
  <si>
    <t>?</t>
  </si>
  <si>
    <t>Part b:</t>
  </si>
  <si>
    <t>Internal Systemic Risk CoVs</t>
  </si>
  <si>
    <t>For independent risk, no correlation</t>
  </si>
  <si>
    <t>Independent Risk CoVs</t>
  </si>
  <si>
    <t>Home PL = i = 4</t>
  </si>
  <si>
    <t>Auto PL = i = 3</t>
  </si>
  <si>
    <t>Home OCL = i = 2</t>
  </si>
  <si>
    <t>Auto OCL = i = 1</t>
  </si>
  <si>
    <t>w_i = weight for the i^th liability</t>
  </si>
  <si>
    <t>Proportion of Insurance Liabilities</t>
  </si>
  <si>
    <t>Part a:</t>
  </si>
  <si>
    <t>Given the following for a company that writes Auto and Homeowners insurance:</t>
  </si>
  <si>
    <t>RF Marshall - 7</t>
  </si>
  <si>
    <t>• Compare each of the past estimates with the current estimate</t>
  </si>
  <si>
    <t>• Remove diagonals one at a time and apply the same method to derive the outstanding claims payments at past valuation dates</t>
  </si>
  <si>
    <t>• The outstanding claim payment derived using all of the data up to the valuation date is the ' 'current' estimate</t>
  </si>
  <si>
    <t>• Use an objective approach to calculate the development factors (volume-weighted average)</t>
  </si>
  <si>
    <t>• Apply the chain-ladder method to a triangle of cumulative claims</t>
  </si>
  <si>
    <t>Mechanical hindsight analysis applies a mechanical approach to estimating liabilities by systematically removing the most recent claims experience.  For example:</t>
  </si>
  <si>
    <t>General hindsight analysis compares past estimates of liabilities against the latest view of the equivalent liabilities.  Any movement/variation can be converted to a coefficient of variation reflecting actual past volatility.  This coefficient of variation can then be used to help estimate current liabilities</t>
  </si>
  <si>
    <t>Question #14</t>
  </si>
  <si>
    <t>External benchmarking is beneficial when little information is available for analytics</t>
  </si>
  <si>
    <t>Question #13</t>
  </si>
  <si>
    <t>Long-tailed portfolios should have higher CoVs than short-tailed portfolios in most cases (exceptions include event risk and liability risk for home classes)</t>
  </si>
  <si>
    <t>Long-tailed portfolios should have higher CoVs than short-tailed portfolios</t>
  </si>
  <si>
    <t>Classes with homogeneous claim groups should have similar CoVs</t>
  </si>
  <si>
    <t>Length of claim run-off -- the longer a portfolio takes to run-off, the more time  there is for random effects to have an impact</t>
  </si>
  <si>
    <t>Portfolio size -- the larger the portfolio, the lower the volatility arising from random effects</t>
  </si>
  <si>
    <t>Question #12</t>
  </si>
  <si>
    <t>Scenario testing can be used to determine how key assumptions underlying the central estimate calculation would need to change in order to produce a central estimate equal to the risk-loaded actuarial central estimate.  These scenarios include changes in claim frequencies, claim severities, loss ratios, etc.</t>
  </si>
  <si>
    <t>Question #11</t>
  </si>
  <si>
    <t>Lognormal distribution -- produces a higher risk margin at higher probabilities of adequacy as long as the consolidated CoV is not too high.  For extremely high CoVs, the risk margin can actually reduce as a percentage of the CoV</t>
  </si>
  <si>
    <t>Normal distribution -- produces a higher risk margin at lower probabilities of adequacy, irrespective of the size of the consolidated CoV</t>
  </si>
  <si>
    <t>Question #10</t>
  </si>
  <si>
    <t>External systemic risk -- assumed to be uncorrelated with independent risk and internal systemic risk.  However, correlation may exist between risks that belong to similar external systemic risk categories.  If correlation occurs, correlated risk categories can be aggregated into broader categories that are not correlated</t>
  </si>
  <si>
    <t>Internal systemic risk -- assumed to be uncorrelated with independent risk, and with each source of external systemic risk.  However, internal systemic risk tends to be correlated between valuation classes</t>
  </si>
  <si>
    <t>Independent risk -- assumed to be uncorrelated with any other source of uncertainty and between valuation classes</t>
  </si>
  <si>
    <t>Question #9</t>
  </si>
  <si>
    <t>• For PLs, past experience for event claims, output from proprietary cat
models and output from models for perils not covered by cat models can help quantify the level of liability uncertainty</t>
  </si>
  <si>
    <t>• For OCLs, discussions with claims management should help set expectations on final claims cost outcomes. The range of development patterns on past events may influence the view on uncertainty as well</t>
  </si>
  <si>
    <t>3) Event risk</t>
  </si>
  <si>
    <t>• An actuary should spend time with product and claims management
to better understand the key drivers of policy maintenance and claims handling expenses. Once again, an actuary can sensitivity test
the key drivers of variation to develop CoVs</t>
  </si>
  <si>
    <t>2) Expense risk</t>
  </si>
  <si>
    <t>• Analysis of past experience should help identify past systemic 
episodes impacted by the claims management process. Discussions with claims managers can help identify the process changes that contributed to those systemic episodes. Then, CoVs can be developed by sensitivity testing those specific assumptions</t>
  </si>
  <si>
    <t>1) Claims management process change risk</t>
  </si>
  <si>
    <t>Describe mechanical hindsight analysis and give an example of how it can be used to analyze independent risk.</t>
  </si>
  <si>
    <t>3) Event risk - the uncertainty associated with claim costs arising from events (i.e. cats), either natural or man-made</t>
  </si>
  <si>
    <t>Briefly describe general hindsight analysis.</t>
  </si>
  <si>
    <t>2) Expense risk - the uncertainty associated with the cost of managing the run-off of the insurance liabilities or the cost of maintaining the unexpired risk until the date of loss</t>
  </si>
  <si>
    <t>Briefly describe a situation in which external benchmarking is useful.</t>
  </si>
  <si>
    <t>1) Claims management process change risk - the uncertainty associated with changes in claim reporting, payment, estimation, etc.</t>
  </si>
  <si>
    <t>For each source of risk, describe any internal benchmarking that should occur.</t>
  </si>
  <si>
    <t>Question #8</t>
  </si>
  <si>
    <t>• External systemic risk</t>
  </si>
  <si>
    <t>• Internal systemic risk</t>
  </si>
  <si>
    <t>• Independent risk</t>
  </si>
  <si>
    <t>Given the following sources of risk:</t>
  </si>
  <si>
    <t>A balanced scorecard is developed to objectively assess the model specification against a set of criteria.  For each of the sources of internal systemic risk, risk indicators are developed and scored against the criteria.  The scores are aggregated for each valuation 
class and mapped to a quantitative measure (CoV) of the variation arising from internal systemic risk.  Despite the focus on objectivity, some subjective decisions must be made. These include the risk indicators, the measurement and scoring criteria, the weight given 
to each risk indicator and the CoVs that map to each score</t>
  </si>
  <si>
    <t>Explain how scenario testing can be used in conjunction with risk margin analyses.</t>
  </si>
  <si>
    <t>Data error -- the error that arises due to the lack of credible data.  Data error can also refer to an inadequate knowledge of the portfolio being analyzed, including pricing, underwriting and claims management processes</t>
  </si>
  <si>
    <t>Identify two distributions used to calculate risk margins. For each distribution, explain any differences in the calculated risk margins.</t>
  </si>
  <si>
    <t xml:space="preserve">Parameter selection error -- the error that arises because the model cannot adequately measure all predictors of future claim costs or trends in these predictors </t>
  </si>
  <si>
    <t>Fully describe the correlation effects within AND between each source of risk.</t>
  </si>
  <si>
    <t>Specification error -- the error that arises because the model cannot perfectly model the insurance process</t>
  </si>
  <si>
    <t>Question #7</t>
  </si>
  <si>
    <t>Since models fit past data, they are only able to remove past episodes of external systemic risk.  They are not able to capture future external systemic risk</t>
  </si>
  <si>
    <t>For each risk category, provide an approach for assessing the risk.</t>
  </si>
  <si>
    <t>Internal systemic risk and future external systemic risk</t>
  </si>
  <si>
    <t>Briefly describe three external systemic risk categories.</t>
  </si>
  <si>
    <t>Independent risk and historical external systemic risk</t>
  </si>
  <si>
    <t>Fully describe the balanced scorecard approach for assessing internal systemic risk.</t>
  </si>
  <si>
    <t>Question #6</t>
  </si>
  <si>
    <t>Briefly describe three sources of internal systemic risk.</t>
  </si>
  <si>
    <t>Process risk -- represents the pure effect of the randomness associated with the insurance process</t>
  </si>
  <si>
    <t>Briefly explain why traditional modeling techniques cannot capture all sources of uncertainty.</t>
  </si>
  <si>
    <t>Parameter risk -- represents the extent to which the randomness associated with the insurance process affects the ability to select appropriate parameters in the valuation models</t>
  </si>
  <si>
    <t>Identify two sources of risk that cannot be fully analyzed using modeling techniques such as bootstrapping or a stochastic chain-ladder model.</t>
  </si>
  <si>
    <t>Independent risk represents risks that occur due to the randomness inherent in the insurance process</t>
  </si>
  <si>
    <t>Identify two sources of risk that can be fully analyzed using modeling techniques such as bootstrapping or a stochastic chain-ladder model.</t>
  </si>
  <si>
    <t>Question #5</t>
  </si>
  <si>
    <t>Briefly describe two sources of independent risk.</t>
  </si>
  <si>
    <t>External systemic risk -- risks external to the insurance liability valuation/modeling process (i.e. changes in building costs)</t>
  </si>
  <si>
    <t>Briefly describe independent risk.</t>
  </si>
  <si>
    <t>Internal systemic risk -- risks internal to the insurance liability valuation/modeling process (i.e. model parameter risk)</t>
  </si>
  <si>
    <t>Systemic risk represents risks that are common across valuation classes or claim groups</t>
  </si>
  <si>
    <t>Briefly describe two sources of systemic risk and provide an example of each source.</t>
  </si>
  <si>
    <t>Briefly describe systemic risk.</t>
  </si>
  <si>
    <t>Question #4</t>
  </si>
  <si>
    <t>• Claim group -- a group of claims with common risk characteristics</t>
  </si>
  <si>
    <t>• Valuation classes -- the portfolios that are considered individually as part of the risk margin analysis</t>
  </si>
  <si>
    <t>• Claim group</t>
  </si>
  <si>
    <t>• Claims portfolio -- the aggregate portfolio for which the risk margins must be estimated</t>
  </si>
  <si>
    <t>• Valuation classes</t>
  </si>
  <si>
    <t>• Claims portfolio</t>
  </si>
  <si>
    <t>Question #3</t>
  </si>
  <si>
    <t>Define the following terms:</t>
  </si>
  <si>
    <t>A bolt-on approach occurs when separate analyses are completed to develop a central estimate of insurance liabilities and/or estimate risk margins.  It is called a ``bolt-on" approach because it does not involve a single unified distribution of the entire distribution of possible future claim costs</t>
  </si>
  <si>
    <t>Briefly describe the bolt-on approach for determining risk margins.</t>
  </si>
  <si>
    <t>Question #2</t>
  </si>
  <si>
    <t>Quantitative techniques require a significant amount of data, time and cost to produce credible and intuitive results</t>
  </si>
  <si>
    <t>Explain why qualitative approaches are preferred over quantitative approaches when populating a correlation matrix.</t>
  </si>
  <si>
    <t>Question #1</t>
  </si>
  <si>
    <t>Solutions -&gt;</t>
  </si>
  <si>
    <t>RF Marshall - Essay Problems</t>
  </si>
  <si>
    <t xml:space="preserve">Marshall – Risk Margin Calculation </t>
  </si>
  <si>
    <r>
      <t xml:space="preserve">The calculation portions of this problem are simple applications of the risk margin method from Marshall. For part g, see pg. 24-25 in Marshall about Internal Benchmarking. 
</t>
    </r>
    <r>
      <rPr>
        <b/>
        <sz val="12"/>
        <color theme="1"/>
        <rFont val="Calibri"/>
        <family val="2"/>
        <scheme val="minor"/>
      </rPr>
      <t>Part c</t>
    </r>
    <r>
      <rPr>
        <sz val="12"/>
        <color theme="1"/>
        <rFont val="Calibri"/>
        <family val="2"/>
        <scheme val="minor"/>
      </rPr>
      <t xml:space="preserve"> - You could do the whole calculation in a cell, but it's easy to make a mistake. I recommend setting up a table like this, similar to the example in the Cookbook recipe and the Marshall example.
</t>
    </r>
    <r>
      <rPr>
        <b/>
        <sz val="12"/>
        <color theme="1"/>
        <rFont val="Calibri"/>
        <family val="2"/>
        <scheme val="minor"/>
      </rPr>
      <t>Part f</t>
    </r>
    <r>
      <rPr>
        <sz val="12"/>
        <color theme="1"/>
        <rFont val="Calibri"/>
        <family val="2"/>
        <scheme val="minor"/>
      </rPr>
      <t xml:space="preserve"> - Since this is in a spreadsheet, you can easily check this.</t>
    </r>
  </si>
  <si>
    <t>Event Risk - Different lines of business, such as Auto and Home, may be uncorrelated under normal circumstances, but significantly correlated in the tails for catastrophes that impact both lines. This dependency can be modeled with a copula.</t>
  </si>
  <si>
    <t>Part h.</t>
  </si>
  <si>
    <r>
      <t xml:space="preserve">• </t>
    </r>
    <r>
      <rPr>
        <b/>
        <sz val="12"/>
        <color theme="1"/>
        <rFont val="Calibri"/>
        <family val="2"/>
        <scheme val="minor"/>
      </rPr>
      <t>Independent Risk</t>
    </r>
    <r>
      <rPr>
        <sz val="12"/>
        <color theme="1"/>
        <rFont val="Calibri"/>
        <family val="2"/>
        <scheme val="minor"/>
      </rPr>
      <t xml:space="preserve"> – Consider the portfolio size and the length of claim runoff when selecting CoVs.
As expected, WC has a higher CoV because it has a longer claim runoff.  However, this 
should be tempered by the fact that it is the largest in size of reserves (which should 
drive the CoV down).
• </t>
    </r>
    <r>
      <rPr>
        <b/>
        <sz val="12"/>
        <color theme="1"/>
        <rFont val="Calibri"/>
        <family val="2"/>
        <scheme val="minor"/>
      </rPr>
      <t>Internal Systemic Risk</t>
    </r>
    <r>
      <rPr>
        <sz val="12"/>
        <color theme="1"/>
        <rFont val="Calibri"/>
        <family val="2"/>
        <scheme val="minor"/>
      </rPr>
      <t xml:space="preserve"> – The low CoVs for HO and auto suggest that we are more confident in our models and parameters compared to WC. This could be caused by the existence of less sophisticated models for WC.
• </t>
    </r>
    <r>
      <rPr>
        <b/>
        <sz val="12"/>
        <color theme="1"/>
        <rFont val="Calibri"/>
        <family val="2"/>
        <scheme val="minor"/>
      </rPr>
      <t>External Systemic Risk</t>
    </r>
    <r>
      <rPr>
        <sz val="12"/>
        <color theme="1"/>
        <rFont val="Calibri"/>
        <family val="2"/>
        <scheme val="minor"/>
      </rPr>
      <t xml:space="preserve"> – The selected CoV for HO seems odd.  Since we are only considering outstanding claim liabilities, it makes more sense for the HO CoV to be lower than WC or auto. Also, the WC CoV seems low given the risk of claim inflation and the potential for legislative changes.</t>
    </r>
  </si>
  <si>
    <t>Part g.</t>
  </si>
  <si>
    <t>method to incorporate variable correlation into the risk margin.</t>
  </si>
  <si>
    <t>between lines of business across their loss distributions does not hold. Suggest a</t>
  </si>
  <si>
    <t>Part f.</t>
  </si>
  <si>
    <t>Discuss an external systemic risk for which the assumption of constant correlation</t>
  </si>
  <si>
    <t>0.75 point</t>
  </si>
  <si>
    <t>h.</t>
  </si>
  <si>
    <t>benchmarking checks. Discuss all three main sources of risk.</t>
  </si>
  <si>
    <t>Risk Margin($) =</t>
  </si>
  <si>
    <t>Analyze the consistency of the selected CoVs by line of business using internal</t>
  </si>
  <si>
    <t>1.5 points</t>
  </si>
  <si>
    <t>g.</t>
  </si>
  <si>
    <t>Risk Margin % =</t>
  </si>
  <si>
    <t>than 0.25.</t>
  </si>
  <si>
    <t>correlation between each pair of lines of business for internal systemic risk were higher</t>
  </si>
  <si>
    <t>Part e.</t>
  </si>
  <si>
    <t>Discuss how the risk margin in e. above would change if the selected pair-wise</t>
  </si>
  <si>
    <t>0.5 point</t>
  </si>
  <si>
    <t>f.</t>
  </si>
  <si>
    <r>
      <t>𝜙</t>
    </r>
    <r>
      <rPr>
        <vertAlign val="subscript"/>
        <sz val="12"/>
        <color theme="1"/>
        <rFont val="Calibri"/>
        <family val="2"/>
        <scheme val="minor"/>
      </rPr>
      <t>total</t>
    </r>
    <r>
      <rPr>
        <sz val="12"/>
        <color theme="1"/>
        <rFont val="Calibri"/>
        <family val="2"/>
        <scheme val="minor"/>
      </rPr>
      <t xml:space="preserve"> =</t>
    </r>
  </si>
  <si>
    <t>75% probability of reserve adequacy.</t>
  </si>
  <si>
    <t>Calculate the risk margin (in dollars) for the overall book of business that provides a</t>
  </si>
  <si>
    <t>Part d.</t>
  </si>
  <si>
    <t>Calculate the consolidated CoV for all sources of risk.</t>
  </si>
  <si>
    <r>
      <t>𝜙</t>
    </r>
    <r>
      <rPr>
        <vertAlign val="subscript"/>
        <sz val="12"/>
        <color theme="1"/>
        <rFont val="Calibri"/>
        <family val="2"/>
        <scheme val="minor"/>
      </rPr>
      <t>internal</t>
    </r>
    <r>
      <rPr>
        <sz val="12"/>
        <color theme="1"/>
        <rFont val="Calibri"/>
        <family val="2"/>
        <scheme val="minor"/>
      </rPr>
      <t xml:space="preserve"> =</t>
    </r>
  </si>
  <si>
    <t>Alternative</t>
  </si>
  <si>
    <t>Calculate the internal systemic risk CoV for all lines combined.</t>
  </si>
  <si>
    <t>1 point</t>
  </si>
  <si>
    <t>of business for internal systemic risk.</t>
  </si>
  <si>
    <t>Describe why it is reasonable to assume that there is positive correlation between lines</t>
  </si>
  <si>
    <t>Calculate the independent risk CoV for all lines combined.</t>
  </si>
  <si>
    <t>WC</t>
  </si>
  <si>
    <t xml:space="preserve">   risk.</t>
  </si>
  <si>
    <t xml:space="preserve">   for internal systemic risk is:</t>
  </si>
  <si>
    <t>Internal systemic risk assumes a correlation of 0.25 between each risk (and 1.00 along the diagonal):</t>
  </si>
  <si>
    <t>• The selected correlation between each pair of lines of business</t>
  </si>
  <si>
    <t>Part c.</t>
  </si>
  <si>
    <r>
      <t>• The z-value for the 75</t>
    </r>
    <r>
      <rPr>
        <vertAlign val="superscript"/>
        <sz val="12"/>
        <color theme="1"/>
        <rFont val="Calibri"/>
        <family val="2"/>
        <scheme val="minor"/>
      </rPr>
      <t>th</t>
    </r>
    <r>
      <rPr>
        <sz val="12"/>
        <color theme="1"/>
        <rFont val="Calibri"/>
        <family val="2"/>
        <scheme val="minor"/>
      </rPr>
      <t xml:space="preserve"> percentile of the normal distribution is:</t>
    </r>
  </si>
  <si>
    <t>• Assume that the claim liabilities are normally distributed.</t>
  </si>
  <si>
    <t>The same actuary effect and the use of template valuation models across different valuation classes can result in positive correlation between lines of business.</t>
  </si>
  <si>
    <t>Part b.</t>
  </si>
  <si>
    <t xml:space="preserve">Homeowners  </t>
  </si>
  <si>
    <t xml:space="preserve">Auto </t>
  </si>
  <si>
    <r>
      <t>𝜙</t>
    </r>
    <r>
      <rPr>
        <vertAlign val="subscript"/>
        <sz val="12"/>
        <color theme="1"/>
        <rFont val="Calibri"/>
        <family val="2"/>
        <scheme val="minor"/>
      </rPr>
      <t>ind</t>
    </r>
    <r>
      <rPr>
        <sz val="12"/>
        <color theme="1"/>
        <rFont val="Calibri"/>
        <family val="2"/>
        <scheme val="minor"/>
      </rPr>
      <t xml:space="preserve"> =</t>
    </r>
  </si>
  <si>
    <t>Workers compensation</t>
  </si>
  <si>
    <t xml:space="preserve"> risk</t>
  </si>
  <si>
    <t>Estimate</t>
  </si>
  <si>
    <t xml:space="preserve">Line of business </t>
  </si>
  <si>
    <t>systemic</t>
  </si>
  <si>
    <t>Independent</t>
  </si>
  <si>
    <t>Central</t>
  </si>
  <si>
    <t>External</t>
  </si>
  <si>
    <t>Internal</t>
  </si>
  <si>
    <t>Coefficients of Variation (CoV)</t>
  </si>
  <si>
    <t>weight</t>
  </si>
  <si>
    <t>of December 31, 2012:</t>
  </si>
  <si>
    <t>Given the following information for an insurance company's outstanding claim liabilities as</t>
  </si>
  <si>
    <t>Part a.</t>
  </si>
  <si>
    <t>Points:</t>
  </si>
  <si>
    <t>Q #8</t>
  </si>
  <si>
    <t>Exam 7</t>
  </si>
  <si>
    <t>Spring 2013</t>
  </si>
  <si>
    <t>Source:</t>
  </si>
  <si>
    <t>Other sources of risk from the paper that would impact workers compensation would be fine. From the examiners’ report: “most of the full credit responses for part a focused on the catastrophe exposure on the property line.”</t>
  </si>
  <si>
    <t>•	Legislative changes to workers compensation benefits
•	Inflation on workers compensation claims (a long-tail line)
•	Latent exposure risk, such as asbestos</t>
  </si>
  <si>
    <t>compensation.</t>
  </si>
  <si>
    <t>underestimating the degree of uncertainty in its unpaid claim reserves for workers</t>
  </si>
  <si>
    <t>Identify three sources of risk the company should consider in order to avoid</t>
  </si>
  <si>
    <t>malpractice. Discuss two possible reasons for this conclusion.</t>
  </si>
  <si>
    <t>recently become more uncertain than its reserves for workers compensation and medical</t>
  </si>
  <si>
    <t>The company believes that the unpaid claim reserves for its property business have</t>
  </si>
  <si>
    <t>currently the volume of business written in each line is stable.</t>
  </si>
  <si>
    <t>commercial property business. The portfolio has been in existence for over ten years and</t>
  </si>
  <si>
    <t>•	The property business may have significant catastrophe exposure. Recent catastrophes would cause the unpaid claims reserve for property business to be more uncertain than workers compensation and medical malpractice.
•	The insurer could have adjusted its reinsurance program to retain more property exposure or cede more casualty exposure. This would result in greater uncertainty for property compared to the casualty lines.</t>
  </si>
  <si>
    <t>An insurance company has a portfolio of workers compensation, medical malpractice and</t>
  </si>
  <si>
    <t>Q #13</t>
  </si>
  <si>
    <t>Parts b and c are open-ended questions with a number of potential correct answers. As long as the potential risk indicator and interpretation are supported by the paper and consistent with what’s given in the problem, you should be fine.</t>
  </si>
  <si>
    <t>favorable score on a balanced scorecard.</t>
  </si>
  <si>
    <t>Briefly discuss whether each indicator in part b. above would receive a more or less</t>
  </si>
  <si>
    <t>listed in part a. above.</t>
  </si>
  <si>
    <t>Identify one potential risk indicator for each line of business under each risk component</t>
  </si>
  <si>
    <t>determining liability risk margins for a book of business.</t>
  </si>
  <si>
    <t>Identify and define the three main components of internal systemic risk when</t>
  </si>
  <si>
    <t>•  In-house homeowners claims staff meet regularly with the valuation actuary.</t>
  </si>
  <si>
    <t xml:space="preserve">     Claim information is received from the third party on a quarterly basis.</t>
  </si>
  <si>
    <t xml:space="preserve">•   The company uses a third party to adjust medical claims for workers compensation.
</t>
  </si>
  <si>
    <t>•   The claims adjusting process for homeowners has recently become automated.</t>
  </si>
  <si>
    <t>•   Model 4 failed to produce valid predictors for workers compensation.</t>
  </si>
  <si>
    <t>N/A</t>
  </si>
  <si>
    <t>Workers Compensation</t>
  </si>
  <si>
    <t>-</t>
  </si>
  <si>
    <t xml:space="preserve">Homeowners </t>
  </si>
  <si>
    <r>
      <rPr>
        <u/>
        <sz val="12"/>
        <color theme="1"/>
        <rFont val="Calibri"/>
        <family val="2"/>
        <scheme val="minor"/>
      </rPr>
      <t>Homeowners</t>
    </r>
    <r>
      <rPr>
        <sz val="12"/>
        <color theme="1"/>
        <rFont val="Calibri"/>
        <family val="2"/>
        <scheme val="minor"/>
      </rPr>
      <t xml:space="preserve">
</t>
    </r>
    <r>
      <rPr>
        <b/>
        <sz val="12"/>
        <color theme="1"/>
        <rFont val="Calibri"/>
        <family val="2"/>
        <scheme val="minor"/>
      </rPr>
      <t>Specification Error</t>
    </r>
    <r>
      <rPr>
        <sz val="12"/>
        <color theme="1"/>
        <rFont val="Calibri"/>
        <family val="2"/>
        <scheme val="minor"/>
      </rPr>
      <t xml:space="preserve"> 
  • Number of independent models used – Less favorable score (only one model is used)
</t>
    </r>
    <r>
      <rPr>
        <b/>
        <sz val="12"/>
        <color theme="1"/>
        <rFont val="Calibri"/>
        <family val="2"/>
        <scheme val="minor"/>
      </rPr>
      <t>Parameter Selection Error</t>
    </r>
    <r>
      <rPr>
        <sz val="12"/>
        <color theme="1"/>
        <rFont val="Calibri"/>
        <family val="2"/>
        <scheme val="minor"/>
      </rPr>
      <t xml:space="preserve"> 
  • Best predictors are stable over time – Less favorable score since the recent change in claims adjusting adds uncertainty for the future.
</t>
    </r>
    <r>
      <rPr>
        <b/>
        <sz val="12"/>
        <color theme="1"/>
        <rFont val="Calibri"/>
        <family val="2"/>
        <scheme val="minor"/>
      </rPr>
      <t>Data Error</t>
    </r>
    <r>
      <rPr>
        <sz val="12"/>
        <color theme="1"/>
        <rFont val="Calibri"/>
        <family val="2"/>
        <scheme val="minor"/>
      </rPr>
      <t xml:space="preserve"> 
  • Extent, timeliness, consistency and reliability of data – More favorable score because the valuation actuary meets regularly with the claims staff
</t>
    </r>
    <r>
      <rPr>
        <u/>
        <sz val="12"/>
        <color theme="1"/>
        <rFont val="Calibri"/>
        <family val="2"/>
        <scheme val="minor"/>
      </rPr>
      <t>Workers Comp</t>
    </r>
    <r>
      <rPr>
        <sz val="12"/>
        <color theme="1"/>
        <rFont val="Calibri"/>
        <family val="2"/>
        <scheme val="minor"/>
      </rPr>
      <t xml:space="preserve">
</t>
    </r>
    <r>
      <rPr>
        <b/>
        <sz val="12"/>
        <color theme="1"/>
        <rFont val="Calibri"/>
        <family val="2"/>
        <scheme val="minor"/>
      </rPr>
      <t xml:space="preserve">Specification Error </t>
    </r>
    <r>
      <rPr>
        <sz val="12"/>
        <color theme="1"/>
        <rFont val="Calibri"/>
        <family val="2"/>
        <scheme val="minor"/>
      </rPr>
      <t xml:space="preserve">
  • Range of results produced by the models – Less favorable score (results are highly variable from the models)
</t>
    </r>
    <r>
      <rPr>
        <b/>
        <sz val="12"/>
        <color theme="1"/>
        <rFont val="Calibri"/>
        <family val="2"/>
        <scheme val="minor"/>
      </rPr>
      <t>Parameter Selection Error</t>
    </r>
    <r>
      <rPr>
        <sz val="12"/>
        <color theme="1"/>
        <rFont val="Calibri"/>
        <family val="2"/>
        <scheme val="minor"/>
      </rPr>
      <t xml:space="preserve"> 
  • Best predictors have been identified – Less favorable score (this is a new line of business, so it’s unlikely that all the best predictors have been identified)
</t>
    </r>
    <r>
      <rPr>
        <b/>
        <sz val="12"/>
        <color theme="1"/>
        <rFont val="Calibri"/>
        <family val="2"/>
        <scheme val="minor"/>
      </rPr>
      <t>Data Error</t>
    </r>
    <r>
      <rPr>
        <sz val="12"/>
        <color theme="1"/>
        <rFont val="Calibri"/>
        <family val="2"/>
        <scheme val="minor"/>
      </rPr>
      <t xml:space="preserve"> 
  • There are appropriate reconciliations and quality control for the data – Less favorable score since a TPA is used and there’s a potential for coding errors, especially for a new line</t>
    </r>
  </si>
  <si>
    <t>Model 5</t>
  </si>
  <si>
    <t>Model 4</t>
  </si>
  <si>
    <t>Model 3</t>
  </si>
  <si>
    <t>Model 2</t>
  </si>
  <si>
    <t>Model 1</t>
  </si>
  <si>
    <t>Part b. &amp; c.</t>
  </si>
  <si>
    <t xml:space="preserve">    variation for accident year ultimate loss:</t>
  </si>
  <si>
    <t xml:space="preserve">    model was run for homeowners, producing the following modeled coefficients of</t>
  </si>
  <si>
    <t>•  Five independent models were run for workers compensation and one independent</t>
  </si>
  <si>
    <t xml:space="preserve">   compensation on January 1, 2012.</t>
  </si>
  <si>
    <t>•  An insurer had written only homeowners insurance until it began writing workers</t>
  </si>
  <si>
    <r>
      <rPr>
        <b/>
        <sz val="12"/>
        <color theme="1"/>
        <rFont val="Calibri"/>
        <family val="2"/>
        <scheme val="minor"/>
      </rPr>
      <t>Specification Error</t>
    </r>
    <r>
      <rPr>
        <sz val="12"/>
        <color theme="1"/>
        <rFont val="Calibri"/>
        <family val="2"/>
        <scheme val="minor"/>
      </rPr>
      <t xml:space="preserve"> – Error from the inability to make a model that fully represents the insurance process
</t>
    </r>
    <r>
      <rPr>
        <b/>
        <sz val="12"/>
        <color theme="1"/>
        <rFont val="Calibri"/>
        <family val="2"/>
        <scheme val="minor"/>
      </rPr>
      <t>Parameter Selection Error</t>
    </r>
    <r>
      <rPr>
        <sz val="12"/>
        <color theme="1"/>
        <rFont val="Calibri"/>
        <family val="2"/>
        <scheme val="minor"/>
      </rPr>
      <t xml:space="preserve"> – Error that we can’t adequately measure all the predictors (parameters) of claim cost outcomes and their trends
</t>
    </r>
    <r>
      <rPr>
        <b/>
        <sz val="12"/>
        <color theme="1"/>
        <rFont val="Calibri"/>
        <family val="2"/>
        <scheme val="minor"/>
      </rPr>
      <t>Data Error</t>
    </r>
    <r>
      <rPr>
        <sz val="12"/>
        <color theme="1"/>
        <rFont val="Calibri"/>
        <family val="2"/>
        <scheme val="minor"/>
      </rPr>
      <t xml:space="preserve"> – Error due to poor or unavailable data that’s needed for the reserve analysis</t>
    </r>
  </si>
  <si>
    <t>Given the following information as of December 31, 2013:</t>
  </si>
  <si>
    <t>Spring 2014</t>
  </si>
  <si>
    <r>
      <rPr>
        <b/>
        <sz val="12"/>
        <color theme="1"/>
        <rFont val="Calibri"/>
        <family val="2"/>
        <scheme val="minor"/>
      </rPr>
      <t>Workers Compensation</t>
    </r>
    <r>
      <rPr>
        <sz val="12"/>
        <color theme="1"/>
        <rFont val="Calibri"/>
        <family val="2"/>
        <scheme val="minor"/>
      </rPr>
      <t xml:space="preserve">
  • Workers comp is a long tail line. There is uncertainty from latent claims risk that the insurer will need to pay for claims from exposures that they didn’t know existed when policies were written. Latent risks take a long time to be discovered (e.g. asbestos).</t>
    </r>
  </si>
  <si>
    <r>
      <rPr>
        <b/>
        <sz val="12"/>
        <color theme="1"/>
        <rFont val="Calibri"/>
        <family val="2"/>
        <scheme val="minor"/>
      </rPr>
      <t>Property</t>
    </r>
    <r>
      <rPr>
        <sz val="12"/>
        <color theme="1"/>
        <rFont val="Calibri"/>
        <family val="2"/>
        <scheme val="minor"/>
      </rPr>
      <t xml:space="preserve">
  • Event risk is important for Property because a single event can cause losses on a large number of policies at once. Event risk may also be correlated in the tails between lines of business (such as Commercial Property and Home).</t>
    </r>
  </si>
  <si>
    <t>Latent claim risk</t>
  </si>
  <si>
    <t>Event risk</t>
  </si>
  <si>
    <t>Legislative risk</t>
  </si>
  <si>
    <r>
      <rPr>
        <b/>
        <sz val="12"/>
        <color theme="1"/>
        <rFont val="Calibri"/>
        <family val="2"/>
        <scheme val="minor"/>
      </rPr>
      <t>Workers Compensation</t>
    </r>
    <r>
      <rPr>
        <sz val="12"/>
        <color theme="1"/>
        <rFont val="Calibri"/>
        <family val="2"/>
        <scheme val="minor"/>
      </rPr>
      <t xml:space="preserve">
  • Law changes can affect benefit levels for workers comp. The potential for higher benefit levels that would increase the exposure for an insurer adds significant uncertainty (especially because WC is a long-tail line).</t>
    </r>
  </si>
  <si>
    <t>which the risk would be important, and explain why it is important for that line of business.</t>
  </si>
  <si>
    <t>For each of the following external systemic risks, give an example of a line of business for</t>
  </si>
  <si>
    <t>Q #11</t>
  </si>
  <si>
    <t>o   Consideration for risk margins, not about segmentation of the portfolio</t>
  </si>
  <si>
    <t>•   Questions about correlation between lines</t>
  </si>
  <si>
    <t>o   Auto/Home deductibles are relatively small and wouldn’t materially impact development for segmentation</t>
  </si>
  <si>
    <t>•  Questions about about deductibles only</t>
  </si>
  <si>
    <t>o   Not a question for management, could be determined from the data</t>
  </si>
  <si>
    <t>•  Questions about credibility</t>
  </si>
  <si>
    <t>•  Questions about data patterns</t>
  </si>
  <si>
    <t>See the Examiners' Report for other sample solutions.
According to the Examiners’ Report, the following questions didn’t receive full credit:</t>
  </si>
  <si>
    <t>•  Ask because different groups of coverages may have different development patterns (e.g. liability vs. property damage) and should be segmented.</t>
  </si>
  <si>
    <t>3. What coverages are written for auto and home?</t>
  </si>
  <si>
    <t>liabilities. For each question, briefly explain why it should be asked.</t>
  </si>
  <si>
    <t>•  Ask because different limited losses develop differently, so we might segment into different groups based on limit.</t>
  </si>
  <si>
    <t>to segment the claims portfolio into appropriate classes for estimating unpaid claims</t>
  </si>
  <si>
    <t>2.  What are the different limits that are written?</t>
  </si>
  <si>
    <t>Identify three questions an actuary could ask company management to help determine how</t>
  </si>
  <si>
    <t>locations.</t>
  </si>
  <si>
    <t>•  Ask because CAT and non-CAT losses develop differently and should be split out if there is significant CAT exposure.</t>
  </si>
  <si>
    <t>An insurer writes Personal Automobile and Homeowners insurance in multiple geographic</t>
  </si>
  <si>
    <t>1. Do we write in locations prone to catastrophes?</t>
  </si>
  <si>
    <t>Q #7</t>
  </si>
  <si>
    <t>Spring 2015</t>
  </si>
  <si>
    <t>Assuming independence, calculate the independent risk CoV for the overall portfolio.</t>
  </si>
  <si>
    <t>correlation.</t>
  </si>
  <si>
    <t xml:space="preserve">Independent Risk CoV = </t>
  </si>
  <si>
    <t>of the above lines of business. Name the two lines and provide a brief reason for the low</t>
  </si>
  <si>
    <t>Identify a source of external systemic risk with a relatively low correlation between two</t>
  </si>
  <si>
    <t>of the above lines of business. Name the two lines and provide a brief reason for the high</t>
  </si>
  <si>
    <t>Identify a source of external systemic risk with a relatively high correlation between two</t>
  </si>
  <si>
    <t>Latent claim risk would have low correlation between personal auto and commercial umbrella because personal auto is short-tailed and commercial umbrella has a much longer tail with different risks. Latent claims are unlikely to hit both.</t>
  </si>
  <si>
    <t>to a higher CoV selection for umbrella than for the other two lines of business.</t>
  </si>
  <si>
    <t>Describe two sources of internal systemic risk. Briefly explain why each one might lead</t>
  </si>
  <si>
    <t>Catastrophe risk would affect both personal and commercial auto because a catastrophe would impact personal and commercial auto policies in an entire area.</t>
  </si>
  <si>
    <t>•  The insurer used a balanced scorecard approach for internal systemic risk.</t>
  </si>
  <si>
    <t>•  The insurer will only write umbrella over its own commercial auto policies.</t>
  </si>
  <si>
    <t xml:space="preserve">Commercial Umbrella </t>
  </si>
  <si>
    <t xml:space="preserve">Commercial Auto </t>
  </si>
  <si>
    <t xml:space="preserve">Personal Auto </t>
  </si>
  <si>
    <t xml:space="preserve">Line of Business </t>
  </si>
  <si>
    <t>Independent Risk CoV</t>
  </si>
  <si>
    <t>External 
Systemic Risk CoV</t>
  </si>
  <si>
    <t>Internal 
Systemic Risk CoV</t>
  </si>
  <si>
    <t>Claim 
Liability Distribution</t>
  </si>
  <si>
    <t>of variation (CoV) for claim liabilities for the purpose of determining a risk margin.</t>
  </si>
  <si>
    <r>
      <rPr>
        <b/>
        <sz val="12"/>
        <color theme="1"/>
        <rFont val="Calibri"/>
        <family val="2"/>
      </rPr>
      <t>Specification Error</t>
    </r>
    <r>
      <rPr>
        <sz val="12"/>
        <color theme="1"/>
        <rFont val="Calibri"/>
        <family val="2"/>
      </rPr>
      <t xml:space="preserve"> – The risk that the model isn’t fully representative of the underlying insurance process, which is too complex. Umbrella claims are more complex and less homogenous than Auto making it harder to model appropriately and resulting in a higher CoV.
</t>
    </r>
    <r>
      <rPr>
        <b/>
        <sz val="12"/>
        <color theme="1"/>
        <rFont val="Calibri"/>
        <family val="2"/>
      </rPr>
      <t xml:space="preserve">Parameter Selection Error </t>
    </r>
    <r>
      <rPr>
        <sz val="12"/>
        <color theme="1"/>
        <rFont val="Calibri"/>
        <family val="2"/>
      </rPr>
      <t>– The risk that the model is unable to adequately measure all predictors of claim cost outcomes or trends in predictors. Umbrella has less data and more complexity, making it hard to select appropriate parameters for the model, resulting in a higher CoV.</t>
    </r>
  </si>
  <si>
    <t>An insurer writes the following lines of business and has derived the associated coefficients</t>
  </si>
  <si>
    <r>
      <t xml:space="preserve">You should be familiar with the guidelines for internal benchmarking to answer a question like this. Below is a summary of the internal benchmarking guidelines:
</t>
    </r>
    <r>
      <rPr>
        <b/>
        <sz val="12"/>
        <color theme="1"/>
        <rFont val="Calibri (Body)"/>
      </rPr>
      <t>Independent Risk</t>
    </r>
    <r>
      <rPr>
        <sz val="12"/>
        <color theme="1"/>
        <rFont val="Calibri"/>
        <family val="2"/>
        <scheme val="minor"/>
      </rPr>
      <t xml:space="preserve">
•  OCL CoV: Short-Tail &lt;  Long-Tail &lt;  Small Long-Tail
•  PL CoV(Long-Tail) &gt;  OCL CoV(Long-Tail) 
    o Because the size of the outstanding claim liability will be much larger than the premium liability
•  PL CoV(Short-Tail) &lt;  OCL CoV(Short-Tail) 
    o Except where there’s substantial event risk
</t>
    </r>
    <r>
      <rPr>
        <b/>
        <sz val="12"/>
        <color theme="1"/>
        <rFont val="Calibri (Body)"/>
      </rPr>
      <t>Internal Systemic Risk</t>
    </r>
    <r>
      <rPr>
        <sz val="12"/>
        <color theme="1"/>
        <rFont val="Calibri"/>
        <family val="2"/>
        <scheme val="minor"/>
      </rPr>
      <t xml:space="preserve">
If similar reserving methodologies are used:
CoV(Long-Tail) &gt;  CoV(Short-Tail)
</t>
    </r>
    <r>
      <rPr>
        <b/>
        <sz val="12"/>
        <color theme="1"/>
        <rFont val="Calibri (Body)"/>
      </rPr>
      <t>External Systemic Risk</t>
    </r>
    <r>
      <rPr>
        <u/>
        <sz val="12"/>
        <color theme="1"/>
        <rFont val="Calibri"/>
        <family val="2"/>
        <scheme val="minor"/>
      </rPr>
      <t xml:space="preserve">
</t>
    </r>
    <r>
      <rPr>
        <sz val="12"/>
        <color theme="1"/>
        <rFont val="Calibri"/>
        <family val="2"/>
        <scheme val="minor"/>
      </rPr>
      <t>In general:
CoV(Long-Tail) &gt;  CoV(Short-Tail)
Exceptions: 
•  Event Risk for Property/Auto 
• Liability Risk for Home</t>
    </r>
  </si>
  <si>
    <t>benchmarking independent risk.</t>
  </si>
  <si>
    <t>Select a value for y and explain why it is reasonable within the scope of internally</t>
  </si>
  <si>
    <t>Select a value for x and explain why it is reasonable within the scope of internally</t>
  </si>
  <si>
    <r>
      <t xml:space="preserve">Premium liability CoV for long-tail portfolios should be larger than the outstanding claims CoV, so y should be greater than 5.5%. 
Portfolio A is smaller than Portfolio B with the same runoff length, so the Premium Liability CoV for A should be greater than B (y greater than 7%)
</t>
    </r>
    <r>
      <rPr>
        <b/>
        <sz val="12"/>
        <color rgb="FF000000"/>
        <rFont val="Calibri"/>
        <family val="2"/>
        <scheme val="minor"/>
      </rPr>
      <t>Select y = 7.5%</t>
    </r>
  </si>
  <si>
    <t>•  Event risk is not material.</t>
  </si>
  <si>
    <t>C</t>
  </si>
  <si>
    <t>x</t>
  </si>
  <si>
    <t>B</t>
  </si>
  <si>
    <t>y</t>
  </si>
  <si>
    <t>A</t>
  </si>
  <si>
    <t>Liability</t>
  </si>
  <si>
    <t>(in years)</t>
  </si>
  <si>
    <t>($000,000)</t>
  </si>
  <si>
    <t>Portfolio</t>
  </si>
  <si>
    <t>Premium</t>
  </si>
  <si>
    <t>Claim</t>
  </si>
  <si>
    <t>Claim Run Off</t>
  </si>
  <si>
    <t>Size</t>
  </si>
  <si>
    <t>Outstanding</t>
  </si>
  <si>
    <t>Length of</t>
  </si>
  <si>
    <t>Variation (CoV)</t>
  </si>
  <si>
    <t>Selected Coefficients of</t>
  </si>
  <si>
    <r>
      <t xml:space="preserve">Portfolio B has the same runoff length as Portfolio A, but the size of the portfolio is significantly larger. Larger portfolios will have lower volatility from random effects, so a lower CoV should be selected. 
Also, portfolio B should have a larger CoV than Portfolio C because it has a longer tail, but similar size.
</t>
    </r>
    <r>
      <rPr>
        <b/>
        <sz val="12"/>
        <color rgb="FF000000"/>
        <rFont val="Calibri"/>
        <family val="2"/>
        <scheme val="minor"/>
      </rPr>
      <t>Select x = 5%</t>
    </r>
  </si>
  <si>
    <t>Given the following portfolio characteristics and selected coefficients of variation (CoV):</t>
  </si>
  <si>
    <t>Q #9</t>
  </si>
  <si>
    <t>The choice of classes must ensure that classes grouped together are homogeneous and in line with central estimate valuation.  To reduce risk (of selection in parameters, etc.), they must have similar characteristics (ex. development pattern) and must be sufficiently large datasets to ensure reasonable credibility</t>
  </si>
  <si>
    <t>Data error - the error that arises due to the lack of credible data or lack of knowledge about the data</t>
  </si>
  <si>
    <t>Specification error - the error that arises because the model cannot perfectly model the insurance process</t>
  </si>
  <si>
    <t>systemic risk.</t>
  </si>
  <si>
    <t>Economic and social risks - the uncertainty associated with inflation, social trends, etc.</t>
  </si>
  <si>
    <t>Describe how the choice of valuation classes within a claims portfolio can affect internal</t>
  </si>
  <si>
    <t>Event risk - risk from catastrophes (either natural or man-made)</t>
  </si>
  <si>
    <t>Identify and briefly describe two types of internal systemic risk.</t>
  </si>
  <si>
    <t>Identify and briefly describe two types of external systemic risk.</t>
  </si>
  <si>
    <t>External systemic risk - risks external to the insurance liability valuation/modeling process</t>
  </si>
  <si>
    <t>Define external systemic risk and internal systemic risk.</t>
  </si>
  <si>
    <t>Internal systemic risk - risks internal to the insurance liability valuation/modeling process</t>
  </si>
  <si>
    <t>Q #10</t>
  </si>
  <si>
    <t>Spring 2016</t>
  </si>
  <si>
    <t>Internal systemic risk CoV =</t>
  </si>
  <si>
    <t>Calculate the risk margin in dollars for a required probability of adequacy of 80%.</t>
  </si>
  <si>
    <t>Internal Systemic Risk Correlation Matrix and total CoV calculation:</t>
  </si>
  <si>
    <t>Calculate the total internal systemic risk coefficient of variation.</t>
  </si>
  <si>
    <t>Below is a breakout of the work for part d:</t>
  </si>
  <si>
    <t>using the potential risk indicator assignments from part b. above.</t>
  </si>
  <si>
    <t>Calculate the home and auto weighted average balanced scorecard assessment scores,</t>
  </si>
  <si>
    <t>Assign each potential risk indicator to the appropriate risk component.</t>
  </si>
  <si>
    <t>&lt;-CoV * z * Liability Amount</t>
  </si>
  <si>
    <t>Risk Margin ($M)</t>
  </si>
  <si>
    <t>Total CoV</t>
  </si>
  <si>
    <t>•  Extent, timeliness, consistency and reliability of information from business</t>
  </si>
  <si>
    <t>Describe a scenario that could justify a score of 1 for the following potential risk indicator:</t>
  </si>
  <si>
    <t xml:space="preserve">•  The 80th percentile of the Standard Normal distribution is </t>
  </si>
  <si>
    <t>•  The underlying distribution of insurance liabilities is Normal.</t>
  </si>
  <si>
    <t xml:space="preserve">•  Total external systemic risk coefficient of variation is </t>
  </si>
  <si>
    <t xml:space="preserve">•  Total independent risk coefficient of variation is </t>
  </si>
  <si>
    <t>•  Internal systemic risk has a correlation coefficient between valuation classes of:</t>
  </si>
  <si>
    <t>4.0 to 5.0</t>
  </si>
  <si>
    <t>Map the scores to CoVs and calculate the total internal systemic risk CoV:</t>
  </si>
  <si>
    <t>3.0 to 4.0</t>
  </si>
  <si>
    <t>2.0 to 3.0</t>
  </si>
  <si>
    <t>1.0 to 2.0</t>
  </si>
  <si>
    <t>of Variation</t>
  </si>
  <si>
    <t>Assessment</t>
  </si>
  <si>
    <t>Auto Score =</t>
  </si>
  <si>
    <t xml:space="preserve"> Coefficient</t>
  </si>
  <si>
    <t>Coefficient</t>
  </si>
  <si>
    <t xml:space="preserve"> Scorecard</t>
  </si>
  <si>
    <t>Home Score =</t>
  </si>
  <si>
    <t xml:space="preserve">Home  </t>
  </si>
  <si>
    <t>Balanced</t>
  </si>
  <si>
    <t xml:space="preserve">Score from  </t>
  </si>
  <si>
    <t>Calculate the scores by multiplying the weight by score for each risk indicator and divide by weights:</t>
  </si>
  <si>
    <t>f. Range of results produced by models</t>
  </si>
  <si>
    <t>f</t>
  </si>
  <si>
    <t xml:space="preserve">    are used</t>
  </si>
  <si>
    <t>e</t>
  </si>
  <si>
    <t>e. Best predictors have been identified, whether or not they</t>
  </si>
  <si>
    <t>d</t>
  </si>
  <si>
    <t xml:space="preserve">    information from business</t>
  </si>
  <si>
    <t>c</t>
  </si>
  <si>
    <t xml:space="preserve">d. Extent, timeliness, consistency and reliability of </t>
  </si>
  <si>
    <t>b</t>
  </si>
  <si>
    <t>c. Number of independent models used</t>
  </si>
  <si>
    <t>a</t>
  </si>
  <si>
    <t>b. Knowledge of past processes affecting predictors</t>
  </si>
  <si>
    <t>Risk Indicator</t>
  </si>
  <si>
    <t xml:space="preserve">    process changes</t>
  </si>
  <si>
    <t>Scorecard Weights</t>
  </si>
  <si>
    <t>Scorecard Scores</t>
  </si>
  <si>
    <t>a. Best predictors are stable over time or change due to</t>
  </si>
  <si>
    <t>Auto Score</t>
  </si>
  <si>
    <t>Home Score</t>
  </si>
  <si>
    <t>Potential Risk Indicators (Worst = 1, Best = 5)</t>
  </si>
  <si>
    <t>f - specification error</t>
  </si>
  <si>
    <t>e - parameter selection error</t>
  </si>
  <si>
    <t>d - data error</t>
  </si>
  <si>
    <t>Risk Component</t>
  </si>
  <si>
    <t>c - specification error</t>
  </si>
  <si>
    <t xml:space="preserve">Home </t>
  </si>
  <si>
    <t>b - data error</t>
  </si>
  <si>
    <t>a - parameter selection error</t>
  </si>
  <si>
    <t>• Internal systemic risk was analyzed using the following balanced scorecard assessment:</t>
  </si>
  <si>
    <t>• Outstanding claims liabilities: $45 million for home and $5 million for auto.</t>
  </si>
  <si>
    <t>• Two valuation classes, home and auto, are in runoff.</t>
  </si>
  <si>
    <t>Data is provided on an extreme lag. In addition, it is sometime unavailable and audits regularly find incorrect and/or missing data with no explanation from the data provider</t>
  </si>
  <si>
    <t>Spring 2017</t>
  </si>
  <si>
    <t>Higher scores within the balanced scorecard framework (which indicates less risk) are mapped to lower coefficients of variation</t>
  </si>
  <si>
    <t>Data error - the actuary is not familiar with past processes and has not met with claims staff</t>
  </si>
  <si>
    <t>Parameter selection error - the chosen predictors differ from those used in past analyses</t>
  </si>
  <si>
    <t>have a lower Coefficient of Variation (CoV) than those identified in part c. above.</t>
  </si>
  <si>
    <t>Briefly describe why a portfolio with the risk indicators identified in part b. above would</t>
  </si>
  <si>
    <t>0.25 point</t>
  </si>
  <si>
    <t>Specification error - the actuary models all lines of business together</t>
  </si>
  <si>
    <t>for each of the three sources of risks identified in part a. above.</t>
  </si>
  <si>
    <t>Identify a reason why this company would score low in a balanced scorecard approach</t>
  </si>
  <si>
    <t>Data error - the data was reconciled against the ledger and prior data analysis</t>
  </si>
  <si>
    <t>Identify a reason why this company would score high in a balanced scorecard approach</t>
  </si>
  <si>
    <t>Parameter selection error - the chosen predictors have high correlation with claims experience</t>
  </si>
  <si>
    <t>Briefly describe three main sources of internal systemic risk according to Marshall.</t>
  </si>
  <si>
    <t>Specification error - the model was checked for reasonableness by performing diagnostic tests</t>
  </si>
  <si>
    <t>•  The actuary models claims from all lines together.</t>
  </si>
  <si>
    <t>•  The actuary is not yet familiar with past processes and has not yet met with claims staff.</t>
  </si>
  <si>
    <t>•  Data has been reconciled against the general ledger and the prior analysis.</t>
  </si>
  <si>
    <t xml:space="preserve">    outcomes.</t>
  </si>
  <si>
    <t>Data error - error that arises due to lack of credible data or lack of understanding or knowledge about the book of business</t>
  </si>
  <si>
    <t>•  The model was checked for reasonableness by performing diagnostic tests on valuation</t>
  </si>
  <si>
    <t xml:space="preserve">    high correlation with claims experience.</t>
  </si>
  <si>
    <t>•  The chosen predictors are different than those selected in a previous model, but have a</t>
  </si>
  <si>
    <t>Parameter selection error - errors that arises because the model is unable to adequately measure all predictors of future claim costs or trends in these predictors</t>
  </si>
  <si>
    <t>•  The model uses both internal and external variables.</t>
  </si>
  <si>
    <t>General Liability. A new actuary is hired to build a reserving model.</t>
  </si>
  <si>
    <t>Specification error - error that arises because the model is unable to perfectly model the insurance process</t>
  </si>
  <si>
    <t>An insurance company specializes in coverage for Workers Compensation, Commercial Auto and</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</si>
  <si>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</si>
  <si>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</si>
  <si>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A higher correlation would increase the internal systemic risk CoV, which would increase the overall risk margin.</t>
  </si>
  <si>
    <t>• Assume that each source of independent risk is uncorrelated with any other source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</si>
</sst>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3" formatCode="_(* #,##0.00_);_(* \(#,##0.00\);_(* &quot;-&quot;??_);_(@_)"/>
    <numFmt numFmtId="164" formatCode="0.000"/>
    <numFmt numFmtId="165" formatCode="0.0"/>
    <numFmt numFmtId="166" formatCode="0.0000%"/>
    <numFmt numFmtId="167" formatCode="0.0000000"/>
    <numFmt numFmtId="168" formatCode="0.00000"/>
    <numFmt numFmtId="169" formatCode="_(* #,##0_);_(* \(#,##0\);_(* &quot;-&quot;??_);_(@_)"/>
    <numFmt numFmtId="170" formatCode="0.0%"/>
    <numFmt numFmtId="171" formatCode="#,##0.0000"/>
    <numFmt numFmtId="172" formatCode="0.0000"/>
    <numFmt numFmtId="173" formatCode="[$$-409]#,##0"/>
    <numFmt numFmtId="174" formatCode="_(* #,##0.000_);_(* \(#,##0.000\);_(* &quot;-&quot;??_);_(@_)"/>
  </numFmts>
  <fonts count="36"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theme="1"/>
      <name val="Calibri"/>
      <family val="2"/>
    </font>
    <font>
      <sz val="8"/>
      <name val="Calibri"/>
      <family val="2"/>
      <scheme val="minor"/>
    </font>
    <font>
      <b/>
      <sz val="12"/>
      <name val="Calibri"/>
      <family val="2"/>
    </font>
    <font>
      <sz val="12"/>
      <name val="Calibri"/>
      <family val="2"/>
    </font>
    <font>
      <sz val="12"/>
      <color rgb="FFFF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u/>
      <sz val="12"/>
      <color theme="1"/>
      <name val="Calibri (Body)"/>
    </font>
    <font>
      <b/>
      <sz val="14"/>
      <color theme="1"/>
      <name val="Calibri"/>
      <family val="2"/>
      <scheme val="minor"/>
    </font>
    <font>
      <b/>
      <sz val="12"/>
      <color theme="1"/>
      <name val="Calibri"/>
      <family val="2"/>
      <scheme val="minor"/>
    </font>
    <font>
      <u/>
      <sz val="12"/>
      <color theme="1"/>
      <name val="Calibri"/>
      <family val="2"/>
      <scheme val="minor"/>
    </font>
    <font>
      <sz val="12"/>
      <color rgb="FF000000"/>
      <name val="Calibri"/>
      <family val="2"/>
      <scheme val="minor"/>
    </font>
    <font>
      <b/>
      <sz val="12"/>
      <color rgb="FF000000"/>
      <name val="Calibri"/>
      <family val="2"/>
      <scheme val="minor"/>
    </font>
    <font>
      <vertAlign val="subscript"/>
      <sz val="12"/>
      <color theme="1"/>
      <name val="Calibri"/>
      <family val="2"/>
      <scheme val="minor"/>
    </font>
    <font>
      <u/>
      <sz val="12"/>
      <color theme="1"/>
      <name val="Calibri (Body)"/>
    </font>
    <font>
      <vertAlign val="superscript"/>
      <sz val="12"/>
      <color theme="1"/>
      <name val="Calibri"/>
      <family val="2"/>
      <scheme val="minor"/>
    </font>
    <font>
      <sz val="11"/>
      <color rgb="FF000000"/>
      <name val="Calibri"/>
      <family val="2"/>
    </font>
    <font>
      <b/>
      <sz val="11"/>
      <color rgb="FF000000"/>
      <name val="Calibri"/>
      <family val="2"/>
    </font>
    <font>
      <b/>
      <sz val="12"/>
      <color rgb="FF000000"/>
      <name val="Calibri"/>
      <family val="2"/>
    </font>
    <font>
      <b/>
      <sz val="12"/>
      <color theme="1"/>
      <name val="Calibri (Body)"/>
    </font>
    <font>
      <sz val="11"/>
      <color rgb="FF000000"/>
      <name val="Symbol"/>
      <family val="1"/>
      <charset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30">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7">
    <xf numFmtId="0" fontId="0" fillId="0" borderId="0"/>
    <xf numFmtId="43" fontId="7" fillId="0" borderId="0" applyFont="0" applyFill="0" applyBorder="0" applyAlignment="0" applyProtection="0"/>
    <xf numFmtId="0" fontId="18" fillId="0" borderId="0"/>
    <xf numFmtId="0" fontId="3" fillId="0" borderId="0"/>
    <xf numFmtId="0" fontId="19" fillId="0" borderId="0" applyNumberFormat="0" applyFill="0" applyBorder="0" applyAlignment="0" applyProtection="0"/>
    <xf numFmtId="9" fontId="7" fillId="0" borderId="0" applyFont="0" applyFill="0" applyBorder="0" applyAlignment="0" applyProtection="0"/>
    <xf numFmtId="9" fontId="7" fillId="0" borderId="0" applyFont="0" applyFill="0" applyBorder="0" applyAlignment="0" applyProtection="0"/>
  </cellStyleXfs>
  <cellXfs count="378">
    <xf numFmtId="0" fontId="0" fillId="0" borderId="0" xfId="0"/>
    <xf numFmtId="0" fontId="8" fillId="2" borderId="1" xfId="0" applyFont="1" applyFill="1" applyBorder="1"/>
    <xf numFmtId="0" fontId="8" fillId="0" borderId="0" xfId="0" applyFont="1"/>
    <xf numFmtId="0" fontId="9" fillId="0" borderId="0" xfId="0" applyFont="1"/>
    <xf numFmtId="0" fontId="10" fillId="0" borderId="0" xfId="0" applyFont="1"/>
    <xf numFmtId="3" fontId="12" fillId="2" borderId="0" xfId="0" applyNumberFormat="1" applyFont="1" applyFill="1" applyAlignment="1">
      <alignment horizontal="center" vertical="center" wrapText="1"/>
    </xf>
    <xf numFmtId="9"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10" fontId="12" fillId="2" borderId="0" xfId="0" applyNumberFormat="1" applyFont="1" applyFill="1" applyAlignment="1">
      <alignment horizontal="center" vertical="center" wrapText="1"/>
    </xf>
    <xf numFmtId="0" fontId="12" fillId="2" borderId="3" xfId="0" applyFont="1" applyFill="1" applyBorder="1" applyAlignment="1">
      <alignment horizontal="center" vertical="center" wrapText="1"/>
    </xf>
    <xf numFmtId="0" fontId="13" fillId="2" borderId="12" xfId="0" applyFont="1" applyFill="1" applyBorder="1" applyAlignment="1">
      <alignment horizontal="center" vertical="center"/>
    </xf>
    <xf numFmtId="0" fontId="15" fillId="0" borderId="0" xfId="0" applyFont="1" applyAlignment="1">
      <alignment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9" fontId="16" fillId="0" borderId="0" xfId="0" applyNumberFormat="1" applyFont="1" applyAlignment="1">
      <alignment horizontal="center" vertical="center"/>
    </xf>
    <xf numFmtId="9" fontId="16" fillId="0" borderId="0" xfId="0" applyNumberFormat="1" applyFont="1" applyAlignment="1">
      <alignment vertical="center"/>
    </xf>
    <xf numFmtId="0" fontId="16" fillId="0" borderId="0" xfId="0" applyFont="1" applyAlignment="1">
      <alignment vertical="center"/>
    </xf>
    <xf numFmtId="0" fontId="16" fillId="0" borderId="0" xfId="0" applyFont="1" applyAlignment="1">
      <alignment horizontal="center" vertical="center"/>
    </xf>
    <xf numFmtId="10" fontId="15" fillId="0" borderId="0" xfId="0" applyNumberFormat="1" applyFont="1" applyAlignment="1">
      <alignment vertical="center"/>
    </xf>
    <xf numFmtId="0" fontId="16" fillId="0" borderId="6" xfId="0" applyFont="1" applyBorder="1" applyAlignment="1">
      <alignment vertical="center"/>
    </xf>
    <xf numFmtId="0" fontId="16" fillId="0" borderId="7" xfId="0" applyFont="1" applyBorder="1" applyAlignment="1">
      <alignment vertical="center"/>
    </xf>
    <xf numFmtId="0" fontId="16" fillId="0" borderId="8" xfId="0" applyFont="1" applyBorder="1" applyAlignment="1">
      <alignment vertical="center"/>
    </xf>
    <xf numFmtId="9" fontId="15" fillId="0" borderId="0" xfId="0" applyNumberFormat="1" applyFont="1" applyAlignment="1">
      <alignment vertical="center"/>
    </xf>
    <xf numFmtId="0" fontId="11" fillId="2" borderId="0" xfId="0" applyFont="1" applyFill="1" applyAlignment="1">
      <alignment vertical="center"/>
    </xf>
    <xf numFmtId="166" fontId="16" fillId="0" borderId="0" xfId="0" applyNumberFormat="1" applyFont="1" applyAlignment="1">
      <alignment vertical="center"/>
    </xf>
    <xf numFmtId="0" fontId="10" fillId="0" borderId="0" xfId="0" applyFont="1" applyAlignment="1">
      <alignment vertical="center"/>
    </xf>
    <xf numFmtId="0" fontId="15" fillId="0" borderId="9" xfId="0" applyFont="1" applyBorder="1" applyAlignment="1">
      <alignment vertical="center"/>
    </xf>
    <xf numFmtId="0" fontId="15" fillId="0" borderId="10" xfId="0" applyFont="1" applyBorder="1" applyAlignment="1">
      <alignment vertical="center"/>
    </xf>
    <xf numFmtId="10" fontId="15" fillId="0" borderId="11" xfId="0" applyNumberFormat="1" applyFont="1" applyBorder="1" applyAlignment="1">
      <alignment vertical="center"/>
    </xf>
    <xf numFmtId="164" fontId="16"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vertical="center"/>
    </xf>
    <xf numFmtId="0" fontId="13" fillId="2" borderId="0" xfId="0" applyFont="1" applyFill="1" applyAlignment="1">
      <alignment vertical="center"/>
    </xf>
    <xf numFmtId="0" fontId="13" fillId="0" borderId="0" xfId="0" applyFont="1" applyAlignment="1">
      <alignment vertical="center"/>
    </xf>
    <xf numFmtId="10" fontId="16" fillId="0" borderId="0" xfId="0" applyNumberFormat="1" applyFont="1" applyAlignment="1">
      <alignment vertical="center"/>
    </xf>
    <xf numFmtId="0" fontId="13" fillId="0" borderId="0" xfId="0" applyFont="1"/>
    <xf numFmtId="9" fontId="12" fillId="2" borderId="3" xfId="0" applyNumberFormat="1" applyFont="1" applyFill="1" applyBorder="1" applyAlignment="1">
      <alignment horizontal="center" vertical="center" wrapText="1"/>
    </xf>
    <xf numFmtId="10" fontId="12" fillId="2" borderId="3" xfId="0" applyNumberFormat="1" applyFont="1" applyFill="1" applyBorder="1" applyAlignment="1">
      <alignment horizontal="center" vertical="center" wrapText="1"/>
    </xf>
    <xf numFmtId="9" fontId="12" fillId="2" borderId="4" xfId="0" applyNumberFormat="1" applyFont="1" applyFill="1" applyBorder="1" applyAlignment="1">
      <alignment horizontal="center" vertical="center" wrapText="1"/>
    </xf>
    <xf numFmtId="9" fontId="12" fillId="2" borderId="5" xfId="0" applyNumberFormat="1" applyFont="1" applyFill="1" applyBorder="1" applyAlignment="1">
      <alignment horizontal="center" vertical="center" wrapText="1"/>
    </xf>
    <xf numFmtId="10" fontId="12" fillId="2" borderId="4" xfId="0" applyNumberFormat="1" applyFont="1" applyFill="1" applyBorder="1" applyAlignment="1">
      <alignment horizontal="center" vertical="center" wrapText="1"/>
    </xf>
    <xf numFmtId="0" fontId="12" fillId="2" borderId="4" xfId="0" quotePrefix="1" applyFont="1" applyFill="1" applyBorder="1" applyAlignment="1">
      <alignment horizontal="center" vertical="center" wrapText="1"/>
    </xf>
    <xf numFmtId="9" fontId="13" fillId="3" borderId="0" xfId="0" applyNumberFormat="1" applyFont="1" applyFill="1" applyAlignment="1">
      <alignment horizontal="center" vertical="center"/>
    </xf>
    <xf numFmtId="0" fontId="6" fillId="2" borderId="12" xfId="0" applyFont="1" applyFill="1" applyBorder="1" applyAlignment="1">
      <alignment horizontal="center" vertical="center"/>
    </xf>
    <xf numFmtId="0" fontId="6" fillId="2" borderId="0" xfId="0" applyFont="1" applyFill="1" applyAlignment="1">
      <alignment vertical="center"/>
    </xf>
    <xf numFmtId="0" fontId="6" fillId="2" borderId="2" xfId="0" applyFont="1" applyFill="1" applyBorder="1" applyAlignment="1">
      <alignment vertical="center"/>
    </xf>
    <xf numFmtId="0" fontId="6" fillId="0" borderId="0" xfId="0" applyFont="1" applyAlignment="1">
      <alignment vertical="center"/>
    </xf>
    <xf numFmtId="2" fontId="6" fillId="2" borderId="1" xfId="0" applyNumberFormat="1" applyFont="1" applyFill="1" applyBorder="1" applyAlignment="1">
      <alignment horizontal="left" vertical="center"/>
    </xf>
    <xf numFmtId="167" fontId="6" fillId="0" borderId="0" xfId="0" applyNumberFormat="1" applyFont="1" applyAlignment="1">
      <alignment vertical="center"/>
    </xf>
    <xf numFmtId="10" fontId="6" fillId="2" borderId="0" xfId="0" applyNumberFormat="1" applyFont="1" applyFill="1" applyAlignment="1">
      <alignment vertical="center"/>
    </xf>
    <xf numFmtId="0" fontId="6" fillId="0" borderId="0" xfId="0" applyFont="1" applyAlignment="1">
      <alignment vertical="center" wrapText="1"/>
    </xf>
    <xf numFmtId="164" fontId="6" fillId="0" borderId="0" xfId="0" applyNumberFormat="1" applyFont="1" applyAlignment="1">
      <alignment vertical="center"/>
    </xf>
    <xf numFmtId="0" fontId="6" fillId="2" borderId="0" xfId="0" applyFont="1" applyFill="1"/>
    <xf numFmtId="0" fontId="6" fillId="2" borderId="2" xfId="0" applyFont="1" applyFill="1" applyBorder="1"/>
    <xf numFmtId="0" fontId="6" fillId="0" borderId="0" xfId="0" applyFont="1"/>
    <xf numFmtId="2" fontId="6" fillId="2" borderId="1" xfId="0" applyNumberFormat="1" applyFont="1" applyFill="1" applyBorder="1" applyAlignment="1">
      <alignment horizontal="left"/>
    </xf>
    <xf numFmtId="0" fontId="6" fillId="0" borderId="0" xfId="0" applyFont="1" applyAlignment="1">
      <alignment wrapText="1"/>
    </xf>
    <xf numFmtId="49" fontId="6" fillId="2" borderId="4" xfId="0" applyNumberFormat="1" applyFont="1" applyFill="1" applyBorder="1" applyAlignment="1">
      <alignment horizontal="center"/>
    </xf>
    <xf numFmtId="164" fontId="6" fillId="0" borderId="0" xfId="0" applyNumberFormat="1" applyFont="1"/>
    <xf numFmtId="9" fontId="6" fillId="2" borderId="0" xfId="0" applyNumberFormat="1" applyFont="1" applyFill="1" applyAlignment="1">
      <alignment horizontal="left" vertical="center"/>
    </xf>
    <xf numFmtId="2" fontId="6" fillId="2" borderId="0" xfId="0" applyNumberFormat="1" applyFont="1" applyFill="1" applyAlignment="1">
      <alignment horizontal="left" vertical="center"/>
    </xf>
    <xf numFmtId="0" fontId="6" fillId="2" borderId="0" xfId="0" applyFont="1" applyFill="1" applyAlignment="1">
      <alignment horizontal="left" vertical="center"/>
    </xf>
    <xf numFmtId="168" fontId="6" fillId="0" borderId="0" xfId="0" applyNumberFormat="1" applyFont="1" applyAlignment="1">
      <alignment vertical="center"/>
    </xf>
    <xf numFmtId="169" fontId="6" fillId="0" borderId="0" xfId="1" applyNumberFormat="1" applyFont="1" applyBorder="1" applyAlignment="1">
      <alignment vertical="center"/>
    </xf>
    <xf numFmtId="0" fontId="6" fillId="2" borderId="0" xfId="0" applyFont="1" applyFill="1" applyAlignment="1">
      <alignment horizontal="right"/>
    </xf>
    <xf numFmtId="165" fontId="6" fillId="0" borderId="0" xfId="0" applyNumberFormat="1" applyFont="1" applyAlignment="1">
      <alignment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lignment vertical="center"/>
    </xf>
    <xf numFmtId="0" fontId="6" fillId="2" borderId="5" xfId="0" applyFont="1" applyFill="1" applyBorder="1" applyAlignment="1">
      <alignment vertical="center"/>
    </xf>
    <xf numFmtId="0" fontId="6"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0" xfId="0" applyFont="1" applyFill="1" applyAlignment="1">
      <alignment vertical="center" wrapText="1"/>
    </xf>
    <xf numFmtId="0" fontId="6" fillId="0" borderId="4" xfId="0" applyFont="1" applyBorder="1" applyAlignment="1">
      <alignment horizontal="center" vertical="center"/>
    </xf>
    <xf numFmtId="9" fontId="6" fillId="0" borderId="0" xfId="0" applyNumberFormat="1" applyFont="1" applyAlignment="1">
      <alignment horizontal="center" vertical="center"/>
    </xf>
    <xf numFmtId="0" fontId="6" fillId="2" borderId="4" xfId="0" applyFont="1" applyFill="1" applyBorder="1" applyAlignment="1">
      <alignment vertical="center"/>
    </xf>
    <xf numFmtId="0" fontId="6" fillId="2" borderId="0" xfId="0" applyFont="1" applyFill="1" applyAlignment="1">
      <alignment horizontal="center" vertical="center"/>
    </xf>
    <xf numFmtId="0" fontId="6" fillId="2" borderId="4" xfId="0" applyFont="1" applyFill="1" applyBorder="1" applyAlignment="1">
      <alignment horizontal="center" vertical="center"/>
    </xf>
    <xf numFmtId="49" fontId="6" fillId="2" borderId="4" xfId="0" applyNumberFormat="1" applyFont="1" applyFill="1" applyBorder="1" applyAlignment="1">
      <alignment horizontal="center" vertical="center"/>
    </xf>
    <xf numFmtId="9" fontId="6" fillId="2" borderId="0" xfId="0" applyNumberFormat="1" applyFont="1" applyFill="1" applyAlignment="1">
      <alignment horizontal="center" vertical="center"/>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49" fontId="6" fillId="0" borderId="4" xfId="0" applyNumberFormat="1" applyFont="1" applyBorder="1" applyAlignment="1">
      <alignment horizontal="center" vertical="center"/>
    </xf>
    <xf numFmtId="0" fontId="5" fillId="0" borderId="0" xfId="0" applyFont="1" applyAlignment="1">
      <alignment vertical="center"/>
    </xf>
    <xf numFmtId="164" fontId="5" fillId="0" borderId="0" xfId="0" applyNumberFormat="1" applyFont="1" applyAlignment="1">
      <alignment vertical="center"/>
    </xf>
    <xf numFmtId="0" fontId="5" fillId="0" borderId="0" xfId="0" applyFont="1"/>
    <xf numFmtId="164" fontId="5" fillId="0" borderId="0" xfId="0" applyNumberFormat="1" applyFont="1"/>
    <xf numFmtId="0" fontId="5" fillId="0" borderId="0" xfId="0" applyFont="1" applyAlignment="1">
      <alignment vertical="center" wrapText="1"/>
    </xf>
    <xf numFmtId="6" fontId="4" fillId="0" borderId="0" xfId="0" quotePrefix="1" applyNumberFormat="1" applyFont="1" applyAlignment="1">
      <alignment vertical="center"/>
    </xf>
    <xf numFmtId="0" fontId="4" fillId="0" borderId="0" xfId="0" applyFont="1" applyAlignment="1">
      <alignment vertical="center"/>
    </xf>
    <xf numFmtId="169" fontId="4" fillId="0" borderId="11" xfId="1" applyNumberFormat="1" applyFont="1" applyBorder="1" applyAlignment="1">
      <alignment vertical="center"/>
    </xf>
    <xf numFmtId="0" fontId="4" fillId="2" borderId="0" xfId="0" applyFont="1" applyFill="1" applyAlignment="1">
      <alignment vertical="center"/>
    </xf>
    <xf numFmtId="0" fontId="3" fillId="0" borderId="13" xfId="2" applyFont="1" applyBorder="1" applyAlignment="1">
      <alignment horizontal="center" vertical="center"/>
    </xf>
    <xf numFmtId="0" fontId="3" fillId="0" borderId="12" xfId="2" applyFont="1" applyBorder="1" applyAlignment="1">
      <alignment vertical="center" wrapText="1"/>
    </xf>
    <xf numFmtId="0" fontId="13" fillId="0" borderId="12" xfId="2" applyFont="1" applyBorder="1" applyAlignment="1">
      <alignment horizontal="center" vertical="center"/>
    </xf>
    <xf numFmtId="0" fontId="3" fillId="0" borderId="14" xfId="2" applyFont="1" applyBorder="1" applyAlignment="1">
      <alignment horizontal="center" vertical="center"/>
    </xf>
    <xf numFmtId="0" fontId="3" fillId="0" borderId="0" xfId="2" applyFont="1" applyAlignment="1">
      <alignment horizontal="center" vertical="center"/>
    </xf>
    <xf numFmtId="0" fontId="3" fillId="0" borderId="1" xfId="3" applyBorder="1"/>
    <xf numFmtId="0" fontId="3" fillId="0" borderId="0" xfId="3"/>
    <xf numFmtId="0" fontId="3" fillId="0" borderId="2" xfId="3" applyBorder="1"/>
    <xf numFmtId="0" fontId="19" fillId="0" borderId="0" xfId="4" applyBorder="1"/>
    <xf numFmtId="0" fontId="20" fillId="0" borderId="0" xfId="3" applyFont="1"/>
    <xf numFmtId="0" fontId="3" fillId="0" borderId="0" xfId="3" applyAlignment="1">
      <alignment horizontal="left" vertical="top"/>
    </xf>
    <xf numFmtId="0" fontId="21" fillId="0" borderId="0" xfId="3" applyFont="1"/>
    <xf numFmtId="0" fontId="17" fillId="0" borderId="0" xfId="3" applyFont="1" applyAlignment="1">
      <alignment horizontal="left" vertical="top"/>
    </xf>
    <xf numFmtId="0" fontId="3" fillId="0" borderId="15" xfId="2" applyFont="1" applyBorder="1" applyAlignment="1">
      <alignment horizontal="center" vertical="center"/>
    </xf>
    <xf numFmtId="0" fontId="3" fillId="0" borderId="16" xfId="2" applyFont="1" applyBorder="1" applyAlignment="1">
      <alignment horizontal="center" vertical="center"/>
    </xf>
    <xf numFmtId="0" fontId="3" fillId="0" borderId="17" xfId="2" applyFont="1" applyBorder="1" applyAlignment="1">
      <alignment horizontal="center" vertical="center"/>
    </xf>
    <xf numFmtId="0" fontId="0" fillId="0" borderId="0" xfId="0" applyAlignment="1">
      <alignment horizontal="left"/>
    </xf>
    <xf numFmtId="0" fontId="0" fillId="0" borderId="0" xfId="0" quotePrefix="1"/>
    <xf numFmtId="3" fontId="0" fillId="0" borderId="0" xfId="0" applyNumberFormat="1" applyAlignment="1">
      <alignment horizontal="center"/>
    </xf>
    <xf numFmtId="3" fontId="0" fillId="0" borderId="0" xfId="0" applyNumberFormat="1" applyAlignment="1">
      <alignment horizontal="left"/>
    </xf>
    <xf numFmtId="3" fontId="0" fillId="0" borderId="0" xfId="0" quotePrefix="1" applyNumberFormat="1" applyAlignment="1">
      <alignment horizontal="left"/>
    </xf>
    <xf numFmtId="0" fontId="0" fillId="2" borderId="11" xfId="0" applyFill="1" applyBorder="1"/>
    <xf numFmtId="0" fontId="0" fillId="2" borderId="10" xfId="0" applyFill="1" applyBorder="1"/>
    <xf numFmtId="0" fontId="22" fillId="2" borderId="10" xfId="0" applyFont="1" applyFill="1" applyBorder="1"/>
    <xf numFmtId="0" fontId="0" fillId="2" borderId="9" xfId="0" applyFill="1" applyBorder="1"/>
    <xf numFmtId="0" fontId="0" fillId="2" borderId="2" xfId="0" applyFill="1" applyBorder="1"/>
    <xf numFmtId="0" fontId="0" fillId="2" borderId="0" xfId="0" applyFill="1"/>
    <xf numFmtId="0" fontId="0" fillId="2" borderId="0" xfId="0" applyFill="1" applyAlignment="1">
      <alignment wrapText="1"/>
    </xf>
    <xf numFmtId="0" fontId="0" fillId="2" borderId="1" xfId="0" applyFill="1" applyBorder="1"/>
    <xf numFmtId="0" fontId="0" fillId="2" borderId="0" xfId="0" quotePrefix="1" applyFill="1" applyAlignment="1">
      <alignment horizontal="left"/>
    </xf>
    <xf numFmtId="0" fontId="0" fillId="2" borderId="0" xfId="0" quotePrefix="1" applyFill="1" applyAlignment="1">
      <alignment horizontal="center"/>
    </xf>
    <xf numFmtId="0" fontId="23" fillId="0" borderId="0" xfId="0" applyFont="1" applyAlignment="1">
      <alignment horizontal="left"/>
    </xf>
    <xf numFmtId="0" fontId="0" fillId="2" borderId="0" xfId="0" applyFill="1" applyAlignment="1">
      <alignment horizontal="center"/>
    </xf>
    <xf numFmtId="170" fontId="0" fillId="0" borderId="11" xfId="5" applyNumberFormat="1" applyFont="1" applyBorder="1" applyAlignment="1">
      <alignment horizontal="center"/>
    </xf>
    <xf numFmtId="0" fontId="0" fillId="0" borderId="9" xfId="0" applyBorder="1" applyAlignment="1">
      <alignment horizontal="left"/>
    </xf>
    <xf numFmtId="0" fontId="0" fillId="2" borderId="0" xfId="0" quotePrefix="1" applyFill="1"/>
    <xf numFmtId="171" fontId="0" fillId="0" borderId="0" xfId="0" applyNumberFormat="1" applyAlignment="1">
      <alignment horizontal="center"/>
    </xf>
    <xf numFmtId="170" fontId="0" fillId="0" borderId="0" xfId="5" applyNumberFormat="1" applyFont="1" applyAlignment="1">
      <alignment horizontal="center"/>
    </xf>
    <xf numFmtId="0" fontId="24" fillId="0" borderId="0" xfId="0" applyFont="1" applyAlignment="1">
      <alignment horizontal="left"/>
    </xf>
    <xf numFmtId="170" fontId="0" fillId="2" borderId="5" xfId="0" applyNumberFormat="1" applyFill="1" applyBorder="1" applyAlignment="1">
      <alignment horizontal="center"/>
    </xf>
    <xf numFmtId="170" fontId="0" fillId="2" borderId="18" xfId="0" applyNumberFormat="1" applyFill="1" applyBorder="1" applyAlignment="1">
      <alignment horizontal="center"/>
    </xf>
    <xf numFmtId="0" fontId="0" fillId="2" borderId="18" xfId="0" applyFill="1" applyBorder="1" applyAlignment="1">
      <alignment horizontal="center"/>
    </xf>
    <xf numFmtId="0" fontId="0" fillId="0" borderId="0" xfId="0" applyAlignment="1">
      <alignment horizontal="center"/>
    </xf>
    <xf numFmtId="170" fontId="0" fillId="2" borderId="4" xfId="0" applyNumberFormat="1" applyFill="1" applyBorder="1" applyAlignment="1">
      <alignment horizontal="center"/>
    </xf>
    <xf numFmtId="170" fontId="0" fillId="2" borderId="19" xfId="0" applyNumberFormat="1" applyFill="1" applyBorder="1" applyAlignment="1">
      <alignment horizontal="center"/>
    </xf>
    <xf numFmtId="0" fontId="0" fillId="2" borderId="19" xfId="0" applyFill="1" applyBorder="1" applyAlignment="1">
      <alignment horizontal="center"/>
    </xf>
    <xf numFmtId="170" fontId="0" fillId="2" borderId="20" xfId="0" applyNumberFormat="1" applyFill="1" applyBorder="1" applyAlignment="1">
      <alignment horizontal="center"/>
    </xf>
    <xf numFmtId="170" fontId="0" fillId="2" borderId="21" xfId="0" applyNumberFormat="1"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170" fontId="7" fillId="0" borderId="11" xfId="5" applyNumberFormat="1" applyFont="1" applyBorder="1" applyAlignment="1">
      <alignment horizontal="center"/>
    </xf>
    <xf numFmtId="9" fontId="0" fillId="2" borderId="5" xfId="0" applyNumberFormat="1" applyFill="1" applyBorder="1" applyAlignment="1">
      <alignment horizontal="center"/>
    </xf>
    <xf numFmtId="9" fontId="0" fillId="2" borderId="3" xfId="0" applyNumberFormat="1" applyFill="1" applyBorder="1" applyAlignment="1">
      <alignment horizontal="center"/>
    </xf>
    <xf numFmtId="9" fontId="0" fillId="2" borderId="4" xfId="0" applyNumberFormat="1" applyFill="1" applyBorder="1" applyAlignment="1">
      <alignment horizontal="center"/>
    </xf>
    <xf numFmtId="9" fontId="0" fillId="2" borderId="0" xfId="0" applyNumberFormat="1" applyFill="1" applyAlignment="1">
      <alignment horizontal="center"/>
    </xf>
    <xf numFmtId="0" fontId="0" fillId="2" borderId="25" xfId="0" applyFill="1" applyBorder="1" applyAlignment="1">
      <alignment horizontal="center"/>
    </xf>
    <xf numFmtId="0" fontId="0" fillId="0" borderId="9" xfId="0" applyBorder="1"/>
    <xf numFmtId="0" fontId="24" fillId="0" borderId="0" xfId="0" applyFont="1"/>
    <xf numFmtId="9" fontId="0" fillId="2" borderId="18" xfId="0" applyNumberFormat="1" applyFill="1" applyBorder="1" applyAlignment="1">
      <alignment horizontal="center"/>
    </xf>
    <xf numFmtId="9" fontId="0" fillId="2" borderId="21" xfId="0" applyNumberFormat="1" applyFill="1" applyBorder="1" applyAlignment="1">
      <alignment horizontal="center"/>
    </xf>
    <xf numFmtId="0" fontId="23" fillId="0" borderId="0" xfId="0" applyFont="1"/>
    <xf numFmtId="0" fontId="0" fillId="2" borderId="14" xfId="0" applyFill="1" applyBorder="1"/>
    <xf numFmtId="0" fontId="0" fillId="2" borderId="12" xfId="0" applyFill="1" applyBorder="1"/>
    <xf numFmtId="0" fontId="0" fillId="2" borderId="12" xfId="0" applyFill="1" applyBorder="1" applyAlignment="1">
      <alignment horizontal="center"/>
    </xf>
    <xf numFmtId="0" fontId="24" fillId="2" borderId="12" xfId="0" applyFont="1" applyFill="1" applyBorder="1"/>
    <xf numFmtId="0" fontId="23" fillId="2" borderId="13" xfId="0" applyFont="1" applyFill="1" applyBorder="1"/>
    <xf numFmtId="0" fontId="0" fillId="0" borderId="0" xfId="0" quotePrefix="1" applyAlignment="1">
      <alignment horizontal="left"/>
    </xf>
    <xf numFmtId="0" fontId="25" fillId="0" borderId="0" xfId="0" applyFont="1" applyAlignment="1">
      <alignment horizontal="left"/>
    </xf>
    <xf numFmtId="0" fontId="26" fillId="0" borderId="0" xfId="0" applyFont="1"/>
    <xf numFmtId="0" fontId="26" fillId="0" borderId="0" xfId="0" applyFont="1" applyAlignment="1">
      <alignment horizontal="left"/>
    </xf>
    <xf numFmtId="0" fontId="26" fillId="0" borderId="0" xfId="0" quotePrefix="1" applyFont="1" applyAlignment="1">
      <alignment wrapText="1"/>
    </xf>
    <xf numFmtId="3" fontId="26" fillId="0" borderId="0" xfId="0" applyNumberFormat="1" applyFont="1" applyAlignment="1">
      <alignment horizontal="left"/>
    </xf>
    <xf numFmtId="0" fontId="0" fillId="2" borderId="17" xfId="0" applyFill="1" applyBorder="1" applyAlignment="1">
      <alignment horizontal="left"/>
    </xf>
    <xf numFmtId="0" fontId="0" fillId="2" borderId="16" xfId="0" applyFill="1" applyBorder="1" applyAlignment="1">
      <alignment horizontal="left"/>
    </xf>
    <xf numFmtId="0" fontId="0" fillId="2" borderId="15" xfId="0" applyFill="1" applyBorder="1" applyAlignment="1">
      <alignment horizontal="left"/>
    </xf>
    <xf numFmtId="0" fontId="0" fillId="2" borderId="2" xfId="0" applyFill="1" applyBorder="1" applyAlignment="1">
      <alignment horizontal="left"/>
    </xf>
    <xf numFmtId="0" fontId="0" fillId="2" borderId="0" xfId="0" applyFill="1" applyAlignment="1">
      <alignment horizontal="left"/>
    </xf>
    <xf numFmtId="0" fontId="0" fillId="2" borderId="1" xfId="0" applyFill="1" applyBorder="1" applyAlignment="1">
      <alignment horizontal="left"/>
    </xf>
    <xf numFmtId="0" fontId="0" fillId="0" borderId="0" xfId="0" applyAlignment="1">
      <alignment wrapText="1"/>
    </xf>
    <xf numFmtId="0" fontId="24" fillId="2" borderId="0" xfId="0" applyFont="1" applyFill="1" applyAlignment="1">
      <alignment horizontal="left"/>
    </xf>
    <xf numFmtId="0" fontId="26" fillId="2" borderId="0" xfId="0" quotePrefix="1" applyFont="1" applyFill="1"/>
    <xf numFmtId="0" fontId="27" fillId="2" borderId="0" xfId="0" quotePrefix="1" applyFont="1" applyFill="1"/>
    <xf numFmtId="0" fontId="26" fillId="2" borderId="0" xfId="0" quotePrefix="1" applyFont="1" applyFill="1" applyAlignment="1">
      <alignment horizontal="left"/>
    </xf>
    <xf numFmtId="0" fontId="26" fillId="2" borderId="0" xfId="0" applyFont="1" applyFill="1" applyAlignment="1">
      <alignment horizontal="left"/>
    </xf>
    <xf numFmtId="0" fontId="26" fillId="2" borderId="0" xfId="0" applyFont="1" applyFill="1"/>
    <xf numFmtId="6" fontId="0" fillId="2" borderId="0" xfId="0" applyNumberFormat="1" applyFill="1" applyAlignment="1">
      <alignment horizontal="left"/>
    </xf>
    <xf numFmtId="2" fontId="0" fillId="2" borderId="0" xfId="0" applyNumberFormat="1" applyFill="1" applyAlignment="1">
      <alignment horizontal="left"/>
    </xf>
    <xf numFmtId="0" fontId="24" fillId="0" borderId="0" xfId="0" quotePrefix="1" applyFont="1" applyAlignment="1">
      <alignment horizontal="left"/>
    </xf>
    <xf numFmtId="0" fontId="0" fillId="2" borderId="14" xfId="0" applyFill="1" applyBorder="1" applyAlignment="1">
      <alignment horizontal="left"/>
    </xf>
    <xf numFmtId="0" fontId="0" fillId="2" borderId="12" xfId="0" applyFill="1" applyBorder="1" applyAlignment="1">
      <alignment horizontal="left"/>
    </xf>
    <xf numFmtId="0" fontId="23" fillId="2" borderId="13" xfId="0" applyFont="1" applyFill="1" applyBorder="1" applyAlignment="1">
      <alignment horizontal="left"/>
    </xf>
    <xf numFmtId="0" fontId="0" fillId="0" borderId="0" xfId="0" applyAlignment="1">
      <alignment horizontal="left" vertical="center" wrapText="1"/>
    </xf>
    <xf numFmtId="0" fontId="23" fillId="0" borderId="0" xfId="0" applyFont="1" applyAlignment="1">
      <alignment vertical="center"/>
    </xf>
    <xf numFmtId="0" fontId="0" fillId="0" borderId="0" xfId="0" applyAlignment="1">
      <alignment vertical="center" wrapText="1"/>
    </xf>
    <xf numFmtId="0" fontId="0" fillId="2" borderId="10" xfId="0" quotePrefix="1" applyFill="1" applyBorder="1"/>
    <xf numFmtId="0" fontId="0" fillId="2" borderId="9" xfId="0" applyFill="1" applyBorder="1" applyAlignment="1">
      <alignment horizontal="left"/>
    </xf>
    <xf numFmtId="3" fontId="0" fillId="0" borderId="11" xfId="0" applyNumberFormat="1" applyBorder="1" applyAlignment="1">
      <alignment horizontal="center" vertical="center"/>
    </xf>
    <xf numFmtId="0" fontId="0" fillId="0" borderId="9" xfId="0" applyBorder="1" applyAlignment="1">
      <alignment horizontal="center" vertical="center"/>
    </xf>
    <xf numFmtId="10" fontId="0" fillId="0" borderId="0" xfId="5" applyNumberFormat="1" applyFont="1" applyAlignment="1">
      <alignment horizontal="center" vertical="center"/>
    </xf>
    <xf numFmtId="172" fontId="0" fillId="0" borderId="11" xfId="0" applyNumberFormat="1" applyBorder="1" applyAlignment="1">
      <alignment horizontal="center" vertical="center"/>
    </xf>
    <xf numFmtId="172" fontId="0" fillId="0" borderId="0" xfId="0" applyNumberFormat="1" applyAlignment="1">
      <alignment horizontal="center"/>
    </xf>
    <xf numFmtId="0" fontId="29" fillId="0" borderId="0" xfId="0" applyFont="1"/>
    <xf numFmtId="0" fontId="2" fillId="0" borderId="0" xfId="0" applyFont="1" applyAlignment="1">
      <alignment horizontal="center"/>
    </xf>
    <xf numFmtId="9" fontId="16" fillId="0" borderId="0" xfId="0" applyNumberFormat="1" applyFont="1" applyAlignment="1">
      <alignment horizontal="center"/>
    </xf>
    <xf numFmtId="0" fontId="16" fillId="0" borderId="0" xfId="0" applyFont="1" applyAlignment="1">
      <alignment horizontal="center"/>
    </xf>
    <xf numFmtId="170" fontId="16" fillId="0" borderId="8" xfId="0" applyNumberFormat="1" applyFont="1" applyBorder="1" applyAlignment="1">
      <alignment horizontal="center"/>
    </xf>
    <xf numFmtId="170" fontId="16" fillId="0" borderId="0" xfId="0" applyNumberFormat="1" applyFont="1" applyAlignment="1">
      <alignment horizontal="center"/>
    </xf>
    <xf numFmtId="170" fontId="16" fillId="0" borderId="7" xfId="0" applyNumberFormat="1" applyFont="1" applyBorder="1" applyAlignment="1">
      <alignment horizontal="center"/>
    </xf>
    <xf numFmtId="166" fontId="15" fillId="0" borderId="6" xfId="0" applyNumberFormat="1" applyFont="1" applyBorder="1" applyAlignment="1">
      <alignment horizontal="center"/>
    </xf>
    <xf numFmtId="166" fontId="16" fillId="0" borderId="7" xfId="0" applyNumberFormat="1" applyFont="1" applyBorder="1" applyAlignment="1">
      <alignment horizontal="center"/>
    </xf>
    <xf numFmtId="0" fontId="16" fillId="0" borderId="6" xfId="0" applyFont="1" applyBorder="1" applyAlignment="1">
      <alignment horizontal="center"/>
    </xf>
    <xf numFmtId="166" fontId="16" fillId="0" borderId="8" xfId="0" applyNumberFormat="1" applyFont="1" applyBorder="1" applyAlignment="1">
      <alignment horizontal="center"/>
    </xf>
    <xf numFmtId="166" fontId="15" fillId="0" borderId="0" xfId="0" applyNumberFormat="1" applyFont="1" applyAlignment="1">
      <alignment horizontal="center"/>
    </xf>
    <xf numFmtId="166" fontId="16" fillId="0" borderId="0" xfId="0" applyNumberFormat="1" applyFont="1" applyAlignment="1">
      <alignment horizontal="center"/>
    </xf>
    <xf numFmtId="0" fontId="16" fillId="0" borderId="8" xfId="0" applyFont="1" applyBorder="1" applyAlignment="1">
      <alignment horizontal="center"/>
    </xf>
    <xf numFmtId="0" fontId="16" fillId="0" borderId="7" xfId="0" applyFont="1" applyBorder="1" applyAlignment="1">
      <alignment horizontal="center"/>
    </xf>
    <xf numFmtId="0" fontId="0" fillId="0" borderId="0" xfId="0" applyAlignment="1">
      <alignment vertical="top" wrapText="1"/>
    </xf>
    <xf numFmtId="170" fontId="0" fillId="2" borderId="22" xfId="0" applyNumberFormat="1" applyFill="1" applyBorder="1" applyAlignment="1">
      <alignment horizontal="center"/>
    </xf>
    <xf numFmtId="170" fontId="0" fillId="2" borderId="23" xfId="0" applyNumberFormat="1" applyFill="1" applyBorder="1" applyAlignment="1">
      <alignment horizontal="center"/>
    </xf>
    <xf numFmtId="170" fontId="0" fillId="2" borderId="24" xfId="0" applyNumberFormat="1" applyFill="1" applyBorder="1" applyAlignment="1">
      <alignment horizontal="center"/>
    </xf>
    <xf numFmtId="3" fontId="0" fillId="2" borderId="25" xfId="0" applyNumberFormat="1" applyFill="1" applyBorder="1"/>
    <xf numFmtId="170" fontId="0" fillId="2" borderId="3" xfId="0" applyNumberFormat="1" applyFill="1" applyBorder="1" applyAlignment="1">
      <alignment horizontal="center"/>
    </xf>
    <xf numFmtId="170" fontId="0" fillId="2" borderId="26" xfId="0" applyNumberFormat="1" applyFill="1" applyBorder="1" applyAlignment="1">
      <alignment horizontal="center"/>
    </xf>
    <xf numFmtId="3" fontId="0" fillId="2" borderId="18" xfId="0" applyNumberFormat="1" applyFill="1" applyBorder="1"/>
    <xf numFmtId="0" fontId="0" fillId="2" borderId="5" xfId="0" applyFill="1" applyBorder="1" applyAlignment="1">
      <alignment horizontal="center"/>
    </xf>
    <xf numFmtId="0" fontId="0" fillId="2" borderId="26" xfId="0" applyFill="1" applyBorder="1" applyAlignment="1">
      <alignment horizontal="center"/>
    </xf>
    <xf numFmtId="170" fontId="0" fillId="2" borderId="0" xfId="0" applyNumberFormat="1" applyFill="1" applyAlignment="1">
      <alignment horizontal="center"/>
    </xf>
    <xf numFmtId="170" fontId="0" fillId="2" borderId="27" xfId="0" applyNumberFormat="1" applyFill="1" applyBorder="1" applyAlignment="1">
      <alignment horizontal="center"/>
    </xf>
    <xf numFmtId="3" fontId="0" fillId="2" borderId="19" xfId="0" applyNumberFormat="1" applyFill="1" applyBorder="1"/>
    <xf numFmtId="0" fontId="0" fillId="2" borderId="27" xfId="0" applyFill="1" applyBorder="1" applyAlignment="1">
      <alignment horizontal="center"/>
    </xf>
    <xf numFmtId="170" fontId="0" fillId="2" borderId="28" xfId="0" applyNumberFormat="1" applyFill="1" applyBorder="1" applyAlignment="1">
      <alignment horizontal="center"/>
    </xf>
    <xf numFmtId="170" fontId="0" fillId="2" borderId="29" xfId="0" applyNumberFormat="1" applyFill="1" applyBorder="1" applyAlignment="1">
      <alignment horizontal="center"/>
    </xf>
    <xf numFmtId="173" fontId="0" fillId="2" borderId="21" xfId="0" applyNumberFormat="1" applyFill="1" applyBorder="1"/>
    <xf numFmtId="0" fontId="0" fillId="2" borderId="20" xfId="0" applyFill="1" applyBorder="1" applyAlignment="1">
      <alignment horizontal="center"/>
    </xf>
    <xf numFmtId="0" fontId="0" fillId="2" borderId="29" xfId="0" applyFill="1" applyBorder="1" applyAlignment="1">
      <alignment horizontal="center"/>
    </xf>
    <xf numFmtId="0" fontId="0" fillId="2" borderId="3" xfId="0" applyFill="1" applyBorder="1" applyAlignment="1">
      <alignment horizontal="center"/>
    </xf>
    <xf numFmtId="0" fontId="0" fillId="2" borderId="4" xfId="0" applyFill="1" applyBorder="1"/>
    <xf numFmtId="0" fontId="0" fillId="2" borderId="27" xfId="0" applyFill="1" applyBorder="1"/>
    <xf numFmtId="0" fontId="0" fillId="0" borderId="0" xfId="0" applyAlignment="1">
      <alignment horizontal="center" vertical="center"/>
    </xf>
    <xf numFmtId="0" fontId="0" fillId="0" borderId="4" xfId="0" applyBorder="1" applyAlignment="1">
      <alignment horizontal="center" vertical="center"/>
    </xf>
    <xf numFmtId="0" fontId="0" fillId="2" borderId="28" xfId="0" applyFill="1" applyBorder="1" applyAlignment="1">
      <alignment horizontal="center"/>
    </xf>
    <xf numFmtId="0" fontId="0" fillId="2" borderId="20" xfId="0" applyFill="1" applyBorder="1"/>
    <xf numFmtId="0" fontId="0" fillId="2" borderId="29" xfId="0" applyFill="1" applyBorder="1"/>
    <xf numFmtId="2" fontId="0" fillId="0" borderId="0" xfId="0" applyNumberFormat="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2" fontId="24" fillId="2" borderId="0" xfId="0" applyNumberFormat="1" applyFont="1" applyFill="1" applyAlignment="1">
      <alignment horizontal="center"/>
    </xf>
    <xf numFmtId="0" fontId="24" fillId="2" borderId="0" xfId="0" applyFont="1" applyFill="1"/>
    <xf numFmtId="0" fontId="0" fillId="2" borderId="13" xfId="0" applyFill="1" applyBorder="1" applyAlignment="1">
      <alignment horizontal="left"/>
    </xf>
    <xf numFmtId="0" fontId="0" fillId="2" borderId="17" xfId="0" applyFill="1" applyBorder="1"/>
    <xf numFmtId="0" fontId="0" fillId="2" borderId="16" xfId="0" applyFill="1" applyBorder="1"/>
    <xf numFmtId="0" fontId="0" fillId="2" borderId="16" xfId="0" quotePrefix="1" applyFill="1" applyBorder="1"/>
    <xf numFmtId="0" fontId="0" fillId="2" borderId="0" xfId="0" applyFill="1" applyAlignment="1">
      <alignment vertical="top"/>
    </xf>
    <xf numFmtId="0" fontId="0" fillId="2" borderId="0" xfId="0" applyFill="1" applyAlignment="1">
      <alignment vertical="center"/>
    </xf>
    <xf numFmtId="0" fontId="0" fillId="2" borderId="0" xfId="0" applyFill="1" applyAlignment="1">
      <alignment horizontal="left" vertical="center"/>
    </xf>
    <xf numFmtId="9" fontId="0" fillId="2" borderId="26" xfId="0" applyNumberFormat="1" applyFill="1" applyBorder="1" applyAlignment="1">
      <alignment horizontal="center"/>
    </xf>
    <xf numFmtId="9" fontId="0" fillId="2" borderId="20" xfId="0" quotePrefix="1" applyNumberFormat="1" applyFill="1" applyBorder="1" applyAlignment="1">
      <alignment horizontal="center"/>
    </xf>
    <xf numFmtId="9" fontId="0" fillId="2" borderId="28" xfId="0" quotePrefix="1" applyNumberFormat="1" applyFill="1" applyBorder="1" applyAlignment="1">
      <alignment horizontal="center"/>
    </xf>
    <xf numFmtId="9" fontId="0" fillId="2" borderId="29" xfId="0" applyNumberFormat="1" applyFill="1" applyBorder="1" applyAlignment="1">
      <alignment horizontal="center"/>
    </xf>
    <xf numFmtId="0" fontId="2" fillId="0" borderId="0" xfId="0" applyFont="1"/>
    <xf numFmtId="0" fontId="12" fillId="0" borderId="0" xfId="0" applyFont="1" applyAlignment="1">
      <alignment vertical="center"/>
    </xf>
    <xf numFmtId="0" fontId="12" fillId="0" borderId="0" xfId="0" applyFont="1" applyAlignment="1">
      <alignment horizontal="left" vertical="center" indent="2"/>
    </xf>
    <xf numFmtId="0" fontId="12" fillId="0" borderId="0" xfId="0" applyFont="1" applyAlignment="1">
      <alignment vertical="center" wrapText="1"/>
    </xf>
    <xf numFmtId="0" fontId="12" fillId="0" borderId="0" xfId="0" applyFont="1" applyAlignment="1">
      <alignment horizontal="left" vertical="center" wrapText="1" indent="2"/>
    </xf>
    <xf numFmtId="0" fontId="31" fillId="0" borderId="0" xfId="0" applyFont="1" applyAlignment="1">
      <alignment vertical="center" wrapText="1"/>
    </xf>
    <xf numFmtId="0" fontId="32" fillId="0" borderId="0" xfId="0" applyFont="1" applyAlignment="1">
      <alignment horizontal="justify" vertical="center"/>
    </xf>
    <xf numFmtId="0" fontId="32" fillId="0" borderId="0" xfId="0" applyFont="1" applyAlignment="1">
      <alignment vertical="center"/>
    </xf>
    <xf numFmtId="10" fontId="0" fillId="0" borderId="11" xfId="5" applyNumberFormat="1" applyFont="1" applyBorder="1" applyAlignment="1">
      <alignment horizontal="center"/>
    </xf>
    <xf numFmtId="0" fontId="0" fillId="0" borderId="10" xfId="0" applyBorder="1"/>
    <xf numFmtId="0" fontId="33" fillId="0" borderId="0" xfId="0" applyFont="1" applyAlignment="1">
      <alignment horizontal="justify" vertical="center"/>
    </xf>
    <xf numFmtId="0" fontId="2" fillId="0" borderId="0" xfId="0" applyFont="1" applyAlignment="1">
      <alignment vertical="top"/>
    </xf>
    <xf numFmtId="0" fontId="2" fillId="0" borderId="0" xfId="0" applyFont="1" applyAlignment="1">
      <alignment horizontal="left" vertical="top" wrapText="1"/>
    </xf>
    <xf numFmtId="0" fontId="27" fillId="0" borderId="0" xfId="0" applyFont="1" applyAlignment="1">
      <alignment horizontal="justify" vertical="center"/>
    </xf>
    <xf numFmtId="0" fontId="35" fillId="0" borderId="0" xfId="0" applyFont="1" applyAlignment="1">
      <alignment vertical="center" wrapText="1"/>
    </xf>
    <xf numFmtId="0" fontId="0" fillId="2" borderId="19" xfId="0" applyFill="1" applyBorder="1"/>
    <xf numFmtId="0" fontId="0" fillId="2" borderId="21" xfId="0" applyFill="1" applyBorder="1"/>
    <xf numFmtId="43" fontId="24" fillId="0" borderId="0" xfId="0" applyNumberFormat="1" applyFont="1"/>
    <xf numFmtId="43" fontId="0" fillId="0" borderId="0" xfId="0" applyNumberFormat="1"/>
    <xf numFmtId="174" fontId="0" fillId="0" borderId="0" xfId="1" applyNumberFormat="1" applyFont="1"/>
    <xf numFmtId="169" fontId="0" fillId="0" borderId="0" xfId="1" applyNumberFormat="1" applyFont="1"/>
    <xf numFmtId="0" fontId="2" fillId="0" borderId="0" xfId="0" applyFont="1" applyAlignment="1">
      <alignment vertical="center"/>
    </xf>
    <xf numFmtId="10" fontId="0" fillId="0" borderId="11" xfId="6" applyNumberFormat="1" applyFont="1" applyBorder="1" applyAlignment="1">
      <alignment horizontal="center"/>
    </xf>
    <xf numFmtId="0" fontId="2" fillId="0" borderId="0" xfId="0" applyFont="1" applyAlignment="1">
      <alignment horizontal="center" vertical="center"/>
    </xf>
    <xf numFmtId="166" fontId="16" fillId="0" borderId="0" xfId="0" applyNumberFormat="1" applyFont="1" applyAlignment="1">
      <alignment horizontal="center" vertical="center"/>
    </xf>
    <xf numFmtId="9" fontId="15" fillId="0" borderId="0" xfId="0" applyNumberFormat="1" applyFont="1" applyAlignment="1">
      <alignment horizontal="center" vertical="center"/>
    </xf>
    <xf numFmtId="43" fontId="0" fillId="0" borderId="0" xfId="1" applyFont="1"/>
    <xf numFmtId="2" fontId="0" fillId="0" borderId="11" xfId="0" applyNumberFormat="1" applyBorder="1" applyAlignment="1">
      <alignment horizontal="center"/>
    </xf>
    <xf numFmtId="170" fontId="0" fillId="0" borderId="0" xfId="6" applyNumberFormat="1" applyFont="1" applyAlignment="1">
      <alignment horizontal="center"/>
    </xf>
    <xf numFmtId="0" fontId="0" fillId="2" borderId="0" xfId="0" applyFill="1" applyAlignment="1">
      <alignment horizontal="left" indent="1"/>
    </xf>
    <xf numFmtId="170" fontId="0" fillId="0" borderId="0" xfId="0" applyNumberFormat="1" applyAlignment="1">
      <alignment horizontal="center"/>
    </xf>
    <xf numFmtId="2" fontId="0" fillId="0" borderId="0" xfId="0" applyNumberFormat="1" applyAlignment="1">
      <alignment horizontal="center"/>
    </xf>
    <xf numFmtId="170" fontId="0" fillId="2" borderId="0" xfId="0" applyNumberFormat="1" applyFill="1" applyAlignment="1">
      <alignment horizontal="left"/>
    </xf>
    <xf numFmtId="0" fontId="24" fillId="2" borderId="4" xfId="0" applyFont="1" applyFill="1" applyBorder="1" applyAlignment="1">
      <alignment horizontal="center"/>
    </xf>
    <xf numFmtId="0" fontId="24" fillId="2" borderId="26" xfId="0" applyFont="1" applyFill="1" applyBorder="1" applyAlignment="1">
      <alignment horizontal="center"/>
    </xf>
    <xf numFmtId="0" fontId="24" fillId="2" borderId="27" xfId="0" applyFont="1" applyFill="1" applyBorder="1" applyAlignment="1">
      <alignment horizontal="center"/>
    </xf>
    <xf numFmtId="2" fontId="0" fillId="0" borderId="17" xfId="0" applyNumberFormat="1" applyBorder="1" applyAlignment="1">
      <alignment horizontal="center"/>
    </xf>
    <xf numFmtId="0" fontId="0" fillId="0" borderId="15" xfId="0" applyBorder="1" applyAlignment="1">
      <alignment horizontal="center"/>
    </xf>
    <xf numFmtId="2" fontId="0" fillId="0" borderId="14" xfId="0" applyNumberFormat="1" applyBorder="1" applyAlignment="1">
      <alignment horizontal="center"/>
    </xf>
    <xf numFmtId="0" fontId="0" fillId="0" borderId="13" xfId="0" applyBorder="1" applyAlignment="1">
      <alignment horizontal="center"/>
    </xf>
    <xf numFmtId="0" fontId="24" fillId="2" borderId="20" xfId="0" applyFont="1" applyFill="1" applyBorder="1" applyAlignment="1">
      <alignment horizontal="center"/>
    </xf>
    <xf numFmtId="0" fontId="24" fillId="2" borderId="29" xfId="0" applyFont="1" applyFill="1" applyBorder="1" applyAlignment="1">
      <alignment horizontal="center"/>
    </xf>
    <xf numFmtId="1" fontId="0" fillId="0" borderId="4" xfId="0" applyNumberFormat="1" applyBorder="1" applyAlignment="1">
      <alignment horizontal="center"/>
    </xf>
    <xf numFmtId="1" fontId="0" fillId="0" borderId="0" xfId="0" applyNumberFormat="1" applyAlignment="1">
      <alignment horizontal="center"/>
    </xf>
    <xf numFmtId="0" fontId="0" fillId="0" borderId="4" xfId="0" applyBorder="1" applyAlignment="1">
      <alignment horizontal="center"/>
    </xf>
    <xf numFmtId="0" fontId="0" fillId="0" borderId="3" xfId="0" applyBorder="1"/>
    <xf numFmtId="43" fontId="0" fillId="0" borderId="3" xfId="0" applyNumberFormat="1" applyBorder="1"/>
    <xf numFmtId="0" fontId="0" fillId="0" borderId="5" xfId="0" applyBorder="1"/>
    <xf numFmtId="0" fontId="24" fillId="2" borderId="24" xfId="0" applyFont="1" applyFill="1" applyBorder="1" applyAlignment="1">
      <alignment horizontal="center"/>
    </xf>
    <xf numFmtId="0" fontId="24" fillId="2" borderId="5" xfId="0" applyFont="1" applyFill="1" applyBorder="1" applyAlignment="1">
      <alignment horizontal="center"/>
    </xf>
    <xf numFmtId="0" fontId="24" fillId="2" borderId="28" xfId="0" applyFont="1" applyFill="1" applyBorder="1"/>
    <xf numFmtId="0" fontId="24" fillId="2" borderId="29" xfId="0" applyFont="1" applyFill="1" applyBorder="1"/>
    <xf numFmtId="0" fontId="3" fillId="0" borderId="0" xfId="3" applyAlignment="1">
      <alignment horizontal="left" vertical="top" wrapText="1"/>
    </xf>
    <xf numFmtId="0" fontId="3" fillId="0" borderId="0" xfId="3" applyAlignment="1">
      <alignment horizontal="left" vertical="top"/>
    </xf>
    <xf numFmtId="0" fontId="1" fillId="0" borderId="0" xfId="3" applyFont="1" applyAlignment="1">
      <alignment horizontal="left" vertical="top" wrapText="1"/>
    </xf>
    <xf numFmtId="0" fontId="11" fillId="2" borderId="0" xfId="0" applyFont="1" applyFill="1" applyAlignment="1">
      <alignment horizontal="center" vertical="center"/>
    </xf>
    <xf numFmtId="0" fontId="13" fillId="2" borderId="9" xfId="0" applyFont="1" applyFill="1" applyBorder="1" applyAlignment="1">
      <alignment horizontal="left" vertical="center"/>
    </xf>
    <xf numFmtId="0" fontId="13" fillId="2" borderId="10" xfId="0" applyFont="1" applyFill="1" applyBorder="1" applyAlignment="1">
      <alignment horizontal="left" vertical="center"/>
    </xf>
    <xf numFmtId="0" fontId="13" fillId="2" borderId="11" xfId="0" applyFont="1" applyFill="1" applyBorder="1" applyAlignment="1">
      <alignment horizontal="left" vertical="center"/>
    </xf>
    <xf numFmtId="0" fontId="6" fillId="0" borderId="0" xfId="0" applyFont="1" applyAlignment="1">
      <alignment horizontal="left" vertical="center" wrapText="1"/>
    </xf>
    <xf numFmtId="0" fontId="4" fillId="0" borderId="0" xfId="0" applyFont="1" applyAlignment="1">
      <alignment horizontal="left" vertical="top" wrapText="1"/>
    </xf>
    <xf numFmtId="0" fontId="6" fillId="0" borderId="0" xfId="0" applyFont="1" applyAlignment="1">
      <alignment horizontal="left" vertical="top" wrapText="1"/>
    </xf>
    <xf numFmtId="0" fontId="13" fillId="2" borderId="9" xfId="0" applyFont="1" applyFill="1" applyBorder="1" applyAlignment="1">
      <alignment horizontal="left"/>
    </xf>
    <xf numFmtId="0" fontId="13" fillId="2" borderId="10" xfId="0" applyFont="1" applyFill="1" applyBorder="1" applyAlignment="1">
      <alignment horizontal="left"/>
    </xf>
    <xf numFmtId="0" fontId="13" fillId="2" borderId="11" xfId="0" applyFont="1" applyFill="1" applyBorder="1" applyAlignment="1">
      <alignment horizontal="left"/>
    </xf>
    <xf numFmtId="0" fontId="4" fillId="0" borderId="0" xfId="0" applyFont="1" applyAlignment="1">
      <alignment horizontal="left" wrapText="1"/>
    </xf>
    <xf numFmtId="0" fontId="6" fillId="0" borderId="0" xfId="0" applyFont="1" applyAlignment="1">
      <alignment horizontal="left" wrapText="1"/>
    </xf>
    <xf numFmtId="0" fontId="4" fillId="0" borderId="0" xfId="0" applyFont="1" applyAlignment="1">
      <alignment wrapText="1"/>
    </xf>
    <xf numFmtId="0" fontId="6" fillId="0" borderId="0" xfId="0" applyFont="1" applyAlignment="1">
      <alignment wrapText="1"/>
    </xf>
    <xf numFmtId="0" fontId="5" fillId="0" borderId="0" xfId="0" applyFont="1" applyAlignment="1">
      <alignment horizontal="left" vertical="top" wrapText="1"/>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2" fillId="2" borderId="3" xfId="0" applyFont="1" applyFill="1" applyBorder="1" applyAlignment="1">
      <alignment horizontal="center" vertical="center" wrapText="1"/>
    </xf>
    <xf numFmtId="3" fontId="12" fillId="2" borderId="0" xfId="0" applyNumberFormat="1" applyFont="1" applyFill="1" applyAlignment="1">
      <alignment horizontal="center" vertical="center" wrapText="1"/>
    </xf>
    <xf numFmtId="0" fontId="0" fillId="2" borderId="24" xfId="0" applyFill="1" applyBorder="1" applyAlignment="1">
      <alignment horizontal="center"/>
    </xf>
    <xf numFmtId="0" fontId="0" fillId="2" borderId="23" xfId="0" applyFill="1" applyBorder="1" applyAlignment="1">
      <alignment horizontal="center"/>
    </xf>
    <xf numFmtId="0" fontId="0" fillId="2" borderId="22" xfId="0" applyFill="1" applyBorder="1" applyAlignment="1">
      <alignment horizontal="center"/>
    </xf>
    <xf numFmtId="0" fontId="0" fillId="2" borderId="0" xfId="0" applyFill="1" applyAlignment="1">
      <alignment horizontal="left" vertical="top" wrapText="1"/>
    </xf>
    <xf numFmtId="0" fontId="0" fillId="2" borderId="21" xfId="0" applyFill="1" applyBorder="1" applyAlignment="1">
      <alignment horizontal="center"/>
    </xf>
    <xf numFmtId="0" fontId="0" fillId="2" borderId="18" xfId="0" applyFill="1" applyBorder="1" applyAlignment="1">
      <alignment horizontal="center"/>
    </xf>
    <xf numFmtId="0" fontId="0" fillId="2" borderId="0" xfId="0" applyFill="1" applyAlignment="1">
      <alignment horizontal="left" wrapText="1"/>
    </xf>
    <xf numFmtId="0" fontId="0" fillId="2" borderId="29" xfId="0" applyFill="1" applyBorder="1" applyAlignment="1">
      <alignment horizontal="center"/>
    </xf>
    <xf numFmtId="0" fontId="0" fillId="2" borderId="20" xfId="0" applyFill="1" applyBorder="1" applyAlignment="1">
      <alignment horizontal="center"/>
    </xf>
    <xf numFmtId="0" fontId="0" fillId="2" borderId="26" xfId="0" applyFill="1" applyBorder="1" applyAlignment="1">
      <alignment horizontal="center"/>
    </xf>
    <xf numFmtId="0" fontId="0" fillId="2" borderId="5" xfId="0" applyFill="1" applyBorder="1" applyAlignment="1">
      <alignment horizontal="center"/>
    </xf>
    <xf numFmtId="0" fontId="0" fillId="2" borderId="27" xfId="0" applyFill="1" applyBorder="1" applyAlignment="1">
      <alignment horizontal="center"/>
    </xf>
    <xf numFmtId="0" fontId="0" fillId="2" borderId="4" xfId="0" applyFill="1" applyBorder="1" applyAlignment="1">
      <alignment horizontal="center"/>
    </xf>
    <xf numFmtId="0" fontId="0" fillId="0" borderId="0" xfId="0" applyAlignment="1">
      <alignment horizontal="left" vertical="top" wrapText="1"/>
    </xf>
    <xf numFmtId="0" fontId="0" fillId="0" borderId="0" xfId="0" applyAlignment="1">
      <alignment horizontal="left" vertical="center" wrapText="1"/>
    </xf>
    <xf numFmtId="0" fontId="0" fillId="2" borderId="25" xfId="0" applyFill="1" applyBorder="1" applyAlignment="1">
      <alignment horizontal="center"/>
    </xf>
    <xf numFmtId="0" fontId="12" fillId="0" borderId="0" xfId="0" applyFont="1" applyAlignment="1">
      <alignment horizontal="left" vertical="center" wrapText="1" indent="2"/>
    </xf>
    <xf numFmtId="0" fontId="12" fillId="0" borderId="0" xfId="0" applyFont="1" applyAlignment="1">
      <alignment horizontal="left" vertical="center"/>
    </xf>
    <xf numFmtId="0" fontId="12" fillId="0" borderId="0" xfId="0" applyFont="1" applyAlignment="1">
      <alignment horizontal="left" vertical="top" wrapText="1"/>
    </xf>
    <xf numFmtId="0" fontId="12" fillId="0" borderId="0" xfId="0" applyFont="1" applyAlignment="1">
      <alignment horizontal="left" vertical="top"/>
    </xf>
    <xf numFmtId="0" fontId="12" fillId="0" borderId="0" xfId="0" applyFont="1" applyAlignment="1">
      <alignment horizontal="left" vertical="center" wrapText="1"/>
    </xf>
    <xf numFmtId="0" fontId="2" fillId="0" borderId="0" xfId="0" applyFont="1" applyAlignment="1">
      <alignment horizontal="left" vertical="top" wrapText="1"/>
    </xf>
    <xf numFmtId="0" fontId="0" fillId="2" borderId="28" xfId="0" applyFill="1" applyBorder="1" applyAlignment="1">
      <alignment horizontal="center" wrapText="1"/>
    </xf>
    <xf numFmtId="0" fontId="0" fillId="2" borderId="0" xfId="0" applyFill="1" applyAlignment="1">
      <alignment horizontal="center"/>
    </xf>
    <xf numFmtId="0" fontId="0" fillId="2" borderId="3" xfId="0" applyFill="1" applyBorder="1" applyAlignment="1">
      <alignment horizontal="center"/>
    </xf>
    <xf numFmtId="0" fontId="0" fillId="2" borderId="20" xfId="0" applyFill="1" applyBorder="1" applyAlignment="1">
      <alignment horizontal="center" wrapText="1"/>
    </xf>
    <xf numFmtId="0" fontId="26" fillId="0" borderId="0" xfId="0" applyFont="1" applyAlignment="1">
      <alignment horizontal="left" vertical="top" wrapText="1"/>
    </xf>
    <xf numFmtId="0" fontId="0" fillId="2" borderId="28" xfId="0" applyFill="1" applyBorder="1" applyAlignment="1">
      <alignment horizontal="center"/>
    </xf>
    <xf numFmtId="0" fontId="0" fillId="0" borderId="0" xfId="0" applyAlignment="1">
      <alignment horizontal="left" wrapText="1"/>
    </xf>
    <xf numFmtId="0" fontId="24" fillId="2" borderId="26" xfId="0" applyFont="1" applyFill="1" applyBorder="1" applyAlignment="1">
      <alignment horizontal="center"/>
    </xf>
    <xf numFmtId="0" fontId="24" fillId="2" borderId="5" xfId="0" applyFont="1" applyFill="1" applyBorder="1" applyAlignment="1">
      <alignment horizontal="center"/>
    </xf>
    <xf numFmtId="0" fontId="0" fillId="2" borderId="26" xfId="0" applyFill="1" applyBorder="1" applyAlignment="1">
      <alignment horizontal="left"/>
    </xf>
    <xf numFmtId="0" fontId="0" fillId="2" borderId="3" xfId="0" applyFill="1" applyBorder="1" applyAlignment="1">
      <alignment horizontal="left"/>
    </xf>
    <xf numFmtId="0" fontId="29" fillId="0" borderId="0" xfId="0" applyFont="1" applyAlignment="1">
      <alignment horizontal="center"/>
    </xf>
    <xf numFmtId="0" fontId="25" fillId="0" borderId="0" xfId="0" applyFont="1" applyAlignment="1">
      <alignment horizontal="center"/>
    </xf>
    <xf numFmtId="0" fontId="0" fillId="2" borderId="24" xfId="0" applyFill="1" applyBorder="1" applyAlignment="1">
      <alignment horizontal="left"/>
    </xf>
    <xf numFmtId="0" fontId="0" fillId="2" borderId="23" xfId="0" applyFill="1" applyBorder="1" applyAlignment="1">
      <alignment horizontal="left"/>
    </xf>
    <xf numFmtId="0" fontId="24" fillId="2" borderId="24" xfId="0" applyFont="1" applyFill="1" applyBorder="1" applyAlignment="1">
      <alignment horizontal="center"/>
    </xf>
    <xf numFmtId="0" fontId="24" fillId="2" borderId="23" xfId="0" applyFont="1" applyFill="1" applyBorder="1" applyAlignment="1">
      <alignment horizontal="center"/>
    </xf>
    <xf numFmtId="0" fontId="24" fillId="2" borderId="22" xfId="0" applyFont="1" applyFill="1" applyBorder="1" applyAlignment="1">
      <alignment horizontal="center"/>
    </xf>
    <xf numFmtId="0" fontId="0" fillId="2" borderId="29" xfId="0" applyFill="1" applyBorder="1" applyAlignment="1">
      <alignment horizontal="left"/>
    </xf>
    <xf numFmtId="0" fontId="0" fillId="2" borderId="28" xfId="0" applyFill="1" applyBorder="1" applyAlignment="1">
      <alignment horizontal="left"/>
    </xf>
    <xf numFmtId="0" fontId="0" fillId="0" borderId="0" xfId="0" quotePrefix="1" applyAlignment="1">
      <alignment horizontal="left" wrapText="1"/>
    </xf>
    <xf numFmtId="0" fontId="26" fillId="0" borderId="0" xfId="0" quotePrefix="1" applyFont="1" applyAlignment="1">
      <alignment horizontal="left" wrapText="1"/>
    </xf>
    <xf numFmtId="0" fontId="26" fillId="0" borderId="0" xfId="0" applyFont="1" applyAlignment="1">
      <alignment horizontal="left" wrapText="1"/>
    </xf>
    <xf numFmtId="0" fontId="26" fillId="2" borderId="0" xfId="0" applyFont="1" applyFill="1" applyAlignment="1">
      <alignment horizontal="left" wrapText="1"/>
    </xf>
    <xf numFmtId="3" fontId="26" fillId="0" borderId="0" xfId="0" quotePrefix="1" applyNumberFormat="1" applyFont="1" applyAlignment="1">
      <alignment horizontal="left" wrapText="1"/>
    </xf>
  </cellXfs>
  <cellStyles count="7">
    <cellStyle name="Comma" xfId="1" builtinId="3"/>
    <cellStyle name="Hyperlink 2" xfId="4" xr:uid="{94970382-7F03-A94F-BBE7-5C43F6F59F6B}"/>
    <cellStyle name="Normal" xfId="0" builtinId="0"/>
    <cellStyle name="Normal 2 2" xfId="2" xr:uid="{17586053-A5FE-6448-B209-77B60CC3D4D2}"/>
    <cellStyle name="Normal 4" xfId="3" xr:uid="{97316FEC-324B-D442-8877-A3EB7EDFA7A5}"/>
    <cellStyle name="Percent" xfId="5" builtinId="5"/>
    <cellStyle name="Percent 2" xfId="6" xr:uid="{F6653459-4C8B-504D-AA28-0E672AD87D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8E853B6A-B802-7645-B120-55F990635C18}"/>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A9D5-0F53-3649-8E2E-E691BD061D12}">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99" customWidth="1"/>
    <col min="6" max="12" width="10.83203125" style="99" customWidth="1"/>
    <col min="13" max="13" width="10.6640625" style="99" customWidth="1"/>
    <col min="14" max="16" width="10" style="99" customWidth="1"/>
    <col min="17" max="16384" width="8.5" style="99"/>
  </cols>
  <sheetData>
    <row r="1" spans="1:13" ht="14.5" customHeight="1" x14ac:dyDescent="0.2">
      <c r="A1" s="95"/>
      <c r="B1" s="96"/>
      <c r="C1" s="96"/>
      <c r="D1" s="96"/>
      <c r="E1" s="96"/>
      <c r="F1" s="96"/>
      <c r="G1" s="96"/>
      <c r="H1" s="96"/>
      <c r="I1" s="96"/>
      <c r="J1" s="96"/>
      <c r="K1" s="96"/>
      <c r="L1" s="97" t="s">
        <v>152</v>
      </c>
      <c r="M1" s="98"/>
    </row>
    <row r="2" spans="1:13" s="101" customFormat="1" x14ac:dyDescent="0.2">
      <c r="A2" s="100"/>
      <c r="M2" s="102"/>
    </row>
    <row r="3" spans="1:13" s="101" customFormat="1" ht="16" customHeight="1" x14ac:dyDescent="0.2">
      <c r="A3" s="100"/>
      <c r="M3" s="102"/>
    </row>
    <row r="4" spans="1:13" s="101" customFormat="1" ht="16" customHeight="1" x14ac:dyDescent="0.2">
      <c r="A4" s="100"/>
      <c r="M4" s="102"/>
    </row>
    <row r="5" spans="1:13" s="101" customFormat="1" ht="16" customHeight="1" x14ac:dyDescent="0.2">
      <c r="A5" s="100"/>
      <c r="M5" s="102"/>
    </row>
    <row r="6" spans="1:13" s="101" customFormat="1" ht="16" customHeight="1" x14ac:dyDescent="0.2">
      <c r="A6" s="100"/>
      <c r="B6" s="103" t="s">
        <v>153</v>
      </c>
      <c r="M6" s="102"/>
    </row>
    <row r="7" spans="1:13" s="101" customFormat="1" ht="16" customHeight="1" x14ac:dyDescent="0.2">
      <c r="A7" s="100"/>
      <c r="M7" s="102"/>
    </row>
    <row r="8" spans="1:13" s="101" customFormat="1" ht="16" customHeight="1" x14ac:dyDescent="0.25">
      <c r="A8" s="100"/>
      <c r="B8" s="104" t="s">
        <v>154</v>
      </c>
      <c r="M8" s="102"/>
    </row>
    <row r="9" spans="1:13" s="101" customFormat="1" ht="17" customHeight="1" x14ac:dyDescent="0.2">
      <c r="A9" s="100"/>
      <c r="C9" s="309" t="s">
        <v>155</v>
      </c>
      <c r="D9" s="310"/>
      <c r="E9" s="310"/>
      <c r="F9" s="310"/>
      <c r="G9" s="310"/>
      <c r="H9" s="310"/>
      <c r="I9" s="310"/>
      <c r="J9" s="310"/>
      <c r="K9" s="310"/>
      <c r="M9" s="102"/>
    </row>
    <row r="10" spans="1:13" s="101" customFormat="1" x14ac:dyDescent="0.2">
      <c r="A10" s="100"/>
      <c r="C10" s="310"/>
      <c r="D10" s="310"/>
      <c r="E10" s="310"/>
      <c r="F10" s="310"/>
      <c r="G10" s="310"/>
      <c r="H10" s="310"/>
      <c r="I10" s="310"/>
      <c r="J10" s="310"/>
      <c r="K10" s="310"/>
      <c r="M10" s="102"/>
    </row>
    <row r="11" spans="1:13" s="101" customFormat="1" ht="16" customHeight="1" x14ac:dyDescent="0.2">
      <c r="A11" s="100"/>
      <c r="C11" s="310"/>
      <c r="D11" s="310"/>
      <c r="E11" s="310"/>
      <c r="F11" s="310"/>
      <c r="G11" s="310"/>
      <c r="H11" s="310"/>
      <c r="I11" s="310"/>
      <c r="J11" s="310"/>
      <c r="K11" s="310"/>
      <c r="M11" s="102"/>
    </row>
    <row r="12" spans="1:13" s="101" customFormat="1" ht="16" customHeight="1" x14ac:dyDescent="0.2">
      <c r="A12" s="100"/>
      <c r="C12" s="310"/>
      <c r="D12" s="310"/>
      <c r="E12" s="310"/>
      <c r="F12" s="310"/>
      <c r="G12" s="310"/>
      <c r="H12" s="310"/>
      <c r="I12" s="310"/>
      <c r="J12" s="310"/>
      <c r="K12" s="310"/>
      <c r="M12" s="102"/>
    </row>
    <row r="13" spans="1:13" s="101" customFormat="1" ht="16" customHeight="1" x14ac:dyDescent="0.2">
      <c r="A13" s="100"/>
      <c r="C13" s="310"/>
      <c r="D13" s="310"/>
      <c r="E13" s="310"/>
      <c r="F13" s="310"/>
      <c r="G13" s="310"/>
      <c r="H13" s="310"/>
      <c r="I13" s="310"/>
      <c r="J13" s="310"/>
      <c r="K13" s="310"/>
      <c r="M13" s="102"/>
    </row>
    <row r="14" spans="1:13" s="101" customFormat="1" ht="16" customHeight="1" x14ac:dyDescent="0.2">
      <c r="A14" s="100"/>
      <c r="C14" s="310"/>
      <c r="D14" s="310"/>
      <c r="E14" s="310"/>
      <c r="F14" s="310"/>
      <c r="G14" s="310"/>
      <c r="H14" s="310"/>
      <c r="I14" s="310"/>
      <c r="J14" s="310"/>
      <c r="K14" s="310"/>
      <c r="M14" s="102"/>
    </row>
    <row r="15" spans="1:13" s="101" customFormat="1" ht="16" customHeight="1" x14ac:dyDescent="0.2">
      <c r="A15" s="100"/>
      <c r="C15" s="310"/>
      <c r="D15" s="310"/>
      <c r="E15" s="310"/>
      <c r="F15" s="310"/>
      <c r="G15" s="310"/>
      <c r="H15" s="310"/>
      <c r="I15" s="310"/>
      <c r="J15" s="310"/>
      <c r="K15" s="310"/>
      <c r="M15" s="102"/>
    </row>
    <row r="16" spans="1:13" s="101" customFormat="1" ht="16" customHeight="1" x14ac:dyDescent="0.2">
      <c r="A16" s="100"/>
      <c r="C16" s="310"/>
      <c r="D16" s="310"/>
      <c r="E16" s="310"/>
      <c r="F16" s="310"/>
      <c r="G16" s="310"/>
      <c r="H16" s="310"/>
      <c r="I16" s="310"/>
      <c r="J16" s="310"/>
      <c r="K16" s="310"/>
      <c r="M16" s="102"/>
    </row>
    <row r="17" spans="1:13" s="101" customFormat="1" ht="16" customHeight="1" x14ac:dyDescent="0.2">
      <c r="A17" s="100"/>
      <c r="M17" s="102"/>
    </row>
    <row r="18" spans="1:13" s="101" customFormat="1" ht="16" customHeight="1" x14ac:dyDescent="0.25">
      <c r="A18" s="100"/>
      <c r="B18" s="104" t="s">
        <v>156</v>
      </c>
      <c r="M18" s="102"/>
    </row>
    <row r="19" spans="1:13" s="101" customFormat="1" ht="17" customHeight="1" x14ac:dyDescent="0.2">
      <c r="A19" s="100"/>
      <c r="C19" s="309" t="s">
        <v>157</v>
      </c>
      <c r="D19" s="310"/>
      <c r="E19" s="310"/>
      <c r="F19" s="310"/>
      <c r="G19" s="310"/>
      <c r="H19" s="310"/>
      <c r="I19" s="310"/>
      <c r="J19" s="310"/>
      <c r="K19" s="310"/>
      <c r="M19" s="102"/>
    </row>
    <row r="20" spans="1:13" s="101" customFormat="1" x14ac:dyDescent="0.2">
      <c r="A20" s="100"/>
      <c r="C20" s="310"/>
      <c r="D20" s="310"/>
      <c r="E20" s="310"/>
      <c r="F20" s="310"/>
      <c r="G20" s="310"/>
      <c r="H20" s="310"/>
      <c r="I20" s="310"/>
      <c r="J20" s="310"/>
      <c r="K20" s="310"/>
      <c r="M20" s="102"/>
    </row>
    <row r="21" spans="1:13" s="101" customFormat="1" x14ac:dyDescent="0.2">
      <c r="A21" s="100"/>
      <c r="C21" s="310"/>
      <c r="D21" s="310"/>
      <c r="E21" s="310"/>
      <c r="F21" s="310"/>
      <c r="G21" s="310"/>
      <c r="H21" s="310"/>
      <c r="I21" s="310"/>
      <c r="J21" s="310"/>
      <c r="K21" s="310"/>
      <c r="M21" s="102"/>
    </row>
    <row r="22" spans="1:13" s="101" customFormat="1" x14ac:dyDescent="0.2">
      <c r="A22" s="100"/>
      <c r="C22" s="310"/>
      <c r="D22" s="310"/>
      <c r="E22" s="310"/>
      <c r="F22" s="310"/>
      <c r="G22" s="310"/>
      <c r="H22" s="310"/>
      <c r="I22" s="310"/>
      <c r="J22" s="310"/>
      <c r="K22" s="310"/>
      <c r="M22" s="102"/>
    </row>
    <row r="23" spans="1:13" s="101" customFormat="1" x14ac:dyDescent="0.2">
      <c r="A23" s="100"/>
      <c r="C23" s="310"/>
      <c r="D23" s="310"/>
      <c r="E23" s="310"/>
      <c r="F23" s="310"/>
      <c r="G23" s="310"/>
      <c r="H23" s="310"/>
      <c r="I23" s="310"/>
      <c r="J23" s="310"/>
      <c r="K23" s="310"/>
      <c r="M23" s="102"/>
    </row>
    <row r="24" spans="1:13" s="101" customFormat="1" x14ac:dyDescent="0.2">
      <c r="A24" s="100"/>
      <c r="C24" s="310"/>
      <c r="D24" s="310"/>
      <c r="E24" s="310"/>
      <c r="F24" s="310"/>
      <c r="G24" s="310"/>
      <c r="H24" s="310"/>
      <c r="I24" s="310"/>
      <c r="J24" s="310"/>
      <c r="K24" s="310"/>
      <c r="M24" s="102"/>
    </row>
    <row r="25" spans="1:13" s="101" customFormat="1" x14ac:dyDescent="0.2">
      <c r="A25" s="100"/>
      <c r="C25" s="310"/>
      <c r="D25" s="310"/>
      <c r="E25" s="310"/>
      <c r="F25" s="310"/>
      <c r="G25" s="310"/>
      <c r="H25" s="310"/>
      <c r="I25" s="310"/>
      <c r="J25" s="310"/>
      <c r="K25" s="310"/>
      <c r="M25" s="102"/>
    </row>
    <row r="26" spans="1:13" s="101" customFormat="1" x14ac:dyDescent="0.2">
      <c r="A26" s="100"/>
      <c r="C26" s="310"/>
      <c r="D26" s="310"/>
      <c r="E26" s="310"/>
      <c r="F26" s="310"/>
      <c r="G26" s="310"/>
      <c r="H26" s="310"/>
      <c r="I26" s="310"/>
      <c r="J26" s="310"/>
      <c r="K26" s="310"/>
      <c r="M26" s="102"/>
    </row>
    <row r="27" spans="1:13" s="101" customFormat="1" x14ac:dyDescent="0.2">
      <c r="A27" s="100"/>
      <c r="C27" s="310"/>
      <c r="D27" s="310"/>
      <c r="E27" s="310"/>
      <c r="F27" s="310"/>
      <c r="G27" s="310"/>
      <c r="H27" s="310"/>
      <c r="I27" s="310"/>
      <c r="J27" s="310"/>
      <c r="K27" s="310"/>
      <c r="M27" s="102"/>
    </row>
    <row r="28" spans="1:13" s="101" customFormat="1" x14ac:dyDescent="0.2">
      <c r="A28" s="100"/>
      <c r="C28" s="310"/>
      <c r="D28" s="310"/>
      <c r="E28" s="310"/>
      <c r="F28" s="310"/>
      <c r="G28" s="310"/>
      <c r="H28" s="310"/>
      <c r="I28" s="310"/>
      <c r="J28" s="310"/>
      <c r="K28" s="310"/>
      <c r="M28" s="102"/>
    </row>
    <row r="29" spans="1:13" s="101" customFormat="1" x14ac:dyDescent="0.2">
      <c r="A29" s="100"/>
      <c r="C29" s="105"/>
      <c r="D29" s="105"/>
      <c r="E29" s="105"/>
      <c r="F29" s="105"/>
      <c r="G29" s="105"/>
      <c r="H29" s="105"/>
      <c r="I29" s="105"/>
      <c r="J29" s="105"/>
      <c r="K29" s="105"/>
      <c r="M29" s="102"/>
    </row>
    <row r="30" spans="1:13" s="101" customFormat="1" ht="19" x14ac:dyDescent="0.25">
      <c r="A30" s="100"/>
      <c r="C30" s="106" t="s">
        <v>158</v>
      </c>
      <c r="D30" s="105"/>
      <c r="E30" s="105"/>
      <c r="F30" s="105"/>
      <c r="G30" s="105"/>
      <c r="H30" s="105"/>
      <c r="I30" s="105"/>
      <c r="J30" s="105"/>
      <c r="K30" s="105"/>
      <c r="M30" s="102"/>
    </row>
    <row r="31" spans="1:13" s="101" customFormat="1" x14ac:dyDescent="0.2">
      <c r="A31" s="100"/>
      <c r="C31" s="309" t="s">
        <v>159</v>
      </c>
      <c r="D31" s="309"/>
      <c r="E31" s="309"/>
      <c r="F31" s="309"/>
      <c r="G31" s="309"/>
      <c r="H31" s="309"/>
      <c r="I31" s="309"/>
      <c r="J31" s="309"/>
      <c r="K31" s="309"/>
      <c r="M31" s="102"/>
    </row>
    <row r="32" spans="1:13" s="101" customFormat="1" x14ac:dyDescent="0.2">
      <c r="A32" s="100"/>
      <c r="C32" s="309"/>
      <c r="D32" s="309"/>
      <c r="E32" s="309"/>
      <c r="F32" s="309"/>
      <c r="G32" s="309"/>
      <c r="H32" s="309"/>
      <c r="I32" s="309"/>
      <c r="J32" s="309"/>
      <c r="K32" s="309"/>
      <c r="M32" s="102"/>
    </row>
    <row r="33" spans="1:13" s="101" customFormat="1" x14ac:dyDescent="0.2">
      <c r="A33" s="100"/>
      <c r="C33" s="309"/>
      <c r="D33" s="309"/>
      <c r="E33" s="309"/>
      <c r="F33" s="309"/>
      <c r="G33" s="309"/>
      <c r="H33" s="309"/>
      <c r="I33" s="309"/>
      <c r="J33" s="309"/>
      <c r="K33" s="309"/>
      <c r="M33" s="102"/>
    </row>
    <row r="34" spans="1:13" s="101" customFormat="1" x14ac:dyDescent="0.2">
      <c r="A34" s="100"/>
      <c r="C34" s="309"/>
      <c r="D34" s="309"/>
      <c r="E34" s="309"/>
      <c r="F34" s="309"/>
      <c r="G34" s="309"/>
      <c r="H34" s="309"/>
      <c r="I34" s="309"/>
      <c r="J34" s="309"/>
      <c r="K34" s="309"/>
      <c r="M34" s="102"/>
    </row>
    <row r="35" spans="1:13" s="101" customFormat="1" x14ac:dyDescent="0.2">
      <c r="A35" s="100"/>
      <c r="C35" s="309"/>
      <c r="D35" s="309"/>
      <c r="E35" s="309"/>
      <c r="F35" s="309"/>
      <c r="G35" s="309"/>
      <c r="H35" s="309"/>
      <c r="I35" s="309"/>
      <c r="J35" s="309"/>
      <c r="K35" s="309"/>
      <c r="M35" s="102"/>
    </row>
    <row r="36" spans="1:13" s="101" customFormat="1" x14ac:dyDescent="0.2">
      <c r="A36" s="100"/>
      <c r="C36" s="309"/>
      <c r="D36" s="309"/>
      <c r="E36" s="309"/>
      <c r="F36" s="309"/>
      <c r="G36" s="309"/>
      <c r="H36" s="309"/>
      <c r="I36" s="309"/>
      <c r="J36" s="309"/>
      <c r="K36" s="309"/>
      <c r="M36" s="102"/>
    </row>
    <row r="37" spans="1:13" s="101" customFormat="1" x14ac:dyDescent="0.2">
      <c r="A37" s="100"/>
      <c r="C37" s="309"/>
      <c r="D37" s="309"/>
      <c r="E37" s="309"/>
      <c r="F37" s="309"/>
      <c r="G37" s="309"/>
      <c r="H37" s="309"/>
      <c r="I37" s="309"/>
      <c r="J37" s="309"/>
      <c r="K37" s="309"/>
      <c r="M37" s="102"/>
    </row>
    <row r="38" spans="1:13" s="101" customFormat="1" x14ac:dyDescent="0.2">
      <c r="A38" s="100"/>
      <c r="C38" s="309"/>
      <c r="D38" s="309"/>
      <c r="E38" s="309"/>
      <c r="F38" s="309"/>
      <c r="G38" s="309"/>
      <c r="H38" s="309"/>
      <c r="I38" s="309"/>
      <c r="J38" s="309"/>
      <c r="K38" s="309"/>
      <c r="M38" s="102"/>
    </row>
    <row r="39" spans="1:13" s="101" customFormat="1" x14ac:dyDescent="0.2">
      <c r="A39" s="100"/>
      <c r="C39" s="309"/>
      <c r="D39" s="309"/>
      <c r="E39" s="309"/>
      <c r="F39" s="309"/>
      <c r="G39" s="309"/>
      <c r="H39" s="309"/>
      <c r="I39" s="309"/>
      <c r="J39" s="309"/>
      <c r="K39" s="309"/>
      <c r="M39" s="102"/>
    </row>
    <row r="40" spans="1:13" s="101" customFormat="1" x14ac:dyDescent="0.2">
      <c r="A40" s="100"/>
      <c r="C40" s="107"/>
      <c r="D40" s="107"/>
      <c r="E40" s="107"/>
      <c r="F40" s="107"/>
      <c r="G40" s="107"/>
      <c r="H40" s="107"/>
      <c r="I40" s="107"/>
      <c r="J40" s="107"/>
      <c r="K40" s="107"/>
      <c r="M40" s="102"/>
    </row>
    <row r="41" spans="1:13" s="101" customFormat="1" ht="21" x14ac:dyDescent="0.25">
      <c r="A41" s="100"/>
      <c r="B41" s="104" t="s">
        <v>160</v>
      </c>
      <c r="M41" s="102"/>
    </row>
    <row r="42" spans="1:13" s="101" customFormat="1" x14ac:dyDescent="0.2">
      <c r="A42" s="100"/>
      <c r="C42" s="311" t="s">
        <v>602</v>
      </c>
      <c r="D42" s="310"/>
      <c r="E42" s="310"/>
      <c r="F42" s="310"/>
      <c r="G42" s="310"/>
      <c r="H42" s="310"/>
      <c r="I42" s="310"/>
      <c r="J42" s="310"/>
      <c r="K42" s="310"/>
      <c r="M42" s="102"/>
    </row>
    <row r="43" spans="1:13" s="101" customFormat="1" x14ac:dyDescent="0.2">
      <c r="A43" s="100"/>
      <c r="C43" s="310"/>
      <c r="D43" s="310"/>
      <c r="E43" s="310"/>
      <c r="F43" s="310"/>
      <c r="G43" s="310"/>
      <c r="H43" s="310"/>
      <c r="I43" s="310"/>
      <c r="J43" s="310"/>
      <c r="K43" s="310"/>
      <c r="M43" s="102"/>
    </row>
    <row r="44" spans="1:13" s="101" customFormat="1" x14ac:dyDescent="0.2">
      <c r="A44" s="100"/>
      <c r="C44" s="310"/>
      <c r="D44" s="310"/>
      <c r="E44" s="310"/>
      <c r="F44" s="310"/>
      <c r="G44" s="310"/>
      <c r="H44" s="310"/>
      <c r="I44" s="310"/>
      <c r="J44" s="310"/>
      <c r="K44" s="310"/>
      <c r="M44" s="102"/>
    </row>
    <row r="45" spans="1:13" s="101" customFormat="1" x14ac:dyDescent="0.2">
      <c r="A45" s="100"/>
      <c r="C45" s="310"/>
      <c r="D45" s="310"/>
      <c r="E45" s="310"/>
      <c r="F45" s="310"/>
      <c r="G45" s="310"/>
      <c r="H45" s="310"/>
      <c r="I45" s="310"/>
      <c r="J45" s="310"/>
      <c r="K45" s="310"/>
      <c r="M45" s="102"/>
    </row>
    <row r="46" spans="1:13" s="101" customFormat="1" x14ac:dyDescent="0.2">
      <c r="A46" s="100"/>
      <c r="C46" s="310"/>
      <c r="D46" s="310"/>
      <c r="E46" s="310"/>
      <c r="F46" s="310"/>
      <c r="G46" s="310"/>
      <c r="H46" s="310"/>
      <c r="I46" s="310"/>
      <c r="J46" s="310"/>
      <c r="K46" s="310"/>
      <c r="M46" s="102"/>
    </row>
    <row r="47" spans="1:13" s="101" customFormat="1" x14ac:dyDescent="0.2">
      <c r="A47" s="100"/>
      <c r="C47" s="310"/>
      <c r="D47" s="310"/>
      <c r="E47" s="310"/>
      <c r="F47" s="310"/>
      <c r="G47" s="310"/>
      <c r="H47" s="310"/>
      <c r="I47" s="310"/>
      <c r="J47" s="310"/>
      <c r="K47" s="310"/>
      <c r="M47" s="102"/>
    </row>
    <row r="48" spans="1:13" s="101" customFormat="1" x14ac:dyDescent="0.2">
      <c r="A48" s="100"/>
      <c r="C48" s="310"/>
      <c r="D48" s="310"/>
      <c r="E48" s="310"/>
      <c r="F48" s="310"/>
      <c r="G48" s="310"/>
      <c r="H48" s="310"/>
      <c r="I48" s="310"/>
      <c r="J48" s="310"/>
      <c r="K48" s="310"/>
      <c r="M48" s="102"/>
    </row>
    <row r="49" spans="1:13" s="101" customFormat="1" x14ac:dyDescent="0.2">
      <c r="A49" s="100"/>
      <c r="C49" s="310"/>
      <c r="D49" s="310"/>
      <c r="E49" s="310"/>
      <c r="F49" s="310"/>
      <c r="G49" s="310"/>
      <c r="H49" s="310"/>
      <c r="I49" s="310"/>
      <c r="J49" s="310"/>
      <c r="K49" s="310"/>
      <c r="M49" s="102"/>
    </row>
    <row r="50" spans="1:13" s="101" customFormat="1" x14ac:dyDescent="0.2">
      <c r="A50" s="100"/>
      <c r="C50" s="310"/>
      <c r="D50" s="310"/>
      <c r="E50" s="310"/>
      <c r="F50" s="310"/>
      <c r="G50" s="310"/>
      <c r="H50" s="310"/>
      <c r="I50" s="310"/>
      <c r="J50" s="310"/>
      <c r="K50" s="310"/>
      <c r="M50" s="102"/>
    </row>
    <row r="51" spans="1:13" s="101" customFormat="1" x14ac:dyDescent="0.2">
      <c r="A51" s="100"/>
      <c r="C51" s="107"/>
      <c r="D51" s="107"/>
      <c r="E51" s="107"/>
      <c r="F51" s="107"/>
      <c r="G51" s="107"/>
      <c r="H51" s="107"/>
      <c r="I51" s="107"/>
      <c r="J51" s="107"/>
      <c r="K51" s="107"/>
      <c r="M51" s="102"/>
    </row>
    <row r="52" spans="1:13" ht="17" thickBot="1" x14ac:dyDescent="0.25">
      <c r="A52" s="108"/>
      <c r="B52" s="109"/>
      <c r="C52" s="109"/>
      <c r="D52" s="109"/>
      <c r="E52" s="109"/>
      <c r="F52" s="109"/>
      <c r="G52" s="109"/>
      <c r="H52" s="109"/>
      <c r="I52" s="109"/>
      <c r="J52" s="109"/>
      <c r="K52" s="109"/>
      <c r="L52" s="109"/>
      <c r="M52" s="110"/>
    </row>
  </sheetData>
  <mergeCells count="4">
    <mergeCell ref="C9:K16"/>
    <mergeCell ref="C19:K28"/>
    <mergeCell ref="C31:K39"/>
    <mergeCell ref="C42:K50"/>
  </mergeCells>
  <hyperlinks>
    <hyperlink ref="B6" r:id="rId1" xr:uid="{739433B0-1D92-DF4E-83C0-AD47404B9D7E}"/>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200"/>
  <sheetViews>
    <sheetView zoomScaleNormal="100" workbookViewId="0"/>
  </sheetViews>
  <sheetFormatPr baseColWidth="10" defaultColWidth="10.83203125" defaultRowHeight="16" outlineLevelCol="1" x14ac:dyDescent="0.2"/>
  <cols>
    <col min="1" max="1" width="4.6640625" style="49" customWidth="1"/>
    <col min="2" max="4" width="10.83203125" style="49" customWidth="1"/>
    <col min="5" max="5" width="11.5" style="49" customWidth="1"/>
    <col min="6" max="6" width="11.6640625" style="49" customWidth="1"/>
    <col min="7" max="10" width="10.83203125" style="49" customWidth="1"/>
    <col min="11" max="11" width="11.5" style="49" bestFit="1" customWidth="1"/>
    <col min="12" max="13" width="15.33203125" style="49" hidden="1" customWidth="1" outlineLevel="1"/>
    <col min="14" max="20" width="10.83203125" style="49" hidden="1" customWidth="1" outlineLevel="1"/>
    <col min="21" max="21" width="10.83203125" style="49" collapsed="1"/>
    <col min="22" max="16384" width="10.83203125" style="49"/>
  </cols>
  <sheetData>
    <row r="1" spans="1:18" ht="19" x14ac:dyDescent="0.25">
      <c r="A1" s="1" t="s">
        <v>136</v>
      </c>
      <c r="B1" s="12"/>
      <c r="C1" s="46"/>
      <c r="D1" s="46"/>
      <c r="E1" s="46"/>
      <c r="F1" s="47"/>
      <c r="G1" s="47"/>
      <c r="H1" s="47"/>
      <c r="I1" s="47"/>
      <c r="J1" s="48"/>
      <c r="K1" s="33" t="s">
        <v>135</v>
      </c>
    </row>
    <row r="2" spans="1:18" x14ac:dyDescent="0.2">
      <c r="A2" s="50"/>
      <c r="B2" s="47"/>
      <c r="C2" s="47"/>
      <c r="D2" s="47"/>
      <c r="E2" s="47"/>
      <c r="F2" s="47"/>
      <c r="G2" s="47"/>
      <c r="H2" s="47"/>
      <c r="I2" s="47"/>
      <c r="J2" s="48"/>
      <c r="L2" s="13" t="s">
        <v>105</v>
      </c>
    </row>
    <row r="3" spans="1:18" x14ac:dyDescent="0.2">
      <c r="A3" s="50"/>
      <c r="B3" s="47" t="s">
        <v>6</v>
      </c>
      <c r="C3" s="47"/>
      <c r="D3" s="47"/>
      <c r="E3" s="47"/>
      <c r="F3" s="47"/>
      <c r="G3" s="47"/>
      <c r="H3" s="47"/>
      <c r="I3" s="47"/>
      <c r="J3" s="48"/>
      <c r="L3" s="14" t="s">
        <v>89</v>
      </c>
      <c r="M3" s="15" t="s">
        <v>104</v>
      </c>
      <c r="N3" s="15"/>
    </row>
    <row r="4" spans="1:18" x14ac:dyDescent="0.2">
      <c r="A4" s="50"/>
      <c r="B4" s="47"/>
      <c r="C4" s="47"/>
      <c r="D4" s="47"/>
      <c r="E4" s="47"/>
      <c r="F4" s="47"/>
      <c r="G4" s="47"/>
      <c r="H4" s="47"/>
      <c r="I4" s="47"/>
      <c r="J4" s="48"/>
      <c r="L4" s="16" t="s">
        <v>9</v>
      </c>
      <c r="M4" s="17">
        <f>E7/SUM($E$7:$E$8)</f>
        <v>0.6</v>
      </c>
      <c r="N4" s="18"/>
    </row>
    <row r="5" spans="1:18" x14ac:dyDescent="0.2">
      <c r="A5" s="50"/>
      <c r="B5" s="47"/>
      <c r="C5" s="47"/>
      <c r="D5" s="312" t="s">
        <v>16</v>
      </c>
      <c r="E5" s="312"/>
      <c r="F5" s="47"/>
      <c r="G5" s="47"/>
      <c r="H5" s="47"/>
      <c r="I5" s="47"/>
      <c r="J5" s="48"/>
      <c r="L5" s="16" t="s">
        <v>10</v>
      </c>
      <c r="M5" s="17">
        <f>E8/SUM($E$7:$E$8)</f>
        <v>0.4</v>
      </c>
      <c r="N5" s="18"/>
    </row>
    <row r="6" spans="1:18" ht="33" customHeight="1" x14ac:dyDescent="0.2">
      <c r="A6" s="50"/>
      <c r="B6" s="47"/>
      <c r="C6" s="47"/>
      <c r="D6" s="8" t="s">
        <v>7</v>
      </c>
      <c r="E6" s="11" t="s">
        <v>8</v>
      </c>
      <c r="F6" s="47"/>
      <c r="G6" s="47"/>
      <c r="H6" s="47"/>
      <c r="I6" s="47"/>
      <c r="J6" s="48"/>
      <c r="L6" s="13"/>
    </row>
    <row r="7" spans="1:18" ht="17" x14ac:dyDescent="0.2">
      <c r="A7" s="50"/>
      <c r="B7" s="47"/>
      <c r="C7" s="47"/>
      <c r="D7" s="9" t="s">
        <v>9</v>
      </c>
      <c r="E7" s="5">
        <v>210000</v>
      </c>
      <c r="F7" s="47"/>
      <c r="G7" s="47"/>
      <c r="H7" s="47"/>
      <c r="I7" s="47"/>
      <c r="J7" s="48"/>
      <c r="L7" s="19" t="s">
        <v>120</v>
      </c>
    </row>
    <row r="8" spans="1:18" ht="17" x14ac:dyDescent="0.2">
      <c r="A8" s="50"/>
      <c r="B8" s="47"/>
      <c r="C8" s="47"/>
      <c r="D8" s="9" t="s">
        <v>10</v>
      </c>
      <c r="E8" s="5">
        <v>140000</v>
      </c>
      <c r="F8" s="47"/>
      <c r="G8" s="47"/>
      <c r="H8" s="47"/>
      <c r="I8" s="47"/>
      <c r="J8" s="48"/>
      <c r="L8" s="13"/>
    </row>
    <row r="9" spans="1:18" x14ac:dyDescent="0.2">
      <c r="A9" s="50"/>
      <c r="B9" s="47"/>
      <c r="C9" s="47"/>
      <c r="D9" s="47"/>
      <c r="E9" s="47"/>
      <c r="F9" s="47"/>
      <c r="G9" s="47"/>
      <c r="H9" s="47"/>
      <c r="I9" s="47"/>
      <c r="J9" s="48"/>
      <c r="L9" s="13" t="s">
        <v>106</v>
      </c>
      <c r="P9" s="19" t="s">
        <v>107</v>
      </c>
    </row>
    <row r="10" spans="1:18" x14ac:dyDescent="0.2">
      <c r="A10" s="50"/>
      <c r="B10" s="47" t="s">
        <v>11</v>
      </c>
      <c r="C10" s="47"/>
      <c r="D10" s="47"/>
      <c r="E10" s="47"/>
      <c r="F10" s="47"/>
      <c r="G10" s="47"/>
      <c r="H10" s="47"/>
      <c r="I10" s="47"/>
      <c r="J10" s="48"/>
      <c r="L10" s="14" t="s">
        <v>89</v>
      </c>
      <c r="M10" s="15" t="s">
        <v>108</v>
      </c>
      <c r="N10" s="15"/>
      <c r="O10" s="20"/>
      <c r="P10" s="14" t="s">
        <v>89</v>
      </c>
      <c r="Q10" s="15" t="s">
        <v>108</v>
      </c>
      <c r="R10" s="15"/>
    </row>
    <row r="11" spans="1:18" x14ac:dyDescent="0.2">
      <c r="A11" s="50"/>
      <c r="B11" s="47" t="s">
        <v>12</v>
      </c>
      <c r="C11" s="47"/>
      <c r="D11" s="47"/>
      <c r="E11" s="47"/>
      <c r="F11" s="47"/>
      <c r="G11" s="47"/>
      <c r="H11" s="47"/>
      <c r="I11" s="47"/>
      <c r="J11" s="48"/>
      <c r="L11" s="16" t="s">
        <v>9</v>
      </c>
      <c r="M11" s="17">
        <f>F15/E15</f>
        <v>4.999882189392333E-2</v>
      </c>
      <c r="N11" s="18"/>
      <c r="O11" s="20"/>
      <c r="P11" s="16" t="s">
        <v>9</v>
      </c>
      <c r="Q11" s="51">
        <f>(M11*M4)^2</f>
        <v>8.9995758868089608E-4</v>
      </c>
    </row>
    <row r="12" spans="1:18" x14ac:dyDescent="0.2">
      <c r="A12" s="50"/>
      <c r="B12" s="47"/>
      <c r="C12" s="47"/>
      <c r="D12" s="47"/>
      <c r="E12" s="47"/>
      <c r="F12" s="47"/>
      <c r="G12" s="47"/>
      <c r="H12" s="47"/>
      <c r="I12" s="47"/>
      <c r="J12" s="48"/>
      <c r="L12" s="16" t="s">
        <v>10</v>
      </c>
      <c r="M12" s="17">
        <f>F16/E16</f>
        <v>7.0001430205949663E-2</v>
      </c>
      <c r="N12" s="18"/>
      <c r="O12" s="20"/>
      <c r="P12" s="16" t="s">
        <v>10</v>
      </c>
      <c r="Q12" s="51">
        <f>(M12*M5)^2</f>
        <v>7.8403203694055082E-4</v>
      </c>
    </row>
    <row r="13" spans="1:18" x14ac:dyDescent="0.2">
      <c r="A13" s="50"/>
      <c r="B13" s="47"/>
      <c r="C13" s="47"/>
      <c r="D13" s="312" t="s">
        <v>15</v>
      </c>
      <c r="E13" s="312"/>
      <c r="F13" s="312"/>
      <c r="G13" s="47"/>
      <c r="H13" s="47"/>
      <c r="I13" s="47"/>
      <c r="J13" s="48"/>
    </row>
    <row r="14" spans="1:18" ht="34" x14ac:dyDescent="0.2">
      <c r="A14" s="50"/>
      <c r="B14" s="47"/>
      <c r="C14" s="47"/>
      <c r="D14" s="8" t="s">
        <v>7</v>
      </c>
      <c r="E14" s="11" t="s">
        <v>13</v>
      </c>
      <c r="F14" s="11" t="s">
        <v>14</v>
      </c>
      <c r="G14" s="47"/>
      <c r="H14" s="47"/>
      <c r="I14" s="47"/>
      <c r="J14" s="48"/>
      <c r="L14" s="13" t="s">
        <v>109</v>
      </c>
      <c r="N14" s="21">
        <f>SQRT(SUM(Q11:Q12))</f>
        <v>4.1036442653103432E-2</v>
      </c>
    </row>
    <row r="15" spans="1:18" ht="17" x14ac:dyDescent="0.2">
      <c r="A15" s="50"/>
      <c r="B15" s="47"/>
      <c r="C15" s="47"/>
      <c r="D15" s="9" t="s">
        <v>9</v>
      </c>
      <c r="E15" s="5">
        <v>212205</v>
      </c>
      <c r="F15" s="5">
        <v>10610</v>
      </c>
      <c r="G15" s="47"/>
      <c r="H15" s="47"/>
      <c r="I15" s="47"/>
      <c r="J15" s="48"/>
    </row>
    <row r="16" spans="1:18" ht="17" x14ac:dyDescent="0.2">
      <c r="A16" s="50"/>
      <c r="B16" s="47"/>
      <c r="C16" s="47"/>
      <c r="D16" s="9" t="s">
        <v>10</v>
      </c>
      <c r="E16" s="5">
        <v>139840</v>
      </c>
      <c r="F16" s="5">
        <v>9789</v>
      </c>
      <c r="G16" s="47"/>
      <c r="H16" s="47"/>
      <c r="I16" s="47"/>
      <c r="J16" s="48"/>
      <c r="L16" s="49" t="s">
        <v>121</v>
      </c>
    </row>
    <row r="17" spans="1:19" x14ac:dyDescent="0.2">
      <c r="A17" s="50"/>
      <c r="B17" s="47"/>
      <c r="C17" s="47"/>
      <c r="D17" s="47"/>
      <c r="E17" s="47"/>
      <c r="F17" s="47"/>
      <c r="G17" s="47"/>
      <c r="H17" s="47"/>
      <c r="I17" s="47"/>
      <c r="J17" s="48"/>
    </row>
    <row r="18" spans="1:19" x14ac:dyDescent="0.2">
      <c r="A18" s="50"/>
      <c r="B18" s="47" t="s">
        <v>17</v>
      </c>
      <c r="C18" s="47"/>
      <c r="D18" s="47"/>
      <c r="E18" s="47"/>
      <c r="F18" s="47"/>
      <c r="G18" s="47"/>
      <c r="H18" s="47"/>
      <c r="I18" s="47"/>
      <c r="J18" s="48"/>
      <c r="L18" s="13" t="s">
        <v>111</v>
      </c>
      <c r="P18" s="13" t="s">
        <v>110</v>
      </c>
    </row>
    <row r="19" spans="1:19" x14ac:dyDescent="0.2">
      <c r="A19" s="50"/>
      <c r="B19" s="47" t="s">
        <v>18</v>
      </c>
      <c r="C19" s="47"/>
      <c r="D19" s="47"/>
      <c r="E19" s="47"/>
      <c r="F19" s="47"/>
      <c r="G19" s="47"/>
      <c r="H19" s="47"/>
      <c r="I19" s="47"/>
      <c r="J19" s="48"/>
      <c r="L19" s="14" t="s">
        <v>89</v>
      </c>
      <c r="M19" s="15" t="s">
        <v>108</v>
      </c>
      <c r="N19" s="20"/>
      <c r="P19" s="22"/>
      <c r="Q19" s="23" t="s">
        <v>20</v>
      </c>
      <c r="R19" s="23" t="s">
        <v>21</v>
      </c>
    </row>
    <row r="20" spans="1:19" x14ac:dyDescent="0.2">
      <c r="A20" s="50"/>
      <c r="B20" s="47"/>
      <c r="C20" s="47"/>
      <c r="D20" s="47"/>
      <c r="E20" s="47"/>
      <c r="F20" s="47"/>
      <c r="G20" s="47"/>
      <c r="H20" s="47"/>
      <c r="I20" s="47"/>
      <c r="J20" s="48"/>
      <c r="L20" s="16" t="s">
        <v>9</v>
      </c>
      <c r="M20" s="17">
        <f>E31</f>
        <v>0.05</v>
      </c>
      <c r="N20" s="18"/>
      <c r="P20" s="24" t="s">
        <v>20</v>
      </c>
      <c r="Q20" s="25">
        <f>G23</f>
        <v>1</v>
      </c>
      <c r="R20" s="18">
        <f>H23</f>
        <v>0.5</v>
      </c>
    </row>
    <row r="21" spans="1:19" x14ac:dyDescent="0.2">
      <c r="A21" s="50"/>
      <c r="B21" s="47"/>
      <c r="C21" s="26" t="s">
        <v>22</v>
      </c>
      <c r="D21" s="47"/>
      <c r="E21" s="47"/>
      <c r="F21" s="26" t="s">
        <v>23</v>
      </c>
      <c r="G21" s="47"/>
      <c r="H21" s="47"/>
      <c r="I21" s="47"/>
      <c r="J21" s="48"/>
      <c r="L21" s="16" t="s">
        <v>10</v>
      </c>
      <c r="M21" s="17">
        <f>F30</f>
        <v>0.08</v>
      </c>
      <c r="N21" s="18"/>
      <c r="P21" s="24" t="s">
        <v>21</v>
      </c>
      <c r="Q21" s="18">
        <f>G24</f>
        <v>0.5</v>
      </c>
      <c r="R21" s="25">
        <f>H24</f>
        <v>1</v>
      </c>
    </row>
    <row r="22" spans="1:19" ht="17" x14ac:dyDescent="0.2">
      <c r="A22" s="50"/>
      <c r="B22" s="47"/>
      <c r="C22" s="8"/>
      <c r="D22" s="11" t="s">
        <v>19</v>
      </c>
      <c r="E22" s="47"/>
      <c r="F22" s="8"/>
      <c r="G22" s="11" t="s">
        <v>20</v>
      </c>
      <c r="H22" s="11" t="s">
        <v>21</v>
      </c>
      <c r="I22" s="47"/>
      <c r="J22" s="48"/>
      <c r="P22" s="24"/>
      <c r="Q22" s="18"/>
      <c r="R22" s="18"/>
    </row>
    <row r="23" spans="1:19" ht="17" x14ac:dyDescent="0.2">
      <c r="A23" s="50"/>
      <c r="B23" s="47"/>
      <c r="C23" s="9" t="s">
        <v>20</v>
      </c>
      <c r="D23" s="7">
        <v>4.3</v>
      </c>
      <c r="E23" s="47"/>
      <c r="F23" s="9" t="s">
        <v>20</v>
      </c>
      <c r="G23" s="6">
        <v>1</v>
      </c>
      <c r="H23" s="6">
        <v>0.5</v>
      </c>
      <c r="I23" s="47"/>
      <c r="J23" s="48"/>
      <c r="L23" s="13" t="s">
        <v>112</v>
      </c>
    </row>
    <row r="24" spans="1:19" ht="17" x14ac:dyDescent="0.2">
      <c r="A24" s="50"/>
      <c r="B24" s="47"/>
      <c r="C24" s="9" t="s">
        <v>21</v>
      </c>
      <c r="D24" s="7">
        <v>3.3</v>
      </c>
      <c r="E24" s="47"/>
      <c r="F24" s="9" t="s">
        <v>21</v>
      </c>
      <c r="G24" s="6">
        <v>0.5</v>
      </c>
      <c r="H24" s="6">
        <v>1</v>
      </c>
      <c r="I24" s="47"/>
      <c r="J24" s="48"/>
      <c r="L24" s="22"/>
      <c r="M24" s="23" t="s">
        <v>20</v>
      </c>
      <c r="N24" s="23" t="s">
        <v>21</v>
      </c>
      <c r="O24" s="13" t="s">
        <v>50</v>
      </c>
      <c r="P24" s="13" t="s">
        <v>113</v>
      </c>
    </row>
    <row r="25" spans="1:19" x14ac:dyDescent="0.2">
      <c r="A25" s="50"/>
      <c r="B25" s="47"/>
      <c r="C25" s="47"/>
      <c r="D25" s="47"/>
      <c r="E25" s="47"/>
      <c r="F25" s="47"/>
      <c r="G25" s="47"/>
      <c r="H25" s="47"/>
      <c r="I25" s="47"/>
      <c r="J25" s="48"/>
      <c r="L25" s="24" t="s">
        <v>20</v>
      </c>
      <c r="M25" s="27">
        <f>Q20*M$27*M$28*$O25*$P25</f>
        <v>8.9999999999999998E-4</v>
      </c>
      <c r="N25" s="27">
        <f>R20*N$27*N$28*$O25*$P25</f>
        <v>4.8000000000000001E-4</v>
      </c>
      <c r="O25" s="18">
        <f>M20</f>
        <v>0.05</v>
      </c>
      <c r="P25" s="18">
        <f>M4</f>
        <v>0.6</v>
      </c>
    </row>
    <row r="26" spans="1:19" x14ac:dyDescent="0.2">
      <c r="A26" s="50"/>
      <c r="B26" s="47"/>
      <c r="C26" s="47"/>
      <c r="D26" s="312" t="s">
        <v>27</v>
      </c>
      <c r="E26" s="312"/>
      <c r="F26" s="312"/>
      <c r="G26" s="47"/>
      <c r="H26" s="47"/>
      <c r="I26" s="47"/>
      <c r="J26" s="48"/>
      <c r="L26" s="24" t="s">
        <v>21</v>
      </c>
      <c r="M26" s="27">
        <f>Q21*M$27*M$28*$O26*$P26</f>
        <v>4.7999999999999996E-4</v>
      </c>
      <c r="N26" s="27">
        <f>R21*N$27*N$28*$O26*$P26</f>
        <v>1.0240000000000002E-3</v>
      </c>
      <c r="O26" s="18">
        <f>M21</f>
        <v>0.08</v>
      </c>
      <c r="P26" s="18">
        <f>M5</f>
        <v>0.4</v>
      </c>
    </row>
    <row r="27" spans="1:19" ht="51" x14ac:dyDescent="0.2">
      <c r="A27" s="50"/>
      <c r="B27" s="47"/>
      <c r="C27" s="47"/>
      <c r="D27" s="8" t="s">
        <v>24</v>
      </c>
      <c r="E27" s="11" t="s">
        <v>25</v>
      </c>
      <c r="F27" s="11" t="s">
        <v>26</v>
      </c>
      <c r="G27" s="47"/>
      <c r="H27" s="47"/>
      <c r="I27" s="47"/>
      <c r="J27" s="48"/>
      <c r="L27" s="13" t="s">
        <v>50</v>
      </c>
      <c r="M27" s="18">
        <f>M20</f>
        <v>0.05</v>
      </c>
      <c r="N27" s="18">
        <f>M21</f>
        <v>0.08</v>
      </c>
    </row>
    <row r="28" spans="1:19" ht="17" x14ac:dyDescent="0.2">
      <c r="A28" s="50"/>
      <c r="B28" s="47"/>
      <c r="C28" s="47"/>
      <c r="D28" s="44" t="s">
        <v>52</v>
      </c>
      <c r="E28" s="6">
        <v>0.16</v>
      </c>
      <c r="F28" s="6">
        <v>0.18</v>
      </c>
      <c r="G28" s="47"/>
      <c r="H28" s="47"/>
      <c r="I28" s="47"/>
      <c r="J28" s="48"/>
      <c r="L28" s="13" t="s">
        <v>113</v>
      </c>
      <c r="M28" s="18">
        <f>M4</f>
        <v>0.6</v>
      </c>
      <c r="N28" s="18">
        <f>M5</f>
        <v>0.4</v>
      </c>
    </row>
    <row r="29" spans="1:19" ht="17" x14ac:dyDescent="0.2">
      <c r="A29" s="50"/>
      <c r="B29" s="47"/>
      <c r="C29" s="47"/>
      <c r="D29" s="44" t="s">
        <v>53</v>
      </c>
      <c r="E29" s="6">
        <v>0.1</v>
      </c>
      <c r="F29" s="6">
        <v>0.11</v>
      </c>
      <c r="G29" s="47"/>
      <c r="H29" s="47"/>
      <c r="I29" s="47"/>
      <c r="J29" s="48"/>
    </row>
    <row r="30" spans="1:19" ht="17" x14ac:dyDescent="0.2">
      <c r="A30" s="50"/>
      <c r="B30" s="47"/>
      <c r="C30" s="47"/>
      <c r="D30" s="44" t="s">
        <v>54</v>
      </c>
      <c r="E30" s="6">
        <v>7.0000000000000007E-2</v>
      </c>
      <c r="F30" s="6">
        <v>0.08</v>
      </c>
      <c r="G30" s="47"/>
      <c r="H30" s="47"/>
      <c r="I30" s="47"/>
      <c r="J30" s="48"/>
      <c r="L30" s="13" t="s">
        <v>114</v>
      </c>
      <c r="M30" s="13"/>
      <c r="N30" s="21">
        <f>SQRT(SUM(M25:N26))</f>
        <v>5.3702886328390209E-2</v>
      </c>
    </row>
    <row r="31" spans="1:19" ht="17" x14ac:dyDescent="0.2">
      <c r="A31" s="50"/>
      <c r="B31" s="47"/>
      <c r="C31" s="47"/>
      <c r="D31" s="44" t="s">
        <v>55</v>
      </c>
      <c r="E31" s="6">
        <v>0.05</v>
      </c>
      <c r="F31" s="6">
        <v>0.06</v>
      </c>
      <c r="G31" s="47"/>
      <c r="H31" s="47"/>
      <c r="I31" s="47"/>
      <c r="J31" s="48"/>
    </row>
    <row r="32" spans="1:19" x14ac:dyDescent="0.2">
      <c r="A32" s="50"/>
      <c r="B32" s="47"/>
      <c r="C32" s="47"/>
      <c r="D32" s="47"/>
      <c r="E32" s="47"/>
      <c r="F32" s="47"/>
      <c r="G32" s="47"/>
      <c r="H32" s="47"/>
      <c r="I32" s="47"/>
      <c r="J32" s="48"/>
      <c r="L32" s="19" t="s">
        <v>28</v>
      </c>
      <c r="R32" s="28"/>
      <c r="S32" s="28"/>
    </row>
    <row r="33" spans="1:21" x14ac:dyDescent="0.2">
      <c r="A33" s="50"/>
      <c r="B33" s="26" t="s">
        <v>28</v>
      </c>
      <c r="C33" s="47"/>
      <c r="D33" s="47"/>
      <c r="E33" s="47"/>
      <c r="F33" s="47"/>
      <c r="G33" s="47"/>
      <c r="H33" s="47"/>
      <c r="I33" s="47"/>
      <c r="J33" s="48"/>
      <c r="R33" s="28"/>
      <c r="S33" s="28"/>
    </row>
    <row r="34" spans="1:21" x14ac:dyDescent="0.2">
      <c r="A34" s="50"/>
      <c r="B34" s="47" t="s">
        <v>29</v>
      </c>
      <c r="C34" s="47"/>
      <c r="D34" s="52">
        <v>2.3E-2</v>
      </c>
      <c r="E34" s="47"/>
      <c r="F34" s="47"/>
      <c r="G34" s="47"/>
      <c r="H34" s="47"/>
      <c r="I34" s="47"/>
      <c r="J34" s="48"/>
      <c r="L34" s="13" t="s">
        <v>115</v>
      </c>
      <c r="M34" s="13"/>
      <c r="N34" s="21">
        <f>SQRT(SUMSQ(D34:D35))</f>
        <v>6.6128662469461752E-2</v>
      </c>
      <c r="R34" s="28"/>
      <c r="S34" s="28"/>
    </row>
    <row r="35" spans="1:21" x14ac:dyDescent="0.2">
      <c r="A35" s="50"/>
      <c r="B35" s="47" t="s">
        <v>30</v>
      </c>
      <c r="C35" s="47"/>
      <c r="D35" s="52">
        <v>6.2E-2</v>
      </c>
      <c r="E35" s="47"/>
      <c r="F35" s="47"/>
      <c r="G35" s="47"/>
      <c r="H35" s="47"/>
      <c r="I35" s="47"/>
      <c r="J35" s="48"/>
      <c r="R35" s="28"/>
      <c r="S35" s="28"/>
    </row>
    <row r="36" spans="1:21" x14ac:dyDescent="0.2">
      <c r="A36" s="50"/>
      <c r="B36" s="47"/>
      <c r="C36" s="47"/>
      <c r="D36" s="47"/>
      <c r="E36" s="47"/>
      <c r="F36" s="47"/>
      <c r="G36" s="47"/>
      <c r="H36" s="47"/>
      <c r="I36" s="47"/>
      <c r="J36" s="48"/>
      <c r="L36" s="49" t="s">
        <v>122</v>
      </c>
      <c r="R36" s="28"/>
      <c r="S36" s="28"/>
    </row>
    <row r="37" spans="1:21" x14ac:dyDescent="0.2">
      <c r="A37" s="50"/>
      <c r="B37" s="47" t="s">
        <v>31</v>
      </c>
      <c r="C37" s="47"/>
      <c r="D37" s="47"/>
      <c r="E37" s="47"/>
      <c r="F37" s="47"/>
      <c r="G37" s="47"/>
      <c r="H37" s="47"/>
      <c r="I37" s="47"/>
      <c r="J37" s="48"/>
    </row>
    <row r="38" spans="1:21" x14ac:dyDescent="0.2">
      <c r="A38" s="50"/>
      <c r="B38" s="47"/>
      <c r="C38" s="47"/>
      <c r="D38" s="47"/>
      <c r="E38" s="47"/>
      <c r="F38" s="47"/>
      <c r="G38" s="47"/>
      <c r="H38" s="47"/>
      <c r="I38" s="47"/>
      <c r="J38" s="48"/>
      <c r="L38" s="13" t="s">
        <v>116</v>
      </c>
      <c r="N38" s="21">
        <f>SQRT(N34^2+N14^2+N30^2)</f>
        <v>9.455680634212138E-2</v>
      </c>
    </row>
    <row r="39" spans="1:21" ht="17" thickBot="1" x14ac:dyDescent="0.25">
      <c r="A39" s="50"/>
      <c r="B39" s="47" t="s">
        <v>32</v>
      </c>
      <c r="C39" s="47"/>
      <c r="D39" s="47"/>
      <c r="E39" s="47"/>
      <c r="F39" s="47"/>
      <c r="G39" s="47"/>
      <c r="H39" s="47"/>
      <c r="I39" s="47"/>
      <c r="J39" s="48"/>
      <c r="P39" s="19" t="s">
        <v>117</v>
      </c>
      <c r="Q39" s="18">
        <v>0.75</v>
      </c>
    </row>
    <row r="40" spans="1:21" ht="17" thickBot="1" x14ac:dyDescent="0.25">
      <c r="A40" s="50"/>
      <c r="B40" s="47"/>
      <c r="C40" s="47"/>
      <c r="D40" s="47"/>
      <c r="E40" s="47"/>
      <c r="F40" s="47"/>
      <c r="G40" s="47"/>
      <c r="H40" s="47"/>
      <c r="I40" s="47"/>
      <c r="J40" s="48"/>
      <c r="L40" s="29" t="s">
        <v>118</v>
      </c>
      <c r="M40" s="30"/>
      <c r="N40" s="31">
        <f>Q40*N38</f>
        <v>6.3731287474589809E-2</v>
      </c>
      <c r="P40" s="19" t="s">
        <v>119</v>
      </c>
      <c r="Q40" s="32">
        <v>0.67400000000000004</v>
      </c>
    </row>
    <row r="41" spans="1:21" ht="17" thickBot="1" x14ac:dyDescent="0.25">
      <c r="A41" s="50"/>
      <c r="B41" s="47"/>
      <c r="C41" s="47"/>
      <c r="D41" s="47"/>
      <c r="E41" s="47"/>
      <c r="F41" s="47"/>
      <c r="G41" s="47"/>
      <c r="H41" s="47"/>
      <c r="I41" s="47"/>
      <c r="J41" s="48"/>
    </row>
    <row r="42" spans="1:21" ht="20" thickBot="1" x14ac:dyDescent="0.25">
      <c r="A42" s="313" t="s">
        <v>134</v>
      </c>
      <c r="B42" s="314"/>
      <c r="C42" s="314"/>
      <c r="D42" s="314"/>
      <c r="E42" s="314"/>
      <c r="F42" s="314"/>
      <c r="G42" s="314"/>
      <c r="H42" s="314"/>
      <c r="I42" s="314"/>
      <c r="J42" s="315"/>
      <c r="L42" s="33" t="s">
        <v>103</v>
      </c>
    </row>
    <row r="43" spans="1:21" ht="16.25" customHeight="1" x14ac:dyDescent="0.2">
      <c r="M43" s="316" t="s">
        <v>133</v>
      </c>
      <c r="N43" s="316"/>
      <c r="O43" s="316"/>
      <c r="P43" s="316"/>
      <c r="Q43" s="316"/>
      <c r="R43" s="316"/>
      <c r="S43" s="316"/>
      <c r="T43" s="53"/>
      <c r="U43" s="53"/>
    </row>
    <row r="44" spans="1:21" s="86" customFormat="1" x14ac:dyDescent="0.2">
      <c r="A44" s="36"/>
      <c r="M44" s="316"/>
      <c r="N44" s="316"/>
      <c r="O44" s="316"/>
      <c r="P44" s="316"/>
      <c r="Q44" s="316"/>
      <c r="R44" s="316"/>
      <c r="S44" s="316"/>
      <c r="T44" s="90"/>
    </row>
    <row r="45" spans="1:21" s="86" customFormat="1" x14ac:dyDescent="0.2">
      <c r="M45" s="316"/>
      <c r="N45" s="316"/>
      <c r="O45" s="316"/>
      <c r="P45" s="316"/>
      <c r="Q45" s="316"/>
      <c r="R45" s="316"/>
      <c r="S45" s="316"/>
      <c r="T45" s="90"/>
    </row>
    <row r="46" spans="1:21" s="86" customFormat="1" x14ac:dyDescent="0.2">
      <c r="M46" s="316"/>
      <c r="N46" s="316"/>
      <c r="O46" s="316"/>
      <c r="P46" s="316"/>
      <c r="Q46" s="316"/>
      <c r="R46" s="316"/>
      <c r="S46" s="316"/>
      <c r="T46" s="90"/>
    </row>
    <row r="47" spans="1:21" s="86" customFormat="1" x14ac:dyDescent="0.2"/>
    <row r="48" spans="1:21" s="86" customFormat="1" ht="19" x14ac:dyDescent="0.25">
      <c r="L48" s="2" t="s">
        <v>143</v>
      </c>
    </row>
    <row r="49" spans="1:12" s="86" customFormat="1" x14ac:dyDescent="0.2">
      <c r="L49" s="86" t="s">
        <v>142</v>
      </c>
    </row>
    <row r="50" spans="1:12" s="86" customFormat="1" x14ac:dyDescent="0.2"/>
    <row r="51" spans="1:12" s="86" customFormat="1" x14ac:dyDescent="0.2"/>
    <row r="52" spans="1:12" s="86" customFormat="1" x14ac:dyDescent="0.2"/>
    <row r="53" spans="1:12" s="86" customFormat="1" x14ac:dyDescent="0.2"/>
    <row r="54" spans="1:12" s="86" customFormat="1" x14ac:dyDescent="0.2">
      <c r="A54" s="34"/>
    </row>
    <row r="55" spans="1:12" s="86" customFormat="1" x14ac:dyDescent="0.2"/>
    <row r="56" spans="1:12" s="86" customFormat="1" x14ac:dyDescent="0.2"/>
    <row r="57" spans="1:12" s="86" customFormat="1" x14ac:dyDescent="0.2"/>
    <row r="58" spans="1:12" s="86" customFormat="1" x14ac:dyDescent="0.2"/>
    <row r="59" spans="1:12" s="86" customFormat="1" x14ac:dyDescent="0.2"/>
    <row r="60" spans="1:12" s="86" customFormat="1" x14ac:dyDescent="0.2"/>
    <row r="61" spans="1:12" s="86" customFormat="1" x14ac:dyDescent="0.2"/>
    <row r="62" spans="1:12" s="86" customFormat="1" x14ac:dyDescent="0.2"/>
    <row r="63" spans="1:12" s="86" customFormat="1" x14ac:dyDescent="0.2"/>
    <row r="64" spans="1:12" s="86" customFormat="1" x14ac:dyDescent="0.2"/>
    <row r="65" spans="1:13" s="86" customFormat="1" x14ac:dyDescent="0.2"/>
    <row r="66" spans="1:13" s="86" customFormat="1" x14ac:dyDescent="0.2"/>
    <row r="67" spans="1:13" s="86" customFormat="1" x14ac:dyDescent="0.2">
      <c r="A67" s="34"/>
      <c r="M67" s="87"/>
    </row>
    <row r="68" spans="1:13" s="86" customFormat="1" x14ac:dyDescent="0.2"/>
    <row r="69" spans="1:13" s="86" customFormat="1" x14ac:dyDescent="0.2"/>
    <row r="70" spans="1:13" s="86" customFormat="1" x14ac:dyDescent="0.2"/>
    <row r="71" spans="1:13" s="86" customFormat="1" x14ac:dyDescent="0.2"/>
    <row r="72" spans="1:13" s="86" customFormat="1" x14ac:dyDescent="0.2"/>
    <row r="73" spans="1:13" s="86" customFormat="1" x14ac:dyDescent="0.2"/>
    <row r="74" spans="1:13" s="86" customFormat="1" x14ac:dyDescent="0.2"/>
    <row r="75" spans="1:13" s="86" customFormat="1" x14ac:dyDescent="0.2"/>
    <row r="76" spans="1:13" s="86" customFormat="1" x14ac:dyDescent="0.2"/>
    <row r="77" spans="1:13" s="86" customFormat="1" x14ac:dyDescent="0.2"/>
    <row r="78" spans="1:13" s="86" customFormat="1" x14ac:dyDescent="0.2"/>
    <row r="79" spans="1:13" s="86" customFormat="1" x14ac:dyDescent="0.2"/>
    <row r="80" spans="1:13" s="86" customFormat="1" x14ac:dyDescent="0.2"/>
    <row r="81" spans="13:13" s="86" customFormat="1" x14ac:dyDescent="0.2"/>
    <row r="82" spans="13:13" s="86" customFormat="1" x14ac:dyDescent="0.2"/>
    <row r="83" spans="13:13" s="86" customFormat="1" x14ac:dyDescent="0.2"/>
    <row r="84" spans="13:13" s="86" customFormat="1" x14ac:dyDescent="0.2"/>
    <row r="85" spans="13:13" s="86" customFormat="1" x14ac:dyDescent="0.2"/>
    <row r="86" spans="13:13" s="86" customFormat="1" x14ac:dyDescent="0.2"/>
    <row r="87" spans="13:13" s="86" customFormat="1" x14ac:dyDescent="0.2">
      <c r="M87" s="87"/>
    </row>
    <row r="88" spans="13:13" s="86" customFormat="1" x14ac:dyDescent="0.2"/>
    <row r="89" spans="13:13" s="86" customFormat="1" x14ac:dyDescent="0.2"/>
    <row r="90" spans="13:13" s="86" customFormat="1" x14ac:dyDescent="0.2"/>
    <row r="91" spans="13:13" s="86" customFormat="1" x14ac:dyDescent="0.2"/>
    <row r="92" spans="13:13" s="86" customFormat="1" x14ac:dyDescent="0.2"/>
    <row r="93" spans="13:13" s="86" customFormat="1" x14ac:dyDescent="0.2"/>
    <row r="94" spans="13:13" s="86" customFormat="1" x14ac:dyDescent="0.2"/>
    <row r="95" spans="13:13" s="86" customFormat="1" x14ac:dyDescent="0.2"/>
    <row r="96" spans="13:13" s="86" customFormat="1" x14ac:dyDescent="0.2"/>
    <row r="97" spans="13:13" s="86" customFormat="1" x14ac:dyDescent="0.2">
      <c r="M97" s="87"/>
    </row>
    <row r="98" spans="13:13" s="86" customFormat="1" x14ac:dyDescent="0.2"/>
    <row r="99" spans="13:13" s="86" customFormat="1" x14ac:dyDescent="0.2"/>
    <row r="100" spans="13:13" s="86" customFormat="1" x14ac:dyDescent="0.2"/>
    <row r="101" spans="13:13" s="86" customFormat="1" x14ac:dyDescent="0.2"/>
    <row r="102" spans="13:13" s="86" customFormat="1" x14ac:dyDescent="0.2"/>
    <row r="103" spans="13:13" s="86" customFormat="1" x14ac:dyDescent="0.2"/>
    <row r="104" spans="13:13" s="86" customFormat="1" x14ac:dyDescent="0.2"/>
    <row r="105" spans="13:13" s="86" customFormat="1" x14ac:dyDescent="0.2"/>
    <row r="106" spans="13:13" s="86" customFormat="1" x14ac:dyDescent="0.2"/>
    <row r="107" spans="13:13" s="86" customFormat="1" x14ac:dyDescent="0.2"/>
    <row r="108" spans="13:13" s="86" customFormat="1" x14ac:dyDescent="0.2"/>
    <row r="109" spans="13:13" s="86" customFormat="1" x14ac:dyDescent="0.2"/>
    <row r="110" spans="13:13" s="86" customFormat="1" x14ac:dyDescent="0.2"/>
    <row r="111" spans="13:13" s="86" customFormat="1" x14ac:dyDescent="0.2"/>
    <row r="112" spans="13:13" s="86" customFormat="1" x14ac:dyDescent="0.2"/>
    <row r="113" s="86" customFormat="1" x14ac:dyDescent="0.2"/>
    <row r="114" s="86" customFormat="1" x14ac:dyDescent="0.2"/>
    <row r="115" s="86" customFormat="1" x14ac:dyDescent="0.2"/>
    <row r="116" s="86" customFormat="1" x14ac:dyDescent="0.2"/>
    <row r="117" s="86" customFormat="1" x14ac:dyDescent="0.2"/>
    <row r="118" s="86" customFormat="1" x14ac:dyDescent="0.2"/>
    <row r="119" s="86" customFormat="1" x14ac:dyDescent="0.2"/>
    <row r="120" s="86" customFormat="1" x14ac:dyDescent="0.2"/>
    <row r="121" s="86" customFormat="1" x14ac:dyDescent="0.2"/>
    <row r="122" s="86" customFormat="1" x14ac:dyDescent="0.2"/>
    <row r="123" s="86" customFormat="1" x14ac:dyDescent="0.2"/>
    <row r="124" s="86" customFormat="1" x14ac:dyDescent="0.2"/>
    <row r="125" s="86" customFormat="1" x14ac:dyDescent="0.2"/>
    <row r="126" s="86" customFormat="1" x14ac:dyDescent="0.2"/>
    <row r="127" s="86" customFormat="1" x14ac:dyDescent="0.2"/>
    <row r="128" s="86" customFormat="1" x14ac:dyDescent="0.2"/>
    <row r="129" s="86" customFormat="1" x14ac:dyDescent="0.2"/>
    <row r="130" s="86" customFormat="1" x14ac:dyDescent="0.2"/>
    <row r="131" s="86" customFormat="1" x14ac:dyDescent="0.2"/>
    <row r="132" s="86" customFormat="1" x14ac:dyDescent="0.2"/>
    <row r="133" s="86" customFormat="1" x14ac:dyDescent="0.2"/>
    <row r="134" s="86" customFormat="1" x14ac:dyDescent="0.2"/>
    <row r="135" s="86" customFormat="1" x14ac:dyDescent="0.2"/>
    <row r="136" s="86" customFormat="1" x14ac:dyDescent="0.2"/>
    <row r="137" s="86" customFormat="1" x14ac:dyDescent="0.2"/>
    <row r="138" s="86" customFormat="1" x14ac:dyDescent="0.2"/>
    <row r="139" s="86" customFormat="1" x14ac:dyDescent="0.2"/>
    <row r="140" s="86" customFormat="1" x14ac:dyDescent="0.2"/>
    <row r="141" s="86" customFormat="1" x14ac:dyDescent="0.2"/>
    <row r="142" s="86" customFormat="1" x14ac:dyDescent="0.2"/>
    <row r="143" s="86" customFormat="1" x14ac:dyDescent="0.2"/>
    <row r="144" s="86" customFormat="1" x14ac:dyDescent="0.2"/>
    <row r="145" s="86" customFormat="1" x14ac:dyDescent="0.2"/>
    <row r="146" s="86" customFormat="1" x14ac:dyDescent="0.2"/>
    <row r="147" s="86" customFormat="1" x14ac:dyDescent="0.2"/>
    <row r="148" s="86" customFormat="1" x14ac:dyDescent="0.2"/>
    <row r="149" s="86" customFormat="1" x14ac:dyDescent="0.2"/>
    <row r="150" s="86" customFormat="1" x14ac:dyDescent="0.2"/>
    <row r="151" s="86" customFormat="1" x14ac:dyDescent="0.2"/>
    <row r="152" s="86" customFormat="1" x14ac:dyDescent="0.2"/>
    <row r="153" s="86" customFormat="1" x14ac:dyDescent="0.2"/>
    <row r="154" s="86" customFormat="1" x14ac:dyDescent="0.2"/>
    <row r="155" s="86" customFormat="1" x14ac:dyDescent="0.2"/>
    <row r="156" s="86" customFormat="1" x14ac:dyDescent="0.2"/>
    <row r="157" s="86" customFormat="1" x14ac:dyDescent="0.2"/>
    <row r="158" s="86" customFormat="1" x14ac:dyDescent="0.2"/>
    <row r="159" s="86" customFormat="1" x14ac:dyDescent="0.2"/>
    <row r="160" s="86" customFormat="1" x14ac:dyDescent="0.2"/>
    <row r="161" s="86" customFormat="1" x14ac:dyDescent="0.2"/>
    <row r="162" s="86" customFormat="1" x14ac:dyDescent="0.2"/>
    <row r="163" s="86" customFormat="1" x14ac:dyDescent="0.2"/>
    <row r="164" s="86" customFormat="1" x14ac:dyDescent="0.2"/>
    <row r="165" s="86" customFormat="1" x14ac:dyDescent="0.2"/>
    <row r="166" s="86" customFormat="1" x14ac:dyDescent="0.2"/>
    <row r="167" s="86" customFormat="1" x14ac:dyDescent="0.2"/>
    <row r="168" s="86" customFormat="1" x14ac:dyDescent="0.2"/>
    <row r="169" s="86" customFormat="1" x14ac:dyDescent="0.2"/>
    <row r="170" s="86" customFormat="1" x14ac:dyDescent="0.2"/>
    <row r="171" s="86" customFormat="1" x14ac:dyDescent="0.2"/>
    <row r="172" s="86" customFormat="1" x14ac:dyDescent="0.2"/>
    <row r="173" s="86" customFormat="1" x14ac:dyDescent="0.2"/>
    <row r="174" s="86" customFormat="1" x14ac:dyDescent="0.2"/>
    <row r="175" s="86" customFormat="1" x14ac:dyDescent="0.2"/>
    <row r="176" s="86" customFormat="1" x14ac:dyDescent="0.2"/>
    <row r="177" spans="1:65" s="86" customFormat="1" x14ac:dyDescent="0.2"/>
    <row r="178" spans="1:65" s="86" customFormat="1" x14ac:dyDescent="0.2"/>
    <row r="179" spans="1:65" s="86" customFormat="1" x14ac:dyDescent="0.2"/>
    <row r="180" spans="1:65" s="86" customFormat="1" x14ac:dyDescent="0.2"/>
    <row r="181" spans="1:65" s="86" customFormat="1" x14ac:dyDescent="0.2"/>
    <row r="182" spans="1:65" s="86" customFormat="1" x14ac:dyDescent="0.2"/>
    <row r="183" spans="1:65" s="86" customFormat="1" x14ac:dyDescent="0.2"/>
    <row r="184" spans="1:65" s="86" customFormat="1" x14ac:dyDescent="0.2"/>
    <row r="185" spans="1:65" s="86" customFormat="1" x14ac:dyDescent="0.2"/>
    <row r="186" spans="1:65" s="86" customFormat="1" x14ac:dyDescent="0.2"/>
    <row r="187" spans="1:65" s="86" customFormat="1" x14ac:dyDescent="0.2"/>
    <row r="188" spans="1:65"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row>
    <row r="189" spans="1:65"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row>
    <row r="190" spans="1:65"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row>
    <row r="191" spans="1:65"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row>
    <row r="192" spans="1:65"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row>
    <row r="193" spans="1:65"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row>
    <row r="194" spans="1:65"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row>
    <row r="195" spans="1:65"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row>
    <row r="196" spans="1:65"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row>
    <row r="197" spans="1:65"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row>
    <row r="198" spans="1:65"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row>
    <row r="199" spans="1:65"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row>
    <row r="200" spans="1:65" x14ac:dyDescent="0.2">
      <c r="A200" s="28"/>
      <c r="B200" s="28"/>
      <c r="C200" s="28"/>
      <c r="D200" s="28"/>
      <c r="E200" s="28"/>
      <c r="F200" s="28"/>
      <c r="G200" s="28"/>
      <c r="H200" s="28"/>
      <c r="I200" s="28"/>
      <c r="J200" s="28"/>
    </row>
  </sheetData>
  <mergeCells count="5">
    <mergeCell ref="D5:E5"/>
    <mergeCell ref="D13:F13"/>
    <mergeCell ref="D26:F26"/>
    <mergeCell ref="A42:J42"/>
    <mergeCell ref="M43:S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L204"/>
  <sheetViews>
    <sheetView zoomScaleNormal="100" workbookViewId="0"/>
  </sheetViews>
  <sheetFormatPr baseColWidth="10" defaultColWidth="10.83203125" defaultRowHeight="16" outlineLevelCol="1" x14ac:dyDescent="0.2"/>
  <cols>
    <col min="1" max="1" width="4.6640625" style="49" customWidth="1"/>
    <col min="2" max="10" width="10.83203125" style="49" customWidth="1"/>
    <col min="11" max="11" width="11.5" style="49" bestFit="1" customWidth="1"/>
    <col min="12" max="19" width="10.83203125" style="49" hidden="1" customWidth="1" outlineLevel="1"/>
    <col min="20" max="20" width="10.83203125" style="49" collapsed="1"/>
    <col min="21" max="16384" width="10.83203125" style="49"/>
  </cols>
  <sheetData>
    <row r="1" spans="1:19" ht="19" x14ac:dyDescent="0.25">
      <c r="A1" s="1" t="s">
        <v>137</v>
      </c>
      <c r="B1" s="12"/>
      <c r="C1" s="46"/>
      <c r="D1" s="46"/>
      <c r="E1" s="46"/>
      <c r="F1" s="47"/>
      <c r="G1" s="47"/>
      <c r="H1" s="47"/>
      <c r="I1" s="47"/>
      <c r="J1" s="48"/>
      <c r="K1" s="33" t="s">
        <v>135</v>
      </c>
    </row>
    <row r="2" spans="1:19" x14ac:dyDescent="0.2">
      <c r="A2" s="50"/>
      <c r="B2" s="47"/>
      <c r="C2" s="47"/>
      <c r="D2" s="47"/>
      <c r="E2" s="47"/>
      <c r="F2" s="47"/>
      <c r="G2" s="47"/>
      <c r="H2" s="47"/>
      <c r="I2" s="47"/>
      <c r="J2" s="48"/>
      <c r="L2" s="36" t="s">
        <v>3</v>
      </c>
      <c r="N2" s="54"/>
    </row>
    <row r="3" spans="1:19" x14ac:dyDescent="0.2">
      <c r="A3" s="50"/>
      <c r="B3" s="47" t="s">
        <v>33</v>
      </c>
      <c r="C3" s="47"/>
      <c r="D3" s="47"/>
      <c r="E3" s="47"/>
      <c r="F3" s="47"/>
      <c r="G3" s="47"/>
      <c r="H3" s="47"/>
      <c r="I3" s="47"/>
      <c r="J3" s="48"/>
      <c r="M3" s="49" t="s">
        <v>61</v>
      </c>
      <c r="N3" s="68">
        <f>SUMPRODUCT(E10:E19,F10:F19)/SUM(F10:F19)</f>
        <v>4.0882352941176467</v>
      </c>
    </row>
    <row r="4" spans="1:19" x14ac:dyDescent="0.2">
      <c r="A4" s="50"/>
      <c r="B4" s="47" t="s">
        <v>34</v>
      </c>
      <c r="C4" s="47"/>
      <c r="D4" s="47"/>
      <c r="E4" s="47"/>
      <c r="F4" s="47"/>
      <c r="G4" s="47"/>
      <c r="H4" s="47"/>
      <c r="I4" s="47"/>
      <c r="J4" s="48"/>
      <c r="N4" s="68"/>
    </row>
    <row r="5" spans="1:19" x14ac:dyDescent="0.2">
      <c r="A5" s="50"/>
      <c r="B5" s="47"/>
      <c r="C5" s="47"/>
      <c r="D5" s="47"/>
      <c r="E5" s="47"/>
      <c r="F5" s="47"/>
      <c r="G5" s="47"/>
      <c r="H5" s="47"/>
      <c r="I5" s="47"/>
      <c r="J5" s="48"/>
      <c r="M5" s="49" t="s">
        <v>62</v>
      </c>
      <c r="N5" s="68">
        <f>SUMPRODUCT(G10:G19,H10:H19)/SUM(H10:H19)</f>
        <v>3.5555555555555554</v>
      </c>
    </row>
    <row r="6" spans="1:19" x14ac:dyDescent="0.2">
      <c r="A6" s="50"/>
      <c r="B6" s="47" t="s">
        <v>35</v>
      </c>
      <c r="C6" s="47"/>
      <c r="D6" s="47"/>
      <c r="E6" s="47"/>
      <c r="F6" s="47"/>
      <c r="G6" s="47"/>
      <c r="H6" s="47"/>
      <c r="I6" s="47"/>
      <c r="J6" s="48"/>
    </row>
    <row r="7" spans="1:19" x14ac:dyDescent="0.2">
      <c r="A7" s="50"/>
      <c r="B7" s="47"/>
      <c r="C7" s="47"/>
      <c r="D7" s="47"/>
      <c r="E7" s="47"/>
      <c r="F7" s="47"/>
      <c r="G7" s="47"/>
      <c r="H7" s="47"/>
      <c r="I7" s="47"/>
      <c r="J7" s="48"/>
      <c r="M7" s="69" t="s">
        <v>63</v>
      </c>
      <c r="N7" s="70" t="s">
        <v>65</v>
      </c>
    </row>
    <row r="8" spans="1:19" ht="50" customHeight="1" x14ac:dyDescent="0.2">
      <c r="A8" s="50"/>
      <c r="B8" s="71" t="s">
        <v>48</v>
      </c>
      <c r="C8" s="71"/>
      <c r="D8" s="72"/>
      <c r="E8" s="73" t="s">
        <v>36</v>
      </c>
      <c r="F8" s="74" t="s">
        <v>37</v>
      </c>
      <c r="G8" s="73" t="s">
        <v>49</v>
      </c>
      <c r="H8" s="73" t="s">
        <v>38</v>
      </c>
      <c r="I8" s="75"/>
      <c r="J8" s="48"/>
      <c r="M8" s="76" t="s">
        <v>20</v>
      </c>
      <c r="N8" s="77">
        <v>0.03</v>
      </c>
    </row>
    <row r="9" spans="1:19" x14ac:dyDescent="0.2">
      <c r="A9" s="50"/>
      <c r="B9" s="35" t="s">
        <v>39</v>
      </c>
      <c r="C9" s="47"/>
      <c r="D9" s="78"/>
      <c r="E9" s="79"/>
      <c r="F9" s="80"/>
      <c r="G9" s="79"/>
      <c r="H9" s="79"/>
      <c r="I9" s="47"/>
      <c r="J9" s="48"/>
      <c r="M9" s="76" t="s">
        <v>64</v>
      </c>
      <c r="N9" s="77">
        <v>0.12</v>
      </c>
    </row>
    <row r="10" spans="1:19" x14ac:dyDescent="0.2">
      <c r="A10" s="50"/>
      <c r="B10" s="47" t="s">
        <v>40</v>
      </c>
      <c r="C10" s="47"/>
      <c r="D10" s="78"/>
      <c r="E10" s="79">
        <v>3</v>
      </c>
      <c r="F10" s="80">
        <v>8</v>
      </c>
      <c r="G10" s="79">
        <v>2</v>
      </c>
      <c r="H10" s="79">
        <v>8</v>
      </c>
      <c r="I10" s="47"/>
      <c r="J10" s="48"/>
    </row>
    <row r="11" spans="1:19" x14ac:dyDescent="0.2">
      <c r="A11" s="50"/>
      <c r="B11" s="47" t="s">
        <v>41</v>
      </c>
      <c r="C11" s="47"/>
      <c r="D11" s="78"/>
      <c r="E11" s="79">
        <v>5</v>
      </c>
      <c r="F11" s="80">
        <v>5</v>
      </c>
      <c r="G11" s="79">
        <v>5</v>
      </c>
      <c r="H11" s="79">
        <v>5</v>
      </c>
      <c r="I11" s="47"/>
      <c r="J11" s="48"/>
      <c r="L11" s="36" t="s">
        <v>4</v>
      </c>
      <c r="N11" s="54"/>
    </row>
    <row r="12" spans="1:19" ht="16" customHeight="1" x14ac:dyDescent="0.2">
      <c r="A12" s="50"/>
      <c r="B12" s="47"/>
      <c r="C12" s="47"/>
      <c r="D12" s="78"/>
      <c r="E12" s="79"/>
      <c r="F12" s="80"/>
      <c r="G12" s="79"/>
      <c r="H12" s="79"/>
      <c r="I12" s="47"/>
      <c r="J12" s="48"/>
      <c r="L12" s="317" t="s">
        <v>60</v>
      </c>
      <c r="M12" s="318"/>
      <c r="N12" s="318"/>
      <c r="O12" s="318"/>
      <c r="P12" s="318"/>
      <c r="Q12" s="318"/>
      <c r="R12" s="318"/>
      <c r="S12" s="318"/>
    </row>
    <row r="13" spans="1:19" x14ac:dyDescent="0.2">
      <c r="A13" s="50"/>
      <c r="B13" s="35" t="s">
        <v>42</v>
      </c>
      <c r="C13" s="47"/>
      <c r="D13" s="78"/>
      <c r="E13" s="79"/>
      <c r="F13" s="80"/>
      <c r="G13" s="79"/>
      <c r="H13" s="79"/>
      <c r="I13" s="47"/>
      <c r="J13" s="48"/>
      <c r="L13" s="318"/>
      <c r="M13" s="318"/>
      <c r="N13" s="318"/>
      <c r="O13" s="318"/>
      <c r="P13" s="318"/>
      <c r="Q13" s="318"/>
      <c r="R13" s="318"/>
      <c r="S13" s="318"/>
    </row>
    <row r="14" spans="1:19" x14ac:dyDescent="0.2">
      <c r="A14" s="50"/>
      <c r="B14" s="47" t="s">
        <v>43</v>
      </c>
      <c r="C14" s="47"/>
      <c r="D14" s="78"/>
      <c r="E14" s="79">
        <v>5</v>
      </c>
      <c r="F14" s="80">
        <v>3</v>
      </c>
      <c r="G14" s="79">
        <v>4</v>
      </c>
      <c r="H14" s="79">
        <v>5</v>
      </c>
      <c r="I14" s="47"/>
      <c r="J14" s="48"/>
      <c r="L14" s="318"/>
      <c r="M14" s="318"/>
      <c r="N14" s="318"/>
      <c r="O14" s="318"/>
      <c r="P14" s="318"/>
      <c r="Q14" s="318"/>
      <c r="R14" s="318"/>
      <c r="S14" s="318"/>
    </row>
    <row r="15" spans="1:19" x14ac:dyDescent="0.2">
      <c r="A15" s="50"/>
      <c r="B15" s="47" t="s">
        <v>44</v>
      </c>
      <c r="C15" s="47"/>
      <c r="D15" s="78"/>
      <c r="E15" s="79">
        <v>4</v>
      </c>
      <c r="F15" s="80">
        <v>5</v>
      </c>
      <c r="G15" s="79">
        <v>3</v>
      </c>
      <c r="H15" s="79">
        <v>5</v>
      </c>
      <c r="I15" s="47"/>
      <c r="J15" s="48"/>
      <c r="L15" s="318"/>
      <c r="M15" s="318"/>
      <c r="N15" s="318"/>
      <c r="O15" s="318"/>
      <c r="P15" s="318"/>
      <c r="Q15" s="318"/>
      <c r="R15" s="318"/>
      <c r="S15" s="318"/>
    </row>
    <row r="16" spans="1:19" x14ac:dyDescent="0.2">
      <c r="A16" s="50"/>
      <c r="B16" s="47"/>
      <c r="C16" s="47"/>
      <c r="D16" s="78"/>
      <c r="E16" s="79"/>
      <c r="F16" s="80"/>
      <c r="G16" s="79"/>
      <c r="H16" s="79"/>
      <c r="I16" s="47"/>
      <c r="J16" s="48"/>
      <c r="L16" s="318"/>
      <c r="M16" s="318"/>
      <c r="N16" s="318"/>
      <c r="O16" s="318"/>
      <c r="P16" s="318"/>
      <c r="Q16" s="318"/>
      <c r="R16" s="318"/>
      <c r="S16" s="318"/>
    </row>
    <row r="17" spans="1:19" x14ac:dyDescent="0.2">
      <c r="A17" s="50"/>
      <c r="B17" s="35" t="s">
        <v>45</v>
      </c>
      <c r="C17" s="47"/>
      <c r="D17" s="78"/>
      <c r="E17" s="79"/>
      <c r="F17" s="80"/>
      <c r="G17" s="79"/>
      <c r="H17" s="79"/>
      <c r="I17" s="47"/>
      <c r="J17" s="48"/>
      <c r="L17" s="318"/>
      <c r="M17" s="318"/>
      <c r="N17" s="318"/>
      <c r="O17" s="318"/>
      <c r="P17" s="318"/>
      <c r="Q17" s="318"/>
      <c r="R17" s="318"/>
      <c r="S17" s="318"/>
    </row>
    <row r="18" spans="1:19" x14ac:dyDescent="0.2">
      <c r="A18" s="50"/>
      <c r="B18" s="47" t="s">
        <v>46</v>
      </c>
      <c r="C18" s="47"/>
      <c r="D18" s="78"/>
      <c r="E18" s="79">
        <v>5</v>
      </c>
      <c r="F18" s="80">
        <v>8</v>
      </c>
      <c r="G18" s="79">
        <v>4</v>
      </c>
      <c r="H18" s="79">
        <v>8</v>
      </c>
      <c r="I18" s="47"/>
      <c r="J18" s="48"/>
      <c r="L18" s="318"/>
      <c r="M18" s="318"/>
      <c r="N18" s="318"/>
      <c r="O18" s="318"/>
      <c r="P18" s="318"/>
      <c r="Q18" s="318"/>
      <c r="R18" s="318"/>
      <c r="S18" s="318"/>
    </row>
    <row r="19" spans="1:19" x14ac:dyDescent="0.2">
      <c r="A19" s="50"/>
      <c r="B19" s="47" t="s">
        <v>47</v>
      </c>
      <c r="C19" s="47"/>
      <c r="D19" s="78"/>
      <c r="E19" s="79">
        <v>3</v>
      </c>
      <c r="F19" s="80">
        <v>5</v>
      </c>
      <c r="G19" s="79">
        <v>4</v>
      </c>
      <c r="H19" s="79">
        <v>5</v>
      </c>
      <c r="I19" s="47"/>
      <c r="J19" s="48"/>
      <c r="L19" s="318"/>
      <c r="M19" s="318"/>
      <c r="N19" s="318"/>
      <c r="O19" s="318"/>
      <c r="P19" s="318"/>
      <c r="Q19" s="318"/>
      <c r="R19" s="318"/>
      <c r="S19" s="318"/>
    </row>
    <row r="20" spans="1:19" x14ac:dyDescent="0.2">
      <c r="A20" s="50"/>
      <c r="B20" s="47"/>
      <c r="C20" s="47"/>
      <c r="D20" s="47"/>
      <c r="E20" s="47"/>
      <c r="F20" s="47"/>
      <c r="G20" s="47"/>
      <c r="H20" s="47"/>
      <c r="I20" s="47"/>
      <c r="J20" s="48"/>
      <c r="L20" s="318"/>
      <c r="M20" s="318"/>
      <c r="N20" s="318"/>
      <c r="O20" s="318"/>
      <c r="P20" s="318"/>
      <c r="Q20" s="318"/>
      <c r="R20" s="318"/>
      <c r="S20" s="318"/>
    </row>
    <row r="21" spans="1:19" x14ac:dyDescent="0.2">
      <c r="A21" s="50"/>
      <c r="B21" s="47"/>
      <c r="C21" s="312" t="s">
        <v>27</v>
      </c>
      <c r="D21" s="312"/>
      <c r="E21" s="312"/>
      <c r="F21" s="47"/>
      <c r="G21" s="47"/>
      <c r="H21" s="47"/>
      <c r="I21" s="47"/>
      <c r="J21" s="48"/>
      <c r="L21" s="318"/>
      <c r="M21" s="318"/>
      <c r="N21" s="318"/>
      <c r="O21" s="318"/>
      <c r="P21" s="318"/>
      <c r="Q21" s="318"/>
      <c r="R21" s="318"/>
      <c r="S21" s="318"/>
    </row>
    <row r="22" spans="1:19" ht="47" customHeight="1" x14ac:dyDescent="0.2">
      <c r="A22" s="50"/>
      <c r="B22" s="47"/>
      <c r="C22" s="74" t="s">
        <v>24</v>
      </c>
      <c r="D22" s="73" t="s">
        <v>25</v>
      </c>
      <c r="E22" s="73" t="s">
        <v>51</v>
      </c>
      <c r="F22" s="47"/>
      <c r="G22" s="47"/>
      <c r="H22" s="47"/>
      <c r="I22" s="47"/>
      <c r="J22" s="48"/>
      <c r="L22" s="318"/>
      <c r="M22" s="318"/>
      <c r="N22" s="318"/>
      <c r="O22" s="318"/>
      <c r="P22" s="318"/>
      <c r="Q22" s="318"/>
      <c r="R22" s="318"/>
      <c r="S22" s="318"/>
    </row>
    <row r="23" spans="1:19" ht="34" x14ac:dyDescent="0.2">
      <c r="A23" s="50"/>
      <c r="B23" s="47"/>
      <c r="C23" s="81" t="s">
        <v>52</v>
      </c>
      <c r="D23" s="82">
        <v>0.18</v>
      </c>
      <c r="E23" s="82">
        <v>0.24</v>
      </c>
      <c r="F23" s="47"/>
      <c r="G23" s="47"/>
      <c r="H23" s="47"/>
      <c r="I23" s="47"/>
      <c r="J23" s="48"/>
      <c r="N23" s="83" t="s">
        <v>19</v>
      </c>
      <c r="O23" s="84" t="s">
        <v>25</v>
      </c>
      <c r="P23" s="84" t="s">
        <v>51</v>
      </c>
    </row>
    <row r="24" spans="1:19" x14ac:dyDescent="0.2">
      <c r="A24" s="50"/>
      <c r="B24" s="47"/>
      <c r="C24" s="81" t="s">
        <v>53</v>
      </c>
      <c r="D24" s="82">
        <v>0.1</v>
      </c>
      <c r="E24" s="82">
        <v>0.18</v>
      </c>
      <c r="F24" s="47"/>
      <c r="G24" s="47"/>
      <c r="H24" s="47"/>
      <c r="I24" s="47"/>
      <c r="J24" s="48"/>
      <c r="N24" s="85" t="s">
        <v>52</v>
      </c>
      <c r="O24" s="77">
        <v>0.18</v>
      </c>
      <c r="P24" s="77">
        <v>0.24</v>
      </c>
    </row>
    <row r="25" spans="1:19" x14ac:dyDescent="0.2">
      <c r="A25" s="50"/>
      <c r="B25" s="47"/>
      <c r="C25" s="81" t="s">
        <v>54</v>
      </c>
      <c r="D25" s="82">
        <v>0.06</v>
      </c>
      <c r="E25" s="82">
        <v>0.12</v>
      </c>
      <c r="F25" s="47"/>
      <c r="G25" s="47"/>
      <c r="H25" s="47"/>
      <c r="I25" s="47"/>
      <c r="J25" s="48"/>
      <c r="N25" s="85" t="s">
        <v>53</v>
      </c>
      <c r="O25" s="77">
        <v>0.1</v>
      </c>
      <c r="P25" s="45">
        <v>0.16</v>
      </c>
    </row>
    <row r="26" spans="1:19" x14ac:dyDescent="0.2">
      <c r="A26" s="50"/>
      <c r="B26" s="47"/>
      <c r="C26" s="81" t="s">
        <v>55</v>
      </c>
      <c r="D26" s="82">
        <v>0.03</v>
      </c>
      <c r="E26" s="82">
        <v>0.06</v>
      </c>
      <c r="F26" s="47"/>
      <c r="G26" s="47"/>
      <c r="H26" s="47"/>
      <c r="I26" s="47"/>
      <c r="J26" s="48"/>
      <c r="N26" s="85" t="s">
        <v>54</v>
      </c>
      <c r="O26" s="77">
        <v>0.06</v>
      </c>
      <c r="P26" s="45">
        <v>0.1</v>
      </c>
    </row>
    <row r="27" spans="1:19" x14ac:dyDescent="0.2">
      <c r="A27" s="50"/>
      <c r="B27" s="47"/>
      <c r="C27" s="47"/>
      <c r="D27" s="47"/>
      <c r="E27" s="47"/>
      <c r="F27" s="47"/>
      <c r="G27" s="47"/>
      <c r="H27" s="47"/>
      <c r="I27" s="47"/>
      <c r="J27" s="48"/>
      <c r="N27" s="85" t="s">
        <v>55</v>
      </c>
      <c r="O27" s="45">
        <v>0.05</v>
      </c>
      <c r="P27" s="77">
        <v>0.06</v>
      </c>
    </row>
    <row r="28" spans="1:19" x14ac:dyDescent="0.2">
      <c r="A28" s="47" t="s">
        <v>0</v>
      </c>
      <c r="B28" s="47" t="s">
        <v>56</v>
      </c>
      <c r="C28" s="47"/>
      <c r="D28" s="47"/>
      <c r="E28" s="47"/>
      <c r="F28" s="47"/>
      <c r="G28" s="47"/>
      <c r="H28" s="47"/>
      <c r="I28" s="47"/>
      <c r="J28" s="48"/>
    </row>
    <row r="29" spans="1:19" x14ac:dyDescent="0.2">
      <c r="A29" s="50"/>
      <c r="B29" s="47" t="s">
        <v>57</v>
      </c>
      <c r="C29" s="47"/>
      <c r="D29" s="47"/>
      <c r="E29" s="47"/>
      <c r="F29" s="47"/>
      <c r="G29" s="47"/>
      <c r="H29" s="47"/>
      <c r="I29" s="47"/>
      <c r="J29" s="48"/>
    </row>
    <row r="30" spans="1:19" ht="19" x14ac:dyDescent="0.25">
      <c r="A30" s="50"/>
      <c r="B30" s="47"/>
      <c r="C30" s="47"/>
      <c r="D30" s="47"/>
      <c r="E30" s="47"/>
      <c r="F30" s="47"/>
      <c r="G30" s="47"/>
      <c r="H30" s="47"/>
      <c r="I30" s="47"/>
      <c r="J30" s="48"/>
      <c r="L30" s="2" t="s">
        <v>143</v>
      </c>
    </row>
    <row r="31" spans="1:19" x14ac:dyDescent="0.2">
      <c r="A31" s="47" t="s">
        <v>1</v>
      </c>
      <c r="B31" s="47" t="s">
        <v>58</v>
      </c>
      <c r="C31" s="47"/>
      <c r="D31" s="47"/>
      <c r="E31" s="47"/>
      <c r="F31" s="47"/>
      <c r="G31" s="47"/>
      <c r="H31" s="47"/>
      <c r="I31" s="47"/>
      <c r="J31" s="48"/>
      <c r="L31" s="86" t="s">
        <v>144</v>
      </c>
    </row>
    <row r="32" spans="1:19" x14ac:dyDescent="0.2">
      <c r="A32" s="50"/>
      <c r="B32" s="47" t="s">
        <v>59</v>
      </c>
      <c r="C32" s="47"/>
      <c r="D32" s="47"/>
      <c r="E32" s="47"/>
      <c r="F32" s="47"/>
      <c r="G32" s="47"/>
      <c r="H32" s="47"/>
      <c r="I32" s="47"/>
      <c r="J32" s="48"/>
    </row>
    <row r="33" spans="1:12" x14ac:dyDescent="0.2">
      <c r="A33" s="50"/>
      <c r="B33" s="47"/>
      <c r="C33" s="47"/>
      <c r="D33" s="47"/>
      <c r="E33" s="47"/>
      <c r="F33" s="47"/>
      <c r="G33" s="47"/>
      <c r="H33" s="47"/>
      <c r="I33" s="47"/>
      <c r="J33" s="48"/>
    </row>
    <row r="34" spans="1:12" ht="17" thickBot="1" x14ac:dyDescent="0.25">
      <c r="A34" s="50"/>
      <c r="B34" s="47"/>
      <c r="C34" s="47"/>
      <c r="D34" s="47"/>
      <c r="E34" s="47"/>
      <c r="F34" s="47"/>
      <c r="G34" s="47"/>
      <c r="H34" s="47"/>
      <c r="I34" s="47"/>
      <c r="J34" s="48"/>
    </row>
    <row r="35" spans="1:12" ht="17" thickBot="1" x14ac:dyDescent="0.25">
      <c r="A35" s="313" t="s">
        <v>134</v>
      </c>
      <c r="B35" s="314"/>
      <c r="C35" s="314"/>
      <c r="D35" s="314"/>
      <c r="E35" s="314"/>
      <c r="F35" s="314"/>
      <c r="G35" s="314"/>
      <c r="H35" s="314"/>
      <c r="I35" s="314"/>
      <c r="J35" s="315"/>
    </row>
    <row r="37" spans="1:12" ht="19" x14ac:dyDescent="0.2">
      <c r="A37" s="33"/>
    </row>
    <row r="41" spans="1:12" x14ac:dyDescent="0.2">
      <c r="L41" s="28"/>
    </row>
    <row r="42" spans="1:12" x14ac:dyDescent="0.2">
      <c r="L42" s="28"/>
    </row>
    <row r="43" spans="1:12" x14ac:dyDescent="0.2">
      <c r="L43" s="28"/>
    </row>
    <row r="44" spans="1:12" x14ac:dyDescent="0.2">
      <c r="L44" s="28"/>
    </row>
    <row r="45" spans="1:12" x14ac:dyDescent="0.2">
      <c r="L45" s="28"/>
    </row>
    <row r="46" spans="1:12" x14ac:dyDescent="0.2">
      <c r="L46" s="28"/>
    </row>
    <row r="47" spans="1:12" x14ac:dyDescent="0.2">
      <c r="L47" s="28"/>
    </row>
    <row r="48" spans="1:12" x14ac:dyDescent="0.2">
      <c r="L48" s="28"/>
    </row>
    <row r="49" spans="1:13" x14ac:dyDescent="0.2">
      <c r="L49" s="28"/>
    </row>
    <row r="50" spans="1:13" s="86" customFormat="1" x14ac:dyDescent="0.2"/>
    <row r="51" spans="1:13" s="86" customFormat="1" x14ac:dyDescent="0.2"/>
    <row r="52" spans="1:13" s="86" customFormat="1" x14ac:dyDescent="0.2"/>
    <row r="53" spans="1:13" s="86" customFormat="1" x14ac:dyDescent="0.2"/>
    <row r="54" spans="1:13" s="86" customFormat="1" x14ac:dyDescent="0.2"/>
    <row r="55" spans="1:13" s="86" customFormat="1" x14ac:dyDescent="0.2"/>
    <row r="56" spans="1:13" s="86" customFormat="1" x14ac:dyDescent="0.2"/>
    <row r="57" spans="1:13" s="86" customFormat="1" x14ac:dyDescent="0.2"/>
    <row r="58" spans="1:13" s="86" customFormat="1" x14ac:dyDescent="0.2"/>
    <row r="59" spans="1:13" s="86" customFormat="1" x14ac:dyDescent="0.2"/>
    <row r="60" spans="1:13" s="86" customFormat="1" x14ac:dyDescent="0.2">
      <c r="A60" s="34"/>
      <c r="C60" s="87"/>
    </row>
    <row r="61" spans="1:13" s="86" customFormat="1" x14ac:dyDescent="0.2"/>
    <row r="62" spans="1:13" s="86" customFormat="1" x14ac:dyDescent="0.2">
      <c r="M62" s="87"/>
    </row>
    <row r="63" spans="1:13" s="86" customFormat="1" x14ac:dyDescent="0.2"/>
    <row r="64" spans="1:13" s="86" customFormat="1" x14ac:dyDescent="0.2"/>
    <row r="65" spans="13:13" s="86" customFormat="1" x14ac:dyDescent="0.2"/>
    <row r="66" spans="13:13" s="86" customFormat="1" x14ac:dyDescent="0.2"/>
    <row r="67" spans="13:13" s="86" customFormat="1" x14ac:dyDescent="0.2"/>
    <row r="68" spans="13:13" s="86" customFormat="1" x14ac:dyDescent="0.2"/>
    <row r="69" spans="13:13" s="86" customFormat="1" x14ac:dyDescent="0.2"/>
    <row r="70" spans="13:13" s="86" customFormat="1" x14ac:dyDescent="0.2"/>
    <row r="71" spans="13:13" s="86" customFormat="1" x14ac:dyDescent="0.2"/>
    <row r="72" spans="13:13" s="86" customFormat="1" x14ac:dyDescent="0.2">
      <c r="M72" s="87"/>
    </row>
    <row r="73" spans="13:13" s="86" customFormat="1" x14ac:dyDescent="0.2"/>
    <row r="74" spans="13:13" s="86" customFormat="1" x14ac:dyDescent="0.2"/>
    <row r="75" spans="13:13" s="86" customFormat="1" x14ac:dyDescent="0.2"/>
    <row r="76" spans="13:13" s="86" customFormat="1" x14ac:dyDescent="0.2"/>
    <row r="77" spans="13:13" s="86" customFormat="1" x14ac:dyDescent="0.2"/>
    <row r="78" spans="13:13" s="86" customFormat="1" x14ac:dyDescent="0.2"/>
    <row r="79" spans="13:13" s="86" customFormat="1" x14ac:dyDescent="0.2"/>
    <row r="80" spans="13:13" s="86" customFormat="1" x14ac:dyDescent="0.2"/>
    <row r="81" spans="13:13" s="86" customFormat="1" x14ac:dyDescent="0.2"/>
    <row r="82" spans="13:13" s="86" customFormat="1" x14ac:dyDescent="0.2">
      <c r="M82" s="87"/>
    </row>
    <row r="83" spans="13:13" s="86" customFormat="1" x14ac:dyDescent="0.2"/>
    <row r="84" spans="13:13" s="86" customFormat="1" x14ac:dyDescent="0.2"/>
    <row r="85" spans="13:13" s="86" customFormat="1" x14ac:dyDescent="0.2"/>
    <row r="86" spans="13:13" s="86" customFormat="1" x14ac:dyDescent="0.2"/>
    <row r="87" spans="13:13" s="86" customFormat="1" x14ac:dyDescent="0.2"/>
    <row r="88" spans="13:13" s="86" customFormat="1" x14ac:dyDescent="0.2"/>
    <row r="89" spans="13:13" s="86" customFormat="1" x14ac:dyDescent="0.2"/>
    <row r="90" spans="13:13" s="86" customFormat="1" x14ac:dyDescent="0.2"/>
    <row r="91" spans="13:13" s="86" customFormat="1" x14ac:dyDescent="0.2"/>
    <row r="92" spans="13:13" s="86" customFormat="1" x14ac:dyDescent="0.2">
      <c r="M92" s="87"/>
    </row>
    <row r="93" spans="13:13" s="86" customFormat="1" x14ac:dyDescent="0.2"/>
    <row r="94" spans="13:13" s="86" customFormat="1" x14ac:dyDescent="0.2"/>
    <row r="95" spans="13:13" s="86" customFormat="1" x14ac:dyDescent="0.2"/>
    <row r="96" spans="13:13" s="86" customFormat="1" x14ac:dyDescent="0.2"/>
    <row r="97" spans="13:13" s="86" customFormat="1" x14ac:dyDescent="0.2"/>
    <row r="98" spans="13:13" s="86" customFormat="1" x14ac:dyDescent="0.2"/>
    <row r="99" spans="13:13" s="86" customFormat="1" x14ac:dyDescent="0.2"/>
    <row r="100" spans="13:13" s="86" customFormat="1" x14ac:dyDescent="0.2"/>
    <row r="101" spans="13:13" s="86" customFormat="1" x14ac:dyDescent="0.2"/>
    <row r="102" spans="13:13" s="86" customFormat="1" x14ac:dyDescent="0.2">
      <c r="M102" s="87"/>
    </row>
    <row r="103" spans="13:13" s="86" customFormat="1" x14ac:dyDescent="0.2"/>
    <row r="104" spans="13:13" s="86" customFormat="1" x14ac:dyDescent="0.2"/>
    <row r="105" spans="13:13" s="86" customFormat="1" x14ac:dyDescent="0.2"/>
    <row r="106" spans="13:13" s="86" customFormat="1" x14ac:dyDescent="0.2"/>
    <row r="107" spans="13:13" s="86" customFormat="1" x14ac:dyDescent="0.2"/>
    <row r="108" spans="13:13" s="86" customFormat="1" x14ac:dyDescent="0.2"/>
    <row r="109" spans="13:13" s="86" customFormat="1" x14ac:dyDescent="0.2"/>
    <row r="110" spans="13:13" s="86" customFormat="1" x14ac:dyDescent="0.2"/>
    <row r="111" spans="13:13" s="86" customFormat="1" x14ac:dyDescent="0.2"/>
    <row r="112" spans="13:13" s="86" customFormat="1" x14ac:dyDescent="0.2"/>
    <row r="113" s="86" customFormat="1" x14ac:dyDescent="0.2"/>
    <row r="114" s="86" customFormat="1" x14ac:dyDescent="0.2"/>
    <row r="115" s="86" customFormat="1" x14ac:dyDescent="0.2"/>
    <row r="116" s="86" customFormat="1" x14ac:dyDescent="0.2"/>
    <row r="117" s="86" customFormat="1" x14ac:dyDescent="0.2"/>
    <row r="118" s="86" customFormat="1" x14ac:dyDescent="0.2"/>
    <row r="119" s="86" customFormat="1" x14ac:dyDescent="0.2"/>
    <row r="120" s="86" customFormat="1" x14ac:dyDescent="0.2"/>
    <row r="121" s="86" customFormat="1" x14ac:dyDescent="0.2"/>
    <row r="122" s="86" customFormat="1" x14ac:dyDescent="0.2"/>
    <row r="123" s="86" customFormat="1" x14ac:dyDescent="0.2"/>
    <row r="124" s="86" customFormat="1" x14ac:dyDescent="0.2"/>
    <row r="125" s="86" customFormat="1" x14ac:dyDescent="0.2"/>
    <row r="126" s="86" customFormat="1" x14ac:dyDescent="0.2"/>
    <row r="127" s="86" customFormat="1" x14ac:dyDescent="0.2"/>
    <row r="128" s="86" customFormat="1" x14ac:dyDescent="0.2"/>
    <row r="129" s="86" customFormat="1" x14ac:dyDescent="0.2"/>
    <row r="130" s="86" customFormat="1" x14ac:dyDescent="0.2"/>
    <row r="131" s="86" customFormat="1" x14ac:dyDescent="0.2"/>
    <row r="132" s="86" customFormat="1" x14ac:dyDescent="0.2"/>
    <row r="133" s="86" customFormat="1" x14ac:dyDescent="0.2"/>
    <row r="134" s="86" customFormat="1" x14ac:dyDescent="0.2"/>
    <row r="135" s="86" customFormat="1" x14ac:dyDescent="0.2"/>
    <row r="136" s="86" customFormat="1" x14ac:dyDescent="0.2"/>
    <row r="137" s="86" customFormat="1" x14ac:dyDescent="0.2"/>
    <row r="138" s="86" customFormat="1" x14ac:dyDescent="0.2"/>
    <row r="139" s="86" customFormat="1" x14ac:dyDescent="0.2"/>
    <row r="140" s="86" customFormat="1" x14ac:dyDescent="0.2"/>
    <row r="141" s="86" customFormat="1" x14ac:dyDescent="0.2"/>
    <row r="142" s="86" customFormat="1" x14ac:dyDescent="0.2"/>
    <row r="143" s="86" customFormat="1" x14ac:dyDescent="0.2"/>
    <row r="144" s="86" customFormat="1" x14ac:dyDescent="0.2"/>
    <row r="145" s="86" customFormat="1" x14ac:dyDescent="0.2"/>
    <row r="146" s="86" customFormat="1" x14ac:dyDescent="0.2"/>
    <row r="147" s="86" customFormat="1" x14ac:dyDescent="0.2"/>
    <row r="148" s="86" customFormat="1" x14ac:dyDescent="0.2"/>
    <row r="149" s="86" customFormat="1" x14ac:dyDescent="0.2"/>
    <row r="150" s="86" customFormat="1" x14ac:dyDescent="0.2"/>
    <row r="151" s="86" customFormat="1" x14ac:dyDescent="0.2"/>
    <row r="152" s="86" customFormat="1" x14ac:dyDescent="0.2"/>
    <row r="153" s="86" customFormat="1" x14ac:dyDescent="0.2"/>
    <row r="154" s="86" customFormat="1" x14ac:dyDescent="0.2"/>
    <row r="155" s="86" customFormat="1" x14ac:dyDescent="0.2"/>
    <row r="156" s="86" customFormat="1" x14ac:dyDescent="0.2"/>
    <row r="157" s="86" customFormat="1" x14ac:dyDescent="0.2"/>
    <row r="158" s="86" customFormat="1" x14ac:dyDescent="0.2"/>
    <row r="159" s="86" customFormat="1" x14ac:dyDescent="0.2"/>
    <row r="160" s="86" customFormat="1" x14ac:dyDescent="0.2"/>
    <row r="161" s="86" customFormat="1" x14ac:dyDescent="0.2"/>
    <row r="162" s="86" customFormat="1" x14ac:dyDescent="0.2"/>
    <row r="163" s="86" customFormat="1" x14ac:dyDescent="0.2"/>
    <row r="164" s="86" customFormat="1" x14ac:dyDescent="0.2"/>
    <row r="165" s="86" customFormat="1" x14ac:dyDescent="0.2"/>
    <row r="166" s="86" customFormat="1" x14ac:dyDescent="0.2"/>
    <row r="167" s="86" customFormat="1" x14ac:dyDescent="0.2"/>
    <row r="168" s="86" customFormat="1" x14ac:dyDescent="0.2"/>
    <row r="169" s="86" customFormat="1" x14ac:dyDescent="0.2"/>
    <row r="170" s="86" customFormat="1" x14ac:dyDescent="0.2"/>
    <row r="171" s="86" customFormat="1" x14ac:dyDescent="0.2"/>
    <row r="172" s="86" customFormat="1" x14ac:dyDescent="0.2"/>
    <row r="173" s="86" customFormat="1" x14ac:dyDescent="0.2"/>
    <row r="174" s="86" customFormat="1" x14ac:dyDescent="0.2"/>
    <row r="175" s="86" customFormat="1" x14ac:dyDescent="0.2"/>
    <row r="176" s="86" customFormat="1" x14ac:dyDescent="0.2"/>
    <row r="177" spans="1:64" s="86" customFormat="1" x14ac:dyDescent="0.2"/>
    <row r="178" spans="1:64" s="86" customFormat="1" x14ac:dyDescent="0.2"/>
    <row r="179" spans="1:64" s="86" customFormat="1" x14ac:dyDescent="0.2"/>
    <row r="180" spans="1:64" s="86" customFormat="1" x14ac:dyDescent="0.2"/>
    <row r="181" spans="1:64" s="86" customFormat="1" x14ac:dyDescent="0.2"/>
    <row r="182" spans="1:64" s="86" customFormat="1" x14ac:dyDescent="0.2"/>
    <row r="183" spans="1:64" s="86" customFormat="1" x14ac:dyDescent="0.2"/>
    <row r="184" spans="1:64" s="86" customFormat="1" x14ac:dyDescent="0.2"/>
    <row r="185" spans="1:64" s="86" customFormat="1" x14ac:dyDescent="0.2"/>
    <row r="186" spans="1:64" s="86" customFormat="1" x14ac:dyDescent="0.2"/>
    <row r="187" spans="1:64" s="86" customFormat="1" x14ac:dyDescent="0.2"/>
    <row r="188" spans="1:64"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row>
    <row r="189" spans="1:64"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row>
    <row r="190" spans="1:64"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row>
    <row r="191" spans="1:64"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row>
    <row r="192" spans="1:64"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row>
    <row r="193" spans="1:64"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row>
    <row r="194" spans="1:64"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row>
    <row r="195" spans="1:64"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row>
    <row r="196" spans="1:64"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row>
    <row r="197" spans="1:64"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row>
    <row r="198" spans="1:64"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row>
    <row r="199" spans="1:64"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row>
    <row r="200" spans="1:64"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row>
    <row r="201" spans="1:64"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row>
    <row r="202" spans="1:64"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row>
    <row r="203" spans="1:64"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row>
    <row r="204" spans="1:64" x14ac:dyDescent="0.2">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row>
  </sheetData>
  <mergeCells count="3">
    <mergeCell ref="C21:E21"/>
    <mergeCell ref="A35:J35"/>
    <mergeCell ref="L12:S22"/>
  </mergeCells>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T187"/>
  <sheetViews>
    <sheetView zoomScaleNormal="100" workbookViewId="0"/>
  </sheetViews>
  <sheetFormatPr baseColWidth="10" defaultColWidth="10.83203125" defaultRowHeight="16" outlineLevelCol="1" x14ac:dyDescent="0.2"/>
  <cols>
    <col min="1" max="1" width="4.6640625" style="57" customWidth="1"/>
    <col min="2" max="10" width="10.83203125" style="57" customWidth="1"/>
    <col min="11" max="11" width="11.5" style="57" bestFit="1" customWidth="1"/>
    <col min="12" max="19" width="10.83203125" style="57" hidden="1" customWidth="1" outlineLevel="1"/>
    <col min="20" max="20" width="10.83203125" style="57" collapsed="1"/>
    <col min="21" max="16384" width="10.83203125" style="57"/>
  </cols>
  <sheetData>
    <row r="1" spans="1:19" ht="19" x14ac:dyDescent="0.25">
      <c r="A1" s="1" t="s">
        <v>138</v>
      </c>
      <c r="B1" s="12"/>
      <c r="C1" s="46"/>
      <c r="D1" s="46"/>
      <c r="E1" s="46"/>
      <c r="F1" s="55"/>
      <c r="G1" s="55"/>
      <c r="H1" s="55"/>
      <c r="I1" s="55"/>
      <c r="J1" s="56"/>
      <c r="K1" s="2" t="s">
        <v>135</v>
      </c>
    </row>
    <row r="2" spans="1:19" x14ac:dyDescent="0.2">
      <c r="A2" s="58"/>
      <c r="B2" s="55"/>
      <c r="C2" s="55"/>
      <c r="D2" s="55"/>
      <c r="E2" s="55"/>
      <c r="F2" s="55"/>
      <c r="G2" s="55"/>
      <c r="H2" s="55"/>
      <c r="I2" s="55"/>
      <c r="J2" s="56"/>
      <c r="L2" s="57" t="s">
        <v>68</v>
      </c>
    </row>
    <row r="3" spans="1:19" ht="16" customHeight="1" x14ac:dyDescent="0.2">
      <c r="A3" s="58"/>
      <c r="B3" s="55" t="s">
        <v>66</v>
      </c>
      <c r="C3" s="55"/>
      <c r="D3" s="55"/>
      <c r="E3" s="55"/>
      <c r="F3" s="55"/>
      <c r="G3" s="55"/>
      <c r="H3" s="55"/>
      <c r="I3" s="55"/>
      <c r="J3" s="56"/>
      <c r="L3" s="322" t="s">
        <v>149</v>
      </c>
      <c r="M3" s="323"/>
      <c r="N3" s="323"/>
      <c r="O3" s="323"/>
      <c r="P3" s="323"/>
      <c r="Q3" s="323"/>
      <c r="R3" s="323"/>
      <c r="S3" s="323"/>
    </row>
    <row r="4" spans="1:19" x14ac:dyDescent="0.2">
      <c r="A4" s="58"/>
      <c r="B4" s="55" t="s">
        <v>67</v>
      </c>
      <c r="C4" s="55"/>
      <c r="D4" s="55"/>
      <c r="E4" s="55"/>
      <c r="F4" s="55"/>
      <c r="G4" s="55"/>
      <c r="H4" s="55"/>
      <c r="I4" s="55"/>
      <c r="J4" s="56"/>
      <c r="L4" s="323"/>
      <c r="M4" s="323"/>
      <c r="N4" s="323"/>
      <c r="O4" s="323"/>
      <c r="P4" s="323"/>
      <c r="Q4" s="323"/>
      <c r="R4" s="323"/>
      <c r="S4" s="323"/>
    </row>
    <row r="5" spans="1:19" x14ac:dyDescent="0.2">
      <c r="A5" s="58"/>
      <c r="B5" s="55"/>
      <c r="C5" s="55"/>
      <c r="D5" s="55"/>
      <c r="E5" s="55"/>
      <c r="F5" s="55"/>
      <c r="G5" s="55"/>
      <c r="H5" s="55"/>
      <c r="I5" s="55"/>
      <c r="J5" s="56"/>
      <c r="L5" s="323"/>
      <c r="M5" s="323"/>
      <c r="N5" s="323"/>
      <c r="O5" s="323"/>
      <c r="P5" s="323"/>
      <c r="Q5" s="323"/>
      <c r="R5" s="323"/>
      <c r="S5" s="323"/>
    </row>
    <row r="6" spans="1:19" x14ac:dyDescent="0.2">
      <c r="A6" s="55"/>
      <c r="B6" s="67" t="s">
        <v>68</v>
      </c>
      <c r="C6" s="55" t="s">
        <v>71</v>
      </c>
      <c r="D6" s="55"/>
      <c r="E6" s="55"/>
      <c r="F6" s="55"/>
      <c r="G6" s="55"/>
      <c r="H6" s="55"/>
      <c r="I6" s="55"/>
      <c r="J6" s="56"/>
      <c r="L6" s="323"/>
      <c r="M6" s="323"/>
      <c r="N6" s="323"/>
      <c r="O6" s="323"/>
      <c r="P6" s="323"/>
      <c r="Q6" s="323"/>
      <c r="R6" s="323"/>
      <c r="S6" s="323"/>
    </row>
    <row r="7" spans="1:19" x14ac:dyDescent="0.2">
      <c r="A7" s="55"/>
      <c r="B7" s="67" t="s">
        <v>69</v>
      </c>
      <c r="C7" s="55" t="s">
        <v>72</v>
      </c>
      <c r="D7" s="55"/>
      <c r="E7" s="55"/>
      <c r="F7" s="55"/>
      <c r="G7" s="55"/>
      <c r="H7" s="55"/>
      <c r="I7" s="55"/>
      <c r="J7" s="56"/>
      <c r="L7" s="323"/>
      <c r="M7" s="323"/>
      <c r="N7" s="323"/>
      <c r="O7" s="323"/>
      <c r="P7" s="323"/>
      <c r="Q7" s="323"/>
      <c r="R7" s="323"/>
      <c r="S7" s="323"/>
    </row>
    <row r="8" spans="1:19" x14ac:dyDescent="0.2">
      <c r="A8" s="55"/>
      <c r="B8" s="67" t="s">
        <v>70</v>
      </c>
      <c r="C8" s="55" t="s">
        <v>73</v>
      </c>
      <c r="D8" s="55"/>
      <c r="E8" s="55"/>
      <c r="F8" s="55"/>
      <c r="G8" s="55"/>
      <c r="H8" s="55"/>
      <c r="I8" s="55"/>
      <c r="J8" s="56"/>
      <c r="L8" s="323"/>
      <c r="M8" s="323"/>
      <c r="N8" s="323"/>
      <c r="O8" s="323"/>
      <c r="P8" s="323"/>
      <c r="Q8" s="323"/>
      <c r="R8" s="323"/>
      <c r="S8" s="323"/>
    </row>
    <row r="9" spans="1:19" x14ac:dyDescent="0.2">
      <c r="A9" s="58"/>
      <c r="B9" s="55"/>
      <c r="C9" s="55"/>
      <c r="D9" s="55"/>
      <c r="E9" s="55"/>
      <c r="F9" s="55"/>
      <c r="G9" s="55"/>
      <c r="H9" s="55"/>
      <c r="I9" s="55"/>
      <c r="J9" s="56"/>
    </row>
    <row r="10" spans="1:19" ht="17" thickBot="1" x14ac:dyDescent="0.25">
      <c r="A10" s="58"/>
      <c r="B10" s="55"/>
      <c r="C10" s="55"/>
      <c r="D10" s="55"/>
      <c r="E10" s="55"/>
      <c r="F10" s="55"/>
      <c r="G10" s="55"/>
      <c r="H10" s="55"/>
      <c r="I10" s="55"/>
      <c r="J10" s="56"/>
      <c r="L10" s="57" t="s">
        <v>69</v>
      </c>
    </row>
    <row r="11" spans="1:19" ht="16" customHeight="1" thickBot="1" x14ac:dyDescent="0.25">
      <c r="A11" s="319" t="s">
        <v>134</v>
      </c>
      <c r="B11" s="320"/>
      <c r="C11" s="320"/>
      <c r="D11" s="320"/>
      <c r="E11" s="320"/>
      <c r="F11" s="320"/>
      <c r="G11" s="320"/>
      <c r="H11" s="320"/>
      <c r="I11" s="320"/>
      <c r="J11" s="321"/>
      <c r="L11" s="322" t="s">
        <v>150</v>
      </c>
      <c r="M11" s="323"/>
      <c r="N11" s="323"/>
      <c r="O11" s="323"/>
      <c r="P11" s="323"/>
      <c r="Q11" s="323"/>
      <c r="R11" s="323"/>
      <c r="S11" s="323"/>
    </row>
    <row r="12" spans="1:19" x14ac:dyDescent="0.2">
      <c r="L12" s="323"/>
      <c r="M12" s="323"/>
      <c r="N12" s="323"/>
      <c r="O12" s="323"/>
      <c r="P12" s="323"/>
      <c r="Q12" s="323"/>
      <c r="R12" s="323"/>
      <c r="S12" s="323"/>
    </row>
    <row r="13" spans="1:19" ht="19" x14ac:dyDescent="0.25">
      <c r="A13" s="2"/>
      <c r="L13" s="323"/>
      <c r="M13" s="323"/>
      <c r="N13" s="323"/>
      <c r="O13" s="323"/>
      <c r="P13" s="323"/>
      <c r="Q13" s="323"/>
      <c r="R13" s="323"/>
      <c r="S13" s="323"/>
    </row>
    <row r="14" spans="1:19" x14ac:dyDescent="0.2">
      <c r="A14" s="3"/>
      <c r="L14" s="323"/>
      <c r="M14" s="323"/>
      <c r="N14" s="323"/>
      <c r="O14" s="323"/>
      <c r="P14" s="323"/>
      <c r="Q14" s="323"/>
      <c r="R14" s="323"/>
      <c r="S14" s="323"/>
    </row>
    <row r="15" spans="1:19" x14ac:dyDescent="0.2">
      <c r="L15" s="323"/>
      <c r="M15" s="323"/>
      <c r="N15" s="323"/>
      <c r="O15" s="323"/>
      <c r="P15" s="323"/>
      <c r="Q15" s="323"/>
      <c r="R15" s="323"/>
      <c r="S15" s="323"/>
    </row>
    <row r="16" spans="1:19" x14ac:dyDescent="0.2">
      <c r="L16" s="323"/>
      <c r="M16" s="323"/>
      <c r="N16" s="323"/>
      <c r="O16" s="323"/>
      <c r="P16" s="323"/>
      <c r="Q16" s="323"/>
      <c r="R16" s="323"/>
      <c r="S16" s="323"/>
    </row>
    <row r="18" spans="1:20" ht="16" customHeight="1" x14ac:dyDescent="0.2">
      <c r="L18" s="57" t="s">
        <v>70</v>
      </c>
      <c r="M18" s="59"/>
      <c r="N18" s="59"/>
      <c r="O18" s="59"/>
      <c r="P18" s="59"/>
      <c r="Q18" s="59"/>
      <c r="R18" s="59"/>
      <c r="S18" s="59"/>
    </row>
    <row r="19" spans="1:20" ht="16" customHeight="1" x14ac:dyDescent="0.2">
      <c r="L19" s="324" t="s">
        <v>151</v>
      </c>
      <c r="M19" s="325"/>
      <c r="N19" s="325"/>
      <c r="O19" s="325"/>
      <c r="P19" s="325"/>
      <c r="Q19" s="325"/>
      <c r="R19" s="325"/>
      <c r="S19" s="325"/>
    </row>
    <row r="20" spans="1:20" x14ac:dyDescent="0.2">
      <c r="L20" s="325"/>
      <c r="M20" s="325"/>
      <c r="N20" s="325"/>
      <c r="O20" s="325"/>
      <c r="P20" s="325"/>
      <c r="Q20" s="325"/>
      <c r="R20" s="325"/>
      <c r="S20" s="325"/>
    </row>
    <row r="21" spans="1:20" x14ac:dyDescent="0.2">
      <c r="L21" s="325"/>
      <c r="M21" s="325"/>
      <c r="N21" s="325"/>
      <c r="O21" s="325"/>
      <c r="P21" s="325"/>
      <c r="Q21" s="325"/>
      <c r="R21" s="325"/>
      <c r="S21" s="325"/>
    </row>
    <row r="22" spans="1:20" x14ac:dyDescent="0.2">
      <c r="L22" s="325"/>
      <c r="M22" s="325"/>
      <c r="N22" s="325"/>
      <c r="O22" s="325"/>
      <c r="P22" s="325"/>
      <c r="Q22" s="325"/>
      <c r="R22" s="325"/>
      <c r="S22" s="325"/>
    </row>
    <row r="23" spans="1:20" x14ac:dyDescent="0.2">
      <c r="L23" s="325"/>
      <c r="M23" s="325"/>
      <c r="N23" s="325"/>
      <c r="O23" s="325"/>
      <c r="P23" s="325"/>
      <c r="Q23" s="325"/>
      <c r="R23" s="325"/>
      <c r="S23" s="325"/>
    </row>
    <row r="24" spans="1:20" x14ac:dyDescent="0.2">
      <c r="L24" s="59"/>
      <c r="M24" s="59"/>
      <c r="N24" s="59"/>
      <c r="O24" s="59"/>
      <c r="P24" s="59"/>
      <c r="Q24" s="59"/>
      <c r="R24" s="59"/>
      <c r="S24" s="59"/>
    </row>
    <row r="25" spans="1:20" ht="19" x14ac:dyDescent="0.25">
      <c r="L25" s="2" t="s">
        <v>103</v>
      </c>
    </row>
    <row r="26" spans="1:20" ht="16" customHeight="1" x14ac:dyDescent="0.2">
      <c r="A26" s="3"/>
      <c r="C26" s="61"/>
      <c r="L26" s="318" t="s">
        <v>132</v>
      </c>
      <c r="M26" s="318"/>
      <c r="N26" s="318"/>
      <c r="O26" s="318"/>
      <c r="P26" s="318"/>
      <c r="Q26" s="318"/>
      <c r="R26" s="318"/>
      <c r="S26" s="318"/>
      <c r="T26" s="59"/>
    </row>
    <row r="27" spans="1:20" x14ac:dyDescent="0.2">
      <c r="L27" s="318"/>
      <c r="M27" s="318"/>
      <c r="N27" s="318"/>
      <c r="O27" s="318"/>
      <c r="P27" s="318"/>
      <c r="Q27" s="318"/>
      <c r="R27" s="318"/>
      <c r="S27" s="318"/>
    </row>
    <row r="28" spans="1:20" x14ac:dyDescent="0.2">
      <c r="L28" s="318"/>
      <c r="M28" s="318"/>
      <c r="N28" s="318"/>
      <c r="O28" s="318"/>
      <c r="P28" s="318"/>
      <c r="Q28" s="318"/>
      <c r="R28" s="318"/>
      <c r="S28" s="318"/>
    </row>
    <row r="37" spans="1:14" x14ac:dyDescent="0.2">
      <c r="A37" s="3"/>
      <c r="C37" s="61"/>
      <c r="M37" s="61"/>
    </row>
    <row r="38" spans="1:14" x14ac:dyDescent="0.2">
      <c r="L38" s="4"/>
      <c r="M38" s="4"/>
      <c r="N38" s="4"/>
    </row>
    <row r="39" spans="1:14" x14ac:dyDescent="0.2">
      <c r="L39" s="4"/>
      <c r="M39" s="4"/>
      <c r="N39" s="4"/>
    </row>
    <row r="40" spans="1:14" x14ac:dyDescent="0.2">
      <c r="L40" s="4"/>
      <c r="M40" s="4"/>
      <c r="N40" s="4"/>
    </row>
    <row r="41" spans="1:14" x14ac:dyDescent="0.2">
      <c r="L41" s="4"/>
      <c r="M41" s="4"/>
      <c r="N41" s="4"/>
    </row>
    <row r="42" spans="1:14" x14ac:dyDescent="0.2">
      <c r="L42" s="4"/>
      <c r="M42" s="4"/>
      <c r="N42" s="4"/>
    </row>
    <row r="43" spans="1:14" x14ac:dyDescent="0.2">
      <c r="L43" s="4"/>
      <c r="M43" s="4"/>
      <c r="N43" s="4"/>
    </row>
    <row r="44" spans="1:14" x14ac:dyDescent="0.2">
      <c r="L44" s="4"/>
      <c r="M44" s="4"/>
      <c r="N44" s="4"/>
    </row>
    <row r="45" spans="1:14" x14ac:dyDescent="0.2">
      <c r="L45" s="4"/>
      <c r="M45" s="4"/>
      <c r="N45" s="4"/>
    </row>
    <row r="46" spans="1:14" x14ac:dyDescent="0.2">
      <c r="L46" s="4"/>
      <c r="M46" s="4"/>
      <c r="N46" s="4"/>
    </row>
    <row r="47" spans="1:14" x14ac:dyDescent="0.2">
      <c r="M47" s="61"/>
    </row>
    <row r="48" spans="1:14" x14ac:dyDescent="0.2">
      <c r="L48" s="4"/>
      <c r="M48" s="4"/>
      <c r="N48" s="4"/>
    </row>
    <row r="49" spans="12:14" x14ac:dyDescent="0.2">
      <c r="L49" s="4"/>
      <c r="M49" s="4"/>
      <c r="N49" s="4"/>
    </row>
    <row r="50" spans="12:14" s="88" customFormat="1" x14ac:dyDescent="0.2"/>
    <row r="51" spans="12:14" s="88" customFormat="1" x14ac:dyDescent="0.2"/>
    <row r="52" spans="12:14" s="88" customFormat="1" x14ac:dyDescent="0.2"/>
    <row r="53" spans="12:14" s="88" customFormat="1" x14ac:dyDescent="0.2"/>
    <row r="54" spans="12:14" s="88" customFormat="1" x14ac:dyDescent="0.2"/>
    <row r="55" spans="12:14" s="88" customFormat="1" x14ac:dyDescent="0.2"/>
    <row r="56" spans="12:14" s="88" customFormat="1" x14ac:dyDescent="0.2"/>
    <row r="57" spans="12:14" s="88" customFormat="1" x14ac:dyDescent="0.2">
      <c r="M57" s="89"/>
    </row>
    <row r="58" spans="12:14" s="88" customFormat="1" x14ac:dyDescent="0.2"/>
    <row r="59" spans="12:14" s="88" customFormat="1" x14ac:dyDescent="0.2"/>
    <row r="60" spans="12:14" s="88" customFormat="1" x14ac:dyDescent="0.2"/>
    <row r="61" spans="12:14" s="88" customFormat="1" x14ac:dyDescent="0.2"/>
    <row r="62" spans="12:14" s="88" customFormat="1" x14ac:dyDescent="0.2"/>
    <row r="63" spans="12:14" s="88" customFormat="1" x14ac:dyDescent="0.2"/>
    <row r="64" spans="12:14" s="88" customFormat="1" x14ac:dyDescent="0.2"/>
    <row r="65" spans="13:13" s="88" customFormat="1" x14ac:dyDescent="0.2"/>
    <row r="66" spans="13:13" s="88" customFormat="1" x14ac:dyDescent="0.2"/>
    <row r="67" spans="13:13" s="88" customFormat="1" x14ac:dyDescent="0.2">
      <c r="M67" s="89"/>
    </row>
    <row r="68" spans="13:13" s="88" customFormat="1" x14ac:dyDescent="0.2"/>
    <row r="69" spans="13:13" s="88" customFormat="1" x14ac:dyDescent="0.2"/>
    <row r="70" spans="13:13" s="88" customFormat="1" x14ac:dyDescent="0.2"/>
    <row r="71" spans="13:13" s="88" customFormat="1" x14ac:dyDescent="0.2"/>
    <row r="72" spans="13:13" s="88" customFormat="1" x14ac:dyDescent="0.2"/>
    <row r="73" spans="13:13" s="88" customFormat="1" x14ac:dyDescent="0.2"/>
    <row r="74" spans="13:13" s="88" customFormat="1" x14ac:dyDescent="0.2"/>
    <row r="75" spans="13:13" s="88" customFormat="1" x14ac:dyDescent="0.2"/>
    <row r="76" spans="13:13" s="88" customFormat="1" x14ac:dyDescent="0.2"/>
    <row r="77" spans="13:13" s="88" customFormat="1" x14ac:dyDescent="0.2">
      <c r="M77" s="89"/>
    </row>
    <row r="78" spans="13:13" s="88" customFormat="1" x14ac:dyDescent="0.2"/>
    <row r="79" spans="13:13" s="88" customFormat="1" x14ac:dyDescent="0.2"/>
    <row r="80" spans="13:13" s="88" customFormat="1" x14ac:dyDescent="0.2"/>
    <row r="81" s="88" customFormat="1" x14ac:dyDescent="0.2"/>
    <row r="82" s="88" customFormat="1" x14ac:dyDescent="0.2"/>
    <row r="83" s="88" customFormat="1" x14ac:dyDescent="0.2"/>
    <row r="84" s="88" customFormat="1" x14ac:dyDescent="0.2"/>
    <row r="85" s="88" customFormat="1" x14ac:dyDescent="0.2"/>
    <row r="86" s="88" customFormat="1" x14ac:dyDescent="0.2"/>
    <row r="87" s="88" customFormat="1" x14ac:dyDescent="0.2"/>
    <row r="88" s="88" customFormat="1" x14ac:dyDescent="0.2"/>
    <row r="89" s="88" customFormat="1" x14ac:dyDescent="0.2"/>
    <row r="90" s="88" customFormat="1" x14ac:dyDescent="0.2"/>
    <row r="91" s="88" customFormat="1" x14ac:dyDescent="0.2"/>
    <row r="92" s="88" customFormat="1" x14ac:dyDescent="0.2"/>
    <row r="93" s="88" customFormat="1" x14ac:dyDescent="0.2"/>
    <row r="94" s="88" customFormat="1" x14ac:dyDescent="0.2"/>
    <row r="95" s="88" customFormat="1" x14ac:dyDescent="0.2"/>
    <row r="96" s="88" customFormat="1" x14ac:dyDescent="0.2"/>
    <row r="97" s="88" customFormat="1" x14ac:dyDescent="0.2"/>
    <row r="98" s="88" customFormat="1" x14ac:dyDescent="0.2"/>
    <row r="99" s="88" customFormat="1" x14ac:dyDescent="0.2"/>
    <row r="100" s="88" customFormat="1" x14ac:dyDescent="0.2"/>
    <row r="101" s="88" customFormat="1" x14ac:dyDescent="0.2"/>
    <row r="102" s="88" customFormat="1" x14ac:dyDescent="0.2"/>
    <row r="103" s="88" customFormat="1" x14ac:dyDescent="0.2"/>
    <row r="104" s="88" customFormat="1" x14ac:dyDescent="0.2"/>
    <row r="105" s="88" customFormat="1" x14ac:dyDescent="0.2"/>
    <row r="106" s="88" customFormat="1" x14ac:dyDescent="0.2"/>
    <row r="107" s="88" customFormat="1" x14ac:dyDescent="0.2"/>
    <row r="108" s="88" customFormat="1" x14ac:dyDescent="0.2"/>
    <row r="109" s="88" customFormat="1" x14ac:dyDescent="0.2"/>
    <row r="110" s="88" customFormat="1" x14ac:dyDescent="0.2"/>
    <row r="111" s="88" customFormat="1" x14ac:dyDescent="0.2"/>
    <row r="112" s="88" customFormat="1" x14ac:dyDescent="0.2"/>
    <row r="113" s="88" customFormat="1" x14ac:dyDescent="0.2"/>
    <row r="114" s="88" customFormat="1" x14ac:dyDescent="0.2"/>
    <row r="115" s="88" customFormat="1" x14ac:dyDescent="0.2"/>
    <row r="116" s="88" customFormat="1" x14ac:dyDescent="0.2"/>
    <row r="117" s="88" customFormat="1" x14ac:dyDescent="0.2"/>
    <row r="118" s="88" customFormat="1" x14ac:dyDescent="0.2"/>
    <row r="119" s="88" customFormat="1" x14ac:dyDescent="0.2"/>
    <row r="120" s="88" customFormat="1" x14ac:dyDescent="0.2"/>
    <row r="121" s="88" customFormat="1" x14ac:dyDescent="0.2"/>
    <row r="122" s="88" customFormat="1" x14ac:dyDescent="0.2"/>
    <row r="123" s="88" customFormat="1" x14ac:dyDescent="0.2"/>
    <row r="124" s="88" customFormat="1" x14ac:dyDescent="0.2"/>
    <row r="125" s="88" customFormat="1" x14ac:dyDescent="0.2"/>
    <row r="126" s="88" customFormat="1" x14ac:dyDescent="0.2"/>
    <row r="127" s="88" customFormat="1" x14ac:dyDescent="0.2"/>
    <row r="128" s="88" customFormat="1" x14ac:dyDescent="0.2"/>
    <row r="129" s="88" customFormat="1" x14ac:dyDescent="0.2"/>
    <row r="130" s="88" customFormat="1" x14ac:dyDescent="0.2"/>
    <row r="131" s="88" customFormat="1" x14ac:dyDescent="0.2"/>
    <row r="132" s="88" customFormat="1" x14ac:dyDescent="0.2"/>
    <row r="133" s="88" customFormat="1" x14ac:dyDescent="0.2"/>
    <row r="134" s="88" customFormat="1" x14ac:dyDescent="0.2"/>
    <row r="135" s="88" customFormat="1" x14ac:dyDescent="0.2"/>
    <row r="136" s="88" customFormat="1" x14ac:dyDescent="0.2"/>
    <row r="137" s="88" customFormat="1" x14ac:dyDescent="0.2"/>
    <row r="138" s="88" customFormat="1" x14ac:dyDescent="0.2"/>
    <row r="139" s="88" customFormat="1" x14ac:dyDescent="0.2"/>
    <row r="140" s="88" customFormat="1" x14ac:dyDescent="0.2"/>
    <row r="141" s="88" customFormat="1" x14ac:dyDescent="0.2"/>
    <row r="142" s="88" customFormat="1" x14ac:dyDescent="0.2"/>
    <row r="143" s="88" customFormat="1" x14ac:dyDescent="0.2"/>
    <row r="144" s="88" customFormat="1" x14ac:dyDescent="0.2"/>
    <row r="145" s="88" customFormat="1" x14ac:dyDescent="0.2"/>
    <row r="146" s="88" customFormat="1" x14ac:dyDescent="0.2"/>
    <row r="147" s="88" customFormat="1" x14ac:dyDescent="0.2"/>
    <row r="148" s="88" customFormat="1" x14ac:dyDescent="0.2"/>
    <row r="149" s="88" customFormat="1" x14ac:dyDescent="0.2"/>
    <row r="150" s="88" customFormat="1" x14ac:dyDescent="0.2"/>
    <row r="151" s="88" customFormat="1" x14ac:dyDescent="0.2"/>
    <row r="152" s="88" customFormat="1" x14ac:dyDescent="0.2"/>
    <row r="153" s="88" customFormat="1" x14ac:dyDescent="0.2"/>
    <row r="154" s="88" customFormat="1" x14ac:dyDescent="0.2"/>
    <row r="155" s="88" customFormat="1" x14ac:dyDescent="0.2"/>
    <row r="156" s="88" customFormat="1" x14ac:dyDescent="0.2"/>
    <row r="157" s="88" customFormat="1" x14ac:dyDescent="0.2"/>
    <row r="158" s="88" customFormat="1" x14ac:dyDescent="0.2"/>
    <row r="159" s="88" customFormat="1" x14ac:dyDescent="0.2"/>
    <row r="160" s="88" customFormat="1" x14ac:dyDescent="0.2"/>
    <row r="161" s="88" customFormat="1" x14ac:dyDescent="0.2"/>
    <row r="162" s="88" customFormat="1" x14ac:dyDescent="0.2"/>
    <row r="163" s="88" customFormat="1" x14ac:dyDescent="0.2"/>
    <row r="164" s="88" customFormat="1" x14ac:dyDescent="0.2"/>
    <row r="165" s="88" customFormat="1" x14ac:dyDescent="0.2"/>
    <row r="166" s="88" customFormat="1" x14ac:dyDescent="0.2"/>
    <row r="167" s="88" customFormat="1" x14ac:dyDescent="0.2"/>
    <row r="168" s="88" customFormat="1" x14ac:dyDescent="0.2"/>
    <row r="169" s="88" customFormat="1" x14ac:dyDescent="0.2"/>
    <row r="170" s="88" customFormat="1" x14ac:dyDescent="0.2"/>
    <row r="171" s="88" customFormat="1" x14ac:dyDescent="0.2"/>
    <row r="172" s="88" customFormat="1" x14ac:dyDescent="0.2"/>
    <row r="173" s="88" customFormat="1" x14ac:dyDescent="0.2"/>
    <row r="174" s="88" customFormat="1" x14ac:dyDescent="0.2"/>
    <row r="175" s="88" customFormat="1" x14ac:dyDescent="0.2"/>
    <row r="176" s="88" customFormat="1" x14ac:dyDescent="0.2"/>
    <row r="177" s="88" customFormat="1" x14ac:dyDescent="0.2"/>
    <row r="178" s="88" customFormat="1" x14ac:dyDescent="0.2"/>
    <row r="179" s="88" customFormat="1" x14ac:dyDescent="0.2"/>
    <row r="180" s="88" customFormat="1" x14ac:dyDescent="0.2"/>
    <row r="181" s="88" customFormat="1" x14ac:dyDescent="0.2"/>
    <row r="182" s="88" customFormat="1" x14ac:dyDescent="0.2"/>
    <row r="183" s="88" customFormat="1" x14ac:dyDescent="0.2"/>
    <row r="184" s="88" customFormat="1" x14ac:dyDescent="0.2"/>
    <row r="185" s="88" customFormat="1" x14ac:dyDescent="0.2"/>
    <row r="186" s="88" customFormat="1" x14ac:dyDescent="0.2"/>
    <row r="187" s="88" customFormat="1" x14ac:dyDescent="0.2"/>
  </sheetData>
  <mergeCells count="5">
    <mergeCell ref="A11:J11"/>
    <mergeCell ref="L3:S8"/>
    <mergeCell ref="L11:S16"/>
    <mergeCell ref="L19:S23"/>
    <mergeCell ref="L26:S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U187"/>
  <sheetViews>
    <sheetView zoomScaleNormal="100" workbookViewId="0"/>
  </sheetViews>
  <sheetFormatPr baseColWidth="10" defaultColWidth="10.83203125" defaultRowHeight="16" outlineLevelCol="1" x14ac:dyDescent="0.2"/>
  <cols>
    <col min="1" max="1" width="4.6640625" style="57" customWidth="1"/>
    <col min="2" max="10" width="10.83203125" style="57" customWidth="1"/>
    <col min="11" max="11" width="11.5" style="57" bestFit="1" customWidth="1"/>
    <col min="12" max="20" width="10.83203125" style="57" hidden="1" customWidth="1" outlineLevel="1"/>
    <col min="21" max="21" width="10.83203125" style="57" collapsed="1"/>
    <col min="22" max="16384" width="10.83203125" style="57"/>
  </cols>
  <sheetData>
    <row r="1" spans="1:21" ht="19" x14ac:dyDescent="0.25">
      <c r="A1" s="1" t="s">
        <v>139</v>
      </c>
      <c r="B1" s="12"/>
      <c r="C1" s="46"/>
      <c r="D1" s="46"/>
      <c r="E1" s="46"/>
      <c r="F1" s="55"/>
      <c r="G1" s="55"/>
      <c r="H1" s="55"/>
      <c r="I1" s="55"/>
      <c r="J1" s="56"/>
      <c r="K1" s="2" t="s">
        <v>135</v>
      </c>
    </row>
    <row r="2" spans="1:21" x14ac:dyDescent="0.2">
      <c r="A2" s="58"/>
      <c r="B2" s="55"/>
      <c r="C2" s="55"/>
      <c r="D2" s="55"/>
      <c r="E2" s="55"/>
      <c r="F2" s="55"/>
      <c r="G2" s="55"/>
      <c r="H2" s="55"/>
      <c r="I2" s="55"/>
      <c r="J2" s="56"/>
      <c r="L2" s="38" t="s">
        <v>3</v>
      </c>
      <c r="N2" s="61"/>
    </row>
    <row r="3" spans="1:21" ht="16" customHeight="1" x14ac:dyDescent="0.2">
      <c r="A3" s="55" t="s">
        <v>0</v>
      </c>
      <c r="B3" s="55" t="s">
        <v>74</v>
      </c>
      <c r="C3" s="55"/>
      <c r="D3" s="55"/>
      <c r="E3" s="55"/>
      <c r="F3" s="55"/>
      <c r="G3" s="55"/>
      <c r="H3" s="55"/>
      <c r="I3" s="55"/>
      <c r="J3" s="56"/>
      <c r="M3" s="323" t="s">
        <v>78</v>
      </c>
      <c r="N3" s="323"/>
      <c r="O3" s="323"/>
      <c r="P3" s="323"/>
      <c r="Q3" s="323"/>
      <c r="R3" s="323"/>
      <c r="S3" s="323"/>
      <c r="T3" s="323"/>
      <c r="U3" s="59"/>
    </row>
    <row r="4" spans="1:21" x14ac:dyDescent="0.2">
      <c r="A4" s="58"/>
      <c r="B4" s="55" t="s">
        <v>75</v>
      </c>
      <c r="C4" s="55"/>
      <c r="D4" s="55"/>
      <c r="E4" s="55"/>
      <c r="F4" s="55"/>
      <c r="G4" s="55"/>
      <c r="H4" s="55"/>
      <c r="I4" s="55"/>
      <c r="J4" s="56"/>
      <c r="M4" s="323"/>
      <c r="N4" s="323"/>
      <c r="O4" s="323"/>
      <c r="P4" s="323"/>
      <c r="Q4" s="323"/>
      <c r="R4" s="323"/>
      <c r="S4" s="323"/>
      <c r="T4" s="323"/>
    </row>
    <row r="5" spans="1:21" x14ac:dyDescent="0.2">
      <c r="A5" s="58"/>
      <c r="B5" s="55"/>
      <c r="C5" s="55"/>
      <c r="D5" s="55"/>
      <c r="E5" s="55"/>
      <c r="F5" s="55"/>
      <c r="G5" s="55"/>
      <c r="H5" s="55"/>
      <c r="I5" s="55"/>
      <c r="J5" s="56"/>
      <c r="M5" s="323"/>
      <c r="N5" s="323"/>
      <c r="O5" s="323"/>
      <c r="P5" s="323"/>
      <c r="Q5" s="323"/>
      <c r="R5" s="323"/>
      <c r="S5" s="323"/>
      <c r="T5" s="323"/>
    </row>
    <row r="6" spans="1:21" x14ac:dyDescent="0.2">
      <c r="A6" s="55" t="s">
        <v>1</v>
      </c>
      <c r="B6" s="55" t="s">
        <v>76</v>
      </c>
      <c r="C6" s="55"/>
      <c r="D6" s="55"/>
      <c r="E6" s="55"/>
      <c r="F6" s="55"/>
      <c r="G6" s="55"/>
      <c r="H6" s="55"/>
      <c r="I6" s="55"/>
      <c r="J6" s="56"/>
      <c r="M6" s="323"/>
      <c r="N6" s="323"/>
      <c r="O6" s="323"/>
      <c r="P6" s="323"/>
      <c r="Q6" s="323"/>
      <c r="R6" s="323"/>
      <c r="S6" s="323"/>
      <c r="T6" s="323"/>
    </row>
    <row r="7" spans="1:21" x14ac:dyDescent="0.2">
      <c r="A7" s="58"/>
      <c r="B7" s="55"/>
      <c r="C7" s="55"/>
      <c r="D7" s="55"/>
      <c r="E7" s="55"/>
      <c r="F7" s="55"/>
      <c r="G7" s="55"/>
      <c r="H7" s="55"/>
      <c r="I7" s="55"/>
      <c r="J7" s="56"/>
      <c r="M7" s="323"/>
      <c r="N7" s="323"/>
      <c r="O7" s="323"/>
      <c r="P7" s="323"/>
      <c r="Q7" s="323"/>
      <c r="R7" s="323"/>
      <c r="S7" s="323"/>
      <c r="T7" s="323"/>
    </row>
    <row r="8" spans="1:21" x14ac:dyDescent="0.2">
      <c r="A8" s="55" t="s">
        <v>2</v>
      </c>
      <c r="B8" s="55" t="s">
        <v>77</v>
      </c>
      <c r="C8" s="55"/>
      <c r="D8" s="55"/>
      <c r="E8" s="55"/>
      <c r="F8" s="55"/>
      <c r="G8" s="55"/>
      <c r="H8" s="55"/>
      <c r="I8" s="55"/>
      <c r="J8" s="56"/>
    </row>
    <row r="9" spans="1:21" x14ac:dyDescent="0.2">
      <c r="A9" s="58"/>
      <c r="B9" s="55"/>
      <c r="C9" s="55"/>
      <c r="D9" s="55"/>
      <c r="E9" s="55"/>
      <c r="F9" s="55"/>
      <c r="G9" s="55"/>
      <c r="H9" s="55"/>
      <c r="I9" s="55"/>
      <c r="J9" s="56"/>
      <c r="L9" s="38" t="s">
        <v>4</v>
      </c>
      <c r="N9" s="61"/>
    </row>
    <row r="10" spans="1:21" ht="16" customHeight="1" thickBot="1" x14ac:dyDescent="0.25">
      <c r="A10" s="58"/>
      <c r="B10" s="55"/>
      <c r="C10" s="55"/>
      <c r="D10" s="55"/>
      <c r="E10" s="55"/>
      <c r="F10" s="55"/>
      <c r="G10" s="55"/>
      <c r="H10" s="55"/>
      <c r="I10" s="55"/>
      <c r="J10" s="56"/>
      <c r="M10" s="323" t="s">
        <v>79</v>
      </c>
      <c r="N10" s="323"/>
      <c r="O10" s="323"/>
      <c r="P10" s="323"/>
      <c r="Q10" s="323"/>
      <c r="R10" s="323"/>
      <c r="S10" s="323"/>
      <c r="T10" s="323"/>
      <c r="U10" s="59"/>
    </row>
    <row r="11" spans="1:21" ht="17" thickBot="1" x14ac:dyDescent="0.25">
      <c r="A11" s="319" t="s">
        <v>134</v>
      </c>
      <c r="B11" s="320"/>
      <c r="C11" s="320"/>
      <c r="D11" s="320"/>
      <c r="E11" s="320"/>
      <c r="F11" s="320"/>
      <c r="G11" s="320"/>
      <c r="H11" s="320"/>
      <c r="I11" s="320"/>
      <c r="J11" s="321"/>
      <c r="M11" s="323"/>
      <c r="N11" s="323"/>
      <c r="O11" s="323"/>
      <c r="P11" s="323"/>
      <c r="Q11" s="323"/>
      <c r="R11" s="323"/>
      <c r="S11" s="323"/>
      <c r="T11" s="323"/>
    </row>
    <row r="12" spans="1:21" x14ac:dyDescent="0.2">
      <c r="M12" s="323"/>
      <c r="N12" s="323"/>
      <c r="O12" s="323"/>
      <c r="P12" s="323"/>
      <c r="Q12" s="323"/>
      <c r="R12" s="323"/>
      <c r="S12" s="323"/>
      <c r="T12" s="323"/>
    </row>
    <row r="13" spans="1:21" ht="19" x14ac:dyDescent="0.25">
      <c r="A13" s="2"/>
      <c r="M13" s="323"/>
      <c r="N13" s="323"/>
      <c r="O13" s="323"/>
      <c r="P13" s="323"/>
      <c r="Q13" s="323"/>
      <c r="R13" s="323"/>
      <c r="S13" s="323"/>
      <c r="T13" s="323"/>
    </row>
    <row r="14" spans="1:21" x14ac:dyDescent="0.2">
      <c r="M14" s="323"/>
      <c r="N14" s="323"/>
      <c r="O14" s="323"/>
      <c r="P14" s="323"/>
      <c r="Q14" s="323"/>
      <c r="R14" s="323"/>
      <c r="S14" s="323"/>
      <c r="T14" s="323"/>
    </row>
    <row r="15" spans="1:21" x14ac:dyDescent="0.2">
      <c r="M15" s="323"/>
      <c r="N15" s="323"/>
      <c r="O15" s="323"/>
      <c r="P15" s="323"/>
      <c r="Q15" s="323"/>
      <c r="R15" s="323"/>
      <c r="S15" s="323"/>
      <c r="T15" s="323"/>
    </row>
    <row r="17" spans="12:21" x14ac:dyDescent="0.2">
      <c r="L17" s="38" t="s">
        <v>5</v>
      </c>
      <c r="N17" s="61"/>
    </row>
    <row r="18" spans="12:21" ht="16" customHeight="1" x14ac:dyDescent="0.2">
      <c r="M18" s="323" t="s">
        <v>80</v>
      </c>
      <c r="N18" s="323"/>
      <c r="O18" s="323"/>
      <c r="P18" s="323"/>
      <c r="Q18" s="323"/>
      <c r="R18" s="323"/>
      <c r="S18" s="323"/>
      <c r="T18" s="323"/>
      <c r="U18" s="59"/>
    </row>
    <row r="19" spans="12:21" x14ac:dyDescent="0.2">
      <c r="L19" s="4"/>
      <c r="M19" s="323"/>
      <c r="N19" s="323"/>
      <c r="O19" s="323"/>
      <c r="P19" s="323"/>
      <c r="Q19" s="323"/>
      <c r="R19" s="323"/>
      <c r="S19" s="323"/>
      <c r="T19" s="323"/>
    </row>
    <row r="20" spans="12:21" x14ac:dyDescent="0.2">
      <c r="L20" s="4"/>
      <c r="M20" s="323"/>
      <c r="N20" s="323"/>
      <c r="O20" s="323"/>
      <c r="P20" s="323"/>
      <c r="Q20" s="323"/>
      <c r="R20" s="323"/>
      <c r="S20" s="323"/>
      <c r="T20" s="323"/>
    </row>
    <row r="21" spans="12:21" x14ac:dyDescent="0.2">
      <c r="M21" s="323"/>
      <c r="N21" s="323"/>
      <c r="O21" s="323"/>
      <c r="P21" s="323"/>
      <c r="Q21" s="323"/>
      <c r="R21" s="323"/>
      <c r="S21" s="323"/>
      <c r="T21" s="323"/>
    </row>
    <row r="26" spans="12:21" x14ac:dyDescent="0.2">
      <c r="M26" s="61"/>
    </row>
    <row r="27" spans="12:21" x14ac:dyDescent="0.2">
      <c r="L27" s="4"/>
      <c r="M27" s="4"/>
      <c r="N27" s="4"/>
    </row>
    <row r="28" spans="12:21" x14ac:dyDescent="0.2">
      <c r="L28" s="4"/>
      <c r="M28" s="4"/>
      <c r="N28" s="4"/>
    </row>
    <row r="29" spans="12:21" x14ac:dyDescent="0.2">
      <c r="L29" s="4"/>
      <c r="M29" s="4"/>
      <c r="N29" s="4"/>
    </row>
    <row r="30" spans="12:21" x14ac:dyDescent="0.2">
      <c r="L30" s="4"/>
      <c r="M30" s="4"/>
      <c r="N30" s="4"/>
    </row>
    <row r="31" spans="12:21" x14ac:dyDescent="0.2">
      <c r="L31" s="4"/>
      <c r="M31" s="4"/>
      <c r="N31" s="4"/>
    </row>
    <row r="32" spans="12:21" x14ac:dyDescent="0.2">
      <c r="L32" s="4"/>
      <c r="M32" s="4"/>
      <c r="N32" s="4"/>
    </row>
    <row r="33" spans="12:14" x14ac:dyDescent="0.2">
      <c r="L33" s="4"/>
      <c r="M33" s="4"/>
      <c r="N33" s="4"/>
    </row>
    <row r="34" spans="12:14" x14ac:dyDescent="0.2">
      <c r="L34" s="4"/>
      <c r="M34" s="4"/>
      <c r="N34" s="4"/>
    </row>
    <row r="35" spans="12:14" x14ac:dyDescent="0.2">
      <c r="L35" s="4"/>
      <c r="M35" s="4"/>
      <c r="N35" s="4"/>
    </row>
    <row r="36" spans="12:14" x14ac:dyDescent="0.2">
      <c r="M36" s="61"/>
    </row>
    <row r="37" spans="12:14" x14ac:dyDescent="0.2">
      <c r="L37" s="4"/>
      <c r="M37" s="4"/>
      <c r="N37" s="4"/>
    </row>
    <row r="38" spans="12:14" x14ac:dyDescent="0.2">
      <c r="L38" s="4"/>
      <c r="M38" s="4"/>
      <c r="N38" s="4"/>
    </row>
    <row r="39" spans="12:14" x14ac:dyDescent="0.2">
      <c r="L39" s="4"/>
      <c r="M39" s="4"/>
      <c r="N39" s="4"/>
    </row>
    <row r="40" spans="12:14" x14ac:dyDescent="0.2">
      <c r="L40" s="4"/>
      <c r="M40" s="4"/>
      <c r="N40" s="4"/>
    </row>
    <row r="41" spans="12:14" x14ac:dyDescent="0.2">
      <c r="L41" s="4"/>
      <c r="M41" s="4"/>
      <c r="N41" s="4"/>
    </row>
    <row r="42" spans="12:14" x14ac:dyDescent="0.2">
      <c r="L42" s="4"/>
      <c r="M42" s="4"/>
      <c r="N42" s="4"/>
    </row>
    <row r="43" spans="12:14" x14ac:dyDescent="0.2">
      <c r="L43" s="4"/>
      <c r="M43" s="4"/>
      <c r="N43" s="4"/>
    </row>
    <row r="44" spans="12:14" x14ac:dyDescent="0.2">
      <c r="L44" s="4"/>
      <c r="M44" s="4"/>
      <c r="N44" s="4"/>
    </row>
    <row r="45" spans="12:14" x14ac:dyDescent="0.2">
      <c r="L45" s="4"/>
      <c r="M45" s="4"/>
      <c r="N45" s="4"/>
    </row>
    <row r="46" spans="12:14" x14ac:dyDescent="0.2">
      <c r="M46" s="61"/>
    </row>
    <row r="47" spans="12:14" x14ac:dyDescent="0.2">
      <c r="L47" s="4"/>
      <c r="M47" s="4"/>
      <c r="N47" s="4"/>
    </row>
    <row r="48" spans="12:14" x14ac:dyDescent="0.2">
      <c r="L48" s="4"/>
      <c r="M48" s="4"/>
      <c r="N48" s="4"/>
    </row>
    <row r="49" spans="12:14" x14ac:dyDescent="0.2">
      <c r="L49" s="4"/>
      <c r="M49" s="4"/>
      <c r="N49" s="4"/>
    </row>
    <row r="50" spans="12:14" s="88" customFormat="1" x14ac:dyDescent="0.2"/>
    <row r="51" spans="12:14" s="88" customFormat="1" x14ac:dyDescent="0.2"/>
    <row r="52" spans="12:14" s="88" customFormat="1" x14ac:dyDescent="0.2"/>
    <row r="53" spans="12:14" s="88" customFormat="1" x14ac:dyDescent="0.2"/>
    <row r="54" spans="12:14" s="88" customFormat="1" x14ac:dyDescent="0.2"/>
    <row r="55" spans="12:14" s="88" customFormat="1" x14ac:dyDescent="0.2"/>
    <row r="56" spans="12:14" s="88" customFormat="1" x14ac:dyDescent="0.2">
      <c r="M56" s="89"/>
    </row>
    <row r="57" spans="12:14" s="88" customFormat="1" x14ac:dyDescent="0.2"/>
    <row r="58" spans="12:14" s="88" customFormat="1" x14ac:dyDescent="0.2"/>
    <row r="59" spans="12:14" s="88" customFormat="1" x14ac:dyDescent="0.2"/>
    <row r="60" spans="12:14" s="88" customFormat="1" x14ac:dyDescent="0.2"/>
    <row r="61" spans="12:14" s="88" customFormat="1" x14ac:dyDescent="0.2"/>
    <row r="62" spans="12:14" s="88" customFormat="1" x14ac:dyDescent="0.2"/>
    <row r="63" spans="12:14" s="88" customFormat="1" x14ac:dyDescent="0.2"/>
    <row r="64" spans="12:14" s="88" customFormat="1" x14ac:dyDescent="0.2"/>
    <row r="65" spans="13:13" s="88" customFormat="1" x14ac:dyDescent="0.2"/>
    <row r="66" spans="13:13" s="88" customFormat="1" x14ac:dyDescent="0.2">
      <c r="M66" s="89"/>
    </row>
    <row r="67" spans="13:13" s="88" customFormat="1" x14ac:dyDescent="0.2"/>
    <row r="68" spans="13:13" s="88" customFormat="1" x14ac:dyDescent="0.2"/>
    <row r="69" spans="13:13" s="88" customFormat="1" x14ac:dyDescent="0.2"/>
    <row r="70" spans="13:13" s="88" customFormat="1" x14ac:dyDescent="0.2"/>
    <row r="71" spans="13:13" s="88" customFormat="1" x14ac:dyDescent="0.2"/>
    <row r="72" spans="13:13" s="88" customFormat="1" x14ac:dyDescent="0.2"/>
    <row r="73" spans="13:13" s="88" customFormat="1" x14ac:dyDescent="0.2"/>
    <row r="74" spans="13:13" s="88" customFormat="1" x14ac:dyDescent="0.2"/>
    <row r="75" spans="13:13" s="88" customFormat="1" x14ac:dyDescent="0.2"/>
    <row r="76" spans="13:13" s="88" customFormat="1" x14ac:dyDescent="0.2"/>
    <row r="77" spans="13:13" s="88" customFormat="1" x14ac:dyDescent="0.2"/>
    <row r="78" spans="13:13" s="88" customFormat="1" x14ac:dyDescent="0.2"/>
    <row r="79" spans="13:13" s="88" customFormat="1" x14ac:dyDescent="0.2"/>
    <row r="80" spans="13:13" s="88" customFormat="1" x14ac:dyDescent="0.2"/>
    <row r="81" s="88" customFormat="1" x14ac:dyDescent="0.2"/>
    <row r="82" s="88" customFormat="1" x14ac:dyDescent="0.2"/>
    <row r="83" s="88" customFormat="1" x14ac:dyDescent="0.2"/>
    <row r="84" s="88" customFormat="1" x14ac:dyDescent="0.2"/>
    <row r="85" s="88" customFormat="1" x14ac:dyDescent="0.2"/>
    <row r="86" s="88" customFormat="1" x14ac:dyDescent="0.2"/>
    <row r="87" s="88" customFormat="1" x14ac:dyDescent="0.2"/>
    <row r="88" s="88" customFormat="1" x14ac:dyDescent="0.2"/>
    <row r="89" s="88" customFormat="1" x14ac:dyDescent="0.2"/>
    <row r="90" s="88" customFormat="1" x14ac:dyDescent="0.2"/>
    <row r="91" s="88" customFormat="1" x14ac:dyDescent="0.2"/>
    <row r="92" s="88" customFormat="1" x14ac:dyDescent="0.2"/>
    <row r="93" s="88" customFormat="1" x14ac:dyDescent="0.2"/>
    <row r="94" s="88" customFormat="1" x14ac:dyDescent="0.2"/>
    <row r="95" s="88" customFormat="1" x14ac:dyDescent="0.2"/>
    <row r="96" s="88" customFormat="1" x14ac:dyDescent="0.2"/>
    <row r="97" s="88" customFormat="1" x14ac:dyDescent="0.2"/>
    <row r="98" s="88" customFormat="1" x14ac:dyDescent="0.2"/>
    <row r="99" s="88" customFormat="1" x14ac:dyDescent="0.2"/>
    <row r="100" s="88" customFormat="1" x14ac:dyDescent="0.2"/>
    <row r="101" s="88" customFormat="1" x14ac:dyDescent="0.2"/>
    <row r="102" s="88" customFormat="1" x14ac:dyDescent="0.2"/>
    <row r="103" s="88" customFormat="1" x14ac:dyDescent="0.2"/>
    <row r="104" s="88" customFormat="1" x14ac:dyDescent="0.2"/>
    <row r="105" s="88" customFormat="1" x14ac:dyDescent="0.2"/>
    <row r="106" s="88" customFormat="1" x14ac:dyDescent="0.2"/>
    <row r="107" s="88" customFormat="1" x14ac:dyDescent="0.2"/>
    <row r="108" s="88" customFormat="1" x14ac:dyDescent="0.2"/>
    <row r="109" s="88" customFormat="1" x14ac:dyDescent="0.2"/>
    <row r="110" s="88" customFormat="1" x14ac:dyDescent="0.2"/>
    <row r="111" s="88" customFormat="1" x14ac:dyDescent="0.2"/>
    <row r="112" s="88" customFormat="1" x14ac:dyDescent="0.2"/>
    <row r="113" s="88" customFormat="1" x14ac:dyDescent="0.2"/>
    <row r="114" s="88" customFormat="1" x14ac:dyDescent="0.2"/>
    <row r="115" s="88" customFormat="1" x14ac:dyDescent="0.2"/>
    <row r="116" s="88" customFormat="1" x14ac:dyDescent="0.2"/>
    <row r="117" s="88" customFormat="1" x14ac:dyDescent="0.2"/>
    <row r="118" s="88" customFormat="1" x14ac:dyDescent="0.2"/>
    <row r="119" s="88" customFormat="1" x14ac:dyDescent="0.2"/>
    <row r="120" s="88" customFormat="1" x14ac:dyDescent="0.2"/>
    <row r="121" s="88" customFormat="1" x14ac:dyDescent="0.2"/>
    <row r="122" s="88" customFormat="1" x14ac:dyDescent="0.2"/>
    <row r="123" s="88" customFormat="1" x14ac:dyDescent="0.2"/>
    <row r="124" s="88" customFormat="1" x14ac:dyDescent="0.2"/>
    <row r="125" s="88" customFormat="1" x14ac:dyDescent="0.2"/>
    <row r="126" s="88" customFormat="1" x14ac:dyDescent="0.2"/>
    <row r="127" s="88" customFormat="1" x14ac:dyDescent="0.2"/>
    <row r="128" s="88" customFormat="1" x14ac:dyDescent="0.2"/>
    <row r="129" s="88" customFormat="1" x14ac:dyDescent="0.2"/>
    <row r="130" s="88" customFormat="1" x14ac:dyDescent="0.2"/>
    <row r="131" s="88" customFormat="1" x14ac:dyDescent="0.2"/>
    <row r="132" s="88" customFormat="1" x14ac:dyDescent="0.2"/>
    <row r="133" s="88" customFormat="1" x14ac:dyDescent="0.2"/>
    <row r="134" s="88" customFormat="1" x14ac:dyDescent="0.2"/>
    <row r="135" s="88" customFormat="1" x14ac:dyDescent="0.2"/>
    <row r="136" s="88" customFormat="1" x14ac:dyDescent="0.2"/>
    <row r="137" s="88" customFormat="1" x14ac:dyDescent="0.2"/>
    <row r="138" s="88" customFormat="1" x14ac:dyDescent="0.2"/>
    <row r="139" s="88" customFormat="1" x14ac:dyDescent="0.2"/>
    <row r="140" s="88" customFormat="1" x14ac:dyDescent="0.2"/>
    <row r="141" s="88" customFormat="1" x14ac:dyDescent="0.2"/>
    <row r="142" s="88" customFormat="1" x14ac:dyDescent="0.2"/>
    <row r="143" s="88" customFormat="1" x14ac:dyDescent="0.2"/>
    <row r="144" s="88" customFormat="1" x14ac:dyDescent="0.2"/>
    <row r="145" s="88" customFormat="1" x14ac:dyDescent="0.2"/>
    <row r="146" s="88" customFormat="1" x14ac:dyDescent="0.2"/>
    <row r="147" s="88" customFormat="1" x14ac:dyDescent="0.2"/>
    <row r="148" s="88" customFormat="1" x14ac:dyDescent="0.2"/>
    <row r="149" s="88" customFormat="1" x14ac:dyDescent="0.2"/>
    <row r="150" s="88" customFormat="1" x14ac:dyDescent="0.2"/>
    <row r="151" s="88" customFormat="1" x14ac:dyDescent="0.2"/>
    <row r="152" s="88" customFormat="1" x14ac:dyDescent="0.2"/>
    <row r="153" s="88" customFormat="1" x14ac:dyDescent="0.2"/>
    <row r="154" s="88" customFormat="1" x14ac:dyDescent="0.2"/>
    <row r="155" s="88" customFormat="1" x14ac:dyDescent="0.2"/>
    <row r="156" s="88" customFormat="1" x14ac:dyDescent="0.2"/>
    <row r="157" s="88" customFormat="1" x14ac:dyDescent="0.2"/>
    <row r="158" s="88" customFormat="1" x14ac:dyDescent="0.2"/>
    <row r="159" s="88" customFormat="1" x14ac:dyDescent="0.2"/>
    <row r="160" s="88" customFormat="1" x14ac:dyDescent="0.2"/>
    <row r="161" s="88" customFormat="1" x14ac:dyDescent="0.2"/>
    <row r="162" s="88" customFormat="1" x14ac:dyDescent="0.2"/>
    <row r="163" s="88" customFormat="1" x14ac:dyDescent="0.2"/>
    <row r="164" s="88" customFormat="1" x14ac:dyDescent="0.2"/>
    <row r="165" s="88" customFormat="1" x14ac:dyDescent="0.2"/>
    <row r="166" s="88" customFormat="1" x14ac:dyDescent="0.2"/>
    <row r="167" s="88" customFormat="1" x14ac:dyDescent="0.2"/>
    <row r="168" s="88" customFormat="1" x14ac:dyDescent="0.2"/>
    <row r="169" s="88" customFormat="1" x14ac:dyDescent="0.2"/>
    <row r="170" s="88" customFormat="1" x14ac:dyDescent="0.2"/>
    <row r="171" s="88" customFormat="1" x14ac:dyDescent="0.2"/>
    <row r="172" s="88" customFormat="1" x14ac:dyDescent="0.2"/>
    <row r="173" s="88" customFormat="1" x14ac:dyDescent="0.2"/>
    <row r="174" s="88" customFormat="1" x14ac:dyDescent="0.2"/>
    <row r="175" s="88" customFormat="1" x14ac:dyDescent="0.2"/>
    <row r="176" s="88" customFormat="1" x14ac:dyDescent="0.2"/>
    <row r="177" s="88" customFormat="1" x14ac:dyDescent="0.2"/>
    <row r="178" s="88" customFormat="1" x14ac:dyDescent="0.2"/>
    <row r="179" s="88" customFormat="1" x14ac:dyDescent="0.2"/>
    <row r="180" s="88" customFormat="1" x14ac:dyDescent="0.2"/>
    <row r="181" s="88" customFormat="1" x14ac:dyDescent="0.2"/>
    <row r="182" s="88" customFormat="1" x14ac:dyDescent="0.2"/>
    <row r="183" s="88" customFormat="1" x14ac:dyDescent="0.2"/>
    <row r="184" s="88" customFormat="1" x14ac:dyDescent="0.2"/>
    <row r="185" s="88" customFormat="1" x14ac:dyDescent="0.2"/>
    <row r="186" s="88" customFormat="1" x14ac:dyDescent="0.2"/>
    <row r="187" s="88" customFormat="1" x14ac:dyDescent="0.2"/>
  </sheetData>
  <mergeCells count="4">
    <mergeCell ref="A11:J11"/>
    <mergeCell ref="M3:T7"/>
    <mergeCell ref="M10:T15"/>
    <mergeCell ref="M18:T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208"/>
  <sheetViews>
    <sheetView zoomScaleNormal="100" workbookViewId="0"/>
  </sheetViews>
  <sheetFormatPr baseColWidth="10" defaultColWidth="10.83203125" defaultRowHeight="16" outlineLevelCol="1" x14ac:dyDescent="0.2"/>
  <cols>
    <col min="1" max="1" width="4.6640625" style="49" customWidth="1"/>
    <col min="2" max="10" width="10.83203125" style="49" customWidth="1"/>
    <col min="11" max="11" width="11.83203125" style="49" bestFit="1" customWidth="1"/>
    <col min="12" max="20" width="10.83203125" style="49" hidden="1" customWidth="1" outlineLevel="1"/>
    <col min="21" max="21" width="10.83203125" style="49" collapsed="1"/>
    <col min="22" max="16384" width="10.83203125" style="49"/>
  </cols>
  <sheetData>
    <row r="1" spans="1:19" ht="19" x14ac:dyDescent="0.25">
      <c r="A1" s="1" t="s">
        <v>140</v>
      </c>
      <c r="B1" s="12"/>
      <c r="C1" s="46"/>
      <c r="D1" s="46"/>
      <c r="E1" s="46"/>
      <c r="F1" s="47"/>
      <c r="G1" s="47"/>
      <c r="H1" s="47"/>
      <c r="I1" s="47"/>
      <c r="J1" s="48"/>
      <c r="K1" s="33" t="s">
        <v>135</v>
      </c>
    </row>
    <row r="2" spans="1:19" x14ac:dyDescent="0.2">
      <c r="A2" s="50"/>
      <c r="B2" s="47"/>
      <c r="C2" s="47"/>
      <c r="D2" s="47"/>
      <c r="E2" s="47"/>
      <c r="F2" s="47"/>
      <c r="G2" s="47"/>
      <c r="H2" s="47"/>
      <c r="I2" s="47"/>
      <c r="J2" s="48"/>
      <c r="L2" s="36" t="s">
        <v>3</v>
      </c>
      <c r="N2" s="54"/>
    </row>
    <row r="3" spans="1:19" x14ac:dyDescent="0.2">
      <c r="A3" s="50"/>
      <c r="B3" s="47" t="s">
        <v>81</v>
      </c>
      <c r="C3" s="47"/>
      <c r="D3" s="47"/>
      <c r="E3" s="47"/>
      <c r="F3" s="47"/>
      <c r="G3" s="47"/>
      <c r="H3" s="47"/>
      <c r="I3" s="47"/>
      <c r="J3" s="48"/>
      <c r="L3" s="36"/>
      <c r="N3" s="54"/>
    </row>
    <row r="4" spans="1:19" x14ac:dyDescent="0.2">
      <c r="A4" s="50"/>
      <c r="B4" s="47"/>
      <c r="C4" s="47"/>
      <c r="D4" s="47"/>
      <c r="E4" s="47"/>
      <c r="F4" s="47"/>
      <c r="G4" s="47"/>
      <c r="H4" s="47"/>
      <c r="I4" s="47"/>
      <c r="J4" s="48"/>
      <c r="M4" s="13" t="s">
        <v>105</v>
      </c>
    </row>
    <row r="5" spans="1:19" ht="34" x14ac:dyDescent="0.2">
      <c r="A5" s="50"/>
      <c r="B5" s="47"/>
      <c r="C5" s="8" t="s">
        <v>86</v>
      </c>
      <c r="D5" s="329" t="s">
        <v>87</v>
      </c>
      <c r="E5" s="329"/>
      <c r="F5" s="47"/>
      <c r="G5" s="47"/>
      <c r="H5" s="47"/>
      <c r="I5" s="47"/>
      <c r="J5" s="48"/>
      <c r="M5" s="14" t="s">
        <v>89</v>
      </c>
      <c r="N5" s="15" t="s">
        <v>104</v>
      </c>
    </row>
    <row r="6" spans="1:19" ht="17" x14ac:dyDescent="0.2">
      <c r="A6" s="50"/>
      <c r="B6" s="47"/>
      <c r="C6" s="9" t="s">
        <v>9</v>
      </c>
      <c r="D6" s="330">
        <v>300000</v>
      </c>
      <c r="E6" s="330"/>
      <c r="F6" s="47"/>
      <c r="G6" s="47"/>
      <c r="H6" s="47"/>
      <c r="I6" s="47"/>
      <c r="J6" s="48"/>
      <c r="M6" s="16" t="s">
        <v>9</v>
      </c>
      <c r="N6" s="17">
        <f>D6/SUM($D$6:$D$7)</f>
        <v>0.75</v>
      </c>
    </row>
    <row r="7" spans="1:19" ht="17" x14ac:dyDescent="0.2">
      <c r="A7" s="50"/>
      <c r="B7" s="47"/>
      <c r="C7" s="9" t="s">
        <v>10</v>
      </c>
      <c r="D7" s="330">
        <v>100000</v>
      </c>
      <c r="E7" s="330"/>
      <c r="F7" s="47"/>
      <c r="G7" s="47"/>
      <c r="H7" s="47"/>
      <c r="I7" s="47"/>
      <c r="J7" s="48"/>
      <c r="M7" s="16" t="s">
        <v>10</v>
      </c>
      <c r="N7" s="17">
        <f>D7/SUM($D$6:$D$7)</f>
        <v>0.25</v>
      </c>
    </row>
    <row r="8" spans="1:19" x14ac:dyDescent="0.2">
      <c r="A8" s="50"/>
      <c r="B8" s="47"/>
      <c r="C8" s="47"/>
      <c r="D8" s="47"/>
      <c r="E8" s="47"/>
      <c r="F8" s="47"/>
      <c r="G8" s="47"/>
      <c r="H8" s="47"/>
      <c r="I8" s="47"/>
      <c r="J8" s="48"/>
    </row>
    <row r="9" spans="1:19" x14ac:dyDescent="0.2">
      <c r="A9" s="50"/>
      <c r="B9" s="94" t="s">
        <v>88</v>
      </c>
      <c r="C9" s="47"/>
      <c r="D9" s="47"/>
      <c r="E9" s="62">
        <v>0.06</v>
      </c>
      <c r="F9" s="47"/>
      <c r="G9" s="47"/>
      <c r="H9" s="47"/>
      <c r="I9" s="47"/>
      <c r="J9" s="48"/>
      <c r="M9" s="49" t="s">
        <v>123</v>
      </c>
    </row>
    <row r="10" spans="1:19" x14ac:dyDescent="0.2">
      <c r="A10" s="50"/>
      <c r="B10" s="47"/>
      <c r="C10" s="47"/>
      <c r="D10" s="47"/>
      <c r="E10" s="47"/>
      <c r="F10" s="47"/>
      <c r="G10" s="47"/>
      <c r="H10" s="47"/>
      <c r="I10" s="47"/>
      <c r="J10" s="48"/>
    </row>
    <row r="11" spans="1:19" x14ac:dyDescent="0.2">
      <c r="A11" s="50"/>
      <c r="B11" s="63"/>
      <c r="C11" s="26" t="s">
        <v>90</v>
      </c>
      <c r="D11" s="47"/>
      <c r="E11" s="47"/>
      <c r="F11" s="26" t="s">
        <v>91</v>
      </c>
      <c r="G11" s="47"/>
      <c r="H11" s="47"/>
      <c r="I11" s="47"/>
      <c r="J11" s="48"/>
      <c r="M11" s="13" t="s">
        <v>111</v>
      </c>
      <c r="Q11" s="13" t="s">
        <v>110</v>
      </c>
    </row>
    <row r="12" spans="1:19" ht="17" x14ac:dyDescent="0.2">
      <c r="A12" s="50"/>
      <c r="B12" s="63"/>
      <c r="C12" s="8" t="s">
        <v>89</v>
      </c>
      <c r="D12" s="11" t="s">
        <v>50</v>
      </c>
      <c r="E12" s="47"/>
      <c r="F12" s="8"/>
      <c r="G12" s="11" t="s">
        <v>9</v>
      </c>
      <c r="H12" s="11" t="s">
        <v>10</v>
      </c>
      <c r="I12" s="47"/>
      <c r="J12" s="48"/>
      <c r="M12" s="14" t="s">
        <v>89</v>
      </c>
      <c r="N12" s="15" t="s">
        <v>108</v>
      </c>
      <c r="O12" s="20"/>
      <c r="Q12" s="22"/>
      <c r="R12" s="23" t="s">
        <v>20</v>
      </c>
      <c r="S12" s="23" t="s">
        <v>21</v>
      </c>
    </row>
    <row r="13" spans="1:19" ht="17" x14ac:dyDescent="0.2">
      <c r="A13" s="50"/>
      <c r="B13" s="63"/>
      <c r="C13" s="9" t="s">
        <v>9</v>
      </c>
      <c r="D13" s="6">
        <v>0.06</v>
      </c>
      <c r="E13" s="47"/>
      <c r="F13" s="9" t="s">
        <v>9</v>
      </c>
      <c r="G13" s="6">
        <v>1</v>
      </c>
      <c r="H13" s="6">
        <v>0.5</v>
      </c>
      <c r="I13" s="47"/>
      <c r="J13" s="48"/>
      <c r="M13" s="16" t="s">
        <v>9</v>
      </c>
      <c r="N13" s="17">
        <f>D13</f>
        <v>0.06</v>
      </c>
      <c r="O13" s="18"/>
      <c r="Q13" s="24" t="s">
        <v>20</v>
      </c>
      <c r="R13" s="25">
        <f>G13</f>
        <v>1</v>
      </c>
      <c r="S13" s="18">
        <f>H13</f>
        <v>0.5</v>
      </c>
    </row>
    <row r="14" spans="1:19" ht="17" x14ac:dyDescent="0.2">
      <c r="A14" s="50"/>
      <c r="B14" s="63"/>
      <c r="C14" s="9" t="s">
        <v>10</v>
      </c>
      <c r="D14" s="6">
        <v>0.08</v>
      </c>
      <c r="E14" s="47"/>
      <c r="F14" s="9" t="s">
        <v>10</v>
      </c>
      <c r="G14" s="6">
        <v>0.5</v>
      </c>
      <c r="H14" s="6">
        <v>1</v>
      </c>
      <c r="I14" s="47"/>
      <c r="J14" s="48"/>
      <c r="M14" s="16" t="s">
        <v>10</v>
      </c>
      <c r="N14" s="17">
        <f>D14</f>
        <v>0.08</v>
      </c>
      <c r="O14" s="18"/>
      <c r="Q14" s="24" t="s">
        <v>21</v>
      </c>
      <c r="R14" s="18">
        <f>G14</f>
        <v>0.5</v>
      </c>
      <c r="S14" s="25">
        <f>H14</f>
        <v>1</v>
      </c>
    </row>
    <row r="15" spans="1:19" x14ac:dyDescent="0.2">
      <c r="A15" s="50"/>
      <c r="B15" s="63"/>
      <c r="C15" s="47"/>
      <c r="D15" s="47"/>
      <c r="E15" s="47"/>
      <c r="F15" s="47"/>
      <c r="G15" s="47"/>
      <c r="H15" s="47"/>
      <c r="I15" s="47"/>
      <c r="J15" s="48"/>
      <c r="Q15" s="24"/>
      <c r="R15" s="18"/>
      <c r="S15" s="18"/>
    </row>
    <row r="16" spans="1:19" x14ac:dyDescent="0.2">
      <c r="A16" s="50"/>
      <c r="B16" s="63"/>
      <c r="C16" s="312" t="s">
        <v>95</v>
      </c>
      <c r="D16" s="312"/>
      <c r="E16" s="312"/>
      <c r="F16" s="312"/>
      <c r="G16" s="47"/>
      <c r="H16" s="47"/>
      <c r="I16" s="47"/>
      <c r="J16" s="48"/>
      <c r="M16" s="13" t="s">
        <v>112</v>
      </c>
    </row>
    <row r="17" spans="1:17" ht="17" x14ac:dyDescent="0.2">
      <c r="A17" s="50"/>
      <c r="B17" s="63"/>
      <c r="C17" s="8"/>
      <c r="D17" s="11" t="s">
        <v>92</v>
      </c>
      <c r="E17" s="8" t="s">
        <v>93</v>
      </c>
      <c r="F17" s="11" t="s">
        <v>94</v>
      </c>
      <c r="G17" s="47"/>
      <c r="H17" s="47"/>
      <c r="I17" s="47"/>
      <c r="J17" s="48"/>
      <c r="M17" s="22"/>
      <c r="N17" s="23" t="s">
        <v>20</v>
      </c>
      <c r="O17" s="23" t="s">
        <v>21</v>
      </c>
      <c r="P17" s="13" t="s">
        <v>50</v>
      </c>
      <c r="Q17" s="13" t="s">
        <v>113</v>
      </c>
    </row>
    <row r="18" spans="1:17" ht="17" x14ac:dyDescent="0.2">
      <c r="A18" s="50"/>
      <c r="B18" s="63"/>
      <c r="C18" s="9" t="s">
        <v>9</v>
      </c>
      <c r="D18" s="6">
        <v>0.01</v>
      </c>
      <c r="E18" s="41">
        <v>0.03</v>
      </c>
      <c r="F18" s="10">
        <v>3.2000000000000001E-2</v>
      </c>
      <c r="G18" s="47"/>
      <c r="H18" s="47"/>
      <c r="I18" s="47"/>
      <c r="J18" s="48"/>
      <c r="M18" s="24" t="s">
        <v>20</v>
      </c>
      <c r="N18" s="27">
        <f>R13*N$20*N$21*$P18*$Q18</f>
        <v>2.0249999999999999E-3</v>
      </c>
      <c r="O18" s="27">
        <f>S13*O$20*O$21*$P18*$Q18</f>
        <v>4.4999999999999999E-4</v>
      </c>
      <c r="P18" s="18">
        <f>N13</f>
        <v>0.06</v>
      </c>
      <c r="Q18" s="18">
        <f>N6</f>
        <v>0.75</v>
      </c>
    </row>
    <row r="19" spans="1:17" ht="17" x14ac:dyDescent="0.2">
      <c r="A19" s="50"/>
      <c r="B19" s="63"/>
      <c r="C19" s="8" t="s">
        <v>10</v>
      </c>
      <c r="D19" s="39">
        <v>0.02</v>
      </c>
      <c r="E19" s="42">
        <v>0.05</v>
      </c>
      <c r="F19" s="40">
        <v>5.3999999999999999E-2</v>
      </c>
      <c r="G19" s="47"/>
      <c r="H19" s="47"/>
      <c r="I19" s="47"/>
      <c r="J19" s="48"/>
      <c r="M19" s="24" t="s">
        <v>21</v>
      </c>
      <c r="N19" s="27">
        <f>R14*N$20*N$21*$P19*$Q19</f>
        <v>4.4999999999999999E-4</v>
      </c>
      <c r="O19" s="27">
        <f>S14*O$20*O$21*$P19*$Q19</f>
        <v>4.0000000000000002E-4</v>
      </c>
      <c r="P19" s="18">
        <f>N14</f>
        <v>0.08</v>
      </c>
      <c r="Q19" s="18">
        <f>N7</f>
        <v>0.25</v>
      </c>
    </row>
    <row r="20" spans="1:17" ht="17" x14ac:dyDescent="0.2">
      <c r="A20" s="50"/>
      <c r="B20" s="63"/>
      <c r="C20" s="9" t="s">
        <v>94</v>
      </c>
      <c r="D20" s="6">
        <v>0.01</v>
      </c>
      <c r="E20" s="43">
        <v>2.5999999999999999E-2</v>
      </c>
      <c r="F20" s="10">
        <v>2.8000000000000001E-2</v>
      </c>
      <c r="G20" s="47"/>
      <c r="H20" s="47"/>
      <c r="I20" s="47"/>
      <c r="J20" s="48"/>
      <c r="M20" s="13" t="s">
        <v>50</v>
      </c>
      <c r="N20" s="18">
        <f>N13</f>
        <v>0.06</v>
      </c>
      <c r="O20" s="18">
        <f>N14</f>
        <v>0.08</v>
      </c>
    </row>
    <row r="21" spans="1:17" x14ac:dyDescent="0.2">
      <c r="A21" s="50"/>
      <c r="B21" s="47"/>
      <c r="C21" s="47"/>
      <c r="D21" s="47"/>
      <c r="E21" s="47"/>
      <c r="F21" s="47"/>
      <c r="G21" s="47"/>
      <c r="H21" s="47"/>
      <c r="I21" s="47"/>
      <c r="J21" s="48"/>
      <c r="M21" s="13" t="s">
        <v>113</v>
      </c>
      <c r="N21" s="18">
        <f>N6</f>
        <v>0.75</v>
      </c>
      <c r="O21" s="18">
        <f>N7</f>
        <v>0.25</v>
      </c>
    </row>
    <row r="22" spans="1:17" x14ac:dyDescent="0.2">
      <c r="A22" s="50"/>
      <c r="B22" s="47" t="s">
        <v>85</v>
      </c>
      <c r="C22" s="47"/>
      <c r="D22" s="47"/>
      <c r="E22" s="47"/>
      <c r="F22" s="47"/>
      <c r="G22" s="47"/>
      <c r="H22" s="47"/>
      <c r="I22" s="47"/>
      <c r="J22" s="48"/>
    </row>
    <row r="23" spans="1:17" x14ac:dyDescent="0.2">
      <c r="A23" s="50"/>
      <c r="B23" s="47" t="s">
        <v>96</v>
      </c>
      <c r="C23" s="47"/>
      <c r="D23" s="47"/>
      <c r="E23" s="47"/>
      <c r="F23" s="47"/>
      <c r="G23" s="64">
        <v>0.67400000000000004</v>
      </c>
      <c r="H23" s="47"/>
      <c r="I23" s="47"/>
      <c r="J23" s="48"/>
      <c r="M23" s="13" t="s">
        <v>124</v>
      </c>
      <c r="N23" s="13"/>
      <c r="O23" s="21">
        <f>SQRT(SUM(N18:O19))</f>
        <v>5.7662812973353975E-2</v>
      </c>
    </row>
    <row r="24" spans="1:17" x14ac:dyDescent="0.2">
      <c r="A24" s="50"/>
      <c r="B24" s="47"/>
      <c r="C24" s="47"/>
      <c r="D24" s="47"/>
      <c r="E24" s="47"/>
      <c r="F24" s="47"/>
      <c r="G24" s="47"/>
      <c r="H24" s="47"/>
      <c r="I24" s="47"/>
      <c r="J24" s="48"/>
      <c r="M24" s="36"/>
      <c r="N24" s="36"/>
      <c r="O24" s="36"/>
    </row>
    <row r="25" spans="1:17" x14ac:dyDescent="0.2">
      <c r="A25" s="47" t="s">
        <v>0</v>
      </c>
      <c r="B25" s="47" t="s">
        <v>82</v>
      </c>
      <c r="C25" s="47"/>
      <c r="D25" s="47"/>
      <c r="E25" s="47"/>
      <c r="F25" s="47"/>
      <c r="G25" s="47"/>
      <c r="H25" s="47"/>
      <c r="I25" s="47"/>
      <c r="J25" s="48"/>
      <c r="L25" s="36"/>
      <c r="M25" s="13" t="s">
        <v>116</v>
      </c>
      <c r="N25" s="36"/>
      <c r="O25" s="21">
        <f>SQRT(O23^2+E9^2+F20^2)</f>
        <v>8.7800911157003364E-2</v>
      </c>
    </row>
    <row r="26" spans="1:17" x14ac:dyDescent="0.2">
      <c r="A26" s="50"/>
      <c r="B26" s="47" t="s">
        <v>83</v>
      </c>
      <c r="C26" s="47"/>
      <c r="D26" s="47"/>
      <c r="E26" s="47"/>
      <c r="F26" s="47"/>
      <c r="G26" s="47"/>
      <c r="H26" s="47"/>
      <c r="I26" s="47"/>
      <c r="J26" s="48"/>
    </row>
    <row r="27" spans="1:17" x14ac:dyDescent="0.2">
      <c r="A27" s="50"/>
      <c r="B27" s="47"/>
      <c r="C27" s="47"/>
      <c r="D27" s="47"/>
      <c r="E27" s="47"/>
      <c r="F27" s="47"/>
      <c r="G27" s="47"/>
      <c r="H27" s="47"/>
      <c r="I27" s="47"/>
      <c r="J27" s="48"/>
      <c r="M27" s="19" t="s">
        <v>118</v>
      </c>
      <c r="N27" s="19"/>
      <c r="O27" s="37">
        <f>G23*O25</f>
        <v>5.9177814119820274E-2</v>
      </c>
    </row>
    <row r="28" spans="1:17" ht="17" thickBot="1" x14ac:dyDescent="0.25">
      <c r="A28" s="47" t="s">
        <v>1</v>
      </c>
      <c r="B28" s="47" t="s">
        <v>84</v>
      </c>
      <c r="C28" s="47"/>
      <c r="D28" s="47"/>
      <c r="E28" s="47"/>
      <c r="F28" s="47"/>
      <c r="G28" s="47"/>
      <c r="H28" s="47"/>
      <c r="I28" s="47"/>
      <c r="J28" s="48"/>
    </row>
    <row r="29" spans="1:17" ht="17" thickBot="1" x14ac:dyDescent="0.25">
      <c r="A29" s="50"/>
      <c r="B29" s="47"/>
      <c r="C29" s="47"/>
      <c r="D29" s="47"/>
      <c r="E29" s="47"/>
      <c r="F29" s="47"/>
      <c r="G29" s="47"/>
      <c r="H29" s="47"/>
      <c r="I29" s="47"/>
      <c r="J29" s="48"/>
      <c r="M29" s="327" t="s">
        <v>125</v>
      </c>
      <c r="N29" s="328"/>
      <c r="O29" s="93">
        <f>O27*SUM($D$6:$E$7)</f>
        <v>23671.125647928111</v>
      </c>
      <c r="P29" s="91" t="s">
        <v>126</v>
      </c>
    </row>
    <row r="30" spans="1:17" ht="17" thickBot="1" x14ac:dyDescent="0.25">
      <c r="A30" s="50"/>
      <c r="B30" s="47"/>
      <c r="C30" s="47"/>
      <c r="D30" s="47"/>
      <c r="E30" s="47"/>
      <c r="F30" s="47"/>
      <c r="G30" s="47"/>
      <c r="H30" s="47"/>
      <c r="I30" s="47"/>
      <c r="J30" s="48"/>
    </row>
    <row r="31" spans="1:17" ht="17" thickBot="1" x14ac:dyDescent="0.25">
      <c r="A31" s="313" t="s">
        <v>134</v>
      </c>
      <c r="B31" s="314"/>
      <c r="C31" s="314"/>
      <c r="D31" s="314"/>
      <c r="E31" s="314"/>
      <c r="F31" s="314"/>
      <c r="G31" s="314"/>
      <c r="H31" s="314"/>
      <c r="I31" s="314"/>
      <c r="J31" s="315"/>
      <c r="L31" s="36" t="s">
        <v>4</v>
      </c>
    </row>
    <row r="32" spans="1:17" x14ac:dyDescent="0.2">
      <c r="L32" s="36"/>
      <c r="M32" s="49" t="s">
        <v>130</v>
      </c>
    </row>
    <row r="33" spans="12:16" x14ac:dyDescent="0.2">
      <c r="L33" s="36"/>
    </row>
    <row r="34" spans="12:16" x14ac:dyDescent="0.2">
      <c r="M34" s="49" t="s">
        <v>127</v>
      </c>
    </row>
    <row r="35" spans="12:16" x14ac:dyDescent="0.2">
      <c r="M35" s="49" t="s">
        <v>128</v>
      </c>
      <c r="N35" s="65">
        <f>E18^2*N6^2+0.1^2*N7^2</f>
        <v>1.1312500000000001E-3</v>
      </c>
    </row>
    <row r="37" spans="12:16" x14ac:dyDescent="0.2">
      <c r="M37" s="92" t="s">
        <v>147</v>
      </c>
    </row>
    <row r="39" spans="12:16" x14ac:dyDescent="0.2">
      <c r="M39" s="49" t="s">
        <v>129</v>
      </c>
      <c r="N39" s="65">
        <f>D20^2+N35</f>
        <v>1.2312500000000001E-3</v>
      </c>
    </row>
    <row r="42" spans="12:16" x14ac:dyDescent="0.2">
      <c r="M42" s="13" t="s">
        <v>116</v>
      </c>
      <c r="N42" s="36"/>
      <c r="O42" s="21">
        <f>SQRT(O23^2+E9^2+N39)</f>
        <v>9.0311959340942202E-2</v>
      </c>
    </row>
    <row r="44" spans="12:16" x14ac:dyDescent="0.2">
      <c r="M44" s="19" t="s">
        <v>118</v>
      </c>
      <c r="N44" s="19"/>
      <c r="O44" s="37">
        <f>G23*O42</f>
        <v>6.0870260595795048E-2</v>
      </c>
    </row>
    <row r="46" spans="12:16" x14ac:dyDescent="0.2">
      <c r="M46" s="19" t="s">
        <v>125</v>
      </c>
      <c r="O46" s="66">
        <f>O44*SUM($D$6:$E$7)</f>
        <v>24348.104238318017</v>
      </c>
      <c r="P46" s="91" t="s">
        <v>126</v>
      </c>
    </row>
    <row r="47" spans="12:16" ht="17" thickBot="1" x14ac:dyDescent="0.25"/>
    <row r="48" spans="12:16" ht="17" thickBot="1" x14ac:dyDescent="0.25">
      <c r="M48" s="327" t="s">
        <v>131</v>
      </c>
      <c r="N48" s="328"/>
      <c r="O48" s="93">
        <f>O46-O29</f>
        <v>676.97859038990646</v>
      </c>
      <c r="P48" s="91" t="s">
        <v>126</v>
      </c>
    </row>
    <row r="49" spans="1:21" x14ac:dyDescent="0.2">
      <c r="A49" s="86"/>
      <c r="B49" s="86"/>
      <c r="C49" s="86"/>
      <c r="D49" s="86"/>
      <c r="E49" s="86"/>
      <c r="F49" s="86"/>
      <c r="G49" s="86"/>
      <c r="H49" s="86"/>
      <c r="I49" s="86"/>
      <c r="J49" s="86"/>
    </row>
    <row r="50" spans="1:21" s="86" customFormat="1" x14ac:dyDescent="0.2"/>
    <row r="51" spans="1:21" s="86" customFormat="1" ht="16" customHeight="1" x14ac:dyDescent="0.2">
      <c r="L51" s="33" t="s">
        <v>103</v>
      </c>
      <c r="U51" s="90"/>
    </row>
    <row r="52" spans="1:21" s="86" customFormat="1" ht="15" customHeight="1" x14ac:dyDescent="0.2">
      <c r="L52" s="317" t="s">
        <v>148</v>
      </c>
      <c r="M52" s="326"/>
      <c r="N52" s="326"/>
      <c r="O52" s="326"/>
      <c r="P52" s="326"/>
      <c r="Q52" s="326"/>
      <c r="R52" s="326"/>
      <c r="S52" s="326"/>
      <c r="T52" s="326"/>
    </row>
    <row r="53" spans="1:21" s="86" customFormat="1" ht="15" customHeight="1" x14ac:dyDescent="0.2">
      <c r="L53" s="326"/>
      <c r="M53" s="326"/>
      <c r="N53" s="326"/>
      <c r="O53" s="326"/>
      <c r="P53" s="326"/>
      <c r="Q53" s="326"/>
      <c r="R53" s="326"/>
      <c r="S53" s="326"/>
      <c r="T53" s="326"/>
    </row>
    <row r="54" spans="1:21" s="86" customFormat="1" ht="15" customHeight="1" x14ac:dyDescent="0.2">
      <c r="L54" s="326"/>
      <c r="M54" s="326"/>
      <c r="N54" s="326"/>
      <c r="O54" s="326"/>
      <c r="P54" s="326"/>
      <c r="Q54" s="326"/>
      <c r="R54" s="326"/>
      <c r="S54" s="326"/>
      <c r="T54" s="326"/>
    </row>
    <row r="55" spans="1:21" s="86" customFormat="1" ht="15" customHeight="1" x14ac:dyDescent="0.2">
      <c r="L55" s="326"/>
      <c r="M55" s="326"/>
      <c r="N55" s="326"/>
      <c r="O55" s="326"/>
      <c r="P55" s="326"/>
      <c r="Q55" s="326"/>
      <c r="R55" s="326"/>
      <c r="S55" s="326"/>
      <c r="T55" s="326"/>
    </row>
    <row r="56" spans="1:21" s="86" customFormat="1" ht="15" customHeight="1" x14ac:dyDescent="0.2">
      <c r="L56" s="326"/>
      <c r="M56" s="326"/>
      <c r="N56" s="326"/>
      <c r="O56" s="326"/>
      <c r="P56" s="326"/>
      <c r="Q56" s="326"/>
      <c r="R56" s="326"/>
      <c r="S56" s="326"/>
      <c r="T56" s="326"/>
    </row>
    <row r="57" spans="1:21" s="86" customFormat="1" x14ac:dyDescent="0.2">
      <c r="L57" s="326"/>
      <c r="M57" s="326"/>
      <c r="N57" s="326"/>
      <c r="O57" s="326"/>
      <c r="P57" s="326"/>
      <c r="Q57" s="326"/>
      <c r="R57" s="326"/>
      <c r="S57" s="326"/>
      <c r="T57" s="326"/>
    </row>
    <row r="58" spans="1:21" s="86" customFormat="1" x14ac:dyDescent="0.2">
      <c r="L58" s="326"/>
      <c r="M58" s="326"/>
      <c r="N58" s="326"/>
      <c r="O58" s="326"/>
      <c r="P58" s="326"/>
      <c r="Q58" s="326"/>
      <c r="R58" s="326"/>
      <c r="S58" s="326"/>
      <c r="T58" s="326"/>
    </row>
    <row r="59" spans="1:21" s="86" customFormat="1" x14ac:dyDescent="0.2"/>
    <row r="60" spans="1:21" s="86" customFormat="1" ht="19" x14ac:dyDescent="0.25">
      <c r="L60" s="2" t="s">
        <v>143</v>
      </c>
    </row>
    <row r="61" spans="1:21" s="86" customFormat="1" x14ac:dyDescent="0.2">
      <c r="L61" s="86" t="s">
        <v>142</v>
      </c>
      <c r="M61" s="87"/>
    </row>
    <row r="62" spans="1:21" s="86" customFormat="1" x14ac:dyDescent="0.2"/>
    <row r="63" spans="1:21" s="86" customFormat="1" x14ac:dyDescent="0.2"/>
    <row r="64" spans="1:21" s="86" customFormat="1" x14ac:dyDescent="0.2"/>
    <row r="65" spans="13:13" s="86" customFormat="1" x14ac:dyDescent="0.2"/>
    <row r="66" spans="13:13" s="86" customFormat="1" x14ac:dyDescent="0.2"/>
    <row r="67" spans="13:13" s="86" customFormat="1" x14ac:dyDescent="0.2"/>
    <row r="68" spans="13:13" s="86" customFormat="1" x14ac:dyDescent="0.2"/>
    <row r="69" spans="13:13" s="86" customFormat="1" x14ac:dyDescent="0.2"/>
    <row r="70" spans="13:13" s="86" customFormat="1" x14ac:dyDescent="0.2"/>
    <row r="71" spans="13:13" s="86" customFormat="1" x14ac:dyDescent="0.2"/>
    <row r="72" spans="13:13" s="86" customFormat="1" x14ac:dyDescent="0.2"/>
    <row r="73" spans="13:13" s="86" customFormat="1" x14ac:dyDescent="0.2">
      <c r="M73" s="87"/>
    </row>
    <row r="74" spans="13:13" s="86" customFormat="1" x14ac:dyDescent="0.2">
      <c r="M74" s="87"/>
    </row>
    <row r="75" spans="13:13" s="86" customFormat="1" x14ac:dyDescent="0.2">
      <c r="M75" s="87"/>
    </row>
    <row r="76" spans="13:13" s="86" customFormat="1" x14ac:dyDescent="0.2">
      <c r="M76" s="87"/>
    </row>
    <row r="77" spans="13:13" s="86" customFormat="1" x14ac:dyDescent="0.2"/>
    <row r="78" spans="13:13" s="86" customFormat="1" x14ac:dyDescent="0.2"/>
    <row r="79" spans="13:13" s="86" customFormat="1" x14ac:dyDescent="0.2"/>
    <row r="80" spans="13:13" s="86" customFormat="1" x14ac:dyDescent="0.2"/>
    <row r="81" spans="13:13" s="86" customFormat="1" x14ac:dyDescent="0.2"/>
    <row r="82" spans="13:13" s="86" customFormat="1" x14ac:dyDescent="0.2"/>
    <row r="83" spans="13:13" s="86" customFormat="1" x14ac:dyDescent="0.2"/>
    <row r="84" spans="13:13" s="86" customFormat="1" x14ac:dyDescent="0.2"/>
    <row r="85" spans="13:13" s="86" customFormat="1" x14ac:dyDescent="0.2"/>
    <row r="86" spans="13:13" s="86" customFormat="1" x14ac:dyDescent="0.2">
      <c r="M86" s="87"/>
    </row>
    <row r="87" spans="13:13" s="86" customFormat="1" x14ac:dyDescent="0.2"/>
    <row r="88" spans="13:13" s="86" customFormat="1" x14ac:dyDescent="0.2"/>
    <row r="89" spans="13:13" s="86" customFormat="1" x14ac:dyDescent="0.2"/>
    <row r="90" spans="13:13" s="86" customFormat="1" x14ac:dyDescent="0.2"/>
    <row r="91" spans="13:13" s="86" customFormat="1" x14ac:dyDescent="0.2"/>
    <row r="92" spans="13:13" s="86" customFormat="1" x14ac:dyDescent="0.2"/>
    <row r="93" spans="13:13" s="86" customFormat="1" x14ac:dyDescent="0.2"/>
    <row r="94" spans="13:13" s="86" customFormat="1" x14ac:dyDescent="0.2"/>
    <row r="95" spans="13:13" s="86" customFormat="1" x14ac:dyDescent="0.2"/>
    <row r="96" spans="13:13" s="86" customFormat="1" x14ac:dyDescent="0.2">
      <c r="M96" s="87"/>
    </row>
    <row r="97" spans="13:13" s="86" customFormat="1" x14ac:dyDescent="0.2"/>
    <row r="98" spans="13:13" s="86" customFormat="1" x14ac:dyDescent="0.2"/>
    <row r="99" spans="13:13" s="86" customFormat="1" x14ac:dyDescent="0.2"/>
    <row r="100" spans="13:13" s="86" customFormat="1" x14ac:dyDescent="0.2"/>
    <row r="101" spans="13:13" s="86" customFormat="1" x14ac:dyDescent="0.2"/>
    <row r="102" spans="13:13" s="86" customFormat="1" x14ac:dyDescent="0.2"/>
    <row r="103" spans="13:13" s="86" customFormat="1" x14ac:dyDescent="0.2"/>
    <row r="104" spans="13:13" s="86" customFormat="1" x14ac:dyDescent="0.2"/>
    <row r="105" spans="13:13" s="86" customFormat="1" x14ac:dyDescent="0.2"/>
    <row r="106" spans="13:13" s="86" customFormat="1" x14ac:dyDescent="0.2">
      <c r="M106" s="87"/>
    </row>
    <row r="107" spans="13:13" s="86" customFormat="1" x14ac:dyDescent="0.2"/>
    <row r="108" spans="13:13" s="86" customFormat="1" x14ac:dyDescent="0.2"/>
    <row r="109" spans="13:13" s="86" customFormat="1" x14ac:dyDescent="0.2"/>
    <row r="110" spans="13:13" s="86" customFormat="1" x14ac:dyDescent="0.2"/>
    <row r="111" spans="13:13" s="86" customFormat="1" x14ac:dyDescent="0.2"/>
    <row r="112" spans="13:13" s="86" customFormat="1" x14ac:dyDescent="0.2"/>
    <row r="113" s="86" customFormat="1" x14ac:dyDescent="0.2"/>
    <row r="114" s="86" customFormat="1" x14ac:dyDescent="0.2"/>
    <row r="115" s="86" customFormat="1" x14ac:dyDescent="0.2"/>
    <row r="116" s="86" customFormat="1" x14ac:dyDescent="0.2"/>
    <row r="117" s="86" customFormat="1" x14ac:dyDescent="0.2"/>
    <row r="118" s="86" customFormat="1" x14ac:dyDescent="0.2"/>
    <row r="119" s="86" customFormat="1" x14ac:dyDescent="0.2"/>
    <row r="120" s="86" customFormat="1" x14ac:dyDescent="0.2"/>
    <row r="121" s="86" customFormat="1" x14ac:dyDescent="0.2"/>
    <row r="122" s="86" customFormat="1" x14ac:dyDescent="0.2"/>
    <row r="123" s="86" customFormat="1" x14ac:dyDescent="0.2"/>
    <row r="124" s="86" customFormat="1" x14ac:dyDescent="0.2"/>
    <row r="125" s="86" customFormat="1" x14ac:dyDescent="0.2"/>
    <row r="126" s="86" customFormat="1" x14ac:dyDescent="0.2"/>
    <row r="127" s="86" customFormat="1" x14ac:dyDescent="0.2"/>
    <row r="128" s="86" customFormat="1" x14ac:dyDescent="0.2"/>
    <row r="129" s="86" customFormat="1" x14ac:dyDescent="0.2"/>
    <row r="130" s="86" customFormat="1" x14ac:dyDescent="0.2"/>
    <row r="131" s="86" customFormat="1" x14ac:dyDescent="0.2"/>
    <row r="132" s="86" customFormat="1" x14ac:dyDescent="0.2"/>
    <row r="133" s="86" customFormat="1" x14ac:dyDescent="0.2"/>
    <row r="134" s="86" customFormat="1" x14ac:dyDescent="0.2"/>
    <row r="135" s="86" customFormat="1" x14ac:dyDescent="0.2"/>
    <row r="136" s="86" customFormat="1" x14ac:dyDescent="0.2"/>
    <row r="137" s="86" customFormat="1" x14ac:dyDescent="0.2"/>
    <row r="138" s="86" customFormat="1" x14ac:dyDescent="0.2"/>
    <row r="139" s="86" customFormat="1" x14ac:dyDescent="0.2"/>
    <row r="140" s="86" customFormat="1" x14ac:dyDescent="0.2"/>
    <row r="141" s="86" customFormat="1" x14ac:dyDescent="0.2"/>
    <row r="142" s="86" customFormat="1" x14ac:dyDescent="0.2"/>
    <row r="143" s="86" customFormat="1" x14ac:dyDescent="0.2"/>
    <row r="144" s="86" customFormat="1" x14ac:dyDescent="0.2"/>
    <row r="145" s="86" customFormat="1" x14ac:dyDescent="0.2"/>
    <row r="146" s="86" customFormat="1" x14ac:dyDescent="0.2"/>
    <row r="147" s="86" customFormat="1" x14ac:dyDescent="0.2"/>
    <row r="148" s="86" customFormat="1" x14ac:dyDescent="0.2"/>
    <row r="149" s="86" customFormat="1" x14ac:dyDescent="0.2"/>
    <row r="150" s="86" customFormat="1" x14ac:dyDescent="0.2"/>
    <row r="151" s="86" customFormat="1" x14ac:dyDescent="0.2"/>
    <row r="152" s="86" customFormat="1" x14ac:dyDescent="0.2"/>
    <row r="153" s="86" customFormat="1" x14ac:dyDescent="0.2"/>
    <row r="154" s="86" customFormat="1" x14ac:dyDescent="0.2"/>
    <row r="155" s="86" customFormat="1" x14ac:dyDescent="0.2"/>
    <row r="156" s="86" customFormat="1" x14ac:dyDescent="0.2"/>
    <row r="157" s="86" customFormat="1" x14ac:dyDescent="0.2"/>
    <row r="158" s="86" customFormat="1" x14ac:dyDescent="0.2"/>
    <row r="159" s="86" customFormat="1" x14ac:dyDescent="0.2"/>
    <row r="160" s="86" customFormat="1" x14ac:dyDescent="0.2"/>
    <row r="161" s="86" customFormat="1" x14ac:dyDescent="0.2"/>
    <row r="162" s="86" customFormat="1" x14ac:dyDescent="0.2"/>
    <row r="163" s="86" customFormat="1" x14ac:dyDescent="0.2"/>
    <row r="164" s="86" customFormat="1" x14ac:dyDescent="0.2"/>
    <row r="165" s="86" customFormat="1" x14ac:dyDescent="0.2"/>
    <row r="166" s="86" customFormat="1" x14ac:dyDescent="0.2"/>
    <row r="167" s="86" customFormat="1" x14ac:dyDescent="0.2"/>
    <row r="168" s="86" customFormat="1" x14ac:dyDescent="0.2"/>
    <row r="169" s="86" customFormat="1" x14ac:dyDescent="0.2"/>
    <row r="170" s="86" customFormat="1" x14ac:dyDescent="0.2"/>
    <row r="171" s="86" customFormat="1" x14ac:dyDescent="0.2"/>
    <row r="172" s="86" customFormat="1" x14ac:dyDescent="0.2"/>
    <row r="173" s="86" customFormat="1" x14ac:dyDescent="0.2"/>
    <row r="174" s="86" customFormat="1" x14ac:dyDescent="0.2"/>
    <row r="175" s="86" customFormat="1" x14ac:dyDescent="0.2"/>
    <row r="176" s="86" customFormat="1" x14ac:dyDescent="0.2"/>
    <row r="177" spans="1:65" s="86" customFormat="1" x14ac:dyDescent="0.2"/>
    <row r="178" spans="1:65" s="86" customFormat="1" x14ac:dyDescent="0.2"/>
    <row r="179" spans="1:65" s="86" customFormat="1" x14ac:dyDescent="0.2"/>
    <row r="180" spans="1:65" s="86" customFormat="1" x14ac:dyDescent="0.2"/>
    <row r="181" spans="1:65" s="86" customFormat="1" x14ac:dyDescent="0.2"/>
    <row r="182" spans="1:65" s="86" customFormat="1" x14ac:dyDescent="0.2"/>
    <row r="183" spans="1:65" s="86" customFormat="1" x14ac:dyDescent="0.2"/>
    <row r="184" spans="1:65" s="86" customFormat="1" x14ac:dyDescent="0.2"/>
    <row r="185" spans="1:65" s="86" customFormat="1" x14ac:dyDescent="0.2"/>
    <row r="186" spans="1:65" s="86" customFormat="1" x14ac:dyDescent="0.2"/>
    <row r="187" spans="1:65" s="86" customFormat="1" x14ac:dyDescent="0.2"/>
    <row r="188" spans="1:65" s="86" customFormat="1" x14ac:dyDescent="0.2">
      <c r="A188" s="28"/>
      <c r="B188" s="28"/>
      <c r="C188" s="28"/>
      <c r="D188" s="28"/>
      <c r="E188" s="28"/>
      <c r="F188" s="28"/>
      <c r="G188" s="28"/>
      <c r="H188" s="28"/>
      <c r="I188" s="28"/>
      <c r="J188" s="28"/>
    </row>
    <row r="189" spans="1:65"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row>
    <row r="190" spans="1:65"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row>
    <row r="191" spans="1:65"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row>
    <row r="192" spans="1:65"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row>
    <row r="193" spans="1:65"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row>
    <row r="194" spans="1:65"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row>
    <row r="195" spans="1:65"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row>
    <row r="196" spans="1:65"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row>
    <row r="197" spans="1:65"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row>
    <row r="198" spans="1:65"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row>
    <row r="199" spans="1:65"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row>
    <row r="200" spans="1:65"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row>
    <row r="201" spans="1:65"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row>
    <row r="202" spans="1:65"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row>
    <row r="203" spans="1:65"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row>
    <row r="204" spans="1:65"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row>
    <row r="205" spans="1:65"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row>
    <row r="206" spans="1:65" x14ac:dyDescent="0.2">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row>
    <row r="207" spans="1:65" x14ac:dyDescent="0.2">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row>
    <row r="208" spans="1:65" x14ac:dyDescent="0.2">
      <c r="L208" s="28"/>
      <c r="M208" s="28"/>
      <c r="N208" s="28"/>
      <c r="O208" s="28"/>
      <c r="P208" s="28"/>
      <c r="Q208" s="28"/>
      <c r="R208" s="28"/>
      <c r="S208" s="28"/>
      <c r="T208" s="28"/>
    </row>
  </sheetData>
  <mergeCells count="8">
    <mergeCell ref="L52:T58"/>
    <mergeCell ref="M48:N48"/>
    <mergeCell ref="M29:N29"/>
    <mergeCell ref="D5:E5"/>
    <mergeCell ref="D6:E6"/>
    <mergeCell ref="D7:E7"/>
    <mergeCell ref="C16:F16"/>
    <mergeCell ref="A31:J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L190"/>
  <sheetViews>
    <sheetView zoomScaleNormal="100" workbookViewId="0"/>
  </sheetViews>
  <sheetFormatPr baseColWidth="10" defaultColWidth="10.83203125" defaultRowHeight="16" outlineLevelCol="1" x14ac:dyDescent="0.2"/>
  <cols>
    <col min="1" max="1" width="4.6640625" style="57" customWidth="1"/>
    <col min="2" max="10" width="10.83203125" style="57" customWidth="1"/>
    <col min="11" max="11" width="11.5" style="57" bestFit="1" customWidth="1"/>
    <col min="12" max="19" width="10.83203125" style="57" hidden="1" customWidth="1" outlineLevel="1"/>
    <col min="20" max="20" width="10.83203125" style="57" collapsed="1"/>
    <col min="21" max="16384" width="10.83203125" style="57"/>
  </cols>
  <sheetData>
    <row r="1" spans="1:20" ht="19" x14ac:dyDescent="0.25">
      <c r="A1" s="1" t="s">
        <v>141</v>
      </c>
      <c r="B1" s="12"/>
      <c r="C1" s="46"/>
      <c r="D1" s="46"/>
      <c r="E1" s="46"/>
      <c r="F1" s="55"/>
      <c r="G1" s="55"/>
      <c r="H1" s="55"/>
      <c r="I1" s="55"/>
      <c r="J1" s="56"/>
      <c r="K1" s="2" t="s">
        <v>135</v>
      </c>
    </row>
    <row r="2" spans="1:20" ht="18.5" customHeight="1" x14ac:dyDescent="0.2">
      <c r="A2" s="58"/>
      <c r="B2" s="55"/>
      <c r="C2" s="55"/>
      <c r="D2" s="55"/>
      <c r="E2" s="55"/>
      <c r="F2" s="55"/>
      <c r="G2" s="55"/>
      <c r="H2" s="55"/>
      <c r="I2" s="55"/>
      <c r="J2" s="56"/>
      <c r="L2" s="317" t="s">
        <v>145</v>
      </c>
      <c r="M2" s="317"/>
      <c r="N2" s="317"/>
      <c r="O2" s="317"/>
      <c r="P2" s="317"/>
      <c r="Q2" s="317"/>
      <c r="R2" s="317"/>
      <c r="S2" s="317"/>
      <c r="T2" s="59"/>
    </row>
    <row r="3" spans="1:20" x14ac:dyDescent="0.2">
      <c r="A3" s="58"/>
      <c r="B3" s="55" t="s">
        <v>97</v>
      </c>
      <c r="C3" s="55"/>
      <c r="D3" s="55"/>
      <c r="E3" s="55"/>
      <c r="F3" s="55"/>
      <c r="G3" s="55"/>
      <c r="H3" s="55"/>
      <c r="I3" s="55"/>
      <c r="J3" s="56"/>
      <c r="L3" s="317"/>
      <c r="M3" s="317"/>
      <c r="N3" s="317"/>
      <c r="O3" s="317"/>
      <c r="P3" s="317"/>
      <c r="Q3" s="317"/>
      <c r="R3" s="317"/>
      <c r="S3" s="317"/>
      <c r="T3" s="59"/>
    </row>
    <row r="4" spans="1:20" x14ac:dyDescent="0.2">
      <c r="A4" s="58"/>
      <c r="B4" s="55" t="s">
        <v>98</v>
      </c>
      <c r="C4" s="55"/>
      <c r="D4" s="55"/>
      <c r="E4" s="55"/>
      <c r="F4" s="55"/>
      <c r="G4" s="55"/>
      <c r="H4" s="55"/>
      <c r="I4" s="55"/>
      <c r="J4" s="56"/>
      <c r="L4" s="317"/>
      <c r="M4" s="317"/>
      <c r="N4" s="317"/>
      <c r="O4" s="317"/>
      <c r="P4" s="317"/>
      <c r="Q4" s="317"/>
      <c r="R4" s="317"/>
      <c r="S4" s="317"/>
      <c r="T4" s="59"/>
    </row>
    <row r="5" spans="1:20" x14ac:dyDescent="0.2">
      <c r="A5" s="58"/>
      <c r="B5" s="55"/>
      <c r="C5" s="55"/>
      <c r="D5" s="55"/>
      <c r="E5" s="55"/>
      <c r="F5" s="55"/>
      <c r="G5" s="55"/>
      <c r="H5" s="55"/>
      <c r="I5" s="55"/>
      <c r="J5" s="56"/>
      <c r="L5" s="317"/>
      <c r="M5" s="317"/>
      <c r="N5" s="317"/>
      <c r="O5" s="317"/>
      <c r="P5" s="317"/>
      <c r="Q5" s="317"/>
      <c r="R5" s="317"/>
      <c r="S5" s="317"/>
      <c r="T5" s="59"/>
    </row>
    <row r="6" spans="1:20" x14ac:dyDescent="0.2">
      <c r="A6" s="58"/>
      <c r="B6" s="55" t="s">
        <v>99</v>
      </c>
      <c r="C6" s="55"/>
      <c r="D6" s="55"/>
      <c r="E6" s="55"/>
      <c r="F6" s="55"/>
      <c r="G6" s="55"/>
      <c r="H6" s="55"/>
      <c r="I6" s="55"/>
      <c r="J6" s="56"/>
      <c r="L6" s="317"/>
      <c r="M6" s="317"/>
      <c r="N6" s="317"/>
      <c r="O6" s="317"/>
      <c r="P6" s="317"/>
      <c r="Q6" s="317"/>
      <c r="R6" s="317"/>
      <c r="S6" s="317"/>
      <c r="T6" s="59"/>
    </row>
    <row r="7" spans="1:20" x14ac:dyDescent="0.2">
      <c r="A7" s="58"/>
      <c r="B7" s="55" t="s">
        <v>100</v>
      </c>
      <c r="C7" s="55"/>
      <c r="D7" s="55"/>
      <c r="E7" s="55"/>
      <c r="F7" s="55"/>
      <c r="G7" s="55"/>
      <c r="H7" s="55"/>
      <c r="I7" s="55"/>
      <c r="J7" s="56"/>
      <c r="L7" s="317"/>
      <c r="M7" s="317"/>
      <c r="N7" s="317"/>
      <c r="O7" s="317"/>
      <c r="P7" s="317"/>
      <c r="Q7" s="317"/>
      <c r="R7" s="317"/>
      <c r="S7" s="317"/>
      <c r="T7" s="59"/>
    </row>
    <row r="8" spans="1:20" x14ac:dyDescent="0.2">
      <c r="A8" s="58"/>
      <c r="B8" s="55"/>
      <c r="C8" s="55"/>
      <c r="D8" s="55"/>
      <c r="E8" s="55"/>
      <c r="F8" s="55"/>
      <c r="G8" s="55"/>
      <c r="H8" s="55"/>
      <c r="I8" s="55"/>
      <c r="J8" s="56"/>
      <c r="L8" s="317"/>
      <c r="M8" s="317"/>
      <c r="N8" s="317"/>
      <c r="O8" s="317"/>
      <c r="P8" s="317"/>
      <c r="Q8" s="317"/>
      <c r="R8" s="317"/>
      <c r="S8" s="317"/>
      <c r="T8" s="59"/>
    </row>
    <row r="9" spans="1:20" x14ac:dyDescent="0.2">
      <c r="A9" s="58"/>
      <c r="B9" s="55" t="s">
        <v>101</v>
      </c>
      <c r="C9" s="55"/>
      <c r="D9" s="55"/>
      <c r="E9" s="55"/>
      <c r="F9" s="55"/>
      <c r="G9" s="55"/>
      <c r="H9" s="55"/>
      <c r="I9" s="55"/>
      <c r="J9" s="56"/>
      <c r="L9" s="317"/>
      <c r="M9" s="317"/>
      <c r="N9" s="317"/>
      <c r="O9" s="317"/>
      <c r="P9" s="317"/>
      <c r="Q9" s="317"/>
      <c r="R9" s="317"/>
      <c r="S9" s="317"/>
      <c r="T9" s="59"/>
    </row>
    <row r="10" spans="1:20" x14ac:dyDescent="0.2">
      <c r="A10" s="58"/>
      <c r="B10" s="55"/>
      <c r="C10" s="55"/>
      <c r="D10" s="55"/>
      <c r="E10" s="55"/>
      <c r="F10" s="55"/>
      <c r="G10" s="55"/>
      <c r="H10" s="55"/>
      <c r="I10" s="55"/>
      <c r="J10" s="56"/>
      <c r="L10" s="317"/>
      <c r="M10" s="317"/>
      <c r="N10" s="317"/>
      <c r="O10" s="317"/>
      <c r="P10" s="317"/>
      <c r="Q10" s="317"/>
      <c r="R10" s="317"/>
      <c r="S10" s="317"/>
      <c r="T10" s="59"/>
    </row>
    <row r="11" spans="1:20" ht="17" x14ac:dyDescent="0.2">
      <c r="A11" s="58"/>
      <c r="B11" s="55"/>
      <c r="C11" s="8" t="s">
        <v>19</v>
      </c>
      <c r="D11" s="11" t="s">
        <v>50</v>
      </c>
      <c r="E11" s="55"/>
      <c r="F11" s="55"/>
      <c r="G11" s="55"/>
      <c r="H11" s="55"/>
      <c r="I11" s="55"/>
      <c r="J11" s="56"/>
      <c r="L11" s="317"/>
      <c r="M11" s="317"/>
      <c r="N11" s="317"/>
      <c r="O11" s="317"/>
      <c r="P11" s="317"/>
      <c r="Q11" s="317"/>
      <c r="R11" s="317"/>
      <c r="S11" s="317"/>
      <c r="T11" s="59"/>
    </row>
    <row r="12" spans="1:20" x14ac:dyDescent="0.2">
      <c r="A12" s="58"/>
      <c r="B12" s="55"/>
      <c r="C12" s="60" t="s">
        <v>52</v>
      </c>
      <c r="D12" s="6">
        <v>0.14000000000000001</v>
      </c>
      <c r="E12" s="55"/>
      <c r="F12" s="55"/>
      <c r="G12" s="55"/>
      <c r="H12" s="55"/>
      <c r="I12" s="55"/>
      <c r="J12" s="56"/>
      <c r="L12" s="317"/>
      <c r="M12" s="317"/>
      <c r="N12" s="317"/>
      <c r="O12" s="317"/>
      <c r="P12" s="317"/>
      <c r="Q12" s="317"/>
      <c r="R12" s="317"/>
      <c r="S12" s="317"/>
    </row>
    <row r="13" spans="1:20" x14ac:dyDescent="0.2">
      <c r="A13" s="58"/>
      <c r="B13" s="55"/>
      <c r="C13" s="60" t="s">
        <v>53</v>
      </c>
      <c r="D13" s="6">
        <v>0.1</v>
      </c>
      <c r="E13" s="55"/>
      <c r="F13" s="55"/>
      <c r="G13" s="55"/>
      <c r="H13" s="55"/>
      <c r="I13" s="55"/>
      <c r="J13" s="56"/>
      <c r="M13" s="59"/>
      <c r="N13" s="59"/>
      <c r="O13" s="59"/>
      <c r="P13" s="59"/>
      <c r="Q13" s="59"/>
      <c r="R13" s="59"/>
      <c r="S13" s="59"/>
    </row>
    <row r="14" spans="1:20" ht="19" x14ac:dyDescent="0.25">
      <c r="A14" s="58"/>
      <c r="B14" s="55"/>
      <c r="C14" s="60" t="s">
        <v>54</v>
      </c>
      <c r="D14" s="6">
        <v>0.06</v>
      </c>
      <c r="E14" s="55"/>
      <c r="F14" s="55"/>
      <c r="G14" s="55"/>
      <c r="H14" s="55"/>
      <c r="I14" s="55"/>
      <c r="J14" s="56"/>
      <c r="L14" s="2" t="s">
        <v>103</v>
      </c>
    </row>
    <row r="15" spans="1:20" ht="16" customHeight="1" x14ac:dyDescent="0.2">
      <c r="A15" s="58"/>
      <c r="B15" s="55"/>
      <c r="C15" s="60" t="s">
        <v>55</v>
      </c>
      <c r="D15" s="6">
        <v>0.02</v>
      </c>
      <c r="E15" s="55"/>
      <c r="F15" s="55"/>
      <c r="G15" s="55"/>
      <c r="H15" s="55"/>
      <c r="I15" s="55"/>
      <c r="J15" s="56"/>
      <c r="L15" s="317" t="s">
        <v>146</v>
      </c>
      <c r="M15" s="318"/>
      <c r="N15" s="318"/>
      <c r="O15" s="318"/>
      <c r="P15" s="318"/>
      <c r="Q15" s="318"/>
      <c r="R15" s="318"/>
      <c r="S15" s="318"/>
      <c r="T15" s="59"/>
    </row>
    <row r="16" spans="1:20" x14ac:dyDescent="0.2">
      <c r="A16" s="58"/>
      <c r="B16" s="55"/>
      <c r="C16" s="55"/>
      <c r="D16" s="55"/>
      <c r="E16" s="55"/>
      <c r="F16" s="55"/>
      <c r="G16" s="55"/>
      <c r="H16" s="55"/>
      <c r="I16" s="55"/>
      <c r="J16" s="56"/>
      <c r="L16" s="318"/>
      <c r="M16" s="318"/>
      <c r="N16" s="318"/>
      <c r="O16" s="318"/>
      <c r="P16" s="318"/>
      <c r="Q16" s="318"/>
      <c r="R16" s="318"/>
      <c r="S16" s="318"/>
    </row>
    <row r="17" spans="1:19" x14ac:dyDescent="0.2">
      <c r="A17" s="58"/>
      <c r="B17" s="55"/>
      <c r="C17" s="55"/>
      <c r="D17" s="55"/>
      <c r="E17" s="55"/>
      <c r="F17" s="55"/>
      <c r="G17" s="55"/>
      <c r="H17" s="55"/>
      <c r="I17" s="55"/>
      <c r="J17" s="56"/>
      <c r="L17" s="318"/>
      <c r="M17" s="318"/>
      <c r="N17" s="318"/>
      <c r="O17" s="318"/>
      <c r="P17" s="318"/>
      <c r="Q17" s="318"/>
      <c r="R17" s="318"/>
      <c r="S17" s="318"/>
    </row>
    <row r="18" spans="1:19" x14ac:dyDescent="0.2">
      <c r="A18" s="58"/>
      <c r="B18" s="55" t="s">
        <v>102</v>
      </c>
      <c r="C18" s="55"/>
      <c r="D18" s="55"/>
      <c r="E18" s="55"/>
      <c r="F18" s="55"/>
      <c r="G18" s="55"/>
      <c r="H18" s="55"/>
      <c r="I18" s="55"/>
      <c r="J18" s="56"/>
      <c r="L18" s="318"/>
      <c r="M18" s="318"/>
      <c r="N18" s="318"/>
      <c r="O18" s="318"/>
      <c r="P18" s="318"/>
      <c r="Q18" s="318"/>
      <c r="R18" s="318"/>
      <c r="S18" s="318"/>
    </row>
    <row r="19" spans="1:19" x14ac:dyDescent="0.2">
      <c r="A19" s="58"/>
      <c r="B19" s="55"/>
      <c r="C19" s="55"/>
      <c r="D19" s="55"/>
      <c r="E19" s="55"/>
      <c r="F19" s="55"/>
      <c r="G19" s="55"/>
      <c r="H19" s="55"/>
      <c r="I19" s="55"/>
      <c r="J19" s="56"/>
      <c r="L19" s="318"/>
      <c r="M19" s="318"/>
      <c r="N19" s="318"/>
      <c r="O19" s="318"/>
      <c r="P19" s="318"/>
      <c r="Q19" s="318"/>
      <c r="R19" s="318"/>
      <c r="S19" s="318"/>
    </row>
    <row r="20" spans="1:19" ht="17" thickBot="1" x14ac:dyDescent="0.25">
      <c r="A20" s="58"/>
      <c r="B20" s="55"/>
      <c r="C20" s="55"/>
      <c r="D20" s="55"/>
      <c r="E20" s="55"/>
      <c r="F20" s="55"/>
      <c r="G20" s="55"/>
      <c r="H20" s="55"/>
      <c r="I20" s="55"/>
      <c r="J20" s="56"/>
    </row>
    <row r="21" spans="1:19" ht="17" thickBot="1" x14ac:dyDescent="0.25">
      <c r="A21" s="319" t="s">
        <v>134</v>
      </c>
      <c r="B21" s="320"/>
      <c r="C21" s="320"/>
      <c r="D21" s="320"/>
      <c r="E21" s="320"/>
      <c r="F21" s="320"/>
      <c r="G21" s="320"/>
      <c r="H21" s="320"/>
      <c r="I21" s="320"/>
      <c r="J21" s="321"/>
    </row>
    <row r="23" spans="1:19" ht="19" x14ac:dyDescent="0.25">
      <c r="A23" s="2"/>
    </row>
    <row r="27" spans="1:19" x14ac:dyDescent="0.2">
      <c r="L27" s="4"/>
    </row>
    <row r="28" spans="1:19" x14ac:dyDescent="0.2">
      <c r="L28" s="4"/>
    </row>
    <row r="29" spans="1:19" x14ac:dyDescent="0.2">
      <c r="L29" s="4"/>
    </row>
    <row r="30" spans="1:19" x14ac:dyDescent="0.2">
      <c r="L30" s="4"/>
    </row>
    <row r="31" spans="1:19" x14ac:dyDescent="0.2">
      <c r="L31" s="4"/>
    </row>
    <row r="32" spans="1:19" x14ac:dyDescent="0.2">
      <c r="L32" s="4"/>
    </row>
    <row r="33" spans="1:13" x14ac:dyDescent="0.2">
      <c r="L33" s="4"/>
    </row>
    <row r="34" spans="1:13" x14ac:dyDescent="0.2">
      <c r="L34" s="4"/>
    </row>
    <row r="35" spans="1:13" x14ac:dyDescent="0.2">
      <c r="A35" s="3"/>
      <c r="C35" s="61"/>
      <c r="L35" s="4"/>
    </row>
    <row r="46" spans="1:13" x14ac:dyDescent="0.2">
      <c r="A46" s="3"/>
      <c r="C46" s="61"/>
    </row>
    <row r="48" spans="1:13" x14ac:dyDescent="0.2">
      <c r="M48" s="61"/>
    </row>
    <row r="49" spans="12:14" x14ac:dyDescent="0.2">
      <c r="L49" s="4"/>
      <c r="M49" s="4"/>
      <c r="N49" s="4"/>
    </row>
    <row r="50" spans="12:14" s="88" customFormat="1" x14ac:dyDescent="0.2"/>
    <row r="51" spans="12:14" s="88" customFormat="1" x14ac:dyDescent="0.2"/>
    <row r="52" spans="12:14" s="88" customFormat="1" x14ac:dyDescent="0.2"/>
    <row r="53" spans="12:14" s="88" customFormat="1" x14ac:dyDescent="0.2"/>
    <row r="54" spans="12:14" s="88" customFormat="1" x14ac:dyDescent="0.2"/>
    <row r="55" spans="12:14" s="88" customFormat="1" x14ac:dyDescent="0.2"/>
    <row r="56" spans="12:14" s="88" customFormat="1" x14ac:dyDescent="0.2"/>
    <row r="57" spans="12:14" s="88" customFormat="1" x14ac:dyDescent="0.2"/>
    <row r="58" spans="12:14" s="88" customFormat="1" x14ac:dyDescent="0.2">
      <c r="M58" s="89"/>
    </row>
    <row r="59" spans="12:14" s="88" customFormat="1" x14ac:dyDescent="0.2"/>
    <row r="60" spans="12:14" s="88" customFormat="1" x14ac:dyDescent="0.2"/>
    <row r="61" spans="12:14" s="88" customFormat="1" x14ac:dyDescent="0.2"/>
    <row r="62" spans="12:14" s="88" customFormat="1" x14ac:dyDescent="0.2"/>
    <row r="63" spans="12:14" s="88" customFormat="1" x14ac:dyDescent="0.2"/>
    <row r="64" spans="12:14" s="88" customFormat="1" x14ac:dyDescent="0.2"/>
    <row r="65" spans="13:13" s="88" customFormat="1" x14ac:dyDescent="0.2"/>
    <row r="66" spans="13:13" s="88" customFormat="1" x14ac:dyDescent="0.2"/>
    <row r="67" spans="13:13" s="88" customFormat="1" x14ac:dyDescent="0.2"/>
    <row r="68" spans="13:13" s="88" customFormat="1" x14ac:dyDescent="0.2">
      <c r="M68" s="89"/>
    </row>
    <row r="69" spans="13:13" s="88" customFormat="1" x14ac:dyDescent="0.2"/>
    <row r="70" spans="13:13" s="88" customFormat="1" x14ac:dyDescent="0.2"/>
    <row r="71" spans="13:13" s="88" customFormat="1" x14ac:dyDescent="0.2"/>
    <row r="72" spans="13:13" s="88" customFormat="1" x14ac:dyDescent="0.2"/>
    <row r="73" spans="13:13" s="88" customFormat="1" x14ac:dyDescent="0.2"/>
    <row r="74" spans="13:13" s="88" customFormat="1" x14ac:dyDescent="0.2"/>
    <row r="75" spans="13:13" s="88" customFormat="1" x14ac:dyDescent="0.2"/>
    <row r="76" spans="13:13" s="88" customFormat="1" x14ac:dyDescent="0.2"/>
    <row r="77" spans="13:13" s="88" customFormat="1" x14ac:dyDescent="0.2"/>
    <row r="78" spans="13:13" s="88" customFormat="1" x14ac:dyDescent="0.2">
      <c r="M78" s="89"/>
    </row>
    <row r="79" spans="13:13" s="88" customFormat="1" x14ac:dyDescent="0.2"/>
    <row r="80" spans="13:13" s="88" customFormat="1" x14ac:dyDescent="0.2"/>
    <row r="81" spans="13:13" s="88" customFormat="1" x14ac:dyDescent="0.2"/>
    <row r="82" spans="13:13" s="88" customFormat="1" x14ac:dyDescent="0.2"/>
    <row r="83" spans="13:13" s="88" customFormat="1" x14ac:dyDescent="0.2"/>
    <row r="84" spans="13:13" s="88" customFormat="1" x14ac:dyDescent="0.2"/>
    <row r="85" spans="13:13" s="88" customFormat="1" x14ac:dyDescent="0.2"/>
    <row r="86" spans="13:13" s="88" customFormat="1" x14ac:dyDescent="0.2"/>
    <row r="87" spans="13:13" s="88" customFormat="1" x14ac:dyDescent="0.2"/>
    <row r="88" spans="13:13" s="88" customFormat="1" x14ac:dyDescent="0.2">
      <c r="M88" s="89"/>
    </row>
    <row r="89" spans="13:13" s="88" customFormat="1" x14ac:dyDescent="0.2"/>
    <row r="90" spans="13:13" s="88" customFormat="1" x14ac:dyDescent="0.2"/>
    <row r="91" spans="13:13" s="88" customFormat="1" x14ac:dyDescent="0.2"/>
    <row r="92" spans="13:13" s="88" customFormat="1" x14ac:dyDescent="0.2"/>
    <row r="93" spans="13:13" s="88" customFormat="1" x14ac:dyDescent="0.2"/>
    <row r="94" spans="13:13" s="88" customFormat="1" x14ac:dyDescent="0.2"/>
    <row r="95" spans="13:13" s="88" customFormat="1" x14ac:dyDescent="0.2"/>
    <row r="96" spans="13:13" s="88" customFormat="1" x14ac:dyDescent="0.2"/>
    <row r="97" s="88" customFormat="1" x14ac:dyDescent="0.2"/>
    <row r="98" s="88" customFormat="1" x14ac:dyDescent="0.2"/>
    <row r="99" s="88" customFormat="1" x14ac:dyDescent="0.2"/>
    <row r="100" s="88" customFormat="1" x14ac:dyDescent="0.2"/>
    <row r="101" s="88" customFormat="1" x14ac:dyDescent="0.2"/>
    <row r="102" s="88" customFormat="1" x14ac:dyDescent="0.2"/>
    <row r="103" s="88" customFormat="1" x14ac:dyDescent="0.2"/>
    <row r="104" s="88" customFormat="1" x14ac:dyDescent="0.2"/>
    <row r="105" s="88" customFormat="1" x14ac:dyDescent="0.2"/>
    <row r="106" s="88" customFormat="1" x14ac:dyDescent="0.2"/>
    <row r="107" s="88" customFormat="1" x14ac:dyDescent="0.2"/>
    <row r="108" s="88" customFormat="1" x14ac:dyDescent="0.2"/>
    <row r="109" s="88" customFormat="1" x14ac:dyDescent="0.2"/>
    <row r="110" s="88" customFormat="1" x14ac:dyDescent="0.2"/>
    <row r="111" s="88" customFormat="1" x14ac:dyDescent="0.2"/>
    <row r="112" s="88" customFormat="1" x14ac:dyDescent="0.2"/>
    <row r="113" s="88" customFormat="1" x14ac:dyDescent="0.2"/>
    <row r="114" s="88" customFormat="1" x14ac:dyDescent="0.2"/>
    <row r="115" s="88" customFormat="1" x14ac:dyDescent="0.2"/>
    <row r="116" s="88" customFormat="1" x14ac:dyDescent="0.2"/>
    <row r="117" s="88" customFormat="1" x14ac:dyDescent="0.2"/>
    <row r="118" s="88" customFormat="1" x14ac:dyDescent="0.2"/>
    <row r="119" s="88" customFormat="1" x14ac:dyDescent="0.2"/>
    <row r="120" s="88" customFormat="1" x14ac:dyDescent="0.2"/>
    <row r="121" s="88" customFormat="1" x14ac:dyDescent="0.2"/>
    <row r="122" s="88" customFormat="1" x14ac:dyDescent="0.2"/>
    <row r="123" s="88" customFormat="1" x14ac:dyDescent="0.2"/>
    <row r="124" s="88" customFormat="1" x14ac:dyDescent="0.2"/>
    <row r="125" s="88" customFormat="1" x14ac:dyDescent="0.2"/>
    <row r="126" s="88" customFormat="1" x14ac:dyDescent="0.2"/>
    <row r="127" s="88" customFormat="1" x14ac:dyDescent="0.2"/>
    <row r="128" s="88" customFormat="1" x14ac:dyDescent="0.2"/>
    <row r="129" s="88" customFormat="1" x14ac:dyDescent="0.2"/>
    <row r="130" s="88" customFormat="1" x14ac:dyDescent="0.2"/>
    <row r="131" s="88" customFormat="1" x14ac:dyDescent="0.2"/>
    <row r="132" s="88" customFormat="1" x14ac:dyDescent="0.2"/>
    <row r="133" s="88" customFormat="1" x14ac:dyDescent="0.2"/>
    <row r="134" s="88" customFormat="1" x14ac:dyDescent="0.2"/>
    <row r="135" s="88" customFormat="1" x14ac:dyDescent="0.2"/>
    <row r="136" s="88" customFormat="1" x14ac:dyDescent="0.2"/>
    <row r="137" s="88" customFormat="1" x14ac:dyDescent="0.2"/>
    <row r="138" s="88" customFormat="1" x14ac:dyDescent="0.2"/>
    <row r="139" s="88" customFormat="1" x14ac:dyDescent="0.2"/>
    <row r="140" s="88" customFormat="1" x14ac:dyDescent="0.2"/>
    <row r="141" s="88" customFormat="1" x14ac:dyDescent="0.2"/>
    <row r="142" s="88" customFormat="1" x14ac:dyDescent="0.2"/>
    <row r="143" s="88" customFormat="1" x14ac:dyDescent="0.2"/>
    <row r="144" s="88" customFormat="1" x14ac:dyDescent="0.2"/>
    <row r="145" s="88" customFormat="1" x14ac:dyDescent="0.2"/>
    <row r="146" s="88" customFormat="1" x14ac:dyDescent="0.2"/>
    <row r="147" s="88" customFormat="1" x14ac:dyDescent="0.2"/>
    <row r="148" s="88" customFormat="1" x14ac:dyDescent="0.2"/>
    <row r="149" s="88" customFormat="1" x14ac:dyDescent="0.2"/>
    <row r="150" s="88" customFormat="1" x14ac:dyDescent="0.2"/>
    <row r="151" s="88" customFormat="1" x14ac:dyDescent="0.2"/>
    <row r="152" s="88" customFormat="1" x14ac:dyDescent="0.2"/>
    <row r="153" s="88" customFormat="1" x14ac:dyDescent="0.2"/>
    <row r="154" s="88" customFormat="1" x14ac:dyDescent="0.2"/>
    <row r="155" s="88" customFormat="1" x14ac:dyDescent="0.2"/>
    <row r="156" s="88" customFormat="1" x14ac:dyDescent="0.2"/>
    <row r="157" s="88" customFormat="1" x14ac:dyDescent="0.2"/>
    <row r="158" s="88" customFormat="1" x14ac:dyDescent="0.2"/>
    <row r="159" s="88" customFormat="1" x14ac:dyDescent="0.2"/>
    <row r="160" s="88" customFormat="1" x14ac:dyDescent="0.2"/>
    <row r="161" s="88" customFormat="1" x14ac:dyDescent="0.2"/>
    <row r="162" s="88" customFormat="1" x14ac:dyDescent="0.2"/>
    <row r="163" s="88" customFormat="1" x14ac:dyDescent="0.2"/>
    <row r="164" s="88" customFormat="1" x14ac:dyDescent="0.2"/>
    <row r="165" s="88" customFormat="1" x14ac:dyDescent="0.2"/>
    <row r="166" s="88" customFormat="1" x14ac:dyDescent="0.2"/>
    <row r="167" s="88" customFormat="1" x14ac:dyDescent="0.2"/>
    <row r="168" s="88" customFormat="1" x14ac:dyDescent="0.2"/>
    <row r="169" s="88" customFormat="1" x14ac:dyDescent="0.2"/>
    <row r="170" s="88" customFormat="1" x14ac:dyDescent="0.2"/>
    <row r="171" s="88" customFormat="1" x14ac:dyDescent="0.2"/>
    <row r="172" s="88" customFormat="1" x14ac:dyDescent="0.2"/>
    <row r="173" s="88" customFormat="1" x14ac:dyDescent="0.2"/>
    <row r="174" s="88" customFormat="1" x14ac:dyDescent="0.2"/>
    <row r="175" s="88" customFormat="1" x14ac:dyDescent="0.2"/>
    <row r="176" s="88" customFormat="1" x14ac:dyDescent="0.2"/>
    <row r="177" spans="1:64" s="88" customFormat="1" x14ac:dyDescent="0.2"/>
    <row r="178" spans="1:64" s="88" customFormat="1" x14ac:dyDescent="0.2"/>
    <row r="179" spans="1:64" s="88" customFormat="1" x14ac:dyDescent="0.2"/>
    <row r="180" spans="1:64" s="88" customFormat="1" x14ac:dyDescent="0.2"/>
    <row r="181" spans="1:64" s="88" customFormat="1" x14ac:dyDescent="0.2"/>
    <row r="182" spans="1:64" s="88" customFormat="1" x14ac:dyDescent="0.2"/>
    <row r="183" spans="1:64" s="88" customFormat="1" x14ac:dyDescent="0.2"/>
    <row r="184" spans="1:64" s="88" customFormat="1" x14ac:dyDescent="0.2"/>
    <row r="185" spans="1:64" s="88" customFormat="1" x14ac:dyDescent="0.2"/>
    <row r="186" spans="1:64" s="88" customFormat="1" x14ac:dyDescent="0.2"/>
    <row r="187" spans="1:64" s="88" customFormat="1" x14ac:dyDescent="0.2"/>
    <row r="188" spans="1:64"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row>
    <row r="189" spans="1:64"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row>
    <row r="190" spans="1:64" x14ac:dyDescent="0.2">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row>
  </sheetData>
  <mergeCells count="3">
    <mergeCell ref="A21:J21"/>
    <mergeCell ref="L15:S19"/>
    <mergeCell ref="L2:S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F372-AA2F-0540-AD2A-D54421705873}">
  <dimension ref="A1:S66"/>
  <sheetViews>
    <sheetView workbookViewId="0"/>
  </sheetViews>
  <sheetFormatPr baseColWidth="10" defaultColWidth="11" defaultRowHeight="16" outlineLevelCol="1" x14ac:dyDescent="0.2"/>
  <cols>
    <col min="1" max="1" width="4.5" customWidth="1"/>
    <col min="2" max="2" width="12.83203125" customWidth="1"/>
    <col min="3" max="3" width="18.6640625" customWidth="1"/>
    <col min="4" max="4" width="16.83203125" customWidth="1"/>
    <col min="5" max="6" width="15.1640625" customWidth="1"/>
    <col min="7" max="11" width="10.5" customWidth="1"/>
    <col min="13" max="13" width="13.33203125" hidden="1" customWidth="1" outlineLevel="1"/>
    <col min="14" max="14" width="12.6640625" hidden="1" customWidth="1" outlineLevel="1"/>
    <col min="15" max="17" width="10.83203125" hidden="1" customWidth="1" outlineLevel="1"/>
    <col min="18" max="18" width="12" hidden="1" customWidth="1" outlineLevel="1"/>
    <col min="19" max="19" width="11" collapsed="1"/>
  </cols>
  <sheetData>
    <row r="1" spans="1:17" ht="19" x14ac:dyDescent="0.25">
      <c r="A1" s="163" t="s">
        <v>208</v>
      </c>
      <c r="B1" s="162"/>
      <c r="C1" s="161"/>
      <c r="D1" s="161"/>
      <c r="E1" s="161"/>
      <c r="F1" s="160"/>
      <c r="G1" s="160"/>
      <c r="H1" s="160"/>
      <c r="I1" s="160"/>
      <c r="J1" s="159"/>
      <c r="L1" s="158" t="s">
        <v>135</v>
      </c>
    </row>
    <row r="2" spans="1:17" x14ac:dyDescent="0.2">
      <c r="A2" s="123"/>
      <c r="B2" s="121"/>
      <c r="C2" s="121"/>
      <c r="D2" s="121"/>
      <c r="E2" s="121"/>
      <c r="F2" s="121"/>
      <c r="G2" s="121"/>
      <c r="H2" s="121"/>
      <c r="I2" s="121"/>
      <c r="J2" s="120"/>
    </row>
    <row r="3" spans="1:17" x14ac:dyDescent="0.2">
      <c r="A3" s="123"/>
      <c r="B3" s="121" t="s">
        <v>207</v>
      </c>
      <c r="C3" s="121"/>
      <c r="D3" s="121"/>
      <c r="E3" s="121"/>
      <c r="F3" s="121"/>
      <c r="G3" s="121"/>
      <c r="H3" s="121"/>
      <c r="I3" s="121"/>
      <c r="J3" s="120"/>
      <c r="M3" s="155" t="s">
        <v>206</v>
      </c>
    </row>
    <row r="4" spans="1:17" x14ac:dyDescent="0.2">
      <c r="A4" s="123"/>
      <c r="B4" s="121"/>
      <c r="C4" s="121"/>
      <c r="D4" s="121"/>
      <c r="E4" s="121"/>
      <c r="F4" s="121"/>
      <c r="G4" s="121"/>
      <c r="H4" s="121"/>
      <c r="I4" s="121"/>
      <c r="J4" s="120"/>
    </row>
    <row r="5" spans="1:17" x14ac:dyDescent="0.2">
      <c r="A5" s="123"/>
      <c r="B5" s="335" t="s">
        <v>184</v>
      </c>
      <c r="C5" s="331" t="s">
        <v>205</v>
      </c>
      <c r="D5" s="333"/>
      <c r="E5" s="121"/>
      <c r="F5" s="121"/>
      <c r="G5" s="121"/>
      <c r="H5" s="121"/>
      <c r="I5" s="121"/>
      <c r="J5" s="120"/>
      <c r="M5" t="s">
        <v>204</v>
      </c>
    </row>
    <row r="6" spans="1:17" x14ac:dyDescent="0.2">
      <c r="A6" s="123"/>
      <c r="B6" s="336"/>
      <c r="C6" s="153" t="s">
        <v>181</v>
      </c>
      <c r="D6" s="145" t="s">
        <v>180</v>
      </c>
      <c r="E6" s="121"/>
      <c r="F6" s="121"/>
      <c r="G6" s="121"/>
      <c r="H6" s="121"/>
      <c r="I6" s="121"/>
      <c r="J6" s="120"/>
      <c r="M6" t="s">
        <v>203</v>
      </c>
    </row>
    <row r="7" spans="1:17" x14ac:dyDescent="0.2">
      <c r="A7" s="123"/>
      <c r="B7" s="143" t="s">
        <v>9</v>
      </c>
      <c r="C7" s="157">
        <v>0.2</v>
      </c>
      <c r="D7" s="151">
        <v>0.4</v>
      </c>
      <c r="E7" s="121"/>
      <c r="F7" s="121"/>
      <c r="G7" s="121"/>
      <c r="H7" s="121"/>
      <c r="I7" s="121"/>
      <c r="J7" s="120"/>
      <c r="M7" t="s">
        <v>202</v>
      </c>
    </row>
    <row r="8" spans="1:17" x14ac:dyDescent="0.2">
      <c r="A8" s="123"/>
      <c r="B8" s="136" t="s">
        <v>10</v>
      </c>
      <c r="C8" s="156">
        <v>0.1</v>
      </c>
      <c r="D8" s="149">
        <v>0.3</v>
      </c>
      <c r="E8" s="121"/>
      <c r="F8" s="121"/>
      <c r="G8" s="121"/>
      <c r="H8" s="121"/>
      <c r="I8" s="121"/>
      <c r="J8" s="120"/>
      <c r="M8" t="s">
        <v>201</v>
      </c>
    </row>
    <row r="9" spans="1:17" x14ac:dyDescent="0.2">
      <c r="A9" s="123"/>
      <c r="B9" s="121"/>
      <c r="C9" s="121"/>
      <c r="D9" s="121"/>
      <c r="E9" s="121"/>
      <c r="F9" s="121"/>
      <c r="G9" s="121"/>
      <c r="H9" s="121"/>
      <c r="I9" s="121"/>
      <c r="J9" s="120"/>
      <c r="M9" t="s">
        <v>200</v>
      </c>
    </row>
    <row r="10" spans="1:17" x14ac:dyDescent="0.2">
      <c r="A10" s="123"/>
      <c r="B10" s="335" t="s">
        <v>184</v>
      </c>
      <c r="C10" s="331" t="s">
        <v>199</v>
      </c>
      <c r="D10" s="333"/>
      <c r="E10" s="121"/>
      <c r="F10" s="121"/>
      <c r="G10" s="121"/>
      <c r="H10" s="121"/>
      <c r="I10" s="121"/>
      <c r="J10" s="120"/>
    </row>
    <row r="11" spans="1:17" x14ac:dyDescent="0.2">
      <c r="A11" s="123"/>
      <c r="B11" s="336"/>
      <c r="C11" s="153" t="s">
        <v>181</v>
      </c>
      <c r="D11" s="145" t="s">
        <v>180</v>
      </c>
      <c r="E11" s="121"/>
      <c r="F11" s="121"/>
      <c r="G11" s="121"/>
      <c r="H11" s="121"/>
      <c r="I11" s="121"/>
      <c r="J11" s="120"/>
      <c r="M11" t="s">
        <v>198</v>
      </c>
    </row>
    <row r="12" spans="1:17" ht="17" thickBot="1" x14ac:dyDescent="0.25">
      <c r="A12" s="123"/>
      <c r="B12" s="143" t="s">
        <v>9</v>
      </c>
      <c r="C12" s="142">
        <v>7.0000000000000007E-2</v>
      </c>
      <c r="D12" s="138">
        <v>0.05</v>
      </c>
      <c r="E12" s="121"/>
      <c r="F12" s="121"/>
      <c r="G12" s="121"/>
      <c r="H12" s="121"/>
      <c r="I12" s="121"/>
      <c r="J12" s="120"/>
    </row>
    <row r="13" spans="1:17" ht="17" thickBot="1" x14ac:dyDescent="0.25">
      <c r="A13" s="123"/>
      <c r="B13" s="136" t="s">
        <v>10</v>
      </c>
      <c r="C13" s="135">
        <v>0.06</v>
      </c>
      <c r="D13" s="134">
        <v>0.05</v>
      </c>
      <c r="E13" s="121"/>
      <c r="F13" s="121"/>
      <c r="G13" s="121"/>
      <c r="H13" s="121"/>
      <c r="I13" s="121"/>
      <c r="J13" s="120"/>
      <c r="M13" s="154" t="s">
        <v>185</v>
      </c>
      <c r="N13" s="148" cm="1">
        <f t="array" ref="N13">SQRT(SUMSQ(C7:D8*C12:D13))/(SUM(C7:D8))</f>
        <v>2.9274562336608898E-2</v>
      </c>
    </row>
    <row r="14" spans="1:17" x14ac:dyDescent="0.2">
      <c r="A14" s="123"/>
      <c r="B14" s="121"/>
      <c r="C14" s="121"/>
      <c r="D14" s="121"/>
      <c r="E14" s="121"/>
      <c r="F14" s="121"/>
      <c r="G14" s="121"/>
      <c r="H14" s="121"/>
      <c r="I14" s="121"/>
      <c r="J14" s="120"/>
    </row>
    <row r="15" spans="1:17" x14ac:dyDescent="0.2">
      <c r="A15" s="123"/>
      <c r="B15" s="335" t="s">
        <v>184</v>
      </c>
      <c r="C15" s="331" t="s">
        <v>197</v>
      </c>
      <c r="D15" s="332"/>
      <c r="E15" s="333"/>
      <c r="F15" s="121"/>
      <c r="G15" s="121"/>
      <c r="H15" s="121"/>
      <c r="I15" s="121"/>
      <c r="J15" s="120"/>
      <c r="M15" s="155" t="s">
        <v>196</v>
      </c>
    </row>
    <row r="16" spans="1:17" x14ac:dyDescent="0.2">
      <c r="A16" s="123"/>
      <c r="B16" s="336"/>
      <c r="C16" s="140" t="s">
        <v>181</v>
      </c>
      <c r="D16" s="144" t="s">
        <v>180</v>
      </c>
      <c r="E16" s="143" t="s">
        <v>179</v>
      </c>
      <c r="F16" s="121"/>
      <c r="G16" s="121"/>
      <c r="H16" s="121"/>
      <c r="I16" s="121"/>
      <c r="J16" s="120"/>
      <c r="M16" s="137"/>
      <c r="N16" s="113"/>
      <c r="O16" s="113"/>
      <c r="P16" s="113"/>
      <c r="Q16" s="113"/>
    </row>
    <row r="17" spans="1:17" x14ac:dyDescent="0.2">
      <c r="A17" s="123"/>
      <c r="B17" s="143" t="s">
        <v>9</v>
      </c>
      <c r="C17" s="142">
        <v>5.5E-2</v>
      </c>
      <c r="D17" s="142">
        <v>0.05</v>
      </c>
      <c r="E17" s="141" t="s">
        <v>195</v>
      </c>
      <c r="F17" s="121"/>
      <c r="G17" s="121"/>
      <c r="H17" s="121"/>
      <c r="I17" s="121"/>
      <c r="J17" s="120"/>
      <c r="M17" s="111" t="s">
        <v>194</v>
      </c>
      <c r="N17" s="113"/>
      <c r="O17" s="113"/>
      <c r="P17" s="113"/>
      <c r="Q17" s="113"/>
    </row>
    <row r="18" spans="1:17" ht="17" thickBot="1" x14ac:dyDescent="0.25">
      <c r="A18" s="123"/>
      <c r="B18" s="140" t="s">
        <v>10</v>
      </c>
      <c r="C18" s="139">
        <v>0.04</v>
      </c>
      <c r="D18" s="139">
        <v>0.06</v>
      </c>
      <c r="E18" s="138">
        <v>5.2999999999999999E-2</v>
      </c>
      <c r="F18" s="121"/>
      <c r="G18" s="121"/>
      <c r="H18" s="121"/>
      <c r="I18" s="121"/>
      <c r="J18" s="120"/>
      <c r="M18" s="137"/>
      <c r="N18" s="113"/>
      <c r="O18" s="113"/>
      <c r="P18" s="113"/>
      <c r="Q18" s="113"/>
    </row>
    <row r="19" spans="1:17" ht="17" thickBot="1" x14ac:dyDescent="0.25">
      <c r="A19" s="123"/>
      <c r="B19" s="136" t="s">
        <v>94</v>
      </c>
      <c r="C19" s="135">
        <v>4.4999999999999998E-2</v>
      </c>
      <c r="D19" s="135">
        <v>4.7E-2</v>
      </c>
      <c r="E19" s="134">
        <v>4.4999999999999998E-2</v>
      </c>
      <c r="F19" s="121"/>
      <c r="G19" s="121"/>
      <c r="H19" s="121"/>
      <c r="I19" s="121"/>
      <c r="J19" s="120"/>
      <c r="M19" s="154" t="s">
        <v>185</v>
      </c>
      <c r="N19" s="148">
        <f>SQRT((C7*C17)^2+(D17*D7)^2+2*C7*D7*C17*D17*D23)/(C7+D7)</f>
        <v>4.8619840486049407E-2</v>
      </c>
      <c r="O19" s="114" t="s">
        <v>193</v>
      </c>
      <c r="P19" s="113"/>
      <c r="Q19" s="113"/>
    </row>
    <row r="20" spans="1:17" x14ac:dyDescent="0.2">
      <c r="A20" s="123"/>
      <c r="B20" s="121"/>
      <c r="C20" s="121"/>
      <c r="D20" s="121"/>
      <c r="E20" s="121"/>
      <c r="F20" s="121"/>
      <c r="G20" s="121"/>
      <c r="H20" s="121"/>
      <c r="I20" s="121"/>
      <c r="J20" s="120"/>
      <c r="M20" s="137"/>
      <c r="N20" s="113"/>
      <c r="O20" s="115" t="s">
        <v>192</v>
      </c>
      <c r="P20" s="113"/>
      <c r="Q20" s="113"/>
    </row>
    <row r="21" spans="1:17" x14ac:dyDescent="0.2">
      <c r="A21" s="123"/>
      <c r="B21" s="331" t="s">
        <v>110</v>
      </c>
      <c r="C21" s="332"/>
      <c r="D21" s="332"/>
      <c r="E21" s="332"/>
      <c r="F21" s="333"/>
      <c r="G21" s="121"/>
      <c r="H21" s="121"/>
      <c r="I21" s="121"/>
      <c r="J21" s="120"/>
      <c r="M21" s="137"/>
      <c r="N21" s="113"/>
      <c r="O21" s="113"/>
      <c r="P21" s="113"/>
      <c r="Q21" s="113"/>
    </row>
    <row r="22" spans="1:17" x14ac:dyDescent="0.2">
      <c r="A22" s="123"/>
      <c r="B22" s="153"/>
      <c r="C22" s="147" t="s">
        <v>190</v>
      </c>
      <c r="D22" s="146" t="s">
        <v>189</v>
      </c>
      <c r="E22" s="146" t="s">
        <v>187</v>
      </c>
      <c r="F22" s="145" t="s">
        <v>186</v>
      </c>
      <c r="G22" s="121"/>
      <c r="H22" s="121"/>
      <c r="I22" s="121"/>
      <c r="J22" s="120"/>
      <c r="M22" s="133" t="s">
        <v>191</v>
      </c>
      <c r="N22" s="113"/>
      <c r="O22" s="113"/>
      <c r="P22" s="113"/>
      <c r="Q22" s="113"/>
    </row>
    <row r="23" spans="1:17" x14ac:dyDescent="0.2">
      <c r="A23" s="123"/>
      <c r="B23" s="143" t="s">
        <v>190</v>
      </c>
      <c r="C23" s="152">
        <v>1</v>
      </c>
      <c r="D23" s="152">
        <v>0.75</v>
      </c>
      <c r="E23" s="152">
        <v>0.5</v>
      </c>
      <c r="F23" s="151">
        <v>0.5</v>
      </c>
      <c r="G23" s="121"/>
      <c r="H23" s="121"/>
      <c r="I23" s="121"/>
      <c r="J23" s="120"/>
      <c r="M23" s="137"/>
      <c r="N23" s="113"/>
      <c r="O23" s="113"/>
      <c r="P23" s="113"/>
      <c r="Q23" s="113"/>
    </row>
    <row r="24" spans="1:17" x14ac:dyDescent="0.2">
      <c r="A24" s="123"/>
      <c r="B24" s="140" t="s">
        <v>189</v>
      </c>
      <c r="C24" s="152">
        <v>0.75</v>
      </c>
      <c r="D24" s="152">
        <v>1</v>
      </c>
      <c r="E24" s="152">
        <v>0.5</v>
      </c>
      <c r="F24" s="151">
        <v>0.5</v>
      </c>
      <c r="G24" s="121"/>
      <c r="H24" s="121"/>
      <c r="I24" s="121"/>
      <c r="J24" s="120"/>
      <c r="M24" s="111" t="s">
        <v>188</v>
      </c>
      <c r="N24" s="113"/>
      <c r="O24" s="113"/>
      <c r="P24" s="113"/>
      <c r="Q24" s="113"/>
    </row>
    <row r="25" spans="1:17" ht="17" thickBot="1" x14ac:dyDescent="0.25">
      <c r="A25" s="123"/>
      <c r="B25" s="140" t="s">
        <v>187</v>
      </c>
      <c r="C25" s="152">
        <v>0.5</v>
      </c>
      <c r="D25" s="152">
        <v>0.5</v>
      </c>
      <c r="E25" s="152">
        <v>1</v>
      </c>
      <c r="F25" s="151">
        <v>0.75</v>
      </c>
      <c r="G25" s="121"/>
      <c r="H25" s="121"/>
      <c r="I25" s="121"/>
      <c r="J25" s="120"/>
      <c r="M25" s="137"/>
      <c r="N25" s="113"/>
      <c r="O25" s="113"/>
      <c r="P25" s="113"/>
      <c r="Q25" s="113"/>
    </row>
    <row r="26" spans="1:17" ht="17" thickBot="1" x14ac:dyDescent="0.25">
      <c r="A26" s="123"/>
      <c r="B26" s="136" t="s">
        <v>186</v>
      </c>
      <c r="C26" s="150">
        <v>0.5</v>
      </c>
      <c r="D26" s="150">
        <v>0.5</v>
      </c>
      <c r="E26" s="150">
        <v>0.75</v>
      </c>
      <c r="F26" s="149">
        <v>1</v>
      </c>
      <c r="G26" s="121"/>
      <c r="H26" s="121"/>
      <c r="I26" s="121"/>
      <c r="J26" s="120"/>
      <c r="M26" s="129" t="s">
        <v>185</v>
      </c>
      <c r="N26" s="148">
        <f>SQRT((N13^2)+(E19^2)+(E32^2))</f>
        <v>8.3534424041828412E-2</v>
      </c>
      <c r="O26" s="113"/>
      <c r="P26" s="113"/>
      <c r="Q26" s="113"/>
    </row>
    <row r="27" spans="1:17" x14ac:dyDescent="0.2">
      <c r="A27" s="123"/>
      <c r="B27" s="121"/>
      <c r="C27" s="121"/>
      <c r="D27" s="121"/>
      <c r="E27" s="121"/>
      <c r="F27" s="121"/>
      <c r="G27" s="121"/>
      <c r="H27" s="121"/>
      <c r="I27" s="121"/>
      <c r="J27" s="120"/>
      <c r="M27" s="137"/>
      <c r="N27" s="113"/>
      <c r="O27" s="113"/>
      <c r="P27" s="113"/>
      <c r="Q27" s="113"/>
    </row>
    <row r="28" spans="1:17" x14ac:dyDescent="0.2">
      <c r="A28" s="123"/>
      <c r="B28" s="335" t="s">
        <v>184</v>
      </c>
      <c r="C28" s="331" t="s">
        <v>183</v>
      </c>
      <c r="D28" s="332"/>
      <c r="E28" s="333"/>
      <c r="F28" s="121"/>
      <c r="G28" s="121"/>
      <c r="H28" s="121"/>
      <c r="I28" s="121"/>
      <c r="J28" s="120"/>
      <c r="M28" s="133" t="s">
        <v>182</v>
      </c>
      <c r="N28" s="113"/>
      <c r="O28" s="113"/>
      <c r="P28" s="113"/>
      <c r="Q28" s="113"/>
    </row>
    <row r="29" spans="1:17" ht="17" thickBot="1" x14ac:dyDescent="0.25">
      <c r="A29" s="123"/>
      <c r="B29" s="336"/>
      <c r="C29" s="140" t="s">
        <v>181</v>
      </c>
      <c r="D29" s="144" t="s">
        <v>180</v>
      </c>
      <c r="E29" s="143" t="s">
        <v>179</v>
      </c>
      <c r="F29" s="121"/>
      <c r="G29" s="121"/>
      <c r="H29" s="121"/>
      <c r="I29" s="121"/>
      <c r="J29" s="120"/>
      <c r="M29" s="137"/>
      <c r="N29" s="113"/>
      <c r="O29" s="113"/>
      <c r="P29" s="113"/>
      <c r="Q29" s="113"/>
    </row>
    <row r="30" spans="1:17" ht="17" thickBot="1" x14ac:dyDescent="0.25">
      <c r="A30" s="123"/>
      <c r="B30" s="143" t="s">
        <v>9</v>
      </c>
      <c r="C30" s="142">
        <v>0.04</v>
      </c>
      <c r="D30" s="142">
        <v>6.8000000000000005E-2</v>
      </c>
      <c r="E30" s="141">
        <v>5.6000000000000001E-2</v>
      </c>
      <c r="F30" s="121"/>
      <c r="G30" s="121"/>
      <c r="H30" s="121"/>
      <c r="I30" s="121"/>
      <c r="J30" s="120"/>
      <c r="M30" s="129" t="s">
        <v>178</v>
      </c>
      <c r="N30" s="128">
        <f>F34*N26</f>
        <v>0.10692406277354037</v>
      </c>
      <c r="O30" s="114" t="s">
        <v>177</v>
      </c>
      <c r="P30" s="113"/>
      <c r="Q30" s="113"/>
    </row>
    <row r="31" spans="1:17" x14ac:dyDescent="0.2">
      <c r="A31" s="123"/>
      <c r="B31" s="140" t="s">
        <v>10</v>
      </c>
      <c r="C31" s="139">
        <v>3.4000000000000002E-2</v>
      </c>
      <c r="D31" s="139">
        <v>0.155</v>
      </c>
      <c r="E31" s="138">
        <v>0.123</v>
      </c>
      <c r="F31" s="121"/>
      <c r="G31" s="121"/>
      <c r="H31" s="121"/>
      <c r="I31" s="121"/>
      <c r="J31" s="120"/>
      <c r="M31" s="137"/>
      <c r="N31" s="113"/>
      <c r="O31" s="113"/>
      <c r="P31" s="113"/>
      <c r="Q31" s="113"/>
    </row>
    <row r="32" spans="1:17" x14ac:dyDescent="0.2">
      <c r="A32" s="123"/>
      <c r="B32" s="136" t="s">
        <v>94</v>
      </c>
      <c r="C32" s="135">
        <v>0.03</v>
      </c>
      <c r="D32" s="135">
        <v>8.5000000000000006E-2</v>
      </c>
      <c r="E32" s="134">
        <v>6.4000000000000001E-2</v>
      </c>
      <c r="F32" s="121"/>
      <c r="G32" s="121"/>
      <c r="H32" s="121"/>
      <c r="I32" s="121"/>
      <c r="J32" s="120"/>
      <c r="M32" s="133" t="s">
        <v>176</v>
      </c>
      <c r="N32" s="113"/>
      <c r="O32" s="113"/>
      <c r="P32" s="113"/>
      <c r="Q32" s="113"/>
    </row>
    <row r="33" spans="1:17" x14ac:dyDescent="0.2">
      <c r="A33" s="123"/>
      <c r="B33" s="121"/>
      <c r="C33" s="121"/>
      <c r="D33" s="121"/>
      <c r="E33" s="121"/>
      <c r="F33" s="121"/>
      <c r="G33" s="121"/>
      <c r="H33" s="121"/>
      <c r="I33" s="121"/>
      <c r="J33" s="120"/>
      <c r="M33" s="111"/>
      <c r="N33" s="113"/>
      <c r="O33" s="113"/>
      <c r="P33" s="113"/>
      <c r="Q33" s="113"/>
    </row>
    <row r="34" spans="1:17" x14ac:dyDescent="0.2">
      <c r="A34" s="123"/>
      <c r="B34" s="130" t="s">
        <v>175</v>
      </c>
      <c r="C34" s="121"/>
      <c r="D34" s="121"/>
      <c r="E34" s="121"/>
      <c r="F34" s="127">
        <v>1.28</v>
      </c>
      <c r="G34" s="121"/>
      <c r="H34" s="121"/>
      <c r="I34" s="121"/>
      <c r="J34" s="120"/>
      <c r="M34" s="111" t="s">
        <v>174</v>
      </c>
      <c r="N34" s="132">
        <f>SQRT(C12^2+C17^2+C30^2)</f>
        <v>9.7596106479715686E-2</v>
      </c>
      <c r="O34" s="114" t="s">
        <v>173</v>
      </c>
      <c r="P34" s="113"/>
      <c r="Q34" s="113"/>
    </row>
    <row r="35" spans="1:17" x14ac:dyDescent="0.2">
      <c r="A35" s="123"/>
      <c r="B35" s="130" t="s">
        <v>172</v>
      </c>
      <c r="C35" s="121"/>
      <c r="D35" s="121"/>
      <c r="E35" s="121"/>
      <c r="F35" s="121"/>
      <c r="G35" s="121"/>
      <c r="H35" s="121"/>
      <c r="I35" s="121"/>
      <c r="J35" s="120"/>
      <c r="M35" s="111" t="s">
        <v>171</v>
      </c>
      <c r="N35" s="131">
        <f>LN(1+N34^2)</f>
        <v>9.4799231991314886E-3</v>
      </c>
      <c r="O35" s="114" t="s">
        <v>170</v>
      </c>
      <c r="P35" s="113"/>
      <c r="Q35" s="113"/>
    </row>
    <row r="36" spans="1:17" ht="17" thickBot="1" x14ac:dyDescent="0.25">
      <c r="A36" s="123"/>
      <c r="B36" s="130"/>
      <c r="C36" s="121"/>
      <c r="D36" s="121"/>
      <c r="E36" s="121"/>
      <c r="F36" s="121"/>
      <c r="G36" s="121"/>
      <c r="H36" s="121"/>
      <c r="I36" s="121"/>
      <c r="J36" s="120"/>
      <c r="M36" s="111"/>
      <c r="N36" s="113"/>
      <c r="O36" s="113"/>
      <c r="P36" s="113"/>
      <c r="Q36" s="113"/>
    </row>
    <row r="37" spans="1:17" ht="17" thickBot="1" x14ac:dyDescent="0.25">
      <c r="A37" s="123"/>
      <c r="B37" s="124" t="s">
        <v>0</v>
      </c>
      <c r="C37" s="121"/>
      <c r="D37" s="121"/>
      <c r="E37" s="121"/>
      <c r="F37" s="121"/>
      <c r="G37" s="121"/>
      <c r="H37" s="121"/>
      <c r="I37" s="121"/>
      <c r="J37" s="120"/>
      <c r="M37" s="129" t="s">
        <v>169</v>
      </c>
      <c r="N37" s="128">
        <f>EXP(F34*SQRT(N35)-N35/2)-1</f>
        <v>0.12736957199839183</v>
      </c>
      <c r="O37" s="114" t="s">
        <v>168</v>
      </c>
      <c r="P37" s="113"/>
      <c r="Q37" s="113"/>
    </row>
    <row r="38" spans="1:17" x14ac:dyDescent="0.2">
      <c r="A38" s="123"/>
      <c r="B38" s="121" t="s">
        <v>167</v>
      </c>
      <c r="C38" s="121"/>
      <c r="D38" s="121"/>
      <c r="E38" s="121"/>
      <c r="F38" s="121"/>
      <c r="G38" s="121"/>
      <c r="H38" s="121"/>
      <c r="I38" s="121"/>
      <c r="J38" s="120"/>
      <c r="M38" s="111"/>
      <c r="N38" s="113"/>
      <c r="O38" s="113"/>
      <c r="P38" s="113"/>
      <c r="Q38" s="113"/>
    </row>
    <row r="39" spans="1:17" x14ac:dyDescent="0.2">
      <c r="A39" s="123"/>
      <c r="B39" s="125"/>
      <c r="C39" s="127"/>
      <c r="D39" s="121"/>
      <c r="E39" s="121"/>
      <c r="F39" s="121"/>
      <c r="G39" s="121"/>
      <c r="H39" s="121"/>
      <c r="I39" s="121"/>
      <c r="J39" s="120"/>
      <c r="N39" s="113"/>
      <c r="O39" s="113"/>
      <c r="P39" s="113"/>
      <c r="Q39" s="113"/>
    </row>
    <row r="40" spans="1:17" x14ac:dyDescent="0.2">
      <c r="A40" s="123"/>
      <c r="B40" s="124" t="s">
        <v>1</v>
      </c>
      <c r="C40" s="121"/>
      <c r="D40" s="121"/>
      <c r="E40" s="121"/>
      <c r="F40" s="121"/>
      <c r="G40" s="121"/>
      <c r="H40" s="121"/>
      <c r="I40" s="121"/>
      <c r="J40" s="120"/>
      <c r="N40" s="113"/>
      <c r="O40" s="113"/>
      <c r="P40" s="113"/>
      <c r="Q40" s="113"/>
    </row>
    <row r="41" spans="1:17" x14ac:dyDescent="0.2">
      <c r="A41" s="123"/>
      <c r="B41" s="121" t="s">
        <v>166</v>
      </c>
      <c r="C41" s="121"/>
      <c r="D41" s="121"/>
      <c r="E41" s="121"/>
      <c r="F41" s="121"/>
      <c r="G41" s="121"/>
      <c r="H41" s="121"/>
      <c r="I41" s="121"/>
      <c r="J41" s="120"/>
      <c r="N41" s="113"/>
      <c r="O41" s="113"/>
      <c r="P41" s="113"/>
      <c r="Q41" s="113"/>
    </row>
    <row r="42" spans="1:17" x14ac:dyDescent="0.2">
      <c r="A42" s="123"/>
      <c r="B42" s="125"/>
      <c r="C42" s="127"/>
      <c r="D42" s="121"/>
      <c r="E42" s="121"/>
      <c r="F42" s="121"/>
      <c r="G42" s="121"/>
      <c r="H42" s="121"/>
      <c r="I42" s="121"/>
      <c r="J42" s="120"/>
      <c r="N42" s="113"/>
      <c r="O42" s="113"/>
      <c r="P42" s="113"/>
      <c r="Q42" s="113"/>
    </row>
    <row r="43" spans="1:17" x14ac:dyDescent="0.2">
      <c r="A43" s="123"/>
      <c r="B43" s="124" t="s">
        <v>2</v>
      </c>
      <c r="C43" s="121"/>
      <c r="D43" s="121"/>
      <c r="E43" s="121"/>
      <c r="F43" s="121"/>
      <c r="G43" s="121"/>
      <c r="H43" s="121"/>
      <c r="I43" s="121"/>
      <c r="J43" s="120"/>
      <c r="N43" s="113"/>
      <c r="O43" s="113"/>
      <c r="P43" s="113"/>
      <c r="Q43" s="113"/>
    </row>
    <row r="44" spans="1:17" x14ac:dyDescent="0.2">
      <c r="A44" s="123"/>
      <c r="B44" s="121" t="s">
        <v>165</v>
      </c>
      <c r="C44" s="121"/>
      <c r="D44" s="121"/>
      <c r="E44" s="121"/>
      <c r="F44" s="121"/>
      <c r="G44" s="121"/>
      <c r="H44" s="121"/>
      <c r="I44" s="121"/>
      <c r="J44" s="120"/>
      <c r="M44" s="111"/>
      <c r="N44" s="113"/>
      <c r="O44" s="113"/>
      <c r="P44" s="113"/>
      <c r="Q44" s="113"/>
    </row>
    <row r="45" spans="1:17" ht="19" x14ac:dyDescent="0.25">
      <c r="A45" s="123"/>
      <c r="B45" s="125"/>
      <c r="C45" s="127"/>
      <c r="D45" s="121"/>
      <c r="E45" s="121"/>
      <c r="F45" s="121"/>
      <c r="G45" s="121"/>
      <c r="H45" s="121"/>
      <c r="I45" s="121"/>
      <c r="J45" s="120"/>
      <c r="M45" s="126" t="s">
        <v>143</v>
      </c>
      <c r="N45" s="113"/>
      <c r="O45" s="113"/>
      <c r="P45" s="113"/>
      <c r="Q45" s="113"/>
    </row>
    <row r="46" spans="1:17" x14ac:dyDescent="0.2">
      <c r="A46" s="123"/>
      <c r="B46" s="124" t="s">
        <v>164</v>
      </c>
      <c r="C46" s="121"/>
      <c r="D46" s="121"/>
      <c r="E46" s="121"/>
      <c r="F46" s="121"/>
      <c r="G46" s="121"/>
      <c r="H46" s="121"/>
      <c r="I46" s="121"/>
      <c r="J46" s="120"/>
      <c r="M46" s="111" t="s">
        <v>142</v>
      </c>
      <c r="N46" s="113"/>
      <c r="O46" s="113"/>
      <c r="P46" s="113"/>
      <c r="Q46" s="113"/>
    </row>
    <row r="47" spans="1:17" x14ac:dyDescent="0.2">
      <c r="A47" s="123"/>
      <c r="B47" s="337" t="s">
        <v>163</v>
      </c>
      <c r="C47" s="337"/>
      <c r="D47" s="337"/>
      <c r="E47" s="337"/>
      <c r="F47" s="337"/>
      <c r="G47" s="121"/>
      <c r="H47" s="121"/>
      <c r="I47" s="121"/>
      <c r="J47" s="120"/>
      <c r="M47" s="111"/>
      <c r="N47" s="115"/>
      <c r="O47" s="113"/>
      <c r="P47" s="113"/>
      <c r="Q47" s="113"/>
    </row>
    <row r="48" spans="1:17" x14ac:dyDescent="0.2">
      <c r="A48" s="123"/>
      <c r="B48" s="337"/>
      <c r="C48" s="337"/>
      <c r="D48" s="337"/>
      <c r="E48" s="337"/>
      <c r="F48" s="337"/>
      <c r="G48" s="121"/>
      <c r="H48" s="121"/>
      <c r="I48" s="121"/>
      <c r="J48" s="120"/>
      <c r="M48" s="111"/>
      <c r="N48" s="114"/>
      <c r="O48" s="113"/>
      <c r="P48" s="113"/>
      <c r="Q48" s="113"/>
    </row>
    <row r="49" spans="1:17" x14ac:dyDescent="0.2">
      <c r="A49" s="123"/>
      <c r="B49" s="125"/>
      <c r="C49" s="121"/>
      <c r="D49" s="121"/>
      <c r="E49" s="121"/>
      <c r="F49" s="121"/>
      <c r="G49" s="121"/>
      <c r="H49" s="121"/>
      <c r="I49" s="121"/>
      <c r="J49" s="120"/>
      <c r="M49" s="111"/>
      <c r="N49" s="114"/>
      <c r="O49" s="113"/>
      <c r="P49" s="113"/>
      <c r="Q49" s="113"/>
    </row>
    <row r="50" spans="1:17" x14ac:dyDescent="0.2">
      <c r="A50" s="123"/>
      <c r="B50" s="124" t="s">
        <v>162</v>
      </c>
      <c r="C50" s="121"/>
      <c r="D50" s="121"/>
      <c r="E50" s="121"/>
      <c r="F50" s="121"/>
      <c r="G50" s="121"/>
      <c r="H50" s="121"/>
      <c r="I50" s="121"/>
      <c r="J50" s="120"/>
      <c r="M50" s="111"/>
      <c r="N50" s="114"/>
      <c r="O50" s="113"/>
      <c r="P50" s="113"/>
      <c r="Q50" s="113"/>
    </row>
    <row r="51" spans="1:17" ht="15.75" customHeight="1" x14ac:dyDescent="0.2">
      <c r="A51" s="123"/>
      <c r="B51" s="334" t="s">
        <v>161</v>
      </c>
      <c r="C51" s="334"/>
      <c r="D51" s="334"/>
      <c r="E51" s="334"/>
      <c r="F51" s="334"/>
      <c r="G51" s="334"/>
      <c r="H51" s="334"/>
      <c r="I51" s="334"/>
      <c r="J51" s="120"/>
      <c r="M51" s="111"/>
      <c r="N51" s="114"/>
      <c r="O51" s="113"/>
      <c r="P51" s="113"/>
      <c r="Q51" s="113"/>
    </row>
    <row r="52" spans="1:17" x14ac:dyDescent="0.2">
      <c r="A52" s="123"/>
      <c r="B52" s="334"/>
      <c r="C52" s="334"/>
      <c r="D52" s="334"/>
      <c r="E52" s="334"/>
      <c r="F52" s="334"/>
      <c r="G52" s="334"/>
      <c r="H52" s="334"/>
      <c r="I52" s="334"/>
      <c r="J52" s="120"/>
      <c r="M52" s="111"/>
      <c r="N52" s="114"/>
      <c r="O52" s="113"/>
      <c r="P52" s="113"/>
      <c r="Q52" s="113"/>
    </row>
    <row r="53" spans="1:17" ht="17" thickBot="1" x14ac:dyDescent="0.25">
      <c r="A53" s="123"/>
      <c r="B53" s="122"/>
      <c r="C53" s="122"/>
      <c r="D53" s="122"/>
      <c r="E53" s="122"/>
      <c r="F53" s="122"/>
      <c r="G53" s="121"/>
      <c r="H53" s="121"/>
      <c r="I53" s="121"/>
      <c r="J53" s="120"/>
      <c r="M53" s="111"/>
      <c r="N53" s="114"/>
      <c r="O53" s="113"/>
      <c r="P53" s="113"/>
      <c r="Q53" s="113"/>
    </row>
    <row r="54" spans="1:17" ht="17" thickBot="1" x14ac:dyDescent="0.25">
      <c r="A54" s="119" t="s">
        <v>134</v>
      </c>
      <c r="B54" s="118"/>
      <c r="C54" s="117"/>
      <c r="D54" s="117"/>
      <c r="E54" s="117"/>
      <c r="F54" s="117"/>
      <c r="G54" s="117"/>
      <c r="H54" s="117"/>
      <c r="I54" s="117"/>
      <c r="J54" s="116"/>
      <c r="M54" s="111"/>
      <c r="N54" s="115"/>
      <c r="O54" s="113"/>
      <c r="P54" s="113"/>
      <c r="Q54" s="113"/>
    </row>
    <row r="55" spans="1:17" x14ac:dyDescent="0.2">
      <c r="M55" s="111"/>
      <c r="N55" s="114"/>
      <c r="O55" s="113"/>
      <c r="P55" s="113"/>
      <c r="Q55" s="113"/>
    </row>
    <row r="56" spans="1:17" x14ac:dyDescent="0.2">
      <c r="M56" s="111"/>
      <c r="N56" s="114"/>
      <c r="O56" s="113"/>
      <c r="P56" s="113"/>
      <c r="Q56" s="113"/>
    </row>
    <row r="57" spans="1:17" x14ac:dyDescent="0.2">
      <c r="M57" s="111"/>
      <c r="N57" s="114"/>
      <c r="O57" s="113"/>
      <c r="P57" s="113"/>
      <c r="Q57" s="113"/>
    </row>
    <row r="58" spans="1:17" x14ac:dyDescent="0.2">
      <c r="M58" s="111"/>
      <c r="N58" s="111"/>
    </row>
    <row r="59" spans="1:17" x14ac:dyDescent="0.2">
      <c r="M59" s="111"/>
      <c r="N59" s="111"/>
    </row>
    <row r="60" spans="1:17" x14ac:dyDescent="0.2">
      <c r="M60" s="111"/>
      <c r="N60" s="112"/>
    </row>
    <row r="61" spans="1:17" x14ac:dyDescent="0.2">
      <c r="M61" s="111"/>
    </row>
    <row r="62" spans="1:17" x14ac:dyDescent="0.2">
      <c r="M62" s="111"/>
    </row>
    <row r="63" spans="1:17" x14ac:dyDescent="0.2">
      <c r="M63" s="111"/>
    </row>
    <row r="64" spans="1:17" x14ac:dyDescent="0.2">
      <c r="M64" s="111"/>
    </row>
    <row r="65" spans="13:14" x14ac:dyDescent="0.2">
      <c r="M65" s="111"/>
      <c r="N65" s="112"/>
    </row>
    <row r="66" spans="13:14" x14ac:dyDescent="0.2">
      <c r="M66" s="111"/>
    </row>
  </sheetData>
  <mergeCells count="11">
    <mergeCell ref="B21:F21"/>
    <mergeCell ref="B51:I52"/>
    <mergeCell ref="B28:B29"/>
    <mergeCell ref="B5:B6"/>
    <mergeCell ref="B10:B11"/>
    <mergeCell ref="B15:B16"/>
    <mergeCell ref="B47:F48"/>
    <mergeCell ref="C28:E28"/>
    <mergeCell ref="C5:D5"/>
    <mergeCell ref="C10:D10"/>
    <mergeCell ref="C15:E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915F-1CC0-F54A-8A81-4C9CF0B41300}">
  <dimension ref="A1:S78"/>
  <sheetViews>
    <sheetView zoomScaleNormal="100" workbookViewId="0"/>
  </sheetViews>
  <sheetFormatPr baseColWidth="10" defaultColWidth="11" defaultRowHeight="16" outlineLevelCol="1" x14ac:dyDescent="0.2"/>
  <cols>
    <col min="1" max="1" width="4" style="111" customWidth="1"/>
    <col min="2" max="2" width="11.5" customWidth="1"/>
    <col min="5" max="5" width="12.6640625" customWidth="1"/>
    <col min="12" max="12" width="14.83203125" hidden="1" customWidth="1" outlineLevel="1"/>
    <col min="13" max="13" width="11.33203125" hidden="1" customWidth="1" outlineLevel="1"/>
    <col min="14" max="16" width="10.83203125" hidden="1" customWidth="1" outlineLevel="1"/>
    <col min="17" max="18" width="12" hidden="1" customWidth="1" outlineLevel="1"/>
    <col min="19" max="19" width="10.83203125" customWidth="1" collapsed="1"/>
  </cols>
  <sheetData>
    <row r="1" spans="1:18" x14ac:dyDescent="0.2">
      <c r="A1" s="246"/>
      <c r="B1" s="162" t="s">
        <v>367</v>
      </c>
      <c r="C1" s="161" t="s">
        <v>366</v>
      </c>
      <c r="D1" s="161" t="s">
        <v>365</v>
      </c>
      <c r="E1" s="161" t="s">
        <v>364</v>
      </c>
      <c r="F1" s="160"/>
      <c r="G1" s="160"/>
      <c r="H1" s="160"/>
      <c r="I1" s="160"/>
      <c r="J1" s="159"/>
      <c r="K1" s="155" t="s">
        <v>135</v>
      </c>
      <c r="L1" s="155"/>
    </row>
    <row r="2" spans="1:18" x14ac:dyDescent="0.2">
      <c r="A2" s="175"/>
      <c r="B2" s="245" t="s">
        <v>363</v>
      </c>
      <c r="C2" s="244">
        <v>5.75</v>
      </c>
      <c r="D2" s="121"/>
      <c r="E2" s="121"/>
      <c r="F2" s="121"/>
      <c r="G2" s="121"/>
      <c r="H2" s="121"/>
      <c r="I2" s="121"/>
      <c r="J2" s="120"/>
    </row>
    <row r="3" spans="1:18" x14ac:dyDescent="0.2">
      <c r="A3" s="175"/>
      <c r="B3" s="121"/>
      <c r="C3" s="121"/>
      <c r="D3" s="121"/>
      <c r="E3" s="121"/>
      <c r="F3" s="121"/>
      <c r="G3" s="121"/>
      <c r="H3" s="121"/>
      <c r="I3" s="121"/>
      <c r="J3" s="120"/>
      <c r="L3" s="155" t="s">
        <v>362</v>
      </c>
    </row>
    <row r="4" spans="1:18" x14ac:dyDescent="0.2">
      <c r="A4" s="175"/>
      <c r="B4" s="121"/>
      <c r="C4" s="121" t="s">
        <v>361</v>
      </c>
      <c r="D4" s="121"/>
      <c r="E4" s="121"/>
      <c r="F4" s="121"/>
      <c r="G4" s="121"/>
      <c r="H4" s="121"/>
      <c r="I4" s="121"/>
      <c r="J4" s="120"/>
    </row>
    <row r="5" spans="1:18" x14ac:dyDescent="0.2">
      <c r="A5" s="175"/>
      <c r="B5" s="121"/>
      <c r="C5" s="121" t="s">
        <v>360</v>
      </c>
      <c r="D5" s="121"/>
      <c r="E5" s="121"/>
      <c r="F5" s="121"/>
      <c r="G5" s="121"/>
      <c r="H5" s="121"/>
      <c r="I5" s="121"/>
      <c r="J5" s="120"/>
      <c r="L5" s="243"/>
      <c r="M5" s="242" t="s">
        <v>359</v>
      </c>
    </row>
    <row r="6" spans="1:18" x14ac:dyDescent="0.2">
      <c r="A6" s="175"/>
      <c r="B6" s="121"/>
      <c r="C6" s="121"/>
      <c r="D6" s="121"/>
      <c r="E6" s="121"/>
      <c r="F6" s="121"/>
      <c r="G6" s="121"/>
      <c r="H6" s="121"/>
      <c r="I6" s="121"/>
      <c r="J6" s="120"/>
      <c r="L6" s="237" t="s">
        <v>336</v>
      </c>
      <c r="M6" s="241">
        <f>E11/$E$14</f>
        <v>0.44</v>
      </c>
    </row>
    <row r="7" spans="1:18" x14ac:dyDescent="0.2">
      <c r="A7" s="175"/>
      <c r="B7" s="121"/>
      <c r="C7" s="240"/>
      <c r="D7" s="239"/>
      <c r="E7" s="239"/>
      <c r="F7" s="331" t="s">
        <v>358</v>
      </c>
      <c r="G7" s="332"/>
      <c r="H7" s="333"/>
      <c r="I7" s="121"/>
      <c r="J7" s="120"/>
      <c r="L7" s="237" t="s">
        <v>9</v>
      </c>
      <c r="M7" s="236">
        <f>E12/$E$14</f>
        <v>0.38</v>
      </c>
    </row>
    <row r="8" spans="1:18" x14ac:dyDescent="0.2">
      <c r="A8" s="175"/>
      <c r="B8" s="121"/>
      <c r="C8" s="235"/>
      <c r="D8" s="234"/>
      <c r="E8" s="234"/>
      <c r="F8" s="232"/>
      <c r="G8" s="238" t="s">
        <v>357</v>
      </c>
      <c r="H8" s="231" t="s">
        <v>356</v>
      </c>
      <c r="I8" s="121"/>
      <c r="J8" s="120"/>
      <c r="L8" s="237" t="s">
        <v>10</v>
      </c>
      <c r="M8" s="236">
        <f>E13/$E$14</f>
        <v>0.18</v>
      </c>
    </row>
    <row r="9" spans="1:18" x14ac:dyDescent="0.2">
      <c r="A9" s="175"/>
      <c r="B9" s="121"/>
      <c r="C9" s="235"/>
      <c r="D9" s="234"/>
      <c r="E9" s="144" t="s">
        <v>355</v>
      </c>
      <c r="F9" s="227" t="s">
        <v>354</v>
      </c>
      <c r="G9" s="127" t="s">
        <v>353</v>
      </c>
      <c r="H9" s="144" t="s">
        <v>353</v>
      </c>
      <c r="I9" s="121"/>
      <c r="J9" s="120"/>
    </row>
    <row r="10" spans="1:18" ht="17" thickBot="1" x14ac:dyDescent="0.25">
      <c r="A10" s="175"/>
      <c r="B10" s="121"/>
      <c r="C10" s="340" t="s">
        <v>352</v>
      </c>
      <c r="D10" s="341"/>
      <c r="E10" s="222" t="s">
        <v>351</v>
      </c>
      <c r="F10" s="223" t="s">
        <v>350</v>
      </c>
      <c r="G10" s="233" t="s">
        <v>350</v>
      </c>
      <c r="H10" s="222" t="s">
        <v>350</v>
      </c>
      <c r="I10" s="121"/>
      <c r="J10" s="120"/>
      <c r="O10" s="199" t="s">
        <v>330</v>
      </c>
    </row>
    <row r="11" spans="1:18" ht="19" thickBot="1" x14ac:dyDescent="0.25">
      <c r="A11" s="175"/>
      <c r="B11" s="121"/>
      <c r="C11" s="338" t="s">
        <v>349</v>
      </c>
      <c r="D11" s="339"/>
      <c r="E11" s="230">
        <v>110000000</v>
      </c>
      <c r="F11" s="229">
        <v>7.1999999999999995E-2</v>
      </c>
      <c r="G11" s="228">
        <v>7.4999999999999997E-2</v>
      </c>
      <c r="H11" s="141">
        <v>3.4000000000000002E-2</v>
      </c>
      <c r="I11" s="121"/>
      <c r="J11" s="120"/>
      <c r="L11" s="195" t="s">
        <v>348</v>
      </c>
      <c r="M11" s="197" cm="1">
        <f t="array" ref="M11">SQRT(SUM(F11:F13^2*M6:M8^2))</f>
        <v>3.8769493161505214E-2</v>
      </c>
      <c r="O11" s="198">
        <f>SQRT((F11^2*M6^2)+(F12^2*M7^2)+(F13^2*M8^2))</f>
        <v>3.8769493161505214E-2</v>
      </c>
    </row>
    <row r="12" spans="1:18" x14ac:dyDescent="0.2">
      <c r="A12" s="175"/>
      <c r="B12" s="121"/>
      <c r="C12" s="342" t="s">
        <v>347</v>
      </c>
      <c r="D12" s="343"/>
      <c r="E12" s="226">
        <v>95000000</v>
      </c>
      <c r="F12" s="225">
        <v>5.1999999999999998E-2</v>
      </c>
      <c r="G12" s="224">
        <v>4.4999999999999998E-2</v>
      </c>
      <c r="H12" s="138">
        <v>4.2999999999999997E-2</v>
      </c>
      <c r="I12" s="121"/>
      <c r="J12" s="120"/>
    </row>
    <row r="13" spans="1:18" x14ac:dyDescent="0.2">
      <c r="A13" s="175"/>
      <c r="B13" s="127"/>
      <c r="C13" s="340" t="s">
        <v>346</v>
      </c>
      <c r="D13" s="341"/>
      <c r="E13" s="221">
        <v>45000000</v>
      </c>
      <c r="F13" s="220">
        <v>5.8000000000000003E-2</v>
      </c>
      <c r="G13" s="219">
        <v>0.05</v>
      </c>
      <c r="H13" s="134">
        <v>6.7000000000000004E-2</v>
      </c>
      <c r="I13" s="121"/>
      <c r="J13" s="120"/>
      <c r="L13" s="155" t="s">
        <v>345</v>
      </c>
    </row>
    <row r="14" spans="1:18" ht="16" customHeight="1" x14ac:dyDescent="0.2">
      <c r="A14" s="175"/>
      <c r="B14" s="127"/>
      <c r="C14" s="331" t="s">
        <v>94</v>
      </c>
      <c r="D14" s="333"/>
      <c r="E14" s="218">
        <v>250000000</v>
      </c>
      <c r="F14" s="217"/>
      <c r="G14" s="216"/>
      <c r="H14" s="215">
        <v>4.7E-2</v>
      </c>
      <c r="I14" s="121"/>
      <c r="J14" s="120"/>
      <c r="L14" s="344" t="s">
        <v>344</v>
      </c>
      <c r="M14" s="344"/>
      <c r="N14" s="344"/>
      <c r="O14" s="344"/>
      <c r="P14" s="344"/>
      <c r="Q14" s="344"/>
      <c r="R14" s="344"/>
    </row>
    <row r="15" spans="1:18" x14ac:dyDescent="0.2">
      <c r="A15" s="175"/>
      <c r="B15" s="127"/>
      <c r="C15" s="121"/>
      <c r="D15" s="121"/>
      <c r="E15" s="121"/>
      <c r="F15" s="121"/>
      <c r="G15" s="121"/>
      <c r="H15" s="121"/>
      <c r="I15" s="121"/>
      <c r="J15" s="120"/>
      <c r="L15" s="344"/>
      <c r="M15" s="344"/>
      <c r="N15" s="344"/>
      <c r="O15" s="344"/>
      <c r="P15" s="344"/>
      <c r="Q15" s="344"/>
      <c r="R15" s="344"/>
    </row>
    <row r="16" spans="1:18" x14ac:dyDescent="0.2">
      <c r="A16" s="175"/>
      <c r="B16" s="127"/>
      <c r="C16" s="121" t="s">
        <v>343</v>
      </c>
      <c r="D16" s="121"/>
      <c r="E16" s="121"/>
      <c r="F16" s="121"/>
      <c r="G16" s="121"/>
      <c r="H16" s="121"/>
      <c r="I16" s="121"/>
      <c r="J16" s="120"/>
      <c r="L16" s="214"/>
      <c r="M16" s="214"/>
      <c r="N16" s="214"/>
      <c r="O16" s="214"/>
      <c r="P16" s="214"/>
      <c r="Q16" s="214"/>
      <c r="R16" s="214"/>
    </row>
    <row r="17" spans="1:17" ht="19" x14ac:dyDescent="0.2">
      <c r="A17" s="175"/>
      <c r="B17" s="127"/>
      <c r="C17" s="121" t="s">
        <v>342</v>
      </c>
      <c r="D17" s="121"/>
      <c r="E17" s="121"/>
      <c r="F17" s="121"/>
      <c r="G17" s="121"/>
      <c r="H17" s="121">
        <v>0.67400000000000004</v>
      </c>
      <c r="I17" s="121"/>
      <c r="J17" s="120"/>
      <c r="L17" s="155" t="s">
        <v>341</v>
      </c>
    </row>
    <row r="18" spans="1:17" x14ac:dyDescent="0.2">
      <c r="A18" s="175"/>
      <c r="B18" s="127"/>
      <c r="C18" s="121" t="s">
        <v>340</v>
      </c>
      <c r="D18" s="121"/>
      <c r="E18" s="121"/>
      <c r="F18" s="121"/>
      <c r="G18" s="121"/>
      <c r="H18" s="121"/>
      <c r="I18" s="121"/>
      <c r="J18" s="120"/>
      <c r="L18" t="s">
        <v>339</v>
      </c>
    </row>
    <row r="19" spans="1:17" x14ac:dyDescent="0.2">
      <c r="A19" s="175"/>
      <c r="B19" s="127"/>
      <c r="C19" s="121" t="s">
        <v>338</v>
      </c>
      <c r="D19" s="121"/>
      <c r="E19" s="121"/>
      <c r="F19" s="121"/>
      <c r="G19" s="121"/>
      <c r="H19" s="121">
        <v>0.25</v>
      </c>
      <c r="I19" s="121"/>
      <c r="J19" s="120"/>
    </row>
    <row r="20" spans="1:17" x14ac:dyDescent="0.2">
      <c r="A20" s="175"/>
      <c r="B20" s="127"/>
      <c r="C20" s="121" t="s">
        <v>604</v>
      </c>
      <c r="D20" s="121"/>
      <c r="E20" s="121"/>
      <c r="F20" s="121"/>
      <c r="G20" s="121"/>
      <c r="H20" s="121"/>
      <c r="I20" s="121"/>
      <c r="J20" s="120"/>
      <c r="L20" s="208"/>
      <c r="M20" s="213" t="s">
        <v>336</v>
      </c>
      <c r="N20" s="213" t="s">
        <v>9</v>
      </c>
      <c r="O20" s="208" t="s">
        <v>10</v>
      </c>
      <c r="P20" s="202" t="s">
        <v>50</v>
      </c>
      <c r="Q20" s="202" t="s">
        <v>113</v>
      </c>
    </row>
    <row r="21" spans="1:17" x14ac:dyDescent="0.2">
      <c r="A21" s="175"/>
      <c r="B21" s="127"/>
      <c r="C21" s="121" t="s">
        <v>337</v>
      </c>
      <c r="D21" s="121"/>
      <c r="E21" s="121"/>
      <c r="F21" s="121"/>
      <c r="G21" s="121"/>
      <c r="H21" s="121"/>
      <c r="I21" s="121"/>
      <c r="J21" s="120"/>
      <c r="L21" s="212" t="s">
        <v>336</v>
      </c>
      <c r="M21" s="210">
        <f>1*M$24*M$25*$P21*$Q21</f>
        <v>1.0890000000000001E-3</v>
      </c>
      <c r="N21" s="211">
        <f>$H$19*N$24*N$25*$P21*$Q21</f>
        <v>1.41075E-4</v>
      </c>
      <c r="O21" s="209">
        <f>$H$19*O$24*O$25*$P21*$Q21</f>
        <v>7.4249999999999989E-5</v>
      </c>
      <c r="P21" s="204">
        <f>G11</f>
        <v>7.4999999999999997E-2</v>
      </c>
      <c r="Q21" s="201">
        <f>M6</f>
        <v>0.44</v>
      </c>
    </row>
    <row r="22" spans="1:17" x14ac:dyDescent="0.2">
      <c r="A22" s="175"/>
      <c r="B22" s="127"/>
      <c r="C22" s="121"/>
      <c r="D22" s="121"/>
      <c r="E22" s="121"/>
      <c r="F22" s="121"/>
      <c r="G22" s="121"/>
      <c r="H22" s="121"/>
      <c r="I22" s="121"/>
      <c r="J22" s="120"/>
      <c r="L22" s="212" t="s">
        <v>9</v>
      </c>
      <c r="M22" s="211">
        <f>$H$19*M$24*M$25*$P22*$Q22</f>
        <v>1.41075E-4</v>
      </c>
      <c r="N22" s="210">
        <f>1*N$24*N$25*$P22*$Q22</f>
        <v>2.9241E-4</v>
      </c>
      <c r="O22" s="209">
        <f>$H$19*O$24*O$25*$P22*$Q22</f>
        <v>3.8475E-5</v>
      </c>
      <c r="P22" s="204">
        <f>G12</f>
        <v>4.4999999999999998E-2</v>
      </c>
      <c r="Q22" s="201">
        <f>M7</f>
        <v>0.38</v>
      </c>
    </row>
    <row r="23" spans="1:17" x14ac:dyDescent="0.2">
      <c r="A23" s="175" t="s">
        <v>0</v>
      </c>
      <c r="B23" s="174" t="s">
        <v>322</v>
      </c>
      <c r="C23" s="121" t="s">
        <v>335</v>
      </c>
      <c r="D23" s="121"/>
      <c r="E23" s="121"/>
      <c r="F23" s="121"/>
      <c r="G23" s="121"/>
      <c r="H23" s="121"/>
      <c r="I23" s="121"/>
      <c r="J23" s="120"/>
      <c r="L23" s="208" t="s">
        <v>10</v>
      </c>
      <c r="M23" s="207">
        <f>$H$19*M$24*M$25*$P23*$Q23</f>
        <v>7.4250000000000002E-5</v>
      </c>
      <c r="N23" s="207">
        <f>$H$19*N$24*N$25*$P23*$Q23</f>
        <v>3.8475E-5</v>
      </c>
      <c r="O23" s="206">
        <f>1*O$24*O$25*$P23*$Q23</f>
        <v>8.099999999999999E-5</v>
      </c>
      <c r="P23" s="205">
        <f>G13</f>
        <v>0.05</v>
      </c>
      <c r="Q23" s="201">
        <f>M8</f>
        <v>0.18</v>
      </c>
    </row>
    <row r="24" spans="1:17" x14ac:dyDescent="0.2">
      <c r="A24" s="175"/>
      <c r="B24" s="174"/>
      <c r="C24" s="121"/>
      <c r="D24" s="121"/>
      <c r="E24" s="121"/>
      <c r="F24" s="121"/>
      <c r="G24" s="121"/>
      <c r="H24" s="121"/>
      <c r="I24" s="121"/>
      <c r="J24" s="120"/>
      <c r="L24" s="202" t="s">
        <v>50</v>
      </c>
      <c r="M24" s="204">
        <f>G11</f>
        <v>7.4999999999999997E-2</v>
      </c>
      <c r="N24" s="204">
        <f>G12</f>
        <v>4.4999999999999998E-2</v>
      </c>
      <c r="O24" s="203">
        <f>G13</f>
        <v>0.05</v>
      </c>
      <c r="P24" s="200"/>
      <c r="Q24" s="200"/>
    </row>
    <row r="25" spans="1:17" x14ac:dyDescent="0.2">
      <c r="A25" s="175" t="s">
        <v>1</v>
      </c>
      <c r="B25" s="174" t="s">
        <v>322</v>
      </c>
      <c r="C25" s="121" t="s">
        <v>334</v>
      </c>
      <c r="D25" s="121"/>
      <c r="E25" s="121"/>
      <c r="F25" s="121"/>
      <c r="G25" s="121"/>
      <c r="H25" s="121"/>
      <c r="I25" s="121"/>
      <c r="J25" s="120"/>
      <c r="L25" s="202" t="s">
        <v>113</v>
      </c>
      <c r="M25" s="201">
        <f>M6</f>
        <v>0.44</v>
      </c>
      <c r="N25" s="201">
        <f>M7</f>
        <v>0.38</v>
      </c>
      <c r="O25" s="201">
        <f>M8</f>
        <v>0.18</v>
      </c>
      <c r="P25" s="200"/>
      <c r="Q25" s="200"/>
    </row>
    <row r="26" spans="1:17" x14ac:dyDescent="0.2">
      <c r="A26" s="175"/>
      <c r="B26" s="174"/>
      <c r="C26" s="121" t="s">
        <v>333</v>
      </c>
      <c r="D26" s="121"/>
      <c r="E26" s="121"/>
      <c r="F26" s="121"/>
      <c r="G26" s="121"/>
      <c r="H26" s="121"/>
      <c r="I26" s="121"/>
      <c r="J26" s="120"/>
    </row>
    <row r="27" spans="1:17" x14ac:dyDescent="0.2">
      <c r="A27" s="175"/>
      <c r="B27" s="174"/>
      <c r="C27" s="121"/>
      <c r="D27" s="121"/>
      <c r="E27" s="121"/>
      <c r="F27" s="121"/>
      <c r="G27" s="121"/>
      <c r="H27" s="121"/>
      <c r="I27" s="121"/>
      <c r="J27" s="120"/>
    </row>
    <row r="28" spans="1:17" ht="17" thickBot="1" x14ac:dyDescent="0.25">
      <c r="A28" s="175" t="s">
        <v>2</v>
      </c>
      <c r="B28" s="174" t="s">
        <v>332</v>
      </c>
      <c r="C28" s="121" t="s">
        <v>331</v>
      </c>
      <c r="D28" s="121"/>
      <c r="E28" s="121"/>
      <c r="F28" s="121"/>
      <c r="G28" s="121"/>
      <c r="H28" s="121"/>
      <c r="I28" s="121"/>
      <c r="J28" s="120"/>
      <c r="O28" s="199" t="s">
        <v>330</v>
      </c>
    </row>
    <row r="29" spans="1:17" ht="19" thickBot="1" x14ac:dyDescent="0.25">
      <c r="A29" s="175"/>
      <c r="B29" s="174"/>
      <c r="C29" s="121"/>
      <c r="D29" s="121"/>
      <c r="E29" s="121"/>
      <c r="F29" s="121"/>
      <c r="G29" s="121"/>
      <c r="H29" s="121"/>
      <c r="I29" s="121"/>
      <c r="J29" s="120"/>
      <c r="L29" s="195" t="s">
        <v>329</v>
      </c>
      <c r="M29" s="197">
        <f>SQRT(SUM(M21:O23))</f>
        <v>4.4384794693678606E-2</v>
      </c>
      <c r="O29" s="198" cm="1">
        <f t="array" ref="O29">SQRT(SUM(G11:G13^2*M6:M8^2)+((2*H19)*(M6*G11)*(M7*G12))+((2*H19)*(M6*G11)*(M8*G13))+((2*H19)*(M7*G12)*(M8*G13)))</f>
        <v>4.4384794693678599E-2</v>
      </c>
    </row>
    <row r="30" spans="1:17" x14ac:dyDescent="0.2">
      <c r="A30" s="175" t="s">
        <v>164</v>
      </c>
      <c r="B30" s="174" t="s">
        <v>322</v>
      </c>
      <c r="C30" s="121" t="s">
        <v>328</v>
      </c>
      <c r="D30" s="121"/>
      <c r="E30" s="121"/>
      <c r="F30" s="121"/>
      <c r="G30" s="121"/>
      <c r="H30" s="121"/>
      <c r="I30" s="121"/>
      <c r="J30" s="120"/>
    </row>
    <row r="31" spans="1:17" x14ac:dyDescent="0.2">
      <c r="A31" s="175"/>
      <c r="B31" s="174"/>
      <c r="C31" s="121"/>
      <c r="D31" s="121"/>
      <c r="E31" s="121"/>
      <c r="F31" s="121"/>
      <c r="G31" s="121"/>
      <c r="H31" s="121"/>
      <c r="I31" s="121"/>
      <c r="J31" s="120"/>
      <c r="L31" s="155" t="s">
        <v>327</v>
      </c>
    </row>
    <row r="32" spans="1:17" ht="17" thickBot="1" x14ac:dyDescent="0.25">
      <c r="A32" s="175" t="s">
        <v>162</v>
      </c>
      <c r="B32" s="174" t="s">
        <v>322</v>
      </c>
      <c r="C32" s="121" t="s">
        <v>326</v>
      </c>
      <c r="D32" s="121"/>
      <c r="E32" s="121"/>
      <c r="F32" s="121"/>
      <c r="G32" s="121"/>
      <c r="H32" s="121"/>
      <c r="I32" s="121"/>
      <c r="J32" s="120"/>
    </row>
    <row r="33" spans="1:18" ht="19" thickBot="1" x14ac:dyDescent="0.25">
      <c r="A33" s="175"/>
      <c r="B33" s="174"/>
      <c r="C33" s="121" t="s">
        <v>325</v>
      </c>
      <c r="D33" s="121"/>
      <c r="E33" s="121"/>
      <c r="F33" s="121"/>
      <c r="G33" s="121"/>
      <c r="H33" s="121"/>
      <c r="I33" s="121"/>
      <c r="J33" s="120"/>
      <c r="L33" s="195" t="s">
        <v>324</v>
      </c>
      <c r="M33" s="197">
        <f>SQRT(M11^2+M29^2+H14^2)</f>
        <v>7.5379596708923829E-2</v>
      </c>
    </row>
    <row r="34" spans="1:18" x14ac:dyDescent="0.2">
      <c r="A34" s="175"/>
      <c r="B34" s="174"/>
      <c r="C34" s="121"/>
      <c r="D34" s="121"/>
      <c r="E34" s="121"/>
      <c r="F34" s="121"/>
      <c r="G34" s="121"/>
      <c r="H34" s="121"/>
      <c r="I34" s="121"/>
      <c r="J34" s="120"/>
    </row>
    <row r="35" spans="1:18" x14ac:dyDescent="0.2">
      <c r="A35" s="175" t="s">
        <v>323</v>
      </c>
      <c r="B35" s="174" t="s">
        <v>322</v>
      </c>
      <c r="C35" s="121" t="s">
        <v>321</v>
      </c>
      <c r="D35" s="121"/>
      <c r="E35" s="121"/>
      <c r="F35" s="121"/>
      <c r="G35" s="121"/>
      <c r="H35" s="121"/>
      <c r="I35" s="121"/>
      <c r="J35" s="120"/>
      <c r="L35" s="155" t="s">
        <v>320</v>
      </c>
    </row>
    <row r="36" spans="1:18" x14ac:dyDescent="0.2">
      <c r="A36" s="175"/>
      <c r="B36" s="174"/>
      <c r="C36" s="121" t="s">
        <v>319</v>
      </c>
      <c r="D36" s="121"/>
      <c r="E36" s="121"/>
      <c r="F36" s="121"/>
      <c r="G36" s="121"/>
      <c r="H36" s="121"/>
      <c r="I36" s="121"/>
      <c r="J36" s="120"/>
    </row>
    <row r="37" spans="1:18" x14ac:dyDescent="0.2">
      <c r="A37" s="175"/>
      <c r="B37" s="174"/>
      <c r="C37" s="121" t="s">
        <v>318</v>
      </c>
      <c r="D37" s="121"/>
      <c r="E37" s="121"/>
      <c r="F37" s="121"/>
      <c r="G37" s="121"/>
      <c r="H37" s="121"/>
      <c r="I37" s="121"/>
      <c r="J37" s="120"/>
      <c r="L37" t="s">
        <v>317</v>
      </c>
      <c r="M37" s="196">
        <f>M33*H17</f>
        <v>5.0805848181814661E-2</v>
      </c>
    </row>
    <row r="38" spans="1:18" ht="15.75" customHeight="1" thickBot="1" x14ac:dyDescent="0.25">
      <c r="A38" s="175"/>
      <c r="B38" s="174"/>
      <c r="C38" s="121"/>
      <c r="D38" s="121"/>
      <c r="E38" s="121"/>
      <c r="F38" s="121"/>
      <c r="G38" s="121"/>
      <c r="H38" s="121"/>
      <c r="I38" s="121"/>
      <c r="J38" s="120"/>
    </row>
    <row r="39" spans="1:18" ht="17" thickBot="1" x14ac:dyDescent="0.25">
      <c r="A39" s="175" t="s">
        <v>316</v>
      </c>
      <c r="B39" s="174" t="s">
        <v>315</v>
      </c>
      <c r="C39" s="130" t="s">
        <v>314</v>
      </c>
      <c r="D39" s="121"/>
      <c r="E39" s="121"/>
      <c r="F39" s="121"/>
      <c r="G39" s="121"/>
      <c r="H39" s="121"/>
      <c r="I39" s="121"/>
      <c r="J39" s="120"/>
      <c r="L39" s="195" t="s">
        <v>313</v>
      </c>
      <c r="M39" s="194">
        <f>M37*E14</f>
        <v>12701462.045453666</v>
      </c>
    </row>
    <row r="40" spans="1:18" x14ac:dyDescent="0.2">
      <c r="A40" s="175"/>
      <c r="B40" s="174"/>
      <c r="C40" s="130" t="s">
        <v>312</v>
      </c>
      <c r="D40" s="121"/>
      <c r="E40" s="121"/>
      <c r="F40" s="121"/>
      <c r="G40" s="121"/>
      <c r="H40" s="121"/>
      <c r="I40" s="121"/>
      <c r="J40" s="120"/>
    </row>
    <row r="41" spans="1:18" x14ac:dyDescent="0.2">
      <c r="A41" s="175"/>
      <c r="B41" s="174"/>
      <c r="C41" s="130"/>
      <c r="D41" s="121"/>
      <c r="E41" s="121"/>
      <c r="F41" s="121"/>
      <c r="G41" s="121"/>
      <c r="H41" s="121"/>
      <c r="I41" s="121"/>
      <c r="J41" s="120"/>
    </row>
    <row r="42" spans="1:18" x14ac:dyDescent="0.2">
      <c r="A42" s="175" t="s">
        <v>311</v>
      </c>
      <c r="B42" s="174" t="s">
        <v>310</v>
      </c>
      <c r="C42" s="130" t="s">
        <v>309</v>
      </c>
      <c r="D42" s="121"/>
      <c r="E42" s="121"/>
      <c r="F42" s="121"/>
      <c r="G42" s="121"/>
      <c r="H42" s="121"/>
      <c r="I42" s="121"/>
      <c r="J42" s="120"/>
      <c r="L42" s="155" t="s">
        <v>308</v>
      </c>
    </row>
    <row r="43" spans="1:18" x14ac:dyDescent="0.2">
      <c r="A43" s="175"/>
      <c r="B43" s="121"/>
      <c r="C43" s="130" t="s">
        <v>307</v>
      </c>
      <c r="D43" s="121"/>
      <c r="E43" s="121"/>
      <c r="F43" s="121"/>
      <c r="G43" s="121"/>
      <c r="H43" s="121"/>
      <c r="I43" s="121"/>
      <c r="J43" s="120"/>
      <c r="L43" s="345" t="s">
        <v>603</v>
      </c>
      <c r="M43" s="345"/>
      <c r="N43" s="345"/>
      <c r="O43" s="345"/>
      <c r="P43" s="345"/>
      <c r="Q43" s="345"/>
      <c r="R43" s="345"/>
    </row>
    <row r="44" spans="1:18" x14ac:dyDescent="0.2">
      <c r="A44" s="175"/>
      <c r="B44" s="121"/>
      <c r="C44" s="130" t="s">
        <v>306</v>
      </c>
      <c r="D44" s="121"/>
      <c r="E44" s="121"/>
      <c r="F44" s="121"/>
      <c r="G44" s="121"/>
      <c r="H44" s="121"/>
      <c r="I44" s="121"/>
      <c r="J44" s="120"/>
      <c r="L44" s="345"/>
      <c r="M44" s="345"/>
      <c r="N44" s="345"/>
      <c r="O44" s="345"/>
      <c r="P44" s="345"/>
      <c r="Q44" s="345"/>
      <c r="R44" s="345"/>
    </row>
    <row r="45" spans="1:18" ht="17" thickBot="1" x14ac:dyDescent="0.25">
      <c r="A45" s="175"/>
      <c r="B45" s="121"/>
      <c r="C45" s="121"/>
      <c r="D45" s="121"/>
      <c r="E45" s="121"/>
      <c r="F45" s="121"/>
      <c r="G45" s="121"/>
      <c r="H45" s="121"/>
      <c r="I45" s="121"/>
      <c r="J45" s="120"/>
    </row>
    <row r="46" spans="1:18" ht="17" thickBot="1" x14ac:dyDescent="0.25">
      <c r="A46" s="193" t="s">
        <v>134</v>
      </c>
      <c r="B46" s="117"/>
      <c r="C46" s="192"/>
      <c r="D46" s="117"/>
      <c r="E46" s="117"/>
      <c r="F46" s="117"/>
      <c r="G46" s="117"/>
      <c r="H46" s="117"/>
      <c r="I46" s="117"/>
      <c r="J46" s="116"/>
      <c r="L46" s="155" t="s">
        <v>305</v>
      </c>
    </row>
    <row r="47" spans="1:18" x14ac:dyDescent="0.2">
      <c r="L47" s="344" t="s">
        <v>304</v>
      </c>
      <c r="M47" s="344"/>
      <c r="N47" s="344"/>
      <c r="O47" s="344"/>
      <c r="P47" s="344"/>
      <c r="Q47" s="344"/>
      <c r="R47" s="344"/>
    </row>
    <row r="48" spans="1:18" x14ac:dyDescent="0.2">
      <c r="L48" s="344"/>
      <c r="M48" s="344"/>
      <c r="N48" s="344"/>
      <c r="O48" s="344"/>
      <c r="P48" s="344"/>
      <c r="Q48" s="344"/>
      <c r="R48" s="344"/>
    </row>
    <row r="49" spans="12:18" x14ac:dyDescent="0.2">
      <c r="L49" s="344"/>
      <c r="M49" s="344"/>
      <c r="N49" s="344"/>
      <c r="O49" s="344"/>
      <c r="P49" s="344"/>
      <c r="Q49" s="344"/>
      <c r="R49" s="344"/>
    </row>
    <row r="50" spans="12:18" x14ac:dyDescent="0.2">
      <c r="L50" s="344"/>
      <c r="M50" s="344"/>
      <c r="N50" s="344"/>
      <c r="O50" s="344"/>
      <c r="P50" s="344"/>
      <c r="Q50" s="344"/>
      <c r="R50" s="344"/>
    </row>
    <row r="51" spans="12:18" x14ac:dyDescent="0.2">
      <c r="L51" s="344"/>
      <c r="M51" s="344"/>
      <c r="N51" s="344"/>
      <c r="O51" s="344"/>
      <c r="P51" s="344"/>
      <c r="Q51" s="344"/>
      <c r="R51" s="344"/>
    </row>
    <row r="52" spans="12:18" x14ac:dyDescent="0.2">
      <c r="L52" s="344"/>
      <c r="M52" s="344"/>
      <c r="N52" s="344"/>
      <c r="O52" s="344"/>
      <c r="P52" s="344"/>
      <c r="Q52" s="344"/>
      <c r="R52" s="344"/>
    </row>
    <row r="53" spans="12:18" x14ac:dyDescent="0.2">
      <c r="L53" s="344"/>
      <c r="M53" s="344"/>
      <c r="N53" s="344"/>
      <c r="O53" s="344"/>
      <c r="P53" s="344"/>
      <c r="Q53" s="344"/>
      <c r="R53" s="344"/>
    </row>
    <row r="54" spans="12:18" x14ac:dyDescent="0.2">
      <c r="L54" s="344"/>
      <c r="M54" s="344"/>
      <c r="N54" s="344"/>
      <c r="O54" s="344"/>
      <c r="P54" s="344"/>
      <c r="Q54" s="344"/>
      <c r="R54" s="344"/>
    </row>
    <row r="55" spans="12:18" x14ac:dyDescent="0.2">
      <c r="L55" s="344"/>
      <c r="M55" s="344"/>
      <c r="N55" s="344"/>
      <c r="O55" s="344"/>
      <c r="P55" s="344"/>
      <c r="Q55" s="344"/>
      <c r="R55" s="344"/>
    </row>
    <row r="56" spans="12:18" x14ac:dyDescent="0.2">
      <c r="L56" s="344"/>
      <c r="M56" s="344"/>
      <c r="N56" s="344"/>
      <c r="O56" s="344"/>
      <c r="P56" s="344"/>
      <c r="Q56" s="344"/>
      <c r="R56" s="344"/>
    </row>
    <row r="57" spans="12:18" x14ac:dyDescent="0.2">
      <c r="L57" s="344"/>
      <c r="M57" s="344"/>
      <c r="N57" s="344"/>
      <c r="O57" s="344"/>
      <c r="P57" s="344"/>
      <c r="Q57" s="344"/>
      <c r="R57" s="344"/>
    </row>
    <row r="58" spans="12:18" x14ac:dyDescent="0.2">
      <c r="L58" s="344"/>
      <c r="M58" s="344"/>
      <c r="N58" s="344"/>
      <c r="O58" s="344"/>
      <c r="P58" s="344"/>
      <c r="Q58" s="344"/>
      <c r="R58" s="344"/>
    </row>
    <row r="59" spans="12:18" x14ac:dyDescent="0.2">
      <c r="L59" s="344"/>
      <c r="M59" s="344"/>
      <c r="N59" s="344"/>
      <c r="O59" s="344"/>
      <c r="P59" s="344"/>
      <c r="Q59" s="344"/>
      <c r="R59" s="344"/>
    </row>
    <row r="60" spans="12:18" x14ac:dyDescent="0.2">
      <c r="L60" s="344"/>
      <c r="M60" s="344"/>
      <c r="N60" s="344"/>
      <c r="O60" s="344"/>
      <c r="P60" s="344"/>
      <c r="Q60" s="344"/>
      <c r="R60" s="344"/>
    </row>
    <row r="61" spans="12:18" x14ac:dyDescent="0.2">
      <c r="L61" s="191"/>
      <c r="M61" s="191"/>
      <c r="N61" s="191"/>
      <c r="O61" s="191"/>
      <c r="P61" s="191"/>
      <c r="Q61" s="191"/>
      <c r="R61" s="191"/>
    </row>
    <row r="62" spans="12:18" x14ac:dyDescent="0.2">
      <c r="L62" s="155" t="s">
        <v>303</v>
      </c>
    </row>
    <row r="63" spans="12:18" x14ac:dyDescent="0.2">
      <c r="L63" s="345" t="s">
        <v>302</v>
      </c>
      <c r="M63" s="345"/>
      <c r="N63" s="345"/>
      <c r="O63" s="345"/>
      <c r="P63" s="345"/>
      <c r="Q63" s="345"/>
      <c r="R63" s="345"/>
    </row>
    <row r="64" spans="12:18" x14ac:dyDescent="0.2">
      <c r="L64" s="345"/>
      <c r="M64" s="345"/>
      <c r="N64" s="345"/>
      <c r="O64" s="345"/>
      <c r="P64" s="345"/>
      <c r="Q64" s="345"/>
      <c r="R64" s="345"/>
    </row>
    <row r="65" spans="12:18" x14ac:dyDescent="0.2">
      <c r="L65" s="345"/>
      <c r="M65" s="345"/>
      <c r="N65" s="345"/>
      <c r="O65" s="345"/>
      <c r="P65" s="345"/>
      <c r="Q65" s="345"/>
      <c r="R65" s="345"/>
    </row>
    <row r="66" spans="12:18" x14ac:dyDescent="0.2">
      <c r="L66" s="189"/>
      <c r="M66" s="189"/>
      <c r="N66" s="189"/>
      <c r="O66" s="189"/>
      <c r="P66" s="189"/>
      <c r="Q66" s="189"/>
      <c r="R66" s="189"/>
    </row>
    <row r="68" spans="12:18" ht="19" x14ac:dyDescent="0.2">
      <c r="L68" s="190" t="s">
        <v>103</v>
      </c>
    </row>
    <row r="69" spans="12:18" x14ac:dyDescent="0.2">
      <c r="L69" s="345" t="s">
        <v>301</v>
      </c>
      <c r="M69" s="345"/>
      <c r="N69" s="345"/>
      <c r="O69" s="345"/>
      <c r="P69" s="345"/>
      <c r="Q69" s="345"/>
      <c r="R69" s="345"/>
    </row>
    <row r="70" spans="12:18" x14ac:dyDescent="0.2">
      <c r="L70" s="345"/>
      <c r="M70" s="345"/>
      <c r="N70" s="345"/>
      <c r="O70" s="345"/>
      <c r="P70" s="345"/>
      <c r="Q70" s="345"/>
      <c r="R70" s="345"/>
    </row>
    <row r="71" spans="12:18" x14ac:dyDescent="0.2">
      <c r="L71" s="345"/>
      <c r="M71" s="345"/>
      <c r="N71" s="345"/>
      <c r="O71" s="345"/>
      <c r="P71" s="345"/>
      <c r="Q71" s="345"/>
      <c r="R71" s="345"/>
    </row>
    <row r="72" spans="12:18" x14ac:dyDescent="0.2">
      <c r="L72" s="345"/>
      <c r="M72" s="345"/>
      <c r="N72" s="345"/>
      <c r="O72" s="345"/>
      <c r="P72" s="345"/>
      <c r="Q72" s="345"/>
      <c r="R72" s="345"/>
    </row>
    <row r="73" spans="12:18" x14ac:dyDescent="0.2">
      <c r="L73" s="345"/>
      <c r="M73" s="345"/>
      <c r="N73" s="345"/>
      <c r="O73" s="345"/>
      <c r="P73" s="345"/>
      <c r="Q73" s="345"/>
      <c r="R73" s="345"/>
    </row>
    <row r="74" spans="12:18" x14ac:dyDescent="0.2">
      <c r="L74" s="345"/>
      <c r="M74" s="345"/>
      <c r="N74" s="345"/>
      <c r="O74" s="345"/>
      <c r="P74" s="345"/>
      <c r="Q74" s="345"/>
      <c r="R74" s="345"/>
    </row>
    <row r="75" spans="12:18" x14ac:dyDescent="0.2">
      <c r="L75" s="345"/>
      <c r="M75" s="345"/>
      <c r="N75" s="345"/>
      <c r="O75" s="345"/>
      <c r="P75" s="345"/>
      <c r="Q75" s="345"/>
      <c r="R75" s="345"/>
    </row>
    <row r="77" spans="12:18" ht="19" x14ac:dyDescent="0.2">
      <c r="L77" s="190" t="s">
        <v>143</v>
      </c>
    </row>
    <row r="78" spans="12:18" x14ac:dyDescent="0.2">
      <c r="L78" s="345" t="s">
        <v>300</v>
      </c>
      <c r="M78" s="345"/>
      <c r="N78" s="345"/>
      <c r="O78" s="345"/>
      <c r="P78" s="345"/>
      <c r="Q78" s="345"/>
      <c r="R78" s="345"/>
    </row>
  </sheetData>
  <mergeCells count="12">
    <mergeCell ref="L14:R15"/>
    <mergeCell ref="L69:R75"/>
    <mergeCell ref="L78:R78"/>
    <mergeCell ref="L43:R44"/>
    <mergeCell ref="L63:R65"/>
    <mergeCell ref="L47:R60"/>
    <mergeCell ref="F7:H7"/>
    <mergeCell ref="C11:D11"/>
    <mergeCell ref="C10:D10"/>
    <mergeCell ref="C12:D12"/>
    <mergeCell ref="C14:D14"/>
    <mergeCell ref="C13:D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5C1D-18B5-DC4E-99B7-9B33EF671266}">
  <dimension ref="A1:S22"/>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8" width="10.83203125" hidden="1" customWidth="1" outlineLevel="1"/>
    <col min="19" max="19" width="11" collapsed="1"/>
  </cols>
  <sheetData>
    <row r="1" spans="1:18" x14ac:dyDescent="0.2">
      <c r="A1" s="246"/>
      <c r="B1" s="162" t="s">
        <v>367</v>
      </c>
      <c r="C1" s="161" t="s">
        <v>366</v>
      </c>
      <c r="D1" s="161" t="s">
        <v>365</v>
      </c>
      <c r="E1" s="161" t="s">
        <v>380</v>
      </c>
      <c r="F1" s="160"/>
      <c r="G1" s="160"/>
      <c r="H1" s="160"/>
      <c r="I1" s="160"/>
      <c r="J1" s="159"/>
      <c r="K1" s="155" t="s">
        <v>135</v>
      </c>
      <c r="L1" s="155"/>
    </row>
    <row r="2" spans="1:18" x14ac:dyDescent="0.2">
      <c r="A2" s="175"/>
      <c r="B2" s="245" t="s">
        <v>363</v>
      </c>
      <c r="C2" s="244">
        <v>1.75</v>
      </c>
      <c r="D2" s="121"/>
      <c r="E2" s="121"/>
      <c r="F2" s="121"/>
      <c r="G2" s="121"/>
      <c r="H2" s="121"/>
      <c r="I2" s="121"/>
      <c r="J2" s="120"/>
    </row>
    <row r="3" spans="1:18" x14ac:dyDescent="0.2">
      <c r="A3" s="175"/>
      <c r="B3" s="121"/>
      <c r="C3" s="121"/>
      <c r="D3" s="121"/>
      <c r="E3" s="121"/>
      <c r="F3" s="121"/>
      <c r="G3" s="121"/>
      <c r="H3" s="121"/>
      <c r="I3" s="121"/>
      <c r="J3" s="120"/>
      <c r="L3" s="155" t="s">
        <v>362</v>
      </c>
    </row>
    <row r="4" spans="1:18" ht="15.75" customHeight="1" x14ac:dyDescent="0.2">
      <c r="A4" s="175"/>
      <c r="B4" s="121"/>
      <c r="C4" s="121" t="s">
        <v>379</v>
      </c>
      <c r="D4" s="121"/>
      <c r="E4" s="121"/>
      <c r="F4" s="121"/>
      <c r="G4" s="121"/>
      <c r="H4" s="121"/>
      <c r="I4" s="121"/>
      <c r="J4" s="120"/>
      <c r="L4" s="345" t="s">
        <v>378</v>
      </c>
      <c r="M4" s="345"/>
      <c r="N4" s="345"/>
      <c r="O4" s="345"/>
      <c r="P4" s="345"/>
      <c r="Q4" s="345"/>
      <c r="R4" s="345"/>
    </row>
    <row r="5" spans="1:18" x14ac:dyDescent="0.2">
      <c r="A5" s="175"/>
      <c r="B5" s="121"/>
      <c r="C5" s="121" t="s">
        <v>377</v>
      </c>
      <c r="D5" s="121"/>
      <c r="E5" s="121"/>
      <c r="F5" s="121"/>
      <c r="G5" s="121"/>
      <c r="H5" s="121"/>
      <c r="I5" s="121"/>
      <c r="J5" s="120"/>
      <c r="L5" s="345"/>
      <c r="M5" s="345"/>
      <c r="N5" s="345"/>
      <c r="O5" s="345"/>
      <c r="P5" s="345"/>
      <c r="Q5" s="345"/>
      <c r="R5" s="345"/>
    </row>
    <row r="6" spans="1:18" x14ac:dyDescent="0.2">
      <c r="A6" s="175"/>
      <c r="B6" s="121"/>
      <c r="C6" s="121" t="s">
        <v>376</v>
      </c>
      <c r="D6" s="121"/>
      <c r="E6" s="121"/>
      <c r="F6" s="121"/>
      <c r="G6" s="121"/>
      <c r="H6" s="121"/>
      <c r="I6" s="121"/>
      <c r="J6" s="120"/>
      <c r="L6" s="345"/>
      <c r="M6" s="345"/>
      <c r="N6" s="345"/>
      <c r="O6" s="345"/>
      <c r="P6" s="345"/>
      <c r="Q6" s="345"/>
      <c r="R6" s="345"/>
    </row>
    <row r="7" spans="1:18" x14ac:dyDescent="0.2">
      <c r="A7" s="175"/>
      <c r="B7" s="121"/>
      <c r="C7" s="121"/>
      <c r="D7" s="121"/>
      <c r="E7" s="121"/>
      <c r="F7" s="121"/>
      <c r="G7" s="121"/>
      <c r="H7" s="121"/>
      <c r="I7" s="121"/>
      <c r="J7" s="120"/>
      <c r="L7" s="345"/>
      <c r="M7" s="345"/>
      <c r="N7" s="345"/>
      <c r="O7" s="345"/>
      <c r="P7" s="345"/>
      <c r="Q7" s="345"/>
      <c r="R7" s="345"/>
    </row>
    <row r="8" spans="1:18" x14ac:dyDescent="0.2">
      <c r="A8" s="175" t="s">
        <v>0</v>
      </c>
      <c r="B8" s="121" t="s">
        <v>332</v>
      </c>
      <c r="C8" s="121" t="s">
        <v>375</v>
      </c>
      <c r="D8" s="121"/>
      <c r="E8" s="121"/>
      <c r="F8" s="121"/>
      <c r="G8" s="121"/>
      <c r="H8" s="121"/>
      <c r="I8" s="121"/>
      <c r="J8" s="120"/>
      <c r="L8" s="345"/>
      <c r="M8" s="345"/>
      <c r="N8" s="345"/>
      <c r="O8" s="345"/>
      <c r="P8" s="345"/>
      <c r="Q8" s="345"/>
      <c r="R8" s="345"/>
    </row>
    <row r="9" spans="1:18" x14ac:dyDescent="0.2">
      <c r="A9" s="175"/>
      <c r="B9" s="121"/>
      <c r="C9" s="121" t="s">
        <v>374</v>
      </c>
      <c r="D9" s="121"/>
      <c r="E9" s="121"/>
      <c r="F9" s="121"/>
      <c r="G9" s="121"/>
      <c r="H9" s="121"/>
      <c r="I9" s="121"/>
      <c r="J9" s="120"/>
      <c r="L9" s="345"/>
      <c r="M9" s="345"/>
      <c r="N9" s="345"/>
      <c r="O9" s="345"/>
      <c r="P9" s="345"/>
      <c r="Q9" s="345"/>
      <c r="R9" s="345"/>
    </row>
    <row r="10" spans="1:18" x14ac:dyDescent="0.2">
      <c r="A10" s="175"/>
      <c r="B10" s="121"/>
      <c r="C10" s="121" t="s">
        <v>373</v>
      </c>
      <c r="D10" s="121"/>
      <c r="E10" s="121"/>
      <c r="F10" s="121"/>
      <c r="G10" s="121"/>
      <c r="H10" s="121"/>
      <c r="I10" s="121"/>
      <c r="J10" s="120"/>
      <c r="L10" s="345"/>
      <c r="M10" s="345"/>
      <c r="N10" s="345"/>
      <c r="O10" s="345"/>
      <c r="P10" s="345"/>
      <c r="Q10" s="345"/>
      <c r="R10" s="345"/>
    </row>
    <row r="11" spans="1:18" x14ac:dyDescent="0.2">
      <c r="A11" s="175"/>
      <c r="B11" s="121"/>
      <c r="C11" s="121"/>
      <c r="D11" s="121"/>
      <c r="E11" s="121"/>
      <c r="F11" s="121"/>
      <c r="G11" s="121"/>
      <c r="H11" s="121"/>
      <c r="I11" s="121"/>
      <c r="J11" s="120"/>
      <c r="L11" s="191"/>
      <c r="M11" s="191"/>
      <c r="N11" s="191"/>
      <c r="O11" s="191"/>
      <c r="P11" s="191"/>
      <c r="Q11" s="191"/>
      <c r="R11" s="191"/>
    </row>
    <row r="12" spans="1:18" x14ac:dyDescent="0.2">
      <c r="A12" s="175" t="s">
        <v>1</v>
      </c>
      <c r="B12" s="121" t="s">
        <v>310</v>
      </c>
      <c r="C12" s="121" t="s">
        <v>372</v>
      </c>
      <c r="D12" s="121"/>
      <c r="E12" s="121"/>
      <c r="F12" s="121"/>
      <c r="G12" s="121"/>
      <c r="H12" s="121"/>
      <c r="I12" s="121"/>
      <c r="J12" s="120"/>
    </row>
    <row r="13" spans="1:18" x14ac:dyDescent="0.2">
      <c r="A13" s="175"/>
      <c r="B13" s="127"/>
      <c r="C13" s="121" t="s">
        <v>371</v>
      </c>
      <c r="D13" s="121"/>
      <c r="E13" s="121"/>
      <c r="F13" s="121"/>
      <c r="G13" s="121"/>
      <c r="H13" s="121"/>
      <c r="I13" s="121"/>
      <c r="J13" s="120"/>
      <c r="L13" s="155" t="s">
        <v>345</v>
      </c>
    </row>
    <row r="14" spans="1:18" ht="16" customHeight="1" x14ac:dyDescent="0.2">
      <c r="A14" s="175"/>
      <c r="B14" s="127"/>
      <c r="C14" s="121" t="s">
        <v>370</v>
      </c>
      <c r="D14" s="121"/>
      <c r="E14" s="121"/>
      <c r="F14" s="121"/>
      <c r="G14" s="121"/>
      <c r="H14" s="121"/>
      <c r="I14" s="121"/>
      <c r="J14" s="120"/>
      <c r="L14" s="345" t="s">
        <v>369</v>
      </c>
      <c r="M14" s="345"/>
      <c r="N14" s="345"/>
      <c r="O14" s="345"/>
      <c r="P14" s="345"/>
      <c r="Q14" s="345"/>
      <c r="R14" s="345"/>
    </row>
    <row r="15" spans="1:18" ht="17" thickBot="1" x14ac:dyDescent="0.25">
      <c r="A15" s="175"/>
      <c r="B15" s="127"/>
      <c r="C15" s="121"/>
      <c r="D15" s="121"/>
      <c r="E15" s="121"/>
      <c r="F15" s="121"/>
      <c r="G15" s="121"/>
      <c r="H15" s="121"/>
      <c r="I15" s="121"/>
      <c r="J15" s="120"/>
      <c r="L15" s="345"/>
      <c r="M15" s="345"/>
      <c r="N15" s="345"/>
      <c r="O15" s="345"/>
      <c r="P15" s="345"/>
      <c r="Q15" s="345"/>
      <c r="R15" s="345"/>
    </row>
    <row r="16" spans="1:18" ht="17" thickBot="1" x14ac:dyDescent="0.25">
      <c r="A16" s="193" t="s">
        <v>134</v>
      </c>
      <c r="B16" s="117"/>
      <c r="C16" s="192"/>
      <c r="D16" s="117"/>
      <c r="E16" s="117"/>
      <c r="F16" s="117"/>
      <c r="G16" s="117"/>
      <c r="H16" s="117"/>
      <c r="I16" s="117"/>
      <c r="J16" s="116"/>
      <c r="L16" s="345"/>
      <c r="M16" s="345"/>
      <c r="N16" s="345"/>
      <c r="O16" s="345"/>
      <c r="P16" s="345"/>
      <c r="Q16" s="345"/>
      <c r="R16" s="345"/>
    </row>
    <row r="19" spans="12:18" ht="19" x14ac:dyDescent="0.2">
      <c r="L19" s="190" t="s">
        <v>103</v>
      </c>
    </row>
    <row r="20" spans="12:18" x14ac:dyDescent="0.2">
      <c r="L20" s="345" t="s">
        <v>368</v>
      </c>
      <c r="M20" s="345"/>
      <c r="N20" s="345"/>
      <c r="O20" s="345"/>
      <c r="P20" s="345"/>
      <c r="Q20" s="345"/>
      <c r="R20" s="345"/>
    </row>
    <row r="21" spans="12:18" x14ac:dyDescent="0.2">
      <c r="L21" s="345"/>
      <c r="M21" s="345"/>
      <c r="N21" s="345"/>
      <c r="O21" s="345"/>
      <c r="P21" s="345"/>
      <c r="Q21" s="345"/>
      <c r="R21" s="345"/>
    </row>
    <row r="22" spans="12:18" x14ac:dyDescent="0.2">
      <c r="L22" s="345"/>
      <c r="M22" s="345"/>
      <c r="N22" s="345"/>
      <c r="O22" s="345"/>
      <c r="P22" s="345"/>
      <c r="Q22" s="345"/>
      <c r="R22" s="345"/>
    </row>
  </sheetData>
  <mergeCells count="3">
    <mergeCell ref="L14:R16"/>
    <mergeCell ref="L20:R22"/>
    <mergeCell ref="L4:R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0EEA-D9E0-6247-9155-2CDECDF26925}">
  <dimension ref="A1:S43"/>
  <sheetViews>
    <sheetView zoomScaleNormal="100" workbookViewId="0">
      <selection activeCell="B1" sqref="B1"/>
    </sheetView>
  </sheetViews>
  <sheetFormatPr baseColWidth="10" defaultColWidth="11" defaultRowHeight="16" outlineLevelCol="1" x14ac:dyDescent="0.2"/>
  <cols>
    <col min="1" max="1" width="4" style="111" customWidth="1"/>
    <col min="2" max="2" width="11.5" customWidth="1"/>
    <col min="12" max="12" width="10.83203125" hidden="1" customWidth="1" outlineLevel="1"/>
    <col min="13" max="13" width="13.33203125" hidden="1" customWidth="1" outlineLevel="1"/>
    <col min="14" max="18" width="10.83203125" hidden="1" customWidth="1" outlineLevel="1"/>
    <col min="19" max="19" width="11.6640625" bestFit="1" customWidth="1" collapsed="1"/>
  </cols>
  <sheetData>
    <row r="1" spans="1:18" x14ac:dyDescent="0.2">
      <c r="A1" s="246"/>
      <c r="B1" s="162" t="s">
        <v>367</v>
      </c>
      <c r="C1" s="161" t="s">
        <v>411</v>
      </c>
      <c r="D1" s="161" t="s">
        <v>365</v>
      </c>
      <c r="E1" s="161" t="s">
        <v>364</v>
      </c>
      <c r="F1" s="160"/>
      <c r="G1" s="160"/>
      <c r="H1" s="160"/>
      <c r="I1" s="160"/>
      <c r="J1" s="159"/>
      <c r="K1" s="155" t="s">
        <v>135</v>
      </c>
      <c r="L1" s="155"/>
    </row>
    <row r="2" spans="1:18" x14ac:dyDescent="0.2">
      <c r="A2" s="175"/>
      <c r="B2" s="245" t="s">
        <v>363</v>
      </c>
      <c r="C2" s="244">
        <v>4.5</v>
      </c>
      <c r="D2" s="121"/>
      <c r="E2" s="121"/>
      <c r="F2" s="121"/>
      <c r="G2" s="121"/>
      <c r="H2" s="121"/>
      <c r="I2" s="121"/>
      <c r="J2" s="120"/>
    </row>
    <row r="3" spans="1:18" x14ac:dyDescent="0.2">
      <c r="A3" s="175"/>
      <c r="B3" s="121"/>
      <c r="C3" s="121"/>
      <c r="D3" s="121"/>
      <c r="E3" s="121"/>
      <c r="F3" s="121"/>
      <c r="G3" s="121"/>
      <c r="H3" s="121"/>
      <c r="I3" s="121"/>
      <c r="J3" s="120"/>
      <c r="L3" s="155" t="s">
        <v>362</v>
      </c>
    </row>
    <row r="4" spans="1:18" x14ac:dyDescent="0.2">
      <c r="A4" s="175"/>
      <c r="B4" s="121"/>
      <c r="C4" s="121" t="s">
        <v>410</v>
      </c>
      <c r="D4" s="121"/>
      <c r="E4" s="121"/>
      <c r="F4" s="121"/>
      <c r="G4" s="121"/>
      <c r="H4" s="121"/>
      <c r="I4" s="121"/>
      <c r="J4" s="120"/>
      <c r="L4" s="344" t="s">
        <v>409</v>
      </c>
      <c r="M4" s="344"/>
      <c r="N4" s="344"/>
      <c r="O4" s="344"/>
      <c r="P4" s="344"/>
      <c r="Q4" s="344"/>
      <c r="R4" s="344"/>
    </row>
    <row r="5" spans="1:18" ht="16" customHeight="1" x14ac:dyDescent="0.2">
      <c r="A5" s="175"/>
      <c r="B5" s="121"/>
      <c r="C5" s="121"/>
      <c r="D5" s="121"/>
      <c r="E5" s="121"/>
      <c r="F5" s="121"/>
      <c r="G5" s="121"/>
      <c r="H5" s="121"/>
      <c r="I5" s="121"/>
      <c r="J5" s="120"/>
      <c r="L5" s="344"/>
      <c r="M5" s="344"/>
      <c r="N5" s="344"/>
      <c r="O5" s="344"/>
      <c r="P5" s="344"/>
      <c r="Q5" s="344"/>
      <c r="R5" s="344"/>
    </row>
    <row r="6" spans="1:18" x14ac:dyDescent="0.2">
      <c r="A6" s="175"/>
      <c r="B6" s="121"/>
      <c r="C6" s="121" t="s">
        <v>408</v>
      </c>
      <c r="D6" s="121"/>
      <c r="E6" s="121"/>
      <c r="F6" s="121"/>
      <c r="G6" s="121"/>
      <c r="H6" s="121"/>
      <c r="I6" s="121"/>
      <c r="J6" s="120"/>
      <c r="L6" s="344"/>
      <c r="M6" s="344"/>
      <c r="N6" s="344"/>
      <c r="O6" s="344"/>
      <c r="P6" s="344"/>
      <c r="Q6" s="344"/>
      <c r="R6" s="344"/>
    </row>
    <row r="7" spans="1:18" x14ac:dyDescent="0.2">
      <c r="A7" s="175"/>
      <c r="B7" s="121"/>
      <c r="C7" s="121" t="s">
        <v>407</v>
      </c>
      <c r="D7" s="121"/>
      <c r="E7" s="121"/>
      <c r="F7" s="121"/>
      <c r="G7" s="121"/>
      <c r="H7" s="121"/>
      <c r="I7" s="121"/>
      <c r="J7" s="120"/>
      <c r="L7" s="344"/>
      <c r="M7" s="344"/>
      <c r="N7" s="344"/>
      <c r="O7" s="344"/>
      <c r="P7" s="344"/>
      <c r="Q7" s="344"/>
      <c r="R7" s="344"/>
    </row>
    <row r="8" spans="1:18" x14ac:dyDescent="0.2">
      <c r="A8" s="175"/>
      <c r="B8" s="121"/>
      <c r="C8" s="121" t="s">
        <v>406</v>
      </c>
      <c r="D8" s="121"/>
      <c r="E8" s="121"/>
      <c r="F8" s="121"/>
      <c r="G8" s="121"/>
      <c r="H8" s="121"/>
      <c r="I8" s="121"/>
      <c r="J8" s="120"/>
      <c r="L8" s="344"/>
      <c r="M8" s="344"/>
      <c r="N8" s="344"/>
      <c r="O8" s="344"/>
      <c r="P8" s="344"/>
      <c r="Q8" s="344"/>
      <c r="R8" s="344"/>
    </row>
    <row r="9" spans="1:18" x14ac:dyDescent="0.2">
      <c r="A9" s="175"/>
      <c r="B9" s="121"/>
      <c r="C9" s="121" t="s">
        <v>405</v>
      </c>
      <c r="D9" s="121"/>
      <c r="E9" s="121"/>
      <c r="F9" s="121"/>
      <c r="G9" s="121"/>
      <c r="H9" s="121"/>
      <c r="I9" s="121"/>
      <c r="J9" s="120"/>
    </row>
    <row r="10" spans="1:18" x14ac:dyDescent="0.2">
      <c r="A10" s="175"/>
      <c r="B10" s="121"/>
      <c r="C10" s="121" t="s">
        <v>404</v>
      </c>
      <c r="D10" s="121"/>
      <c r="E10" s="121"/>
      <c r="F10" s="121"/>
      <c r="G10" s="121"/>
      <c r="H10" s="121"/>
      <c r="I10" s="121"/>
      <c r="J10" s="120"/>
      <c r="L10" s="155" t="s">
        <v>403</v>
      </c>
    </row>
    <row r="11" spans="1:18" x14ac:dyDescent="0.2">
      <c r="A11" s="175"/>
      <c r="B11" s="121"/>
      <c r="C11" s="121"/>
      <c r="D11" s="121"/>
      <c r="E11" s="121"/>
      <c r="F11" s="121"/>
      <c r="G11" s="121"/>
      <c r="H11" s="121"/>
      <c r="I11" s="121"/>
      <c r="J11" s="120"/>
    </row>
    <row r="12" spans="1:18" x14ac:dyDescent="0.2">
      <c r="A12" s="175"/>
      <c r="B12" s="121"/>
      <c r="C12" s="346"/>
      <c r="D12" s="346"/>
      <c r="E12" s="147" t="s">
        <v>402</v>
      </c>
      <c r="F12" s="146" t="s">
        <v>401</v>
      </c>
      <c r="G12" s="146" t="s">
        <v>400</v>
      </c>
      <c r="H12" s="146" t="s">
        <v>399</v>
      </c>
      <c r="I12" s="145" t="s">
        <v>398</v>
      </c>
      <c r="J12" s="120"/>
      <c r="L12" s="345" t="s">
        <v>397</v>
      </c>
      <c r="M12" s="345"/>
      <c r="N12" s="345"/>
      <c r="O12" s="345"/>
      <c r="P12" s="345"/>
      <c r="Q12" s="345"/>
      <c r="R12" s="345"/>
    </row>
    <row r="13" spans="1:18" x14ac:dyDescent="0.2">
      <c r="A13" s="175"/>
      <c r="B13" s="127"/>
      <c r="C13" s="335" t="s">
        <v>396</v>
      </c>
      <c r="D13" s="335"/>
      <c r="E13" s="256">
        <v>0.05</v>
      </c>
      <c r="F13" s="255" t="s">
        <v>395</v>
      </c>
      <c r="G13" s="255" t="s">
        <v>395</v>
      </c>
      <c r="H13" s="255" t="s">
        <v>395</v>
      </c>
      <c r="I13" s="254" t="s">
        <v>395</v>
      </c>
      <c r="J13" s="120"/>
      <c r="L13" s="345"/>
      <c r="M13" s="345"/>
      <c r="N13" s="345"/>
      <c r="O13" s="345"/>
      <c r="P13" s="345"/>
      <c r="Q13" s="345"/>
      <c r="R13" s="345"/>
    </row>
    <row r="14" spans="1:18" x14ac:dyDescent="0.2">
      <c r="A14" s="175"/>
      <c r="B14" s="127"/>
      <c r="C14" s="336" t="s">
        <v>394</v>
      </c>
      <c r="D14" s="336"/>
      <c r="E14" s="253">
        <v>0.21</v>
      </c>
      <c r="F14" s="150">
        <v>0.09</v>
      </c>
      <c r="G14" s="150">
        <v>0.45</v>
      </c>
      <c r="H14" s="150" t="s">
        <v>393</v>
      </c>
      <c r="I14" s="149">
        <v>0.38</v>
      </c>
      <c r="J14" s="120"/>
      <c r="L14" s="345"/>
      <c r="M14" s="345"/>
      <c r="N14" s="345"/>
      <c r="O14" s="345"/>
      <c r="P14" s="345"/>
      <c r="Q14" s="345"/>
      <c r="R14" s="345"/>
    </row>
    <row r="15" spans="1:18" x14ac:dyDescent="0.2">
      <c r="A15" s="175"/>
      <c r="B15" s="127"/>
      <c r="C15" s="121"/>
      <c r="D15" s="121"/>
      <c r="E15" s="121"/>
      <c r="F15" s="121"/>
      <c r="G15" s="121"/>
      <c r="H15" s="121"/>
      <c r="I15" s="121"/>
      <c r="J15" s="120"/>
      <c r="L15" s="345"/>
      <c r="M15" s="345"/>
      <c r="N15" s="345"/>
      <c r="O15" s="345"/>
      <c r="P15" s="345"/>
      <c r="Q15" s="345"/>
      <c r="R15" s="345"/>
    </row>
    <row r="16" spans="1:18" x14ac:dyDescent="0.2">
      <c r="A16" s="175"/>
      <c r="B16" s="127"/>
      <c r="C16" s="121" t="s">
        <v>392</v>
      </c>
      <c r="D16" s="121"/>
      <c r="E16" s="121"/>
      <c r="F16" s="121"/>
      <c r="G16" s="121"/>
      <c r="H16" s="121"/>
      <c r="I16" s="121"/>
      <c r="J16" s="120"/>
      <c r="L16" s="345"/>
      <c r="M16" s="345"/>
      <c r="N16" s="345"/>
      <c r="O16" s="345"/>
      <c r="P16" s="345"/>
      <c r="Q16" s="345"/>
      <c r="R16" s="345"/>
    </row>
    <row r="17" spans="1:18" x14ac:dyDescent="0.2">
      <c r="A17" s="175"/>
      <c r="B17" s="127"/>
      <c r="C17" s="121" t="s">
        <v>391</v>
      </c>
      <c r="D17" s="121"/>
      <c r="E17" s="121"/>
      <c r="F17" s="121"/>
      <c r="G17" s="121"/>
      <c r="H17" s="252"/>
      <c r="I17" s="121"/>
      <c r="J17" s="120"/>
      <c r="L17" s="345"/>
      <c r="M17" s="345"/>
      <c r="N17" s="345"/>
      <c r="O17" s="345"/>
      <c r="P17" s="345"/>
      <c r="Q17" s="345"/>
      <c r="R17" s="345"/>
    </row>
    <row r="18" spans="1:18" ht="15" customHeight="1" x14ac:dyDescent="0.2">
      <c r="A18" s="175"/>
      <c r="B18" s="127"/>
      <c r="C18" s="251" t="s">
        <v>390</v>
      </c>
      <c r="D18" s="121"/>
      <c r="E18" s="121"/>
      <c r="F18" s="121"/>
      <c r="G18" s="121"/>
      <c r="H18" s="121"/>
      <c r="I18" s="121"/>
      <c r="J18" s="120"/>
      <c r="L18" s="345"/>
      <c r="M18" s="345"/>
      <c r="N18" s="345"/>
      <c r="O18" s="345"/>
      <c r="P18" s="345"/>
      <c r="Q18" s="345"/>
      <c r="R18" s="345"/>
    </row>
    <row r="19" spans="1:18" x14ac:dyDescent="0.2">
      <c r="A19" s="175"/>
      <c r="B19" s="127"/>
      <c r="C19" s="251" t="s">
        <v>389</v>
      </c>
      <c r="D19" s="121"/>
      <c r="E19" s="121"/>
      <c r="F19" s="121"/>
      <c r="G19" s="121"/>
      <c r="H19" s="121"/>
      <c r="I19" s="121"/>
      <c r="J19" s="120"/>
      <c r="L19" s="345"/>
      <c r="M19" s="345"/>
      <c r="N19" s="345"/>
      <c r="O19" s="345"/>
      <c r="P19" s="345"/>
      <c r="Q19" s="345"/>
      <c r="R19" s="345"/>
    </row>
    <row r="20" spans="1:18" x14ac:dyDescent="0.2">
      <c r="A20" s="175"/>
      <c r="B20" s="127"/>
      <c r="C20" s="121" t="s">
        <v>388</v>
      </c>
      <c r="D20" s="121"/>
      <c r="E20" s="121"/>
      <c r="F20" s="121"/>
      <c r="G20" s="121"/>
      <c r="H20" s="121"/>
      <c r="I20" s="121"/>
      <c r="J20" s="120"/>
      <c r="L20" s="345"/>
      <c r="M20" s="345"/>
      <c r="N20" s="345"/>
      <c r="O20" s="345"/>
      <c r="P20" s="345"/>
      <c r="Q20" s="345"/>
      <c r="R20" s="345"/>
    </row>
    <row r="21" spans="1:18" x14ac:dyDescent="0.2">
      <c r="A21" s="175"/>
      <c r="B21" s="127"/>
      <c r="C21" s="121"/>
      <c r="D21" s="121"/>
      <c r="E21" s="121"/>
      <c r="F21" s="121"/>
      <c r="G21" s="121"/>
      <c r="H21" s="121"/>
      <c r="I21" s="121"/>
      <c r="J21" s="120"/>
      <c r="L21" s="345"/>
      <c r="M21" s="345"/>
      <c r="N21" s="345"/>
      <c r="O21" s="345"/>
      <c r="P21" s="345"/>
      <c r="Q21" s="345"/>
      <c r="R21" s="345"/>
    </row>
    <row r="22" spans="1:18" x14ac:dyDescent="0.2">
      <c r="A22" s="175" t="s">
        <v>0</v>
      </c>
      <c r="B22" s="174" t="s">
        <v>315</v>
      </c>
      <c r="C22" s="121" t="s">
        <v>387</v>
      </c>
      <c r="D22" s="121"/>
      <c r="E22" s="121"/>
      <c r="F22" s="121"/>
      <c r="G22" s="121"/>
      <c r="H22" s="121"/>
      <c r="I22" s="121"/>
      <c r="J22" s="120"/>
      <c r="L22" s="345"/>
      <c r="M22" s="345"/>
      <c r="N22" s="345"/>
      <c r="O22" s="345"/>
      <c r="P22" s="345"/>
      <c r="Q22" s="345"/>
      <c r="R22" s="345"/>
    </row>
    <row r="23" spans="1:18" x14ac:dyDescent="0.2">
      <c r="A23" s="175"/>
      <c r="B23" s="121"/>
      <c r="C23" s="121" t="s">
        <v>386</v>
      </c>
      <c r="D23" s="121"/>
      <c r="E23" s="250"/>
      <c r="F23" s="121"/>
      <c r="G23" s="121"/>
      <c r="H23" s="121"/>
      <c r="I23" s="121"/>
      <c r="J23" s="120"/>
      <c r="L23" s="345"/>
      <c r="M23" s="345"/>
      <c r="N23" s="345"/>
      <c r="O23" s="345"/>
      <c r="P23" s="345"/>
      <c r="Q23" s="345"/>
      <c r="R23" s="345"/>
    </row>
    <row r="24" spans="1:18" x14ac:dyDescent="0.2">
      <c r="A24" s="175"/>
      <c r="B24" s="121"/>
      <c r="C24" s="130"/>
      <c r="D24" s="121"/>
      <c r="E24" s="121"/>
      <c r="F24" s="121"/>
      <c r="G24" s="121"/>
      <c r="H24" s="121"/>
      <c r="I24" s="121"/>
      <c r="J24" s="120"/>
      <c r="L24" s="345"/>
      <c r="M24" s="345"/>
      <c r="N24" s="345"/>
      <c r="O24" s="345"/>
      <c r="P24" s="345"/>
      <c r="Q24" s="345"/>
      <c r="R24" s="345"/>
    </row>
    <row r="25" spans="1:18" x14ac:dyDescent="0.2">
      <c r="A25" s="175" t="s">
        <v>1</v>
      </c>
      <c r="B25" s="121" t="s">
        <v>315</v>
      </c>
      <c r="C25" s="130" t="s">
        <v>385</v>
      </c>
      <c r="D25" s="121"/>
      <c r="E25" s="121"/>
      <c r="F25" s="121"/>
      <c r="G25" s="121"/>
      <c r="H25" s="121"/>
      <c r="I25" s="121"/>
      <c r="J25" s="120"/>
      <c r="L25" s="345"/>
      <c r="M25" s="345"/>
      <c r="N25" s="345"/>
      <c r="O25" s="345"/>
      <c r="P25" s="345"/>
      <c r="Q25" s="345"/>
      <c r="R25" s="345"/>
    </row>
    <row r="26" spans="1:18" x14ac:dyDescent="0.2">
      <c r="A26" s="175"/>
      <c r="B26" s="121"/>
      <c r="C26" s="121" t="s">
        <v>384</v>
      </c>
      <c r="D26" s="121"/>
      <c r="E26" s="121"/>
      <c r="F26" s="121"/>
      <c r="G26" s="121"/>
      <c r="H26" s="121"/>
      <c r="I26" s="121"/>
      <c r="J26" s="120"/>
      <c r="L26" s="345"/>
      <c r="M26" s="345"/>
      <c r="N26" s="345"/>
      <c r="O26" s="345"/>
      <c r="P26" s="345"/>
      <c r="Q26" s="345"/>
      <c r="R26" s="345"/>
    </row>
    <row r="27" spans="1:18" x14ac:dyDescent="0.2">
      <c r="A27" s="175"/>
      <c r="B27" s="121"/>
      <c r="C27" s="121"/>
      <c r="D27" s="121"/>
      <c r="E27" s="121"/>
      <c r="F27" s="121"/>
      <c r="G27" s="121"/>
      <c r="H27" s="121"/>
      <c r="I27" s="121"/>
      <c r="J27" s="120"/>
      <c r="L27" s="345"/>
      <c r="M27" s="345"/>
      <c r="N27" s="345"/>
      <c r="O27" s="345"/>
      <c r="P27" s="345"/>
      <c r="Q27" s="345"/>
      <c r="R27" s="345"/>
    </row>
    <row r="28" spans="1:18" x14ac:dyDescent="0.2">
      <c r="A28" s="175" t="s">
        <v>2</v>
      </c>
      <c r="B28" s="121" t="s">
        <v>315</v>
      </c>
      <c r="C28" s="121" t="s">
        <v>383</v>
      </c>
      <c r="D28" s="121"/>
      <c r="E28" s="121"/>
      <c r="F28" s="121"/>
      <c r="G28" s="121"/>
      <c r="H28" s="121"/>
      <c r="I28" s="121"/>
      <c r="J28" s="120"/>
      <c r="L28" s="345"/>
      <c r="M28" s="345"/>
      <c r="N28" s="345"/>
      <c r="O28" s="345"/>
      <c r="P28" s="345"/>
      <c r="Q28" s="345"/>
      <c r="R28" s="345"/>
    </row>
    <row r="29" spans="1:18" x14ac:dyDescent="0.2">
      <c r="A29" s="175"/>
      <c r="B29" s="121"/>
      <c r="C29" s="121" t="s">
        <v>382</v>
      </c>
      <c r="D29" s="121"/>
      <c r="E29" s="121"/>
      <c r="F29" s="121"/>
      <c r="G29" s="121"/>
      <c r="H29" s="121"/>
      <c r="I29" s="121"/>
      <c r="J29" s="120"/>
      <c r="L29" s="345"/>
      <c r="M29" s="345"/>
      <c r="N29" s="345"/>
      <c r="O29" s="345"/>
      <c r="P29" s="345"/>
      <c r="Q29" s="345"/>
      <c r="R29" s="345"/>
    </row>
    <row r="30" spans="1:18" ht="17" thickBot="1" x14ac:dyDescent="0.25">
      <c r="A30" s="172"/>
      <c r="B30" s="248"/>
      <c r="C30" s="249"/>
      <c r="D30" s="248"/>
      <c r="E30" s="248"/>
      <c r="F30" s="248"/>
      <c r="G30" s="248"/>
      <c r="H30" s="248"/>
      <c r="I30" s="248"/>
      <c r="J30" s="247"/>
      <c r="L30" s="345"/>
      <c r="M30" s="345"/>
      <c r="N30" s="345"/>
      <c r="O30" s="345"/>
      <c r="P30" s="345"/>
      <c r="Q30" s="345"/>
      <c r="R30" s="345"/>
    </row>
    <row r="31" spans="1:18" ht="17" thickBot="1" x14ac:dyDescent="0.25">
      <c r="A31" s="193" t="s">
        <v>134</v>
      </c>
      <c r="B31" s="117"/>
      <c r="C31" s="192"/>
      <c r="D31" s="117"/>
      <c r="E31" s="117"/>
      <c r="F31" s="117"/>
      <c r="G31" s="117"/>
      <c r="H31" s="117"/>
      <c r="I31" s="117"/>
      <c r="J31" s="116"/>
      <c r="L31" s="345"/>
      <c r="M31" s="345"/>
      <c r="N31" s="345"/>
      <c r="O31" s="345"/>
      <c r="P31" s="345"/>
      <c r="Q31" s="345"/>
      <c r="R31" s="345"/>
    </row>
    <row r="32" spans="1:18" x14ac:dyDescent="0.2">
      <c r="L32" s="345"/>
      <c r="M32" s="345"/>
      <c r="N32" s="345"/>
      <c r="O32" s="345"/>
      <c r="P32" s="345"/>
      <c r="Q32" s="345"/>
      <c r="R32" s="345"/>
    </row>
    <row r="33" spans="12:18" x14ac:dyDescent="0.2">
      <c r="L33" s="345"/>
      <c r="M33" s="345"/>
      <c r="N33" s="345"/>
      <c r="O33" s="345"/>
      <c r="P33" s="345"/>
      <c r="Q33" s="345"/>
      <c r="R33" s="345"/>
    </row>
    <row r="34" spans="12:18" x14ac:dyDescent="0.2">
      <c r="L34" s="345"/>
      <c r="M34" s="345"/>
      <c r="N34" s="345"/>
      <c r="O34" s="345"/>
      <c r="P34" s="345"/>
      <c r="Q34" s="345"/>
      <c r="R34" s="345"/>
    </row>
    <row r="35" spans="12:18" x14ac:dyDescent="0.2">
      <c r="L35" s="345"/>
      <c r="M35" s="345"/>
      <c r="N35" s="345"/>
      <c r="O35" s="345"/>
      <c r="P35" s="345"/>
      <c r="Q35" s="345"/>
      <c r="R35" s="345"/>
    </row>
    <row r="36" spans="12:18" x14ac:dyDescent="0.2">
      <c r="L36" s="345"/>
      <c r="M36" s="345"/>
      <c r="N36" s="345"/>
      <c r="O36" s="345"/>
      <c r="P36" s="345"/>
      <c r="Q36" s="345"/>
      <c r="R36" s="345"/>
    </row>
    <row r="37" spans="12:18" x14ac:dyDescent="0.2">
      <c r="L37" s="345"/>
      <c r="M37" s="345"/>
      <c r="N37" s="345"/>
      <c r="O37" s="345"/>
      <c r="P37" s="345"/>
      <c r="Q37" s="345"/>
      <c r="R37" s="345"/>
    </row>
    <row r="40" spans="12:18" ht="19" x14ac:dyDescent="0.25">
      <c r="L40" s="158" t="s">
        <v>103</v>
      </c>
    </row>
    <row r="41" spans="12:18" x14ac:dyDescent="0.2">
      <c r="L41" s="345" t="s">
        <v>381</v>
      </c>
      <c r="M41" s="345"/>
      <c r="N41" s="345"/>
      <c r="O41" s="345"/>
      <c r="P41" s="345"/>
      <c r="Q41" s="345"/>
      <c r="R41" s="345"/>
    </row>
    <row r="42" spans="12:18" x14ac:dyDescent="0.2">
      <c r="L42" s="345"/>
      <c r="M42" s="345"/>
      <c r="N42" s="345"/>
      <c r="O42" s="345"/>
      <c r="P42" s="345"/>
      <c r="Q42" s="345"/>
      <c r="R42" s="345"/>
    </row>
    <row r="43" spans="12:18" x14ac:dyDescent="0.2">
      <c r="L43" s="345"/>
      <c r="M43" s="345"/>
      <c r="N43" s="345"/>
      <c r="O43" s="345"/>
      <c r="P43" s="345"/>
      <c r="Q43" s="345"/>
      <c r="R43" s="345"/>
    </row>
  </sheetData>
  <mergeCells count="6">
    <mergeCell ref="L4:R8"/>
    <mergeCell ref="L41:R43"/>
    <mergeCell ref="C12:D12"/>
    <mergeCell ref="C13:D13"/>
    <mergeCell ref="C14:D14"/>
    <mergeCell ref="L12:R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D312-562D-4A49-9627-F2DA7B163325}">
  <dimension ref="A1:S22"/>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8" width="10.83203125" hidden="1" customWidth="1" outlineLevel="1"/>
    <col min="19" max="19" width="11" collapsed="1"/>
  </cols>
  <sheetData>
    <row r="1" spans="1:19" x14ac:dyDescent="0.2">
      <c r="A1" s="246"/>
      <c r="B1" s="162" t="s">
        <v>367</v>
      </c>
      <c r="C1" s="161" t="s">
        <v>411</v>
      </c>
      <c r="D1" s="161" t="s">
        <v>365</v>
      </c>
      <c r="E1" s="161" t="s">
        <v>420</v>
      </c>
      <c r="F1" s="160"/>
      <c r="G1" s="160"/>
      <c r="H1" s="160"/>
      <c r="I1" s="160"/>
      <c r="J1" s="159"/>
      <c r="K1" s="155" t="s">
        <v>135</v>
      </c>
      <c r="L1" s="155"/>
    </row>
    <row r="2" spans="1:19" ht="19" x14ac:dyDescent="0.2">
      <c r="A2" s="175"/>
      <c r="B2" s="245" t="s">
        <v>363</v>
      </c>
      <c r="C2" s="244">
        <v>2.25</v>
      </c>
      <c r="D2" s="121"/>
      <c r="E2" s="121"/>
      <c r="F2" s="121"/>
      <c r="G2" s="121"/>
      <c r="H2" s="121"/>
      <c r="I2" s="121"/>
      <c r="J2" s="120"/>
      <c r="S2" s="190"/>
    </row>
    <row r="3" spans="1:19" x14ac:dyDescent="0.2">
      <c r="A3" s="175"/>
      <c r="B3" s="121"/>
      <c r="C3" s="121"/>
      <c r="D3" s="121"/>
      <c r="E3" s="121"/>
      <c r="F3" s="121"/>
      <c r="G3" s="121"/>
      <c r="H3" s="121"/>
      <c r="I3" s="121"/>
      <c r="J3" s="120"/>
      <c r="L3" s="155" t="s">
        <v>362</v>
      </c>
    </row>
    <row r="4" spans="1:19" x14ac:dyDescent="0.2">
      <c r="A4" s="175"/>
      <c r="B4" s="121"/>
      <c r="C4" s="121" t="s">
        <v>419</v>
      </c>
      <c r="D4" s="121"/>
      <c r="E4" s="121"/>
      <c r="F4" s="121"/>
      <c r="G4" s="121"/>
      <c r="H4" s="121"/>
      <c r="I4" s="121"/>
      <c r="J4" s="120"/>
    </row>
    <row r="5" spans="1:19" x14ac:dyDescent="0.2">
      <c r="A5" s="175"/>
      <c r="B5" s="121"/>
      <c r="C5" s="121" t="s">
        <v>418</v>
      </c>
      <c r="D5" s="121"/>
      <c r="E5" s="121"/>
      <c r="F5" s="121"/>
      <c r="G5" s="121"/>
      <c r="H5" s="121"/>
      <c r="I5" s="121"/>
      <c r="J5" s="120"/>
      <c r="L5" s="345" t="s">
        <v>417</v>
      </c>
      <c r="M5" s="345"/>
      <c r="N5" s="345"/>
      <c r="O5" s="345"/>
      <c r="P5" s="345"/>
      <c r="Q5" s="345"/>
      <c r="R5" s="345"/>
    </row>
    <row r="6" spans="1:19" ht="15.75" customHeight="1" x14ac:dyDescent="0.2">
      <c r="A6" s="175"/>
      <c r="B6" s="121"/>
      <c r="C6" s="121"/>
      <c r="D6" s="121"/>
      <c r="E6" s="121"/>
      <c r="F6" s="121"/>
      <c r="G6" s="121"/>
      <c r="H6" s="121"/>
      <c r="I6" s="121"/>
      <c r="J6" s="120"/>
      <c r="L6" s="345"/>
      <c r="M6" s="345"/>
      <c r="N6" s="345"/>
      <c r="O6" s="345"/>
      <c r="P6" s="345"/>
      <c r="Q6" s="345"/>
      <c r="R6" s="345"/>
    </row>
    <row r="7" spans="1:19" x14ac:dyDescent="0.2">
      <c r="A7" s="175" t="s">
        <v>0</v>
      </c>
      <c r="B7" s="121" t="s">
        <v>310</v>
      </c>
      <c r="C7" s="121" t="s">
        <v>416</v>
      </c>
      <c r="D7" s="121"/>
      <c r="E7" s="121"/>
      <c r="F7" s="121"/>
      <c r="G7" s="121"/>
      <c r="H7" s="121"/>
      <c r="I7" s="121"/>
      <c r="J7" s="120"/>
      <c r="L7" s="345"/>
      <c r="M7" s="345"/>
      <c r="N7" s="345"/>
      <c r="O7" s="345"/>
      <c r="P7" s="345"/>
      <c r="Q7" s="345"/>
      <c r="R7" s="345"/>
    </row>
    <row r="8" spans="1:19" x14ac:dyDescent="0.2">
      <c r="A8" s="175"/>
      <c r="B8" s="121"/>
      <c r="C8" s="121"/>
      <c r="D8" s="121"/>
      <c r="E8" s="121"/>
      <c r="F8" s="121"/>
      <c r="G8" s="121"/>
      <c r="H8" s="121"/>
      <c r="I8" s="121"/>
      <c r="J8" s="120"/>
      <c r="L8" s="345"/>
      <c r="M8" s="345"/>
      <c r="N8" s="345"/>
      <c r="O8" s="345"/>
      <c r="P8" s="345"/>
      <c r="Q8" s="345"/>
      <c r="R8" s="345"/>
    </row>
    <row r="9" spans="1:19" x14ac:dyDescent="0.2">
      <c r="A9" s="175" t="s">
        <v>1</v>
      </c>
      <c r="B9" s="121" t="s">
        <v>310</v>
      </c>
      <c r="C9" s="121" t="s">
        <v>415</v>
      </c>
      <c r="D9" s="121"/>
      <c r="E9" s="121"/>
      <c r="F9" s="121"/>
      <c r="G9" s="121"/>
      <c r="H9" s="121"/>
      <c r="I9" s="121"/>
      <c r="J9" s="120"/>
    </row>
    <row r="10" spans="1:19" x14ac:dyDescent="0.2">
      <c r="A10" s="175"/>
      <c r="B10" s="121"/>
      <c r="C10" s="121"/>
      <c r="D10" s="121"/>
      <c r="E10" s="121"/>
      <c r="F10" s="121"/>
      <c r="G10" s="121"/>
      <c r="H10" s="121"/>
      <c r="I10" s="121"/>
      <c r="J10" s="120"/>
      <c r="L10" s="155" t="s">
        <v>345</v>
      </c>
    </row>
    <row r="11" spans="1:19" x14ac:dyDescent="0.2">
      <c r="A11" s="175" t="s">
        <v>2</v>
      </c>
      <c r="B11" s="121" t="s">
        <v>310</v>
      </c>
      <c r="C11" s="121" t="s">
        <v>414</v>
      </c>
      <c r="D11" s="121"/>
      <c r="E11" s="121"/>
      <c r="F11" s="121"/>
      <c r="G11" s="121"/>
      <c r="H11" s="121"/>
      <c r="I11" s="121"/>
      <c r="J11" s="120"/>
    </row>
    <row r="12" spans="1:19" ht="17" thickBot="1" x14ac:dyDescent="0.25">
      <c r="A12" s="175"/>
      <c r="B12" s="121"/>
      <c r="C12" s="121"/>
      <c r="D12" s="121"/>
      <c r="E12" s="121"/>
      <c r="F12" s="121"/>
      <c r="G12" s="121"/>
      <c r="H12" s="121"/>
      <c r="I12" s="121"/>
      <c r="J12" s="120"/>
      <c r="L12" s="345" t="s">
        <v>413</v>
      </c>
      <c r="M12" s="345"/>
      <c r="N12" s="345"/>
      <c r="O12" s="345"/>
      <c r="P12" s="345"/>
      <c r="Q12" s="345"/>
      <c r="R12" s="345"/>
    </row>
    <row r="13" spans="1:19" ht="17" thickBot="1" x14ac:dyDescent="0.25">
      <c r="A13" s="193" t="s">
        <v>134</v>
      </c>
      <c r="B13" s="117"/>
      <c r="C13" s="192"/>
      <c r="D13" s="117"/>
      <c r="E13" s="117"/>
      <c r="F13" s="117"/>
      <c r="G13" s="117"/>
      <c r="H13" s="117"/>
      <c r="I13" s="117"/>
      <c r="J13" s="116"/>
      <c r="L13" s="345"/>
      <c r="M13" s="345"/>
      <c r="N13" s="345"/>
      <c r="O13" s="345"/>
      <c r="P13" s="345"/>
      <c r="Q13" s="345"/>
      <c r="R13" s="345"/>
    </row>
    <row r="14" spans="1:19" x14ac:dyDescent="0.2">
      <c r="L14" s="345"/>
      <c r="M14" s="345"/>
      <c r="N14" s="345"/>
      <c r="O14" s="345"/>
      <c r="P14" s="345"/>
      <c r="Q14" s="345"/>
      <c r="R14" s="345"/>
    </row>
    <row r="15" spans="1:19" x14ac:dyDescent="0.2">
      <c r="L15" s="345"/>
      <c r="M15" s="345"/>
      <c r="N15" s="345"/>
      <c r="O15" s="345"/>
      <c r="P15" s="345"/>
      <c r="Q15" s="345"/>
      <c r="R15" s="345"/>
    </row>
    <row r="17" spans="12:18" x14ac:dyDescent="0.2">
      <c r="L17" s="155" t="s">
        <v>341</v>
      </c>
    </row>
    <row r="19" spans="12:18" x14ac:dyDescent="0.2">
      <c r="L19" s="345" t="s">
        <v>412</v>
      </c>
      <c r="M19" s="345"/>
      <c r="N19" s="345"/>
      <c r="O19" s="345"/>
      <c r="P19" s="345"/>
      <c r="Q19" s="345"/>
      <c r="R19" s="345"/>
    </row>
    <row r="20" spans="12:18" x14ac:dyDescent="0.2">
      <c r="L20" s="345"/>
      <c r="M20" s="345"/>
      <c r="N20" s="345"/>
      <c r="O20" s="345"/>
      <c r="P20" s="345"/>
      <c r="Q20" s="345"/>
      <c r="R20" s="345"/>
    </row>
    <row r="21" spans="12:18" x14ac:dyDescent="0.2">
      <c r="L21" s="345"/>
      <c r="M21" s="345"/>
      <c r="N21" s="345"/>
      <c r="O21" s="345"/>
      <c r="P21" s="345"/>
      <c r="Q21" s="345"/>
      <c r="R21" s="345"/>
    </row>
    <row r="22" spans="12:18" x14ac:dyDescent="0.2">
      <c r="L22" s="345"/>
      <c r="M22" s="345"/>
      <c r="N22" s="345"/>
      <c r="O22" s="345"/>
      <c r="P22" s="345"/>
      <c r="Q22" s="345"/>
      <c r="R22" s="345"/>
    </row>
  </sheetData>
  <mergeCells count="3">
    <mergeCell ref="L5:R8"/>
    <mergeCell ref="L12:R15"/>
    <mergeCell ref="L19:R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FBEA-AD88-5F4C-880F-BDA0B8A703AE}">
  <dimension ref="A1:T33"/>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8" width="10.83203125" hidden="1" customWidth="1" outlineLevel="1"/>
    <col min="19" max="19" width="11" collapsed="1"/>
  </cols>
  <sheetData>
    <row r="1" spans="1:20" x14ac:dyDescent="0.2">
      <c r="A1" s="246"/>
      <c r="B1" s="162" t="s">
        <v>367</v>
      </c>
      <c r="C1" s="161" t="s">
        <v>441</v>
      </c>
      <c r="D1" s="161" t="s">
        <v>365</v>
      </c>
      <c r="E1" s="161" t="s">
        <v>440</v>
      </c>
      <c r="F1" s="160"/>
      <c r="G1" s="160"/>
      <c r="H1" s="160"/>
      <c r="I1" s="160"/>
      <c r="J1" s="159"/>
      <c r="K1" s="155" t="s">
        <v>135</v>
      </c>
      <c r="L1" s="155"/>
    </row>
    <row r="2" spans="1:20" x14ac:dyDescent="0.2">
      <c r="A2" s="175"/>
      <c r="B2" s="245" t="s">
        <v>363</v>
      </c>
      <c r="C2" s="244">
        <v>1.5</v>
      </c>
      <c r="D2" s="121"/>
      <c r="E2" s="121"/>
      <c r="F2" s="121"/>
      <c r="G2" s="121"/>
      <c r="H2" s="121"/>
      <c r="I2" s="121"/>
      <c r="J2" s="120"/>
    </row>
    <row r="3" spans="1:20" x14ac:dyDescent="0.2">
      <c r="A3" s="175"/>
      <c r="B3" s="121"/>
      <c r="C3" s="121"/>
      <c r="D3" s="121"/>
      <c r="E3" s="121"/>
      <c r="F3" s="121"/>
      <c r="G3" s="121"/>
      <c r="H3" s="121"/>
      <c r="I3" s="121"/>
      <c r="J3" s="120"/>
      <c r="L3" s="348" t="s">
        <v>439</v>
      </c>
      <c r="M3" s="348"/>
      <c r="N3" s="348"/>
      <c r="O3" s="348"/>
      <c r="P3" s="348"/>
      <c r="Q3" s="348"/>
      <c r="R3" s="257"/>
      <c r="S3" s="257"/>
      <c r="T3" s="257"/>
    </row>
    <row r="4" spans="1:20" ht="16" customHeight="1" x14ac:dyDescent="0.2">
      <c r="A4" s="175"/>
      <c r="B4" s="121"/>
      <c r="C4" s="121" t="s">
        <v>438</v>
      </c>
      <c r="D4" s="121"/>
      <c r="E4" s="121"/>
      <c r="F4" s="121"/>
      <c r="G4" s="121"/>
      <c r="H4" s="121"/>
      <c r="I4" s="121"/>
      <c r="J4" s="120"/>
      <c r="L4" s="347" t="s">
        <v>437</v>
      </c>
      <c r="M4" s="347"/>
      <c r="N4" s="347"/>
      <c r="O4" s="347"/>
      <c r="P4" s="347"/>
      <c r="Q4" s="347"/>
      <c r="R4" s="347"/>
      <c r="S4" s="257"/>
      <c r="T4" s="257"/>
    </row>
    <row r="5" spans="1:20" x14ac:dyDescent="0.2">
      <c r="A5" s="175"/>
      <c r="B5" s="121"/>
      <c r="C5" s="121" t="s">
        <v>436</v>
      </c>
      <c r="D5" s="121"/>
      <c r="E5" s="121"/>
      <c r="F5" s="121"/>
      <c r="G5" s="121"/>
      <c r="H5" s="121"/>
      <c r="I5" s="121"/>
      <c r="J5" s="120"/>
      <c r="L5" s="347"/>
      <c r="M5" s="347"/>
      <c r="N5" s="347"/>
      <c r="O5" s="347"/>
      <c r="P5" s="347"/>
      <c r="Q5" s="347"/>
      <c r="R5" s="347"/>
      <c r="S5" s="257"/>
      <c r="T5" s="257"/>
    </row>
    <row r="6" spans="1:20" x14ac:dyDescent="0.2">
      <c r="A6" s="175"/>
      <c r="B6" s="121"/>
      <c r="C6" s="121"/>
      <c r="D6" s="121"/>
      <c r="E6" s="121"/>
      <c r="F6" s="121"/>
      <c r="G6" s="121"/>
      <c r="H6" s="121"/>
      <c r="I6" s="121"/>
      <c r="J6" s="120"/>
      <c r="L6" s="257"/>
      <c r="M6" s="257"/>
      <c r="N6" s="257"/>
      <c r="O6" s="257"/>
      <c r="P6" s="257"/>
      <c r="Q6" s="257"/>
      <c r="R6" s="257"/>
      <c r="S6" s="257"/>
      <c r="T6" s="257"/>
    </row>
    <row r="7" spans="1:20" x14ac:dyDescent="0.2">
      <c r="A7" s="175"/>
      <c r="B7" s="121"/>
      <c r="C7" s="121" t="s">
        <v>435</v>
      </c>
      <c r="D7" s="121"/>
      <c r="E7" s="121"/>
      <c r="F7" s="121"/>
      <c r="G7" s="121"/>
      <c r="H7" s="121"/>
      <c r="I7" s="121"/>
      <c r="J7" s="120"/>
      <c r="L7" s="348" t="s">
        <v>434</v>
      </c>
      <c r="M7" s="348"/>
      <c r="N7" s="348"/>
      <c r="O7" s="348"/>
      <c r="P7" s="348"/>
      <c r="Q7" s="348"/>
      <c r="R7" s="257"/>
      <c r="S7" s="257"/>
      <c r="T7" s="257"/>
    </row>
    <row r="8" spans="1:20" ht="16" customHeight="1" x14ac:dyDescent="0.2">
      <c r="A8" s="175"/>
      <c r="B8" s="121"/>
      <c r="C8" s="121" t="s">
        <v>433</v>
      </c>
      <c r="D8" s="121"/>
      <c r="E8" s="121"/>
      <c r="F8" s="121"/>
      <c r="G8" s="121"/>
      <c r="H8" s="121"/>
      <c r="I8" s="121"/>
      <c r="J8" s="120"/>
      <c r="L8" s="347" t="s">
        <v>432</v>
      </c>
      <c r="M8" s="347"/>
      <c r="N8" s="347"/>
      <c r="O8" s="347"/>
      <c r="P8" s="347"/>
      <c r="Q8" s="347"/>
      <c r="R8" s="347"/>
      <c r="S8" s="257"/>
      <c r="T8" s="257"/>
    </row>
    <row r="9" spans="1:20" x14ac:dyDescent="0.2">
      <c r="A9" s="175"/>
      <c r="B9" s="121"/>
      <c r="C9" s="121" t="s">
        <v>431</v>
      </c>
      <c r="D9" s="121"/>
      <c r="E9" s="121"/>
      <c r="F9" s="121"/>
      <c r="G9" s="121"/>
      <c r="H9" s="121"/>
      <c r="I9" s="121"/>
      <c r="J9" s="120"/>
      <c r="L9" s="347"/>
      <c r="M9" s="347"/>
      <c r="N9" s="347"/>
      <c r="O9" s="347"/>
      <c r="P9" s="347"/>
      <c r="Q9" s="347"/>
      <c r="R9" s="347"/>
      <c r="S9" s="257"/>
      <c r="T9" s="257"/>
    </row>
    <row r="10" spans="1:20" ht="17" thickBot="1" x14ac:dyDescent="0.25">
      <c r="A10" s="175"/>
      <c r="B10" s="121"/>
      <c r="C10" s="121"/>
      <c r="D10" s="121"/>
      <c r="E10" s="121"/>
      <c r="F10" s="121"/>
      <c r="G10" s="121"/>
      <c r="H10" s="121"/>
      <c r="I10" s="121"/>
      <c r="J10" s="120"/>
      <c r="L10" s="257"/>
      <c r="M10" s="257"/>
      <c r="N10" s="257"/>
      <c r="O10" s="257"/>
      <c r="P10" s="257"/>
      <c r="Q10" s="257"/>
      <c r="R10" s="257"/>
      <c r="S10" s="257"/>
      <c r="T10" s="257"/>
    </row>
    <row r="11" spans="1:20" ht="17" thickBot="1" x14ac:dyDescent="0.25">
      <c r="A11" s="193" t="s">
        <v>134</v>
      </c>
      <c r="B11" s="117"/>
      <c r="C11" s="192"/>
      <c r="D11" s="117"/>
      <c r="E11" s="117"/>
      <c r="F11" s="117"/>
      <c r="G11" s="117"/>
      <c r="H11" s="117"/>
      <c r="I11" s="117"/>
      <c r="J11" s="116"/>
      <c r="L11" s="348" t="s">
        <v>430</v>
      </c>
      <c r="M11" s="348"/>
      <c r="N11" s="348"/>
      <c r="O11" s="348"/>
      <c r="P11" s="348"/>
      <c r="Q11" s="348"/>
      <c r="R11" s="257"/>
      <c r="S11" s="257"/>
      <c r="T11" s="257"/>
    </row>
    <row r="12" spans="1:20" ht="16" customHeight="1" x14ac:dyDescent="0.2">
      <c r="L12" s="347" t="s">
        <v>429</v>
      </c>
      <c r="M12" s="347"/>
      <c r="N12" s="347"/>
      <c r="O12" s="347"/>
      <c r="P12" s="347"/>
      <c r="Q12" s="347"/>
      <c r="R12" s="347"/>
      <c r="S12" s="257"/>
      <c r="T12" s="257"/>
    </row>
    <row r="13" spans="1:20" x14ac:dyDescent="0.2">
      <c r="L13" s="347"/>
      <c r="M13" s="347"/>
      <c r="N13" s="347"/>
      <c r="O13" s="347"/>
      <c r="P13" s="347"/>
      <c r="Q13" s="347"/>
      <c r="R13" s="347"/>
      <c r="S13" s="257"/>
      <c r="T13" s="257"/>
    </row>
    <row r="14" spans="1:20" x14ac:dyDescent="0.2">
      <c r="L14" s="257"/>
      <c r="M14" s="257"/>
      <c r="N14" s="257"/>
      <c r="O14" s="257"/>
      <c r="P14" s="257"/>
      <c r="Q14" s="257"/>
      <c r="R14" s="257"/>
      <c r="S14" s="257"/>
      <c r="T14" s="257"/>
    </row>
    <row r="15" spans="1:20" x14ac:dyDescent="0.2">
      <c r="L15" s="257"/>
      <c r="M15" s="257"/>
      <c r="N15" s="257"/>
      <c r="O15" s="257"/>
      <c r="P15" s="257"/>
      <c r="Q15" s="257"/>
      <c r="R15" s="257"/>
      <c r="S15" s="257"/>
      <c r="T15" s="257"/>
    </row>
    <row r="16" spans="1:20" ht="19" x14ac:dyDescent="0.2">
      <c r="L16" s="33" t="s">
        <v>103</v>
      </c>
      <c r="M16" s="257"/>
      <c r="N16" s="257"/>
      <c r="O16" s="257"/>
      <c r="P16" s="257"/>
      <c r="Q16" s="257"/>
      <c r="R16" s="257"/>
      <c r="S16" s="257"/>
      <c r="T16" s="257"/>
    </row>
    <row r="17" spans="12:20" x14ac:dyDescent="0.2">
      <c r="L17" s="349" t="s">
        <v>428</v>
      </c>
      <c r="M17" s="350"/>
      <c r="N17" s="350"/>
      <c r="O17" s="350"/>
      <c r="P17" s="350"/>
      <c r="Q17" s="350"/>
      <c r="R17" s="350"/>
      <c r="S17" s="257"/>
      <c r="T17" s="257"/>
    </row>
    <row r="18" spans="12:20" x14ac:dyDescent="0.2">
      <c r="L18" s="350"/>
      <c r="M18" s="350"/>
      <c r="N18" s="350"/>
      <c r="O18" s="350"/>
      <c r="P18" s="350"/>
      <c r="Q18" s="350"/>
      <c r="R18" s="350"/>
      <c r="S18" s="257"/>
      <c r="T18" s="257"/>
    </row>
    <row r="19" spans="12:20" x14ac:dyDescent="0.2">
      <c r="L19" s="350"/>
      <c r="M19" s="350"/>
      <c r="N19" s="350"/>
      <c r="O19" s="350"/>
      <c r="P19" s="350"/>
      <c r="Q19" s="350"/>
      <c r="R19" s="350"/>
      <c r="S19" s="257"/>
      <c r="T19" s="257"/>
    </row>
    <row r="20" spans="12:20" x14ac:dyDescent="0.2">
      <c r="S20" s="257"/>
      <c r="T20" s="257"/>
    </row>
    <row r="21" spans="12:20" x14ac:dyDescent="0.2">
      <c r="L21" s="258" t="s">
        <v>427</v>
      </c>
      <c r="M21" s="258"/>
      <c r="N21" s="258"/>
      <c r="O21" s="258"/>
      <c r="P21" s="258"/>
      <c r="Q21" s="257"/>
      <c r="R21" s="257"/>
      <c r="S21" s="257"/>
      <c r="T21" s="257"/>
    </row>
    <row r="22" spans="12:20" x14ac:dyDescent="0.2">
      <c r="L22" s="259" t="s">
        <v>425</v>
      </c>
      <c r="N22" s="258"/>
      <c r="O22" s="258"/>
      <c r="P22" s="258"/>
      <c r="Q22" s="258"/>
      <c r="R22" s="258"/>
      <c r="S22" s="257"/>
    </row>
    <row r="23" spans="12:20" x14ac:dyDescent="0.2">
      <c r="L23" s="259"/>
      <c r="N23" s="258"/>
      <c r="O23" s="258"/>
      <c r="P23" s="258"/>
      <c r="Q23" s="258"/>
      <c r="R23" s="258"/>
      <c r="S23" s="257"/>
    </row>
    <row r="24" spans="12:20" x14ac:dyDescent="0.2">
      <c r="L24" s="258" t="s">
        <v>426</v>
      </c>
      <c r="M24" s="258"/>
      <c r="N24" s="258"/>
      <c r="O24" s="258"/>
      <c r="P24" s="258"/>
      <c r="Q24" s="257"/>
      <c r="R24" s="257"/>
      <c r="S24" s="257"/>
    </row>
    <row r="25" spans="12:20" x14ac:dyDescent="0.2">
      <c r="L25" s="259" t="s">
        <v>425</v>
      </c>
      <c r="N25" s="258"/>
      <c r="O25" s="258"/>
      <c r="P25" s="258"/>
      <c r="Q25" s="258"/>
      <c r="R25" s="258"/>
      <c r="S25" s="257"/>
    </row>
    <row r="26" spans="12:20" x14ac:dyDescent="0.2">
      <c r="L26" s="259"/>
      <c r="N26" s="258"/>
      <c r="O26" s="258"/>
      <c r="P26" s="258"/>
      <c r="Q26" s="258"/>
      <c r="R26" s="258"/>
      <c r="S26" s="257"/>
    </row>
    <row r="27" spans="12:20" x14ac:dyDescent="0.2">
      <c r="L27" s="258" t="s">
        <v>424</v>
      </c>
      <c r="M27" s="258"/>
      <c r="N27" s="258"/>
      <c r="O27" s="258"/>
      <c r="P27" s="258"/>
      <c r="Q27" s="257"/>
      <c r="R27" s="257"/>
      <c r="S27" s="257"/>
    </row>
    <row r="28" spans="12:20" ht="16" customHeight="1" x14ac:dyDescent="0.2">
      <c r="L28" s="347" t="s">
        <v>423</v>
      </c>
      <c r="M28" s="347"/>
      <c r="N28" s="347"/>
      <c r="O28" s="347"/>
      <c r="P28" s="347"/>
      <c r="Q28" s="347"/>
      <c r="R28" s="260"/>
    </row>
    <row r="29" spans="12:20" x14ac:dyDescent="0.2">
      <c r="L29" s="347"/>
      <c r="M29" s="347"/>
      <c r="N29" s="347"/>
      <c r="O29" s="347"/>
      <c r="P29" s="347"/>
      <c r="Q29" s="347"/>
      <c r="R29" s="260"/>
    </row>
    <row r="30" spans="12:20" x14ac:dyDescent="0.2">
      <c r="L30" s="261"/>
      <c r="M30" s="261"/>
      <c r="N30" s="261"/>
      <c r="O30" s="261"/>
      <c r="P30" s="261"/>
      <c r="Q30" s="261"/>
      <c r="R30" s="260"/>
    </row>
    <row r="31" spans="12:20" x14ac:dyDescent="0.2">
      <c r="L31" s="258" t="s">
        <v>422</v>
      </c>
      <c r="M31" s="258"/>
      <c r="N31" s="258"/>
      <c r="O31" s="258"/>
      <c r="P31" s="258"/>
      <c r="Q31" s="257"/>
      <c r="R31" s="257"/>
      <c r="S31" s="257"/>
    </row>
    <row r="32" spans="12:20" x14ac:dyDescent="0.2">
      <c r="L32" s="259" t="s">
        <v>421</v>
      </c>
      <c r="N32" s="258"/>
      <c r="O32" s="258"/>
      <c r="P32" s="258"/>
      <c r="Q32" s="258"/>
      <c r="R32" s="258"/>
      <c r="S32" s="257"/>
    </row>
    <row r="33" spans="12:12" x14ac:dyDescent="0.2">
      <c r="L33" s="257"/>
    </row>
  </sheetData>
  <mergeCells count="8">
    <mergeCell ref="L28:Q29"/>
    <mergeCell ref="L12:R13"/>
    <mergeCell ref="L3:Q3"/>
    <mergeCell ref="L7:Q7"/>
    <mergeCell ref="L11:Q11"/>
    <mergeCell ref="L4:R5"/>
    <mergeCell ref="L8:R9"/>
    <mergeCell ref="L17:R1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BDC9-8DB1-7649-8205-ADFA7F9C07E4}">
  <dimension ref="A1:S42"/>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7" width="10.83203125" hidden="1" customWidth="1" outlineLevel="1"/>
    <col min="18" max="18" width="0" hidden="1" customWidth="1" outlineLevel="1"/>
    <col min="19" max="19" width="11" collapsed="1"/>
  </cols>
  <sheetData>
    <row r="1" spans="1:18" x14ac:dyDescent="0.2">
      <c r="A1" s="246"/>
      <c r="B1" s="162" t="s">
        <v>367</v>
      </c>
      <c r="C1" s="161" t="s">
        <v>441</v>
      </c>
      <c r="D1" s="161" t="s">
        <v>365</v>
      </c>
      <c r="E1" s="161" t="s">
        <v>364</v>
      </c>
      <c r="F1" s="160"/>
      <c r="G1" s="160"/>
      <c r="H1" s="160"/>
      <c r="I1" s="160"/>
      <c r="J1" s="159"/>
      <c r="K1" s="155" t="s">
        <v>135</v>
      </c>
      <c r="L1" s="155"/>
    </row>
    <row r="2" spans="1:18" x14ac:dyDescent="0.2">
      <c r="A2" s="175"/>
      <c r="B2" s="245" t="s">
        <v>363</v>
      </c>
      <c r="C2" s="244">
        <v>3.5</v>
      </c>
      <c r="D2" s="121"/>
      <c r="E2" s="121"/>
      <c r="F2" s="121"/>
      <c r="G2" s="121"/>
      <c r="H2" s="121"/>
      <c r="I2" s="121"/>
      <c r="J2" s="120"/>
    </row>
    <row r="3" spans="1:18" ht="15.75" customHeight="1" x14ac:dyDescent="0.2">
      <c r="A3" s="175"/>
      <c r="B3" s="121"/>
      <c r="C3" s="121"/>
      <c r="D3" s="121"/>
      <c r="E3" s="121"/>
      <c r="F3" s="121"/>
      <c r="G3" s="121"/>
      <c r="H3" s="121"/>
      <c r="I3" s="121"/>
      <c r="J3" s="120"/>
      <c r="L3" s="270" t="s">
        <v>362</v>
      </c>
    </row>
    <row r="4" spans="1:18" ht="16" customHeight="1" x14ac:dyDescent="0.2">
      <c r="A4" s="175"/>
      <c r="B4" s="121"/>
      <c r="C4" s="121" t="s">
        <v>465</v>
      </c>
      <c r="D4" s="121"/>
      <c r="E4" s="121"/>
      <c r="F4" s="121"/>
      <c r="G4" s="121"/>
      <c r="H4" s="121"/>
      <c r="I4" s="121"/>
      <c r="J4" s="120"/>
      <c r="L4" s="352" t="s">
        <v>464</v>
      </c>
      <c r="M4" s="352"/>
      <c r="N4" s="352"/>
      <c r="O4" s="352"/>
      <c r="P4" s="352"/>
      <c r="Q4" s="352"/>
      <c r="R4" s="352"/>
    </row>
    <row r="5" spans="1:18" x14ac:dyDescent="0.2">
      <c r="A5" s="175"/>
      <c r="B5" s="121"/>
      <c r="C5" s="121" t="s">
        <v>463</v>
      </c>
      <c r="D5" s="121"/>
      <c r="E5" s="121"/>
      <c r="F5" s="121"/>
      <c r="G5" s="121"/>
      <c r="H5" s="121"/>
      <c r="I5" s="121"/>
      <c r="J5" s="120"/>
      <c r="L5" s="352"/>
      <c r="M5" s="352"/>
      <c r="N5" s="352"/>
      <c r="O5" s="352"/>
      <c r="P5" s="352"/>
      <c r="Q5" s="352"/>
      <c r="R5" s="352"/>
    </row>
    <row r="6" spans="1:18" x14ac:dyDescent="0.2">
      <c r="A6" s="175"/>
      <c r="B6" s="121"/>
      <c r="C6" s="121"/>
      <c r="D6" s="121"/>
      <c r="E6" s="121"/>
      <c r="F6" s="121"/>
      <c r="G6" s="121"/>
      <c r="H6" s="121"/>
      <c r="I6" s="121"/>
      <c r="J6" s="120"/>
      <c r="L6" s="352"/>
      <c r="M6" s="352"/>
      <c r="N6" s="352"/>
      <c r="O6" s="352"/>
      <c r="P6" s="352"/>
      <c r="Q6" s="352"/>
      <c r="R6" s="352"/>
    </row>
    <row r="7" spans="1:18" ht="16" customHeight="1" x14ac:dyDescent="0.2">
      <c r="A7" s="175"/>
      <c r="B7" s="121"/>
      <c r="C7" s="338"/>
      <c r="D7" s="339"/>
      <c r="E7" s="353" t="s">
        <v>462</v>
      </c>
      <c r="F7" s="353" t="s">
        <v>461</v>
      </c>
      <c r="G7" s="353" t="s">
        <v>460</v>
      </c>
      <c r="H7" s="356" t="s">
        <v>459</v>
      </c>
      <c r="I7" s="121"/>
      <c r="J7" s="120"/>
      <c r="L7" s="352"/>
      <c r="M7" s="352"/>
      <c r="N7" s="352"/>
      <c r="O7" s="352"/>
      <c r="P7" s="352"/>
      <c r="Q7" s="352"/>
      <c r="R7" s="352"/>
    </row>
    <row r="8" spans="1:18" x14ac:dyDescent="0.2">
      <c r="A8" s="175"/>
      <c r="B8" s="121"/>
      <c r="C8" s="342"/>
      <c r="D8" s="343"/>
      <c r="E8" s="354"/>
      <c r="F8" s="354"/>
      <c r="G8" s="354"/>
      <c r="H8" s="343"/>
      <c r="I8" s="121"/>
      <c r="J8" s="120"/>
      <c r="L8" s="352"/>
      <c r="M8" s="352"/>
      <c r="N8" s="352"/>
      <c r="O8" s="352"/>
      <c r="P8" s="352"/>
      <c r="Q8" s="352"/>
      <c r="R8" s="352"/>
    </row>
    <row r="9" spans="1:18" x14ac:dyDescent="0.2">
      <c r="A9" s="175"/>
      <c r="B9" s="121"/>
      <c r="C9" s="340" t="s">
        <v>458</v>
      </c>
      <c r="D9" s="341"/>
      <c r="E9" s="355"/>
      <c r="F9" s="355"/>
      <c r="G9" s="355"/>
      <c r="H9" s="341"/>
      <c r="I9" s="121"/>
      <c r="J9" s="120"/>
      <c r="L9" s="352"/>
      <c r="M9" s="352"/>
      <c r="N9" s="352"/>
      <c r="O9" s="352"/>
      <c r="P9" s="352"/>
      <c r="Q9" s="352"/>
      <c r="R9" s="352"/>
    </row>
    <row r="10" spans="1:18" ht="15.75" customHeight="1" x14ac:dyDescent="0.2">
      <c r="A10" s="175"/>
      <c r="B10" s="121"/>
      <c r="C10" s="338" t="s">
        <v>457</v>
      </c>
      <c r="D10" s="339"/>
      <c r="E10" s="152">
        <v>0.6</v>
      </c>
      <c r="F10" s="152">
        <v>0.05</v>
      </c>
      <c r="G10" s="152">
        <v>0.04</v>
      </c>
      <c r="H10" s="151">
        <v>0.05</v>
      </c>
      <c r="I10" s="121"/>
      <c r="J10" s="120"/>
      <c r="L10" s="352"/>
      <c r="M10" s="352"/>
      <c r="N10" s="352"/>
      <c r="O10" s="352"/>
      <c r="P10" s="352"/>
      <c r="Q10" s="352"/>
      <c r="R10" s="352"/>
    </row>
    <row r="11" spans="1:18" x14ac:dyDescent="0.2">
      <c r="A11" s="175"/>
      <c r="B11" s="121"/>
      <c r="C11" s="342" t="s">
        <v>456</v>
      </c>
      <c r="D11" s="343"/>
      <c r="E11" s="152">
        <v>0.35</v>
      </c>
      <c r="F11" s="152">
        <v>7.0000000000000007E-2</v>
      </c>
      <c r="G11" s="152">
        <v>0.05</v>
      </c>
      <c r="H11" s="151">
        <v>0.05</v>
      </c>
      <c r="I11" s="121"/>
      <c r="J11" s="120"/>
      <c r="L11" s="352"/>
      <c r="M11" s="352"/>
      <c r="N11" s="352"/>
      <c r="O11" s="352"/>
      <c r="P11" s="352"/>
      <c r="Q11" s="352"/>
      <c r="R11" s="352"/>
    </row>
    <row r="12" spans="1:18" x14ac:dyDescent="0.2">
      <c r="A12" s="175"/>
      <c r="B12" s="121"/>
      <c r="C12" s="340" t="s">
        <v>455</v>
      </c>
      <c r="D12" s="341"/>
      <c r="E12" s="150">
        <v>0.05</v>
      </c>
      <c r="F12" s="150">
        <v>0.15</v>
      </c>
      <c r="G12" s="150">
        <v>0.1</v>
      </c>
      <c r="H12" s="149">
        <v>7.0000000000000007E-2</v>
      </c>
      <c r="I12" s="121"/>
      <c r="J12" s="120"/>
      <c r="L12" s="352"/>
      <c r="M12" s="352"/>
      <c r="N12" s="352"/>
      <c r="O12" s="352"/>
      <c r="P12" s="352"/>
      <c r="Q12" s="352"/>
      <c r="R12" s="352"/>
    </row>
    <row r="13" spans="1:18" x14ac:dyDescent="0.2">
      <c r="A13" s="175"/>
      <c r="B13" s="127"/>
      <c r="C13" s="121"/>
      <c r="D13" s="121"/>
      <c r="E13" s="121"/>
      <c r="F13" s="121"/>
      <c r="G13" s="121"/>
      <c r="H13" s="121"/>
      <c r="I13" s="121"/>
      <c r="J13" s="120"/>
      <c r="L13" s="269"/>
      <c r="M13" s="269"/>
      <c r="N13" s="269"/>
      <c r="O13" s="269"/>
      <c r="P13" s="269"/>
      <c r="Q13" s="269"/>
      <c r="R13" s="269"/>
    </row>
    <row r="14" spans="1:18" ht="17" x14ac:dyDescent="0.2">
      <c r="A14" s="175"/>
      <c r="B14" s="127"/>
      <c r="C14" s="121" t="s">
        <v>454</v>
      </c>
      <c r="D14" s="121"/>
      <c r="E14" s="121"/>
      <c r="F14" s="121"/>
      <c r="G14" s="121"/>
      <c r="H14" s="121"/>
      <c r="I14" s="121"/>
      <c r="J14" s="120"/>
      <c r="L14" s="267" t="s">
        <v>345</v>
      </c>
      <c r="M14" s="268"/>
      <c r="N14" s="268"/>
      <c r="O14" s="268"/>
      <c r="P14" s="268"/>
      <c r="Q14" s="268"/>
      <c r="R14" s="268"/>
    </row>
    <row r="15" spans="1:18" x14ac:dyDescent="0.2">
      <c r="A15" s="175"/>
      <c r="B15" s="127"/>
      <c r="C15" s="121" t="s">
        <v>453</v>
      </c>
      <c r="D15" s="121"/>
      <c r="E15" s="121"/>
      <c r="F15" s="121"/>
      <c r="G15" s="121"/>
      <c r="H15" s="121"/>
      <c r="I15" s="121"/>
      <c r="J15" s="120"/>
      <c r="L15" s="351" t="s">
        <v>452</v>
      </c>
      <c r="M15" s="351"/>
      <c r="N15" s="351"/>
      <c r="O15" s="351"/>
      <c r="P15" s="351"/>
      <c r="Q15" s="351"/>
      <c r="R15" s="351"/>
    </row>
    <row r="16" spans="1:18" ht="15.75" customHeight="1" x14ac:dyDescent="0.2">
      <c r="A16" s="175"/>
      <c r="B16" s="127"/>
      <c r="C16" s="121"/>
      <c r="D16" s="121"/>
      <c r="E16" s="121"/>
      <c r="F16" s="121"/>
      <c r="G16" s="121"/>
      <c r="H16" s="121"/>
      <c r="I16" s="121"/>
      <c r="J16" s="120"/>
      <c r="L16" s="351"/>
      <c r="M16" s="351"/>
      <c r="N16" s="351"/>
      <c r="O16" s="351"/>
      <c r="P16" s="351"/>
      <c r="Q16" s="351"/>
      <c r="R16" s="351"/>
    </row>
    <row r="17" spans="1:18" x14ac:dyDescent="0.2">
      <c r="A17" s="175" t="s">
        <v>0</v>
      </c>
      <c r="B17" s="174" t="s">
        <v>315</v>
      </c>
      <c r="C17" s="121" t="s">
        <v>451</v>
      </c>
      <c r="D17" s="121"/>
      <c r="E17" s="121"/>
      <c r="F17" s="121"/>
      <c r="G17" s="121"/>
      <c r="H17" s="121"/>
      <c r="I17" s="121"/>
      <c r="J17" s="120"/>
      <c r="L17" s="257"/>
      <c r="M17" s="257"/>
      <c r="N17" s="257"/>
      <c r="O17" s="257"/>
      <c r="P17" s="257"/>
      <c r="Q17" s="257"/>
      <c r="R17" s="257"/>
    </row>
    <row r="18" spans="1:18" ht="17" x14ac:dyDescent="0.2">
      <c r="A18" s="175"/>
      <c r="B18" s="127"/>
      <c r="C18" s="121" t="s">
        <v>450</v>
      </c>
      <c r="D18" s="121"/>
      <c r="E18" s="121"/>
      <c r="F18" s="121"/>
      <c r="G18" s="121"/>
      <c r="H18" s="121"/>
      <c r="I18" s="121"/>
      <c r="J18" s="120"/>
      <c r="L18" s="267" t="s">
        <v>341</v>
      </c>
      <c r="M18" s="264"/>
      <c r="N18" s="264"/>
      <c r="O18" s="264"/>
      <c r="P18" s="264"/>
      <c r="Q18" s="264"/>
      <c r="R18" s="257"/>
    </row>
    <row r="19" spans="1:18" x14ac:dyDescent="0.2">
      <c r="A19" s="175"/>
      <c r="B19" s="127"/>
      <c r="C19" s="121"/>
      <c r="D19" s="121"/>
      <c r="E19" s="121"/>
      <c r="F19" s="121"/>
      <c r="G19" s="121"/>
      <c r="H19" s="121"/>
      <c r="I19" s="121"/>
      <c r="J19" s="120"/>
      <c r="L19" s="351" t="s">
        <v>449</v>
      </c>
      <c r="M19" s="351"/>
      <c r="N19" s="351"/>
      <c r="O19" s="351"/>
      <c r="P19" s="351"/>
      <c r="Q19" s="351"/>
      <c r="R19" s="351"/>
    </row>
    <row r="20" spans="1:18" x14ac:dyDescent="0.2">
      <c r="A20" s="175" t="s">
        <v>1</v>
      </c>
      <c r="B20" s="174" t="s">
        <v>310</v>
      </c>
      <c r="C20" s="121" t="s">
        <v>448</v>
      </c>
      <c r="D20" s="121"/>
      <c r="E20" s="121"/>
      <c r="F20" s="121"/>
      <c r="G20" s="121"/>
      <c r="H20" s="121"/>
      <c r="I20" s="121"/>
      <c r="J20" s="120"/>
      <c r="L20" s="351"/>
      <c r="M20" s="351"/>
      <c r="N20" s="351"/>
      <c r="O20" s="351"/>
      <c r="P20" s="351"/>
      <c r="Q20" s="351"/>
      <c r="R20" s="351"/>
    </row>
    <row r="21" spans="1:18" x14ac:dyDescent="0.2">
      <c r="A21" s="175"/>
      <c r="B21" s="127"/>
      <c r="C21" s="121" t="s">
        <v>447</v>
      </c>
      <c r="D21" s="121"/>
      <c r="E21" s="121"/>
      <c r="F21" s="121"/>
      <c r="G21" s="121"/>
      <c r="H21" s="121"/>
      <c r="I21" s="121"/>
      <c r="J21" s="120"/>
      <c r="L21" s="351"/>
      <c r="M21" s="351"/>
      <c r="N21" s="351"/>
      <c r="O21" s="351"/>
      <c r="P21" s="351"/>
      <c r="Q21" s="351"/>
      <c r="R21" s="351"/>
    </row>
    <row r="22" spans="1:18" x14ac:dyDescent="0.2">
      <c r="A22" s="175"/>
      <c r="B22" s="127"/>
      <c r="C22" s="121" t="s">
        <v>443</v>
      </c>
      <c r="D22" s="121"/>
      <c r="E22" s="121"/>
      <c r="F22" s="121"/>
      <c r="G22" s="121"/>
      <c r="H22" s="121"/>
      <c r="I22" s="121"/>
      <c r="J22" s="120"/>
      <c r="L22" s="257"/>
      <c r="M22" s="262"/>
      <c r="N22" s="262"/>
      <c r="O22" s="262"/>
      <c r="P22" s="262"/>
      <c r="Q22" s="262"/>
      <c r="R22" s="262"/>
    </row>
    <row r="23" spans="1:18" ht="17" x14ac:dyDescent="0.2">
      <c r="A23" s="175"/>
      <c r="B23" s="127"/>
      <c r="C23" s="121"/>
      <c r="D23" s="121"/>
      <c r="E23" s="121"/>
      <c r="F23" s="121"/>
      <c r="G23" s="121"/>
      <c r="H23" s="121"/>
      <c r="I23" s="121"/>
      <c r="J23" s="120"/>
      <c r="L23" s="267" t="s">
        <v>327</v>
      </c>
      <c r="M23" s="262"/>
      <c r="N23" s="262"/>
      <c r="O23" s="262"/>
      <c r="P23" s="262"/>
      <c r="Q23" s="262"/>
      <c r="R23" s="262"/>
    </row>
    <row r="24" spans="1:18" ht="17" thickBot="1" x14ac:dyDescent="0.25">
      <c r="A24" s="175" t="s">
        <v>2</v>
      </c>
      <c r="B24" s="174" t="s">
        <v>310</v>
      </c>
      <c r="C24" s="121" t="s">
        <v>446</v>
      </c>
      <c r="D24" s="121"/>
      <c r="E24" s="121"/>
      <c r="F24" s="121"/>
      <c r="G24" s="121"/>
      <c r="H24" s="121"/>
      <c r="I24" s="121"/>
      <c r="J24" s="120"/>
    </row>
    <row r="25" spans="1:18" ht="17" thickBot="1" x14ac:dyDescent="0.25">
      <c r="A25" s="175"/>
      <c r="B25" s="127"/>
      <c r="C25" s="121" t="s">
        <v>445</v>
      </c>
      <c r="D25" s="121"/>
      <c r="E25" s="121"/>
      <c r="F25" s="121"/>
      <c r="G25" s="121"/>
      <c r="H25" s="121"/>
      <c r="I25" s="121"/>
      <c r="J25" s="120"/>
      <c r="L25" s="154" t="s">
        <v>444</v>
      </c>
      <c r="M25" s="266"/>
      <c r="N25" s="265" cm="1">
        <f t="array" ref="N25">SQRT(SUMSQ(E10:E12*H10:H12))</f>
        <v>3.4907019351414124E-2</v>
      </c>
      <c r="O25" s="257"/>
      <c r="P25" s="257"/>
      <c r="Q25" s="257"/>
      <c r="R25" s="257"/>
    </row>
    <row r="26" spans="1:18" x14ac:dyDescent="0.2">
      <c r="A26" s="175"/>
      <c r="B26" s="127"/>
      <c r="C26" s="121" t="s">
        <v>443</v>
      </c>
      <c r="D26" s="121"/>
      <c r="E26" s="121"/>
      <c r="F26" s="121"/>
      <c r="G26" s="121"/>
      <c r="H26" s="121"/>
      <c r="I26" s="121"/>
      <c r="J26" s="120"/>
      <c r="P26" s="262"/>
      <c r="Q26" s="262"/>
      <c r="R26" s="262"/>
    </row>
    <row r="27" spans="1:18" ht="19" x14ac:dyDescent="0.2">
      <c r="A27" s="175"/>
      <c r="B27" s="121"/>
      <c r="C27" s="121"/>
      <c r="D27" s="121"/>
      <c r="E27" s="121"/>
      <c r="F27" s="121"/>
      <c r="G27" s="121"/>
      <c r="H27" s="121"/>
      <c r="I27" s="121"/>
      <c r="J27" s="120"/>
      <c r="L27" s="33" t="s">
        <v>103</v>
      </c>
      <c r="M27" s="257"/>
      <c r="N27" s="257"/>
      <c r="O27" s="257"/>
      <c r="P27" s="257"/>
      <c r="Q27" s="257"/>
      <c r="R27" s="257"/>
    </row>
    <row r="28" spans="1:18" x14ac:dyDescent="0.2">
      <c r="A28" s="175" t="s">
        <v>164</v>
      </c>
      <c r="B28" s="121" t="s">
        <v>322</v>
      </c>
      <c r="C28" s="130" t="s">
        <v>442</v>
      </c>
      <c r="D28" s="121"/>
      <c r="E28" s="121"/>
      <c r="F28" s="121"/>
      <c r="G28" s="121"/>
      <c r="H28" s="121"/>
      <c r="I28" s="121"/>
      <c r="J28" s="120"/>
      <c r="L28" s="351" t="s">
        <v>381</v>
      </c>
      <c r="M28" s="351"/>
      <c r="N28" s="351"/>
      <c r="O28" s="351"/>
      <c r="P28" s="351"/>
      <c r="Q28" s="351"/>
      <c r="R28" s="351"/>
    </row>
    <row r="29" spans="1:18" ht="17" thickBot="1" x14ac:dyDescent="0.25">
      <c r="A29" s="175"/>
      <c r="B29" s="121"/>
      <c r="C29" s="130"/>
      <c r="D29" s="121"/>
      <c r="E29" s="121"/>
      <c r="F29" s="121"/>
      <c r="G29" s="121"/>
      <c r="H29" s="121"/>
      <c r="I29" s="121"/>
      <c r="J29" s="120"/>
      <c r="L29" s="351"/>
      <c r="M29" s="351"/>
      <c r="N29" s="351"/>
      <c r="O29" s="351"/>
      <c r="P29" s="351"/>
      <c r="Q29" s="351"/>
      <c r="R29" s="351"/>
    </row>
    <row r="30" spans="1:18" ht="17" thickBot="1" x14ac:dyDescent="0.25">
      <c r="A30" s="193" t="s">
        <v>134</v>
      </c>
      <c r="B30" s="117"/>
      <c r="C30" s="192"/>
      <c r="D30" s="117"/>
      <c r="E30" s="117"/>
      <c r="F30" s="117"/>
      <c r="G30" s="117"/>
      <c r="H30" s="117"/>
      <c r="I30" s="117"/>
      <c r="J30" s="116"/>
      <c r="L30" s="351"/>
      <c r="M30" s="351"/>
      <c r="N30" s="351"/>
      <c r="O30" s="351"/>
      <c r="P30" s="351"/>
      <c r="Q30" s="351"/>
      <c r="R30" s="351"/>
    </row>
    <row r="31" spans="1:18" x14ac:dyDescent="0.2">
      <c r="L31" s="264"/>
      <c r="M31" s="264"/>
      <c r="N31" s="264"/>
      <c r="O31" s="264"/>
      <c r="P31" s="264"/>
      <c r="Q31" s="264"/>
      <c r="R31" s="257"/>
    </row>
    <row r="32" spans="1:18" ht="19" x14ac:dyDescent="0.2">
      <c r="L32" s="33" t="s">
        <v>143</v>
      </c>
      <c r="M32" s="262"/>
      <c r="N32" s="262"/>
      <c r="O32" s="262"/>
      <c r="P32" s="262"/>
      <c r="Q32" s="262"/>
      <c r="R32" s="262"/>
    </row>
    <row r="33" spans="12:18" x14ac:dyDescent="0.2">
      <c r="L33" s="348" t="s">
        <v>300</v>
      </c>
      <c r="M33" s="348"/>
      <c r="N33" s="348"/>
      <c r="O33" s="348"/>
      <c r="P33" s="262"/>
      <c r="Q33" s="262"/>
      <c r="R33" s="262"/>
    </row>
    <row r="34" spans="12:18" x14ac:dyDescent="0.2">
      <c r="L34" s="257"/>
      <c r="M34" s="257"/>
      <c r="N34" s="257"/>
      <c r="O34" s="257"/>
      <c r="P34" s="257"/>
      <c r="Q34" s="257"/>
      <c r="R34" s="257"/>
    </row>
    <row r="35" spans="12:18" x14ac:dyDescent="0.2">
      <c r="P35" s="264"/>
      <c r="Q35" s="264"/>
      <c r="R35" s="257"/>
    </row>
    <row r="36" spans="12:18" x14ac:dyDescent="0.2">
      <c r="P36" s="262"/>
      <c r="Q36" s="262"/>
      <c r="R36" s="262"/>
    </row>
    <row r="37" spans="12:18" x14ac:dyDescent="0.2">
      <c r="L37" s="257"/>
      <c r="M37" s="262"/>
      <c r="N37" s="262"/>
      <c r="O37" s="262"/>
      <c r="P37" s="262"/>
      <c r="Q37" s="262"/>
      <c r="R37" s="262"/>
    </row>
    <row r="38" spans="12:18" x14ac:dyDescent="0.2">
      <c r="L38" s="257"/>
      <c r="M38" s="257"/>
      <c r="N38" s="257"/>
      <c r="O38" s="257"/>
      <c r="P38" s="257"/>
      <c r="Q38" s="257"/>
      <c r="R38" s="257"/>
    </row>
    <row r="39" spans="12:18" x14ac:dyDescent="0.2">
      <c r="L39" s="263"/>
      <c r="M39" s="257"/>
      <c r="N39" s="257"/>
      <c r="O39" s="257"/>
      <c r="P39" s="257"/>
      <c r="Q39" s="257"/>
      <c r="R39" s="257"/>
    </row>
    <row r="40" spans="12:18" x14ac:dyDescent="0.2">
      <c r="L40" s="257"/>
      <c r="M40" s="262"/>
      <c r="N40" s="262"/>
      <c r="O40" s="262"/>
      <c r="P40" s="262"/>
      <c r="Q40" s="262"/>
      <c r="R40" s="262"/>
    </row>
    <row r="41" spans="12:18" ht="15.75" customHeight="1" x14ac:dyDescent="0.2">
      <c r="L41" s="257"/>
      <c r="M41" s="262"/>
      <c r="N41" s="262"/>
      <c r="O41" s="262"/>
      <c r="P41" s="262"/>
      <c r="Q41" s="262"/>
      <c r="R41" s="262"/>
    </row>
    <row r="42" spans="12:18" x14ac:dyDescent="0.2">
      <c r="L42" s="257"/>
      <c r="M42" s="257"/>
      <c r="N42" s="257"/>
      <c r="O42" s="257"/>
      <c r="P42" s="257"/>
      <c r="Q42" s="257"/>
      <c r="R42" s="257"/>
    </row>
  </sheetData>
  <mergeCells count="15">
    <mergeCell ref="L33:O33"/>
    <mergeCell ref="L15:R16"/>
    <mergeCell ref="L19:R21"/>
    <mergeCell ref="L4:R12"/>
    <mergeCell ref="C9:D9"/>
    <mergeCell ref="C10:D10"/>
    <mergeCell ref="C11:D11"/>
    <mergeCell ref="C12:D12"/>
    <mergeCell ref="C7:D7"/>
    <mergeCell ref="C8:D8"/>
    <mergeCell ref="E7:E9"/>
    <mergeCell ref="F7:F9"/>
    <mergeCell ref="G7:G9"/>
    <mergeCell ref="H7:H9"/>
    <mergeCell ref="L28:R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63B3-0A60-364C-982A-C35A1B870B45}">
  <dimension ref="A1:AA49"/>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5" max="5" width="12.1640625" customWidth="1"/>
    <col min="12" max="18" width="10.83203125" hidden="1" customWidth="1" outlineLevel="1"/>
    <col min="19" max="19" width="11" collapsed="1"/>
  </cols>
  <sheetData>
    <row r="1" spans="1:27" x14ac:dyDescent="0.2">
      <c r="A1" s="246"/>
      <c r="B1" s="162" t="s">
        <v>367</v>
      </c>
      <c r="C1" s="161" t="s">
        <v>441</v>
      </c>
      <c r="D1" s="161" t="s">
        <v>365</v>
      </c>
      <c r="E1" s="161" t="s">
        <v>491</v>
      </c>
      <c r="F1" s="160"/>
      <c r="G1" s="160"/>
      <c r="H1" s="160"/>
      <c r="I1" s="160"/>
      <c r="J1" s="159"/>
      <c r="K1" s="155" t="s">
        <v>135</v>
      </c>
      <c r="L1" s="155"/>
    </row>
    <row r="2" spans="1:27" x14ac:dyDescent="0.2">
      <c r="A2" s="175"/>
      <c r="B2" s="245" t="s">
        <v>363</v>
      </c>
      <c r="C2" s="244">
        <v>1.5</v>
      </c>
      <c r="D2" s="121"/>
      <c r="E2" s="121"/>
      <c r="F2" s="121"/>
      <c r="G2" s="121"/>
      <c r="H2" s="121"/>
      <c r="I2" s="121"/>
      <c r="J2" s="120"/>
      <c r="L2" s="155"/>
    </row>
    <row r="3" spans="1:27" ht="15.75" customHeight="1" x14ac:dyDescent="0.2">
      <c r="A3" s="175"/>
      <c r="B3" s="121"/>
      <c r="C3" s="121"/>
      <c r="D3" s="121"/>
      <c r="E3" s="121"/>
      <c r="F3" s="121"/>
      <c r="G3" s="121"/>
      <c r="H3" s="121"/>
      <c r="I3" s="121"/>
      <c r="J3" s="120"/>
      <c r="L3" s="270" t="s">
        <v>362</v>
      </c>
      <c r="S3" s="260"/>
      <c r="AA3" s="271"/>
    </row>
    <row r="4" spans="1:27" x14ac:dyDescent="0.2">
      <c r="A4" s="175"/>
      <c r="B4" s="121"/>
      <c r="C4" s="121" t="s">
        <v>490</v>
      </c>
      <c r="D4" s="121"/>
      <c r="E4" s="121"/>
      <c r="F4" s="121"/>
      <c r="G4" s="121"/>
      <c r="H4" s="121"/>
      <c r="I4" s="121"/>
      <c r="J4" s="120"/>
      <c r="L4" s="357" t="s">
        <v>489</v>
      </c>
      <c r="M4" s="357"/>
      <c r="N4" s="357"/>
      <c r="O4" s="357"/>
      <c r="P4" s="357"/>
      <c r="Q4" s="357"/>
      <c r="R4" s="357"/>
      <c r="AA4" s="271"/>
    </row>
    <row r="5" spans="1:27" x14ac:dyDescent="0.2">
      <c r="A5" s="175"/>
      <c r="B5" s="121"/>
      <c r="C5" s="121"/>
      <c r="D5" s="121"/>
      <c r="E5" s="121"/>
      <c r="F5" s="121"/>
      <c r="G5" s="121"/>
      <c r="H5" s="121"/>
      <c r="I5" s="121"/>
      <c r="J5" s="120"/>
      <c r="L5" s="357"/>
      <c r="M5" s="357"/>
      <c r="N5" s="357"/>
      <c r="O5" s="357"/>
      <c r="P5" s="357"/>
      <c r="Q5" s="357"/>
      <c r="R5" s="357"/>
      <c r="AA5" s="271"/>
    </row>
    <row r="6" spans="1:27" x14ac:dyDescent="0.2">
      <c r="A6" s="175"/>
      <c r="B6" s="121"/>
      <c r="C6" s="240"/>
      <c r="D6" s="240"/>
      <c r="E6" s="273"/>
      <c r="F6" s="358" t="s">
        <v>488</v>
      </c>
      <c r="G6" s="339"/>
      <c r="H6" s="121"/>
      <c r="I6" s="121"/>
      <c r="J6" s="120"/>
      <c r="L6" s="357"/>
      <c r="M6" s="357"/>
      <c r="N6" s="357"/>
      <c r="O6" s="357"/>
      <c r="P6" s="357"/>
      <c r="Q6" s="357"/>
      <c r="R6" s="357"/>
      <c r="AA6" s="271"/>
    </row>
    <row r="7" spans="1:27" ht="15.75" customHeight="1" x14ac:dyDescent="0.2">
      <c r="A7" s="175"/>
      <c r="B7" s="121"/>
      <c r="C7" s="235"/>
      <c r="D7" s="235"/>
      <c r="E7" s="272"/>
      <c r="F7" s="355" t="s">
        <v>487</v>
      </c>
      <c r="G7" s="341"/>
      <c r="H7" s="121"/>
      <c r="I7" s="121"/>
      <c r="J7" s="120"/>
      <c r="L7" s="357"/>
      <c r="M7" s="357"/>
      <c r="N7" s="357"/>
      <c r="O7" s="357"/>
      <c r="P7" s="357"/>
      <c r="Q7" s="357"/>
      <c r="R7" s="357"/>
    </row>
    <row r="8" spans="1:27" x14ac:dyDescent="0.2">
      <c r="A8" s="175"/>
      <c r="B8" s="121"/>
      <c r="C8" s="235"/>
      <c r="D8" s="227" t="s">
        <v>480</v>
      </c>
      <c r="E8" s="140" t="s">
        <v>486</v>
      </c>
      <c r="F8" s="238" t="s">
        <v>485</v>
      </c>
      <c r="G8" s="234"/>
      <c r="H8" s="121"/>
      <c r="I8" s="121"/>
      <c r="J8" s="120"/>
      <c r="L8" s="357"/>
      <c r="M8" s="357"/>
      <c r="N8" s="357"/>
      <c r="O8" s="357"/>
      <c r="P8" s="357"/>
      <c r="Q8" s="357"/>
      <c r="R8" s="357"/>
    </row>
    <row r="9" spans="1:27" x14ac:dyDescent="0.2">
      <c r="A9" s="175"/>
      <c r="B9" s="121"/>
      <c r="C9" s="235"/>
      <c r="D9" s="227" t="s">
        <v>484</v>
      </c>
      <c r="E9" s="140" t="s">
        <v>483</v>
      </c>
      <c r="F9" s="127" t="s">
        <v>482</v>
      </c>
      <c r="G9" s="144" t="s">
        <v>481</v>
      </c>
      <c r="H9" s="121"/>
      <c r="I9" s="121"/>
      <c r="J9" s="120"/>
      <c r="L9" s="357"/>
      <c r="M9" s="357"/>
      <c r="N9" s="357"/>
      <c r="O9" s="357"/>
      <c r="P9" s="357"/>
      <c r="Q9" s="357"/>
      <c r="R9" s="357"/>
    </row>
    <row r="10" spans="1:27" x14ac:dyDescent="0.2">
      <c r="A10" s="175"/>
      <c r="B10" s="121"/>
      <c r="C10" s="223" t="s">
        <v>480</v>
      </c>
      <c r="D10" s="223" t="s">
        <v>479</v>
      </c>
      <c r="E10" s="136" t="s">
        <v>478</v>
      </c>
      <c r="F10" s="233" t="s">
        <v>477</v>
      </c>
      <c r="G10" s="222" t="s">
        <v>477</v>
      </c>
      <c r="H10" s="121"/>
      <c r="I10" s="121"/>
      <c r="J10" s="120"/>
      <c r="L10" s="357"/>
      <c r="M10" s="357"/>
      <c r="N10" s="357"/>
      <c r="O10" s="357"/>
      <c r="P10" s="357"/>
      <c r="Q10" s="357"/>
      <c r="R10" s="357"/>
    </row>
    <row r="11" spans="1:27" x14ac:dyDescent="0.2">
      <c r="A11" s="175"/>
      <c r="B11" s="121"/>
      <c r="C11" s="140" t="s">
        <v>476</v>
      </c>
      <c r="D11" s="127">
        <v>50</v>
      </c>
      <c r="E11" s="140">
        <v>20</v>
      </c>
      <c r="F11" s="224">
        <v>5.5E-2</v>
      </c>
      <c r="G11" s="138" t="s">
        <v>475</v>
      </c>
      <c r="H11" s="121"/>
      <c r="I11" s="121"/>
      <c r="J11" s="120"/>
      <c r="L11" s="357"/>
      <c r="M11" s="357"/>
      <c r="N11" s="357"/>
      <c r="O11" s="357"/>
      <c r="P11" s="357"/>
      <c r="Q11" s="357"/>
      <c r="R11" s="357"/>
    </row>
    <row r="12" spans="1:27" x14ac:dyDescent="0.2">
      <c r="A12" s="175"/>
      <c r="B12" s="121"/>
      <c r="C12" s="140" t="s">
        <v>474</v>
      </c>
      <c r="D12" s="127">
        <v>300</v>
      </c>
      <c r="E12" s="140">
        <v>20</v>
      </c>
      <c r="F12" s="224" t="s">
        <v>473</v>
      </c>
      <c r="G12" s="138">
        <v>7.0000000000000007E-2</v>
      </c>
      <c r="H12" s="121"/>
      <c r="I12" s="121"/>
      <c r="J12" s="120"/>
      <c r="L12" s="357"/>
      <c r="M12" s="357"/>
      <c r="N12" s="357"/>
      <c r="O12" s="357"/>
      <c r="P12" s="357"/>
      <c r="Q12" s="357"/>
      <c r="R12" s="357"/>
    </row>
    <row r="13" spans="1:27" x14ac:dyDescent="0.2">
      <c r="A13" s="175"/>
      <c r="B13" s="127"/>
      <c r="C13" s="136" t="s">
        <v>472</v>
      </c>
      <c r="D13" s="233">
        <v>300</v>
      </c>
      <c r="E13" s="136">
        <v>5</v>
      </c>
      <c r="F13" s="219">
        <v>5.0000000000000001E-3</v>
      </c>
      <c r="G13" s="134">
        <v>3.0000000000000001E-3</v>
      </c>
      <c r="H13" s="121"/>
      <c r="I13" s="121"/>
      <c r="J13" s="120"/>
      <c r="L13" s="271"/>
      <c r="M13" s="271"/>
      <c r="N13" s="271"/>
      <c r="O13" s="271"/>
      <c r="P13" s="271"/>
      <c r="Q13" s="271"/>
      <c r="R13" s="271"/>
    </row>
    <row r="14" spans="1:27" ht="17" x14ac:dyDescent="0.2">
      <c r="A14" s="175"/>
      <c r="B14" s="127"/>
      <c r="C14" s="121"/>
      <c r="D14" s="121"/>
      <c r="E14" s="121"/>
      <c r="F14" s="121"/>
      <c r="G14" s="121"/>
      <c r="H14" s="121"/>
      <c r="I14" s="121"/>
      <c r="J14" s="120"/>
      <c r="L14" s="270" t="s">
        <v>345</v>
      </c>
      <c r="M14" s="271"/>
      <c r="N14" s="271"/>
      <c r="O14" s="271"/>
      <c r="P14" s="271"/>
      <c r="Q14" s="271"/>
      <c r="R14" s="271"/>
    </row>
    <row r="15" spans="1:27" x14ac:dyDescent="0.2">
      <c r="A15" s="175"/>
      <c r="B15" s="127"/>
      <c r="C15" s="121" t="s">
        <v>471</v>
      </c>
      <c r="D15" s="121"/>
      <c r="E15" s="121"/>
      <c r="F15" s="121"/>
      <c r="G15" s="121"/>
      <c r="H15" s="121"/>
      <c r="I15" s="121"/>
      <c r="J15" s="120"/>
      <c r="L15" s="357" t="s">
        <v>470</v>
      </c>
      <c r="M15" s="357"/>
      <c r="N15" s="357"/>
      <c r="O15" s="357"/>
      <c r="P15" s="357"/>
      <c r="Q15" s="357"/>
      <c r="R15" s="357"/>
      <c r="S15" s="257"/>
    </row>
    <row r="16" spans="1:27" x14ac:dyDescent="0.2">
      <c r="A16" s="175"/>
      <c r="B16" s="127"/>
      <c r="C16" s="121"/>
      <c r="D16" s="121"/>
      <c r="E16" s="121"/>
      <c r="F16" s="121"/>
      <c r="G16" s="121"/>
      <c r="H16" s="121"/>
      <c r="I16" s="121"/>
      <c r="J16" s="120"/>
      <c r="L16" s="357"/>
      <c r="M16" s="357"/>
      <c r="N16" s="357"/>
      <c r="O16" s="357"/>
      <c r="P16" s="357"/>
      <c r="Q16" s="357"/>
      <c r="R16" s="357"/>
      <c r="S16" s="257"/>
    </row>
    <row r="17" spans="1:18" x14ac:dyDescent="0.2">
      <c r="A17" s="175" t="s">
        <v>0</v>
      </c>
      <c r="B17" s="174" t="s">
        <v>310</v>
      </c>
      <c r="C17" s="121" t="s">
        <v>469</v>
      </c>
      <c r="D17" s="121"/>
      <c r="E17" s="121"/>
      <c r="F17" s="121"/>
      <c r="G17" s="121"/>
      <c r="H17" s="121"/>
      <c r="I17" s="121"/>
      <c r="J17" s="120"/>
      <c r="L17" s="357"/>
      <c r="M17" s="357"/>
      <c r="N17" s="357"/>
      <c r="O17" s="357"/>
      <c r="P17" s="357"/>
      <c r="Q17" s="357"/>
      <c r="R17" s="357"/>
    </row>
    <row r="18" spans="1:18" x14ac:dyDescent="0.2">
      <c r="A18" s="175"/>
      <c r="B18" s="127"/>
      <c r="C18" s="121" t="s">
        <v>467</v>
      </c>
      <c r="D18" s="121"/>
      <c r="E18" s="121"/>
      <c r="F18" s="121"/>
      <c r="G18" s="121"/>
      <c r="H18" s="121"/>
      <c r="I18" s="121"/>
      <c r="J18" s="120"/>
      <c r="L18" s="357"/>
      <c r="M18" s="357"/>
      <c r="N18" s="357"/>
      <c r="O18" s="357"/>
      <c r="P18" s="357"/>
      <c r="Q18" s="357"/>
      <c r="R18" s="357"/>
    </row>
    <row r="19" spans="1:18" x14ac:dyDescent="0.2">
      <c r="A19" s="175"/>
      <c r="B19" s="127"/>
      <c r="C19" s="121"/>
      <c r="D19" s="121"/>
      <c r="E19" s="121"/>
      <c r="F19" s="121"/>
      <c r="G19" s="121"/>
      <c r="H19" s="121"/>
      <c r="I19" s="121"/>
      <c r="J19" s="120"/>
      <c r="L19" s="357"/>
      <c r="M19" s="357"/>
      <c r="N19" s="357"/>
      <c r="O19" s="357"/>
      <c r="P19" s="357"/>
      <c r="Q19" s="357"/>
      <c r="R19" s="357"/>
    </row>
    <row r="20" spans="1:18" x14ac:dyDescent="0.2">
      <c r="A20" s="175" t="s">
        <v>1</v>
      </c>
      <c r="B20" s="174" t="s">
        <v>310</v>
      </c>
      <c r="C20" s="121" t="s">
        <v>468</v>
      </c>
      <c r="D20" s="121"/>
      <c r="E20" s="121"/>
      <c r="F20" s="121"/>
      <c r="G20" s="121"/>
      <c r="H20" s="121"/>
      <c r="I20" s="121"/>
      <c r="J20" s="120"/>
      <c r="L20" s="357"/>
      <c r="M20" s="357"/>
      <c r="N20" s="357"/>
      <c r="O20" s="357"/>
      <c r="P20" s="357"/>
      <c r="Q20" s="357"/>
      <c r="R20" s="357"/>
    </row>
    <row r="21" spans="1:18" ht="16" customHeight="1" x14ac:dyDescent="0.2">
      <c r="A21" s="175"/>
      <c r="B21" s="127"/>
      <c r="C21" s="121" t="s">
        <v>467</v>
      </c>
      <c r="D21" s="121"/>
      <c r="E21" s="121"/>
      <c r="F21" s="121"/>
      <c r="G21" s="121"/>
      <c r="H21" s="121"/>
      <c r="I21" s="121"/>
      <c r="J21" s="120"/>
      <c r="L21" s="357"/>
      <c r="M21" s="357"/>
      <c r="N21" s="357"/>
      <c r="O21" s="357"/>
      <c r="P21" s="357"/>
      <c r="Q21" s="357"/>
      <c r="R21" s="357"/>
    </row>
    <row r="22" spans="1:18" ht="17" thickBot="1" x14ac:dyDescent="0.25">
      <c r="A22" s="175"/>
      <c r="B22" s="127"/>
      <c r="C22" s="121"/>
      <c r="D22" s="121"/>
      <c r="E22" s="121"/>
      <c r="F22" s="121"/>
      <c r="G22" s="121"/>
      <c r="H22" s="121"/>
      <c r="I22" s="121"/>
      <c r="J22" s="120"/>
      <c r="L22" s="357"/>
      <c r="M22" s="357"/>
      <c r="N22" s="357"/>
      <c r="O22" s="357"/>
      <c r="P22" s="357"/>
      <c r="Q22" s="357"/>
      <c r="R22" s="357"/>
    </row>
    <row r="23" spans="1:18" ht="17" thickBot="1" x14ac:dyDescent="0.25">
      <c r="A23" s="193" t="s">
        <v>134</v>
      </c>
      <c r="B23" s="117"/>
      <c r="C23" s="192"/>
      <c r="D23" s="117"/>
      <c r="E23" s="117"/>
      <c r="F23" s="117"/>
      <c r="G23" s="117"/>
      <c r="H23" s="117"/>
      <c r="I23" s="117"/>
      <c r="J23" s="116"/>
      <c r="L23" s="257"/>
    </row>
    <row r="24" spans="1:18" x14ac:dyDescent="0.2">
      <c r="L24" s="257"/>
      <c r="M24" s="257"/>
      <c r="N24" s="257"/>
      <c r="O24" s="257"/>
      <c r="P24" s="257"/>
      <c r="Q24" s="257"/>
      <c r="R24" s="257"/>
    </row>
    <row r="25" spans="1:18" ht="19" x14ac:dyDescent="0.2">
      <c r="L25" s="33" t="s">
        <v>103</v>
      </c>
      <c r="M25" s="257"/>
      <c r="N25" s="257"/>
      <c r="O25" s="257"/>
      <c r="P25" s="257"/>
      <c r="Q25" s="257"/>
      <c r="R25" s="257"/>
    </row>
    <row r="26" spans="1:18" x14ac:dyDescent="0.2">
      <c r="L26" s="344" t="s">
        <v>466</v>
      </c>
      <c r="M26" s="344"/>
      <c r="N26" s="344"/>
      <c r="O26" s="344"/>
      <c r="P26" s="344"/>
      <c r="Q26" s="344"/>
      <c r="R26" s="344"/>
    </row>
    <row r="27" spans="1:18" x14ac:dyDescent="0.2">
      <c r="L27" s="344"/>
      <c r="M27" s="344"/>
      <c r="N27" s="344"/>
      <c r="O27" s="344"/>
      <c r="P27" s="344"/>
      <c r="Q27" s="344"/>
      <c r="R27" s="344"/>
    </row>
    <row r="28" spans="1:18" x14ac:dyDescent="0.2">
      <c r="L28" s="344"/>
      <c r="M28" s="344"/>
      <c r="N28" s="344"/>
      <c r="O28" s="344"/>
      <c r="P28" s="344"/>
      <c r="Q28" s="344"/>
      <c r="R28" s="344"/>
    </row>
    <row r="29" spans="1:18" ht="15.75" customHeight="1" x14ac:dyDescent="0.2">
      <c r="L29" s="344"/>
      <c r="M29" s="344"/>
      <c r="N29" s="344"/>
      <c r="O29" s="344"/>
      <c r="P29" s="344"/>
      <c r="Q29" s="344"/>
      <c r="R29" s="344"/>
    </row>
    <row r="30" spans="1:18" x14ac:dyDescent="0.2">
      <c r="L30" s="344"/>
      <c r="M30" s="344"/>
      <c r="N30" s="344"/>
      <c r="O30" s="344"/>
      <c r="P30" s="344"/>
      <c r="Q30" s="344"/>
      <c r="R30" s="344"/>
    </row>
    <row r="31" spans="1:18" x14ac:dyDescent="0.2">
      <c r="L31" s="344"/>
      <c r="M31" s="344"/>
      <c r="N31" s="344"/>
      <c r="O31" s="344"/>
      <c r="P31" s="344"/>
      <c r="Q31" s="344"/>
      <c r="R31" s="344"/>
    </row>
    <row r="32" spans="1:18" x14ac:dyDescent="0.2">
      <c r="L32" s="344"/>
      <c r="M32" s="344"/>
      <c r="N32" s="344"/>
      <c r="O32" s="344"/>
      <c r="P32" s="344"/>
      <c r="Q32" s="344"/>
      <c r="R32" s="344"/>
    </row>
    <row r="33" spans="12:18" x14ac:dyDescent="0.2">
      <c r="L33" s="344"/>
      <c r="M33" s="344"/>
      <c r="N33" s="344"/>
      <c r="O33" s="344"/>
      <c r="P33" s="344"/>
      <c r="Q33" s="344"/>
      <c r="R33" s="344"/>
    </row>
    <row r="34" spans="12:18" x14ac:dyDescent="0.2">
      <c r="L34" s="344"/>
      <c r="M34" s="344"/>
      <c r="N34" s="344"/>
      <c r="O34" s="344"/>
      <c r="P34" s="344"/>
      <c r="Q34" s="344"/>
      <c r="R34" s="344"/>
    </row>
    <row r="35" spans="12:18" x14ac:dyDescent="0.2">
      <c r="L35" s="344"/>
      <c r="M35" s="344"/>
      <c r="N35" s="344"/>
      <c r="O35" s="344"/>
      <c r="P35" s="344"/>
      <c r="Q35" s="344"/>
      <c r="R35" s="344"/>
    </row>
    <row r="36" spans="12:18" x14ac:dyDescent="0.2">
      <c r="L36" s="344"/>
      <c r="M36" s="344"/>
      <c r="N36" s="344"/>
      <c r="O36" s="344"/>
      <c r="P36" s="344"/>
      <c r="Q36" s="344"/>
      <c r="R36" s="344"/>
    </row>
    <row r="37" spans="12:18" x14ac:dyDescent="0.2">
      <c r="L37" s="344"/>
      <c r="M37" s="344"/>
      <c r="N37" s="344"/>
      <c r="O37" s="344"/>
      <c r="P37" s="344"/>
      <c r="Q37" s="344"/>
      <c r="R37" s="344"/>
    </row>
    <row r="38" spans="12:18" x14ac:dyDescent="0.2">
      <c r="L38" s="344"/>
      <c r="M38" s="344"/>
      <c r="N38" s="344"/>
      <c r="O38" s="344"/>
      <c r="P38" s="344"/>
      <c r="Q38" s="344"/>
      <c r="R38" s="344"/>
    </row>
    <row r="39" spans="12:18" x14ac:dyDescent="0.2">
      <c r="L39" s="344"/>
      <c r="M39" s="344"/>
      <c r="N39" s="344"/>
      <c r="O39" s="344"/>
      <c r="P39" s="344"/>
      <c r="Q39" s="344"/>
      <c r="R39" s="344"/>
    </row>
    <row r="40" spans="12:18" x14ac:dyDescent="0.2">
      <c r="L40" s="344"/>
      <c r="M40" s="344"/>
      <c r="N40" s="344"/>
      <c r="O40" s="344"/>
      <c r="P40" s="344"/>
      <c r="Q40" s="344"/>
      <c r="R40" s="344"/>
    </row>
    <row r="41" spans="12:18" x14ac:dyDescent="0.2">
      <c r="L41" s="344"/>
      <c r="M41" s="344"/>
      <c r="N41" s="344"/>
      <c r="O41" s="344"/>
      <c r="P41" s="344"/>
      <c r="Q41" s="344"/>
      <c r="R41" s="344"/>
    </row>
    <row r="42" spans="12:18" x14ac:dyDescent="0.2">
      <c r="L42" s="344"/>
      <c r="M42" s="344"/>
      <c r="N42" s="344"/>
      <c r="O42" s="344"/>
      <c r="P42" s="344"/>
      <c r="Q42" s="344"/>
      <c r="R42" s="344"/>
    </row>
    <row r="43" spans="12:18" x14ac:dyDescent="0.2">
      <c r="L43" s="344"/>
      <c r="M43" s="344"/>
      <c r="N43" s="344"/>
      <c r="O43" s="344"/>
      <c r="P43" s="344"/>
      <c r="Q43" s="344"/>
      <c r="R43" s="344"/>
    </row>
    <row r="44" spans="12:18" x14ac:dyDescent="0.2">
      <c r="L44" s="344"/>
      <c r="M44" s="344"/>
      <c r="N44" s="344"/>
      <c r="O44" s="344"/>
      <c r="P44" s="344"/>
      <c r="Q44" s="344"/>
      <c r="R44" s="344"/>
    </row>
    <row r="45" spans="12:18" x14ac:dyDescent="0.2">
      <c r="L45" s="344"/>
      <c r="M45" s="344"/>
      <c r="N45" s="344"/>
      <c r="O45" s="344"/>
      <c r="P45" s="344"/>
      <c r="Q45" s="344"/>
      <c r="R45" s="344"/>
    </row>
    <row r="46" spans="12:18" x14ac:dyDescent="0.2">
      <c r="L46" s="344"/>
      <c r="M46" s="344"/>
      <c r="N46" s="344"/>
      <c r="O46" s="344"/>
      <c r="P46" s="344"/>
      <c r="Q46" s="344"/>
      <c r="R46" s="344"/>
    </row>
    <row r="47" spans="12:18" x14ac:dyDescent="0.2">
      <c r="L47" s="344"/>
      <c r="M47" s="344"/>
      <c r="N47" s="344"/>
      <c r="O47" s="344"/>
      <c r="P47" s="344"/>
      <c r="Q47" s="344"/>
      <c r="R47" s="344"/>
    </row>
    <row r="48" spans="12:18" x14ac:dyDescent="0.2">
      <c r="L48" s="344"/>
      <c r="M48" s="344"/>
      <c r="N48" s="344"/>
      <c r="O48" s="344"/>
      <c r="P48" s="344"/>
      <c r="Q48" s="344"/>
      <c r="R48" s="344"/>
    </row>
    <row r="49" spans="12:18" x14ac:dyDescent="0.2">
      <c r="L49" s="344"/>
      <c r="M49" s="344"/>
      <c r="N49" s="344"/>
      <c r="O49" s="344"/>
      <c r="P49" s="344"/>
      <c r="Q49" s="344"/>
      <c r="R49" s="344"/>
    </row>
  </sheetData>
  <mergeCells count="5">
    <mergeCell ref="L26:R49"/>
    <mergeCell ref="L4:R12"/>
    <mergeCell ref="L15:R22"/>
    <mergeCell ref="F6:G6"/>
    <mergeCell ref="F7:G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13B9-CB05-4B4A-9EF6-ED2142477349}">
  <dimension ref="A1:S24"/>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8" width="10.83203125" hidden="1" customWidth="1" outlineLevel="1"/>
    <col min="19" max="19" width="11" collapsed="1"/>
  </cols>
  <sheetData>
    <row r="1" spans="1:18" x14ac:dyDescent="0.2">
      <c r="A1" s="246"/>
      <c r="B1" s="162" t="s">
        <v>367</v>
      </c>
      <c r="C1" s="161" t="s">
        <v>505</v>
      </c>
      <c r="D1" s="161" t="s">
        <v>365</v>
      </c>
      <c r="E1" s="161" t="s">
        <v>504</v>
      </c>
      <c r="F1" s="160"/>
      <c r="G1" s="160"/>
      <c r="H1" s="160"/>
      <c r="I1" s="160"/>
      <c r="J1" s="159"/>
      <c r="K1" s="155" t="s">
        <v>135</v>
      </c>
      <c r="L1" s="155"/>
    </row>
    <row r="2" spans="1:18" x14ac:dyDescent="0.2">
      <c r="A2" s="175"/>
      <c r="B2" s="245" t="s">
        <v>363</v>
      </c>
      <c r="C2" s="244">
        <v>3</v>
      </c>
      <c r="D2" s="121"/>
      <c r="E2" s="121"/>
      <c r="F2" s="121"/>
      <c r="G2" s="121"/>
      <c r="H2" s="121"/>
      <c r="I2" s="121"/>
      <c r="J2" s="120"/>
    </row>
    <row r="3" spans="1:18" x14ac:dyDescent="0.2">
      <c r="A3" s="175"/>
      <c r="B3" s="121"/>
      <c r="C3" s="121"/>
      <c r="D3" s="121"/>
      <c r="E3" s="121"/>
      <c r="F3" s="121"/>
      <c r="G3" s="121"/>
      <c r="H3" s="121"/>
      <c r="I3" s="121"/>
      <c r="J3" s="120"/>
      <c r="L3" s="155" t="s">
        <v>362</v>
      </c>
      <c r="M3" s="277"/>
    </row>
    <row r="4" spans="1:18" x14ac:dyDescent="0.2">
      <c r="A4" s="175"/>
      <c r="B4" s="121"/>
      <c r="C4" s="121"/>
      <c r="D4" s="121"/>
      <c r="E4" s="121"/>
      <c r="F4" s="121"/>
      <c r="G4" s="121"/>
      <c r="H4" s="121"/>
      <c r="I4" s="121"/>
      <c r="J4" s="120"/>
      <c r="L4" t="s">
        <v>503</v>
      </c>
      <c r="M4" s="277"/>
    </row>
    <row r="5" spans="1:18" x14ac:dyDescent="0.2">
      <c r="A5" s="175" t="s">
        <v>0</v>
      </c>
      <c r="B5" s="121" t="s">
        <v>322</v>
      </c>
      <c r="C5" s="121" t="s">
        <v>502</v>
      </c>
      <c r="D5" s="121"/>
      <c r="E5" s="121"/>
      <c r="F5" s="121"/>
      <c r="G5" s="121"/>
      <c r="H5" s="121"/>
      <c r="I5" s="121"/>
      <c r="J5" s="120"/>
    </row>
    <row r="6" spans="1:18" x14ac:dyDescent="0.2">
      <c r="A6" s="175"/>
      <c r="B6" s="121"/>
      <c r="C6" s="121"/>
      <c r="D6" s="121"/>
      <c r="E6" s="121"/>
      <c r="F6" s="121"/>
      <c r="G6" s="121"/>
      <c r="H6" s="121"/>
      <c r="I6" s="121"/>
      <c r="J6" s="120"/>
      <c r="L6" t="s">
        <v>501</v>
      </c>
      <c r="M6" s="276"/>
    </row>
    <row r="7" spans="1:18" x14ac:dyDescent="0.2">
      <c r="A7" s="175" t="s">
        <v>1</v>
      </c>
      <c r="B7" s="121" t="s">
        <v>332</v>
      </c>
      <c r="C7" s="121" t="s">
        <v>500</v>
      </c>
      <c r="D7" s="121"/>
      <c r="E7" s="121"/>
      <c r="F7" s="121"/>
      <c r="G7" s="121"/>
      <c r="H7" s="121"/>
      <c r="I7" s="121"/>
      <c r="J7" s="120"/>
      <c r="M7" s="275"/>
    </row>
    <row r="8" spans="1:18" x14ac:dyDescent="0.2">
      <c r="A8" s="175"/>
      <c r="B8" s="121"/>
      <c r="C8" s="121"/>
      <c r="D8" s="121"/>
      <c r="E8" s="121"/>
      <c r="F8" s="121"/>
      <c r="G8" s="121"/>
      <c r="H8" s="121"/>
      <c r="I8" s="121"/>
      <c r="J8" s="120"/>
      <c r="L8" s="155" t="s">
        <v>345</v>
      </c>
    </row>
    <row r="9" spans="1:18" x14ac:dyDescent="0.2">
      <c r="A9" s="175" t="s">
        <v>2</v>
      </c>
      <c r="B9" s="121" t="s">
        <v>332</v>
      </c>
      <c r="C9" s="121" t="s">
        <v>499</v>
      </c>
      <c r="D9" s="121"/>
      <c r="E9" s="121"/>
      <c r="F9" s="121"/>
      <c r="G9" s="121"/>
      <c r="H9" s="121"/>
      <c r="I9" s="121"/>
      <c r="J9" s="120"/>
      <c r="L9" t="s">
        <v>498</v>
      </c>
    </row>
    <row r="10" spans="1:18" x14ac:dyDescent="0.2">
      <c r="A10" s="175"/>
      <c r="B10" s="121"/>
      <c r="C10" s="121"/>
      <c r="D10" s="121"/>
      <c r="E10" s="121"/>
      <c r="F10" s="121"/>
      <c r="G10" s="121"/>
      <c r="H10" s="121"/>
      <c r="I10" s="121"/>
      <c r="J10" s="120"/>
    </row>
    <row r="11" spans="1:18" x14ac:dyDescent="0.2">
      <c r="A11" s="175" t="s">
        <v>164</v>
      </c>
      <c r="B11" s="121" t="s">
        <v>322</v>
      </c>
      <c r="C11" s="121" t="s">
        <v>497</v>
      </c>
      <c r="D11" s="121"/>
      <c r="E11" s="121"/>
      <c r="F11" s="121"/>
      <c r="G11" s="121"/>
      <c r="H11" s="121"/>
      <c r="I11" s="121"/>
      <c r="J11" s="120"/>
      <c r="L11" t="s">
        <v>496</v>
      </c>
    </row>
    <row r="12" spans="1:18" x14ac:dyDescent="0.2">
      <c r="A12" s="175"/>
      <c r="B12" s="121"/>
      <c r="C12" s="121" t="s">
        <v>495</v>
      </c>
      <c r="D12" s="121"/>
      <c r="E12" s="121"/>
      <c r="F12" s="121"/>
      <c r="G12" s="121"/>
      <c r="H12" s="121"/>
      <c r="I12" s="121"/>
      <c r="J12" s="120"/>
      <c r="L12" s="155"/>
      <c r="M12" s="274"/>
    </row>
    <row r="13" spans="1:18" ht="17" thickBot="1" x14ac:dyDescent="0.25">
      <c r="A13" s="175"/>
      <c r="B13" s="121"/>
      <c r="C13" s="121"/>
      <c r="D13" s="121"/>
      <c r="E13" s="121"/>
      <c r="F13" s="121"/>
      <c r="G13" s="121"/>
      <c r="H13" s="121"/>
      <c r="I13" s="121"/>
      <c r="J13" s="120"/>
      <c r="L13" s="155" t="s">
        <v>341</v>
      </c>
    </row>
    <row r="14" spans="1:18" ht="17" thickBot="1" x14ac:dyDescent="0.25">
      <c r="A14" s="193" t="s">
        <v>134</v>
      </c>
      <c r="B14" s="117"/>
      <c r="C14" s="192"/>
      <c r="D14" s="117"/>
      <c r="E14" s="117"/>
      <c r="F14" s="117"/>
      <c r="G14" s="117"/>
      <c r="H14" s="117"/>
      <c r="I14" s="117"/>
      <c r="J14" s="116"/>
      <c r="L14" s="359" t="s">
        <v>494</v>
      </c>
      <c r="M14" s="359"/>
      <c r="N14" s="359"/>
      <c r="O14" s="359"/>
      <c r="P14" s="359"/>
      <c r="Q14" s="359"/>
      <c r="R14" s="359"/>
    </row>
    <row r="15" spans="1:18" x14ac:dyDescent="0.2">
      <c r="L15" s="359"/>
      <c r="M15" s="359"/>
      <c r="N15" s="359"/>
      <c r="O15" s="359"/>
      <c r="P15" s="359"/>
      <c r="Q15" s="359"/>
      <c r="R15" s="359"/>
    </row>
    <row r="17" spans="12:18" x14ac:dyDescent="0.2">
      <c r="L17" s="359" t="s">
        <v>493</v>
      </c>
      <c r="M17" s="359"/>
      <c r="N17" s="359"/>
      <c r="O17" s="359"/>
      <c r="P17" s="359"/>
      <c r="Q17" s="359"/>
      <c r="R17" s="359"/>
    </row>
    <row r="18" spans="12:18" x14ac:dyDescent="0.2">
      <c r="L18" s="359"/>
      <c r="M18" s="359"/>
      <c r="N18" s="359"/>
      <c r="O18" s="359"/>
      <c r="P18" s="359"/>
      <c r="Q18" s="359"/>
      <c r="R18" s="359"/>
    </row>
    <row r="20" spans="12:18" x14ac:dyDescent="0.2">
      <c r="L20" s="155" t="s">
        <v>327</v>
      </c>
    </row>
    <row r="21" spans="12:18" x14ac:dyDescent="0.2">
      <c r="L21" s="359" t="s">
        <v>492</v>
      </c>
      <c r="M21" s="359"/>
      <c r="N21" s="359"/>
      <c r="O21" s="359"/>
      <c r="P21" s="359"/>
      <c r="Q21" s="359"/>
      <c r="R21" s="359"/>
    </row>
    <row r="22" spans="12:18" x14ac:dyDescent="0.2">
      <c r="L22" s="359"/>
      <c r="M22" s="359"/>
      <c r="N22" s="359"/>
      <c r="O22" s="359"/>
      <c r="P22" s="359"/>
      <c r="Q22" s="359"/>
      <c r="R22" s="359"/>
    </row>
    <row r="23" spans="12:18" x14ac:dyDescent="0.2">
      <c r="L23" s="359"/>
      <c r="M23" s="359"/>
      <c r="N23" s="359"/>
      <c r="O23" s="359"/>
      <c r="P23" s="359"/>
      <c r="Q23" s="359"/>
      <c r="R23" s="359"/>
    </row>
    <row r="24" spans="12:18" x14ac:dyDescent="0.2">
      <c r="L24" s="359"/>
      <c r="M24" s="359"/>
      <c r="N24" s="359"/>
      <c r="O24" s="359"/>
      <c r="P24" s="359"/>
      <c r="Q24" s="359"/>
      <c r="R24" s="359"/>
    </row>
  </sheetData>
  <mergeCells count="3">
    <mergeCell ref="L14:R15"/>
    <mergeCell ref="L17:R18"/>
    <mergeCell ref="L21:R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C519-B3F2-2A40-BC3C-F8F35BCA8EDB}">
  <dimension ref="A1:S66"/>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3" max="8" width="11.33203125" customWidth="1"/>
    <col min="12" max="12" width="15.33203125" hidden="1" customWidth="1" outlineLevel="1"/>
    <col min="13" max="13" width="11.5" hidden="1" customWidth="1" outlineLevel="1"/>
    <col min="14" max="18" width="10.83203125" hidden="1" customWidth="1" outlineLevel="1"/>
    <col min="19" max="19" width="11" collapsed="1"/>
  </cols>
  <sheetData>
    <row r="1" spans="1:18" x14ac:dyDescent="0.2">
      <c r="A1" s="246"/>
      <c r="B1" s="162" t="s">
        <v>367</v>
      </c>
      <c r="C1" s="161" t="s">
        <v>573</v>
      </c>
      <c r="D1" s="161" t="s">
        <v>365</v>
      </c>
      <c r="E1" s="161" t="s">
        <v>364</v>
      </c>
      <c r="F1" s="160"/>
      <c r="G1" s="160"/>
      <c r="H1" s="160"/>
      <c r="I1" s="160"/>
      <c r="J1" s="159"/>
      <c r="K1" s="155" t="s">
        <v>135</v>
      </c>
      <c r="L1" s="155"/>
    </row>
    <row r="2" spans="1:18" x14ac:dyDescent="0.2">
      <c r="A2" s="175"/>
      <c r="B2" s="245" t="s">
        <v>363</v>
      </c>
      <c r="C2" s="244">
        <v>3.75</v>
      </c>
      <c r="D2" s="121"/>
      <c r="E2" s="121"/>
      <c r="F2" s="121"/>
      <c r="G2" s="121"/>
      <c r="H2" s="121"/>
      <c r="I2" s="121"/>
      <c r="J2" s="120"/>
    </row>
    <row r="3" spans="1:18" x14ac:dyDescent="0.2">
      <c r="A3" s="175"/>
      <c r="B3" s="121"/>
      <c r="C3" s="121"/>
      <c r="D3" s="121"/>
      <c r="E3" s="121"/>
      <c r="F3" s="121"/>
      <c r="G3" s="121"/>
      <c r="H3" s="121"/>
      <c r="I3" s="121"/>
      <c r="J3" s="120"/>
      <c r="L3" s="155" t="s">
        <v>362</v>
      </c>
      <c r="M3" s="277"/>
    </row>
    <row r="4" spans="1:18" x14ac:dyDescent="0.2">
      <c r="A4" s="175"/>
      <c r="B4" s="121"/>
      <c r="C4" s="121" t="s">
        <v>81</v>
      </c>
      <c r="D4" s="121"/>
      <c r="E4" s="121"/>
      <c r="F4" s="121"/>
      <c r="G4" s="121"/>
      <c r="H4" s="121"/>
      <c r="I4" s="121"/>
      <c r="J4" s="120"/>
      <c r="L4" s="359" t="s">
        <v>572</v>
      </c>
      <c r="M4" s="359"/>
      <c r="N4" s="359"/>
      <c r="O4" s="359"/>
      <c r="P4" s="359"/>
      <c r="Q4" s="359"/>
      <c r="R4" s="359"/>
    </row>
    <row r="5" spans="1:18" x14ac:dyDescent="0.2">
      <c r="A5" s="175"/>
      <c r="B5" s="121"/>
      <c r="C5" s="121"/>
      <c r="D5" s="121"/>
      <c r="E5" s="121"/>
      <c r="F5" s="121"/>
      <c r="G5" s="121"/>
      <c r="H5" s="121"/>
      <c r="I5" s="121"/>
      <c r="J5" s="120"/>
      <c r="L5" s="359"/>
      <c r="M5" s="359"/>
      <c r="N5" s="359"/>
      <c r="O5" s="359"/>
      <c r="P5" s="359"/>
      <c r="Q5" s="359"/>
      <c r="R5" s="359"/>
    </row>
    <row r="6" spans="1:18" x14ac:dyDescent="0.2">
      <c r="A6" s="175"/>
      <c r="B6" s="121"/>
      <c r="C6" s="121" t="s">
        <v>571</v>
      </c>
      <c r="D6" s="121"/>
      <c r="E6" s="121"/>
      <c r="F6" s="121"/>
      <c r="G6" s="121"/>
      <c r="H6" s="121"/>
      <c r="I6" s="121"/>
      <c r="J6" s="120"/>
    </row>
    <row r="7" spans="1:18" x14ac:dyDescent="0.2">
      <c r="A7" s="175"/>
      <c r="B7" s="121"/>
      <c r="C7" s="121" t="s">
        <v>570</v>
      </c>
      <c r="D7" s="121"/>
      <c r="E7" s="121"/>
      <c r="F7" s="121"/>
      <c r="G7" s="121"/>
      <c r="H7" s="121"/>
      <c r="I7" s="121"/>
      <c r="J7" s="120"/>
      <c r="L7" s="155" t="s">
        <v>345</v>
      </c>
      <c r="M7" s="276"/>
    </row>
    <row r="8" spans="1:18" x14ac:dyDescent="0.2">
      <c r="A8" s="175"/>
      <c r="B8" s="121"/>
      <c r="C8" s="121" t="s">
        <v>569</v>
      </c>
      <c r="D8" s="121"/>
      <c r="E8" s="121"/>
      <c r="F8" s="121"/>
      <c r="G8" s="121"/>
      <c r="H8" s="121"/>
      <c r="I8" s="121"/>
      <c r="J8" s="120"/>
      <c r="L8" t="s">
        <v>568</v>
      </c>
      <c r="M8" s="275"/>
    </row>
    <row r="9" spans="1:18" x14ac:dyDescent="0.2">
      <c r="A9" s="175"/>
      <c r="B9" s="121"/>
      <c r="C9" s="121"/>
      <c r="D9" s="121"/>
      <c r="E9" s="121"/>
      <c r="F9" s="121"/>
      <c r="G9" s="121"/>
      <c r="H9" s="121"/>
      <c r="I9" s="121"/>
      <c r="J9" s="120"/>
      <c r="L9" t="s">
        <v>567</v>
      </c>
      <c r="M9" s="275"/>
    </row>
    <row r="10" spans="1:18" x14ac:dyDescent="0.2">
      <c r="A10" s="175"/>
      <c r="B10" s="121"/>
      <c r="C10" s="121"/>
      <c r="D10" s="308"/>
      <c r="E10" s="307"/>
      <c r="F10" s="298" t="s">
        <v>566</v>
      </c>
      <c r="G10" s="297" t="s">
        <v>347</v>
      </c>
      <c r="H10" s="121"/>
      <c r="I10" s="121"/>
      <c r="J10" s="120"/>
      <c r="L10" t="s">
        <v>565</v>
      </c>
      <c r="M10" s="275"/>
    </row>
    <row r="11" spans="1:18" x14ac:dyDescent="0.2">
      <c r="A11" s="175"/>
      <c r="B11" s="121"/>
      <c r="C11" s="121"/>
      <c r="D11" s="360" t="s">
        <v>564</v>
      </c>
      <c r="E11" s="361"/>
      <c r="F11" s="291" t="s">
        <v>113</v>
      </c>
      <c r="G11" s="306" t="s">
        <v>113</v>
      </c>
      <c r="H11" s="121"/>
      <c r="I11" s="121"/>
      <c r="J11" s="120"/>
      <c r="L11" t="s">
        <v>563</v>
      </c>
      <c r="M11" s="275"/>
    </row>
    <row r="12" spans="1:18" x14ac:dyDescent="0.2">
      <c r="A12" s="175"/>
      <c r="B12" s="121"/>
      <c r="C12" s="121"/>
      <c r="D12" s="342" t="s">
        <v>39</v>
      </c>
      <c r="E12" s="343"/>
      <c r="F12" s="127">
        <v>5</v>
      </c>
      <c r="G12" s="144">
        <v>2</v>
      </c>
      <c r="H12" s="121"/>
      <c r="I12" s="121"/>
      <c r="J12" s="120"/>
      <c r="L12" t="s">
        <v>562</v>
      </c>
      <c r="M12" s="275"/>
    </row>
    <row r="13" spans="1:18" x14ac:dyDescent="0.2">
      <c r="A13" s="175"/>
      <c r="B13" s="121"/>
      <c r="C13" s="121"/>
      <c r="D13" s="342" t="s">
        <v>42</v>
      </c>
      <c r="E13" s="343"/>
      <c r="F13" s="127">
        <v>3</v>
      </c>
      <c r="G13" s="144">
        <v>5</v>
      </c>
      <c r="H13" s="121"/>
      <c r="I13" s="121"/>
      <c r="J13" s="120"/>
      <c r="L13" t="s">
        <v>561</v>
      </c>
      <c r="M13" s="275"/>
    </row>
    <row r="14" spans="1:18" x14ac:dyDescent="0.2">
      <c r="A14" s="175"/>
      <c r="B14" s="121"/>
      <c r="C14" s="121"/>
      <c r="D14" s="340" t="s">
        <v>45</v>
      </c>
      <c r="E14" s="341"/>
      <c r="F14" s="233">
        <v>2</v>
      </c>
      <c r="G14" s="222">
        <v>3</v>
      </c>
      <c r="H14" s="121"/>
      <c r="I14" s="121"/>
      <c r="J14" s="120"/>
      <c r="M14" s="275"/>
    </row>
    <row r="15" spans="1:18" x14ac:dyDescent="0.2">
      <c r="A15" s="175"/>
      <c r="B15" s="121"/>
      <c r="C15" s="121"/>
      <c r="D15" s="121"/>
      <c r="E15" s="121"/>
      <c r="F15" s="121"/>
      <c r="G15" s="121"/>
      <c r="H15" s="121"/>
      <c r="I15" s="121"/>
      <c r="J15" s="120"/>
      <c r="L15" s="155" t="s">
        <v>341</v>
      </c>
      <c r="M15" s="275"/>
    </row>
    <row r="16" spans="1:18" x14ac:dyDescent="0.2">
      <c r="A16" s="175"/>
      <c r="B16" s="121"/>
      <c r="C16" s="368" t="s">
        <v>560</v>
      </c>
      <c r="D16" s="369"/>
      <c r="E16" s="369"/>
      <c r="F16" s="369"/>
      <c r="G16" s="370"/>
      <c r="H16" s="305" t="s">
        <v>559</v>
      </c>
      <c r="I16" s="297" t="s">
        <v>558</v>
      </c>
      <c r="J16" s="120"/>
      <c r="L16" s="155"/>
      <c r="M16" s="275"/>
    </row>
    <row r="17" spans="1:16" x14ac:dyDescent="0.2">
      <c r="A17" s="175"/>
      <c r="B17" s="121"/>
      <c r="C17" s="371" t="s">
        <v>557</v>
      </c>
      <c r="D17" s="372"/>
      <c r="E17" s="372"/>
      <c r="F17" s="372"/>
      <c r="G17" s="372"/>
      <c r="H17" s="338">
        <v>5</v>
      </c>
      <c r="I17" s="339">
        <v>2</v>
      </c>
      <c r="J17" s="120"/>
      <c r="L17" s="155"/>
      <c r="M17" s="364" t="s">
        <v>556</v>
      </c>
      <c r="N17" s="365"/>
      <c r="O17" s="364" t="s">
        <v>555</v>
      </c>
      <c r="P17" s="365"/>
    </row>
    <row r="18" spans="1:16" x14ac:dyDescent="0.2">
      <c r="A18" s="175"/>
      <c r="B18" s="121"/>
      <c r="C18" s="362" t="s">
        <v>554</v>
      </c>
      <c r="D18" s="363"/>
      <c r="E18" s="363"/>
      <c r="F18" s="363"/>
      <c r="G18" s="363"/>
      <c r="H18" s="340"/>
      <c r="I18" s="341"/>
      <c r="J18" s="120"/>
      <c r="L18" s="304" t="s">
        <v>553</v>
      </c>
      <c r="M18" s="303" t="s">
        <v>10</v>
      </c>
      <c r="N18" s="304" t="s">
        <v>9</v>
      </c>
      <c r="O18" s="303" t="s">
        <v>10</v>
      </c>
      <c r="P18" s="302" t="s">
        <v>9</v>
      </c>
    </row>
    <row r="19" spans="1:16" x14ac:dyDescent="0.2">
      <c r="A19" s="175"/>
      <c r="B19" s="121"/>
      <c r="C19" s="366" t="s">
        <v>552</v>
      </c>
      <c r="D19" s="367"/>
      <c r="E19" s="367"/>
      <c r="F19" s="367"/>
      <c r="G19" s="367"/>
      <c r="H19" s="147">
        <v>2</v>
      </c>
      <c r="I19" s="145">
        <v>2</v>
      </c>
      <c r="J19" s="120"/>
      <c r="L19" s="301" t="s">
        <v>551</v>
      </c>
      <c r="M19" s="300">
        <f>H17</f>
        <v>5</v>
      </c>
      <c r="N19" s="299">
        <f>I17</f>
        <v>2</v>
      </c>
      <c r="O19" s="137">
        <f>F13</f>
        <v>3</v>
      </c>
      <c r="P19" s="137">
        <f>G13</f>
        <v>5</v>
      </c>
    </row>
    <row r="20" spans="1:16" x14ac:dyDescent="0.2">
      <c r="A20" s="175"/>
      <c r="B20" s="121"/>
      <c r="C20" s="371" t="s">
        <v>550</v>
      </c>
      <c r="D20" s="372"/>
      <c r="E20" s="372"/>
      <c r="F20" s="372"/>
      <c r="G20" s="372"/>
      <c r="H20" s="147">
        <v>3</v>
      </c>
      <c r="I20" s="145">
        <v>5</v>
      </c>
      <c r="J20" s="120"/>
      <c r="L20" s="301" t="s">
        <v>549</v>
      </c>
      <c r="M20" s="300">
        <f t="shared" ref="M20:N22" si="0">H19</f>
        <v>2</v>
      </c>
      <c r="N20" s="299">
        <f t="shared" si="0"/>
        <v>2</v>
      </c>
      <c r="O20" s="137">
        <f>F14</f>
        <v>2</v>
      </c>
      <c r="P20" s="137">
        <f>G14</f>
        <v>3</v>
      </c>
    </row>
    <row r="21" spans="1:16" x14ac:dyDescent="0.2">
      <c r="A21" s="175"/>
      <c r="B21" s="121"/>
      <c r="C21" s="371" t="s">
        <v>548</v>
      </c>
      <c r="D21" s="372"/>
      <c r="E21" s="372"/>
      <c r="F21" s="372"/>
      <c r="G21" s="372"/>
      <c r="H21" s="232">
        <v>1</v>
      </c>
      <c r="I21" s="231">
        <v>3</v>
      </c>
      <c r="J21" s="120"/>
      <c r="L21" s="301" t="s">
        <v>547</v>
      </c>
      <c r="M21" s="300">
        <f t="shared" si="0"/>
        <v>3</v>
      </c>
      <c r="N21" s="299">
        <f t="shared" si="0"/>
        <v>5</v>
      </c>
      <c r="O21" s="137">
        <f>F12</f>
        <v>5</v>
      </c>
      <c r="P21" s="137">
        <f>G12</f>
        <v>2</v>
      </c>
    </row>
    <row r="22" spans="1:16" x14ac:dyDescent="0.2">
      <c r="A22" s="175"/>
      <c r="B22" s="121"/>
      <c r="C22" s="362" t="s">
        <v>546</v>
      </c>
      <c r="D22" s="363"/>
      <c r="E22" s="363"/>
      <c r="F22" s="363"/>
      <c r="G22" s="363"/>
      <c r="H22" s="223"/>
      <c r="I22" s="222"/>
      <c r="J22" s="120"/>
      <c r="L22" s="301" t="s">
        <v>545</v>
      </c>
      <c r="M22" s="300">
        <f t="shared" si="0"/>
        <v>1</v>
      </c>
      <c r="N22" s="299">
        <f t="shared" si="0"/>
        <v>3</v>
      </c>
      <c r="O22" s="137">
        <f>F14</f>
        <v>2</v>
      </c>
      <c r="P22" s="137">
        <f>G14</f>
        <v>3</v>
      </c>
    </row>
    <row r="23" spans="1:16" x14ac:dyDescent="0.2">
      <c r="A23" s="175"/>
      <c r="B23" s="121"/>
      <c r="C23" s="371" t="s">
        <v>544</v>
      </c>
      <c r="D23" s="372"/>
      <c r="E23" s="372"/>
      <c r="F23" s="372"/>
      <c r="G23" s="372"/>
      <c r="H23" s="338">
        <v>4</v>
      </c>
      <c r="I23" s="339">
        <v>1</v>
      </c>
      <c r="J23" s="120"/>
      <c r="L23" s="301" t="s">
        <v>543</v>
      </c>
      <c r="M23" s="300">
        <f>H23</f>
        <v>4</v>
      </c>
      <c r="N23" s="299">
        <f>I23</f>
        <v>1</v>
      </c>
      <c r="O23" s="137">
        <f>F13</f>
        <v>3</v>
      </c>
      <c r="P23" s="137">
        <f>G13</f>
        <v>5</v>
      </c>
    </row>
    <row r="24" spans="1:16" x14ac:dyDescent="0.2">
      <c r="A24" s="175"/>
      <c r="B24" s="121"/>
      <c r="C24" s="362" t="s">
        <v>542</v>
      </c>
      <c r="D24" s="363"/>
      <c r="E24" s="363"/>
      <c r="F24" s="363"/>
      <c r="G24" s="363"/>
      <c r="H24" s="340"/>
      <c r="I24" s="341"/>
      <c r="J24" s="120"/>
      <c r="L24" s="301" t="s">
        <v>541</v>
      </c>
      <c r="M24" s="300">
        <f>H25</f>
        <v>3</v>
      </c>
      <c r="N24" s="299">
        <f>I25</f>
        <v>5</v>
      </c>
      <c r="O24" s="137">
        <f>F12</f>
        <v>5</v>
      </c>
      <c r="P24" s="137">
        <f>G12</f>
        <v>2</v>
      </c>
    </row>
    <row r="25" spans="1:16" x14ac:dyDescent="0.2">
      <c r="A25" s="175"/>
      <c r="B25" s="121"/>
      <c r="C25" s="366" t="s">
        <v>540</v>
      </c>
      <c r="D25" s="367"/>
      <c r="E25" s="367"/>
      <c r="F25" s="367"/>
      <c r="G25" s="367"/>
      <c r="H25" s="147">
        <v>3</v>
      </c>
      <c r="I25" s="222">
        <v>5</v>
      </c>
      <c r="J25" s="120"/>
      <c r="L25" s="155"/>
      <c r="M25" s="275"/>
    </row>
    <row r="26" spans="1:16" x14ac:dyDescent="0.2">
      <c r="A26" s="175"/>
      <c r="B26" s="121"/>
      <c r="C26" s="121"/>
      <c r="D26" s="121"/>
      <c r="E26" s="121"/>
      <c r="F26" s="121"/>
      <c r="G26" s="121"/>
      <c r="H26" s="121"/>
      <c r="I26" s="121"/>
      <c r="J26" s="120"/>
      <c r="L26" t="s">
        <v>539</v>
      </c>
      <c r="M26" s="275"/>
    </row>
    <row r="27" spans="1:16" ht="17" thickBot="1" x14ac:dyDescent="0.25">
      <c r="A27" s="175"/>
      <c r="B27" s="121"/>
      <c r="C27" s="121"/>
      <c r="D27" s="298" t="s">
        <v>538</v>
      </c>
      <c r="E27" s="298"/>
      <c r="F27" s="297"/>
      <c r="G27" s="121"/>
      <c r="H27" s="121"/>
      <c r="I27" s="121"/>
      <c r="J27" s="120"/>
      <c r="L27" s="155"/>
      <c r="M27" s="275"/>
    </row>
    <row r="28" spans="1:16" x14ac:dyDescent="0.2">
      <c r="A28" s="175"/>
      <c r="B28" s="127"/>
      <c r="C28" s="121"/>
      <c r="D28" s="292" t="s">
        <v>537</v>
      </c>
      <c r="E28" s="292" t="s">
        <v>536</v>
      </c>
      <c r="F28" s="290" t="s">
        <v>347</v>
      </c>
      <c r="G28" s="121"/>
      <c r="H28" s="121"/>
      <c r="I28" s="121"/>
      <c r="J28" s="120"/>
      <c r="L28" s="296" t="s">
        <v>535</v>
      </c>
      <c r="M28" s="295">
        <f>SUMPRODUCT(M19:M24,O19:O24)/SUM(O19:O24)</f>
        <v>3.15</v>
      </c>
    </row>
    <row r="29" spans="1:16" ht="17" thickBot="1" x14ac:dyDescent="0.25">
      <c r="A29" s="175"/>
      <c r="B29" s="127"/>
      <c r="C29" s="121"/>
      <c r="D29" s="292" t="s">
        <v>534</v>
      </c>
      <c r="E29" s="292" t="s">
        <v>533</v>
      </c>
      <c r="F29" s="290" t="s">
        <v>532</v>
      </c>
      <c r="G29" s="121"/>
      <c r="H29" s="121"/>
      <c r="I29" s="121"/>
      <c r="J29" s="120"/>
      <c r="L29" s="294" t="s">
        <v>531</v>
      </c>
      <c r="M29" s="293">
        <f>SUMPRODUCT(N19:N24,P19:P24)/SUM(P19:P24)</f>
        <v>2.5</v>
      </c>
    </row>
    <row r="30" spans="1:16" x14ac:dyDescent="0.2">
      <c r="A30" s="175"/>
      <c r="B30" s="127"/>
      <c r="C30" s="121"/>
      <c r="D30" s="292" t="s">
        <v>530</v>
      </c>
      <c r="E30" s="291" t="s">
        <v>529</v>
      </c>
      <c r="F30" s="290" t="s">
        <v>529</v>
      </c>
      <c r="G30" s="121"/>
      <c r="H30" s="121"/>
      <c r="I30" s="121"/>
      <c r="J30" s="120"/>
    </row>
    <row r="31" spans="1:16" x14ac:dyDescent="0.2">
      <c r="A31" s="175"/>
      <c r="B31" s="127"/>
      <c r="C31" s="121"/>
      <c r="D31" s="143" t="s">
        <v>528</v>
      </c>
      <c r="E31" s="229">
        <v>8.5000000000000006E-2</v>
      </c>
      <c r="F31" s="141">
        <v>6.5000000000000002E-2</v>
      </c>
      <c r="G31" s="121"/>
      <c r="H31" s="121"/>
      <c r="I31" s="121"/>
      <c r="J31" s="120"/>
      <c r="L31" s="155" t="s">
        <v>327</v>
      </c>
      <c r="M31" s="275"/>
    </row>
    <row r="32" spans="1:16" x14ac:dyDescent="0.2">
      <c r="A32" s="175"/>
      <c r="B32" s="127"/>
      <c r="C32" s="121"/>
      <c r="D32" s="140" t="s">
        <v>527</v>
      </c>
      <c r="E32" s="225">
        <v>7.0000000000000007E-2</v>
      </c>
      <c r="F32" s="138">
        <v>0.05</v>
      </c>
      <c r="G32" s="121"/>
      <c r="H32" s="121"/>
      <c r="I32" s="121"/>
      <c r="J32" s="120"/>
    </row>
    <row r="33" spans="1:14" x14ac:dyDescent="0.2">
      <c r="A33" s="175"/>
      <c r="B33" s="127"/>
      <c r="C33" s="121"/>
      <c r="D33" s="140" t="s">
        <v>526</v>
      </c>
      <c r="E33" s="225">
        <v>0.06</v>
      </c>
      <c r="F33" s="138">
        <v>0.04</v>
      </c>
      <c r="G33" s="121"/>
      <c r="H33" s="121"/>
      <c r="I33" s="121"/>
      <c r="J33" s="120"/>
      <c r="L33" t="s">
        <v>525</v>
      </c>
    </row>
    <row r="34" spans="1:14" x14ac:dyDescent="0.2">
      <c r="A34" s="175"/>
      <c r="B34" s="127"/>
      <c r="C34" s="121"/>
      <c r="D34" s="136" t="s">
        <v>524</v>
      </c>
      <c r="E34" s="220">
        <v>5.5E-2</v>
      </c>
      <c r="F34" s="134">
        <v>3.5000000000000003E-2</v>
      </c>
      <c r="G34" s="121"/>
      <c r="H34" s="121"/>
      <c r="I34" s="121"/>
      <c r="J34" s="120"/>
    </row>
    <row r="35" spans="1:14" x14ac:dyDescent="0.2">
      <c r="A35" s="175"/>
      <c r="B35" s="127"/>
      <c r="C35" s="127"/>
      <c r="D35" s="121"/>
      <c r="E35" s="121"/>
      <c r="F35" s="121"/>
      <c r="G35" s="121"/>
      <c r="H35" s="121"/>
      <c r="I35" s="121"/>
      <c r="J35" s="120"/>
    </row>
    <row r="36" spans="1:14" x14ac:dyDescent="0.2">
      <c r="A36" s="175"/>
      <c r="B36" s="127"/>
      <c r="C36" s="121" t="s">
        <v>523</v>
      </c>
      <c r="D36" s="121"/>
      <c r="E36" s="121"/>
      <c r="F36" s="121"/>
      <c r="G36" s="121"/>
      <c r="H36" s="121"/>
      <c r="I36" s="127">
        <v>0.4</v>
      </c>
      <c r="J36" s="120"/>
      <c r="L36" s="14" t="s">
        <v>89</v>
      </c>
      <c r="M36" s="15" t="s">
        <v>113</v>
      </c>
      <c r="N36" s="15" t="s">
        <v>50</v>
      </c>
    </row>
    <row r="37" spans="1:14" x14ac:dyDescent="0.2">
      <c r="A37" s="175"/>
      <c r="B37" s="127"/>
      <c r="C37" s="121" t="s">
        <v>522</v>
      </c>
      <c r="D37" s="121"/>
      <c r="E37" s="121"/>
      <c r="F37" s="121"/>
      <c r="G37" s="121"/>
      <c r="H37" s="289">
        <v>0.04</v>
      </c>
      <c r="I37" s="121"/>
      <c r="J37" s="120"/>
      <c r="L37" s="16" t="s">
        <v>10</v>
      </c>
      <c r="M37" s="288">
        <f>45/(45+5)</f>
        <v>0.9</v>
      </c>
      <c r="N37" s="287">
        <f>E33</f>
        <v>0.06</v>
      </c>
    </row>
    <row r="38" spans="1:14" x14ac:dyDescent="0.2">
      <c r="A38" s="175"/>
      <c r="B38" s="127"/>
      <c r="C38" s="121" t="s">
        <v>521</v>
      </c>
      <c r="D38" s="121"/>
      <c r="E38" s="121"/>
      <c r="F38" s="121"/>
      <c r="G38" s="121"/>
      <c r="H38" s="289">
        <v>0.08</v>
      </c>
      <c r="I38" s="121"/>
      <c r="J38" s="120"/>
      <c r="L38" s="16" t="s">
        <v>9</v>
      </c>
      <c r="M38" s="288">
        <f>5/(45+5)</f>
        <v>0.1</v>
      </c>
      <c r="N38" s="287">
        <f>F32</f>
        <v>0.05</v>
      </c>
    </row>
    <row r="39" spans="1:14" ht="17" thickBot="1" x14ac:dyDescent="0.25">
      <c r="A39" s="175"/>
      <c r="B39" s="127"/>
      <c r="C39" s="121" t="s">
        <v>520</v>
      </c>
      <c r="D39" s="121"/>
      <c r="E39" s="121"/>
      <c r="F39" s="121"/>
      <c r="G39" s="121"/>
      <c r="H39" s="121"/>
      <c r="I39" s="121"/>
      <c r="J39" s="120"/>
    </row>
    <row r="40" spans="1:14" ht="17" thickBot="1" x14ac:dyDescent="0.25">
      <c r="A40" s="175"/>
      <c r="B40" s="127"/>
      <c r="C40" s="121" t="s">
        <v>519</v>
      </c>
      <c r="D40" s="121"/>
      <c r="E40" s="121"/>
      <c r="F40" s="121"/>
      <c r="G40" s="121"/>
      <c r="H40" s="174">
        <v>0.84199999999999997</v>
      </c>
      <c r="I40" s="121"/>
      <c r="J40" s="120"/>
      <c r="L40" s="154" t="s">
        <v>506</v>
      </c>
      <c r="M40" s="266"/>
      <c r="N40" s="279">
        <f>SQRT((M37*N37)^2+(M38*N38)^2+2*I36*M37*M38*N37*N38)</f>
        <v>5.618718715152058E-2</v>
      </c>
    </row>
    <row r="41" spans="1:14" x14ac:dyDescent="0.2">
      <c r="A41" s="175"/>
      <c r="B41" s="127"/>
      <c r="C41" s="121"/>
      <c r="D41" s="121"/>
      <c r="E41" s="121"/>
      <c r="F41" s="121"/>
      <c r="G41" s="121"/>
      <c r="H41" s="121"/>
      <c r="I41" s="121"/>
      <c r="J41" s="120"/>
    </row>
    <row r="42" spans="1:14" x14ac:dyDescent="0.2">
      <c r="A42" s="175" t="s">
        <v>0</v>
      </c>
      <c r="B42" s="121" t="s">
        <v>322</v>
      </c>
      <c r="C42" s="121" t="s">
        <v>518</v>
      </c>
      <c r="D42" s="121"/>
      <c r="E42" s="121"/>
      <c r="F42" s="121"/>
      <c r="G42" s="121"/>
      <c r="H42" s="121"/>
      <c r="I42" s="121"/>
      <c r="J42" s="120"/>
      <c r="L42" s="155" t="s">
        <v>320</v>
      </c>
    </row>
    <row r="43" spans="1:14" ht="17" thickBot="1" x14ac:dyDescent="0.25">
      <c r="A43" s="175"/>
      <c r="B43" s="121"/>
      <c r="C43" s="286" t="s">
        <v>517</v>
      </c>
      <c r="D43" s="121"/>
      <c r="E43" s="121"/>
      <c r="F43" s="121"/>
      <c r="G43" s="121"/>
      <c r="H43" s="121"/>
      <c r="I43" s="121"/>
      <c r="J43" s="120"/>
      <c r="L43" t="s">
        <v>516</v>
      </c>
      <c r="M43" s="285">
        <f>SQRT(N40^2+H37^2+H38^2)</f>
        <v>0.10562670116973265</v>
      </c>
    </row>
    <row r="44" spans="1:14" ht="17" thickBot="1" x14ac:dyDescent="0.25">
      <c r="A44" s="175"/>
      <c r="B44" s="121"/>
      <c r="C44" s="121"/>
      <c r="D44" s="121"/>
      <c r="E44" s="121"/>
      <c r="F44" s="121"/>
      <c r="G44" s="121"/>
      <c r="H44" s="121"/>
      <c r="I44" s="121"/>
      <c r="J44" s="120"/>
      <c r="L44" s="154" t="s">
        <v>515</v>
      </c>
      <c r="M44" s="284">
        <f>M43*H40*(45+5)</f>
        <v>4.4468841192457438</v>
      </c>
      <c r="N44" t="s">
        <v>514</v>
      </c>
    </row>
    <row r="45" spans="1:14" x14ac:dyDescent="0.2">
      <c r="A45" s="175" t="s">
        <v>1</v>
      </c>
      <c r="B45" s="121" t="s">
        <v>310</v>
      </c>
      <c r="C45" s="121" t="s">
        <v>513</v>
      </c>
      <c r="D45" s="121"/>
      <c r="E45" s="121"/>
      <c r="F45" s="121"/>
      <c r="G45" s="121"/>
      <c r="H45" s="121"/>
      <c r="I45" s="121"/>
      <c r="J45" s="120"/>
      <c r="M45" s="283"/>
    </row>
    <row r="46" spans="1:14" x14ac:dyDescent="0.2">
      <c r="A46" s="175"/>
      <c r="B46" s="121"/>
      <c r="C46" s="121"/>
      <c r="D46" s="121"/>
      <c r="E46" s="121"/>
      <c r="F46" s="121"/>
      <c r="G46" s="121"/>
      <c r="H46" s="121"/>
      <c r="I46" s="121"/>
      <c r="J46" s="120"/>
      <c r="M46" s="283"/>
    </row>
    <row r="47" spans="1:14" ht="19" x14ac:dyDescent="0.25">
      <c r="A47" s="175" t="s">
        <v>2</v>
      </c>
      <c r="B47" s="121" t="s">
        <v>322</v>
      </c>
      <c r="C47" s="121" t="s">
        <v>512</v>
      </c>
      <c r="D47" s="121"/>
      <c r="E47" s="121"/>
      <c r="F47" s="121"/>
      <c r="G47" s="121"/>
      <c r="H47" s="121"/>
      <c r="I47" s="121"/>
      <c r="J47" s="120"/>
      <c r="L47" s="158" t="s">
        <v>103</v>
      </c>
      <c r="M47" s="283"/>
    </row>
    <row r="48" spans="1:14" x14ac:dyDescent="0.2">
      <c r="A48" s="175"/>
      <c r="B48" s="121"/>
      <c r="C48" s="121" t="s">
        <v>511</v>
      </c>
      <c r="D48" s="121"/>
      <c r="E48" s="121"/>
      <c r="F48" s="121"/>
      <c r="G48" s="121"/>
      <c r="H48" s="121"/>
      <c r="I48" s="121"/>
      <c r="J48" s="120"/>
      <c r="L48" t="s">
        <v>510</v>
      </c>
      <c r="M48" s="283"/>
    </row>
    <row r="49" spans="1:18" x14ac:dyDescent="0.2">
      <c r="A49" s="175"/>
      <c r="B49" s="121"/>
      <c r="C49" s="130"/>
      <c r="D49" s="121"/>
      <c r="E49" s="121"/>
      <c r="F49" s="121"/>
      <c r="G49" s="121"/>
      <c r="H49" s="121"/>
      <c r="I49" s="121"/>
      <c r="J49" s="120"/>
      <c r="M49" s="283"/>
    </row>
    <row r="50" spans="1:18" x14ac:dyDescent="0.2">
      <c r="A50" s="175" t="s">
        <v>164</v>
      </c>
      <c r="B50" s="121" t="s">
        <v>332</v>
      </c>
      <c r="C50" s="130" t="s">
        <v>509</v>
      </c>
      <c r="D50" s="121"/>
      <c r="E50" s="121"/>
      <c r="F50" s="121"/>
      <c r="G50" s="121"/>
      <c r="H50" s="121"/>
      <c r="I50" s="121"/>
      <c r="J50" s="120"/>
      <c r="L50" s="19" t="s">
        <v>508</v>
      </c>
      <c r="M50" s="283"/>
      <c r="N50" s="278"/>
      <c r="O50" s="278"/>
      <c r="P50" s="278"/>
      <c r="Q50" s="278"/>
      <c r="R50" s="278"/>
    </row>
    <row r="51" spans="1:18" x14ac:dyDescent="0.2">
      <c r="A51" s="175"/>
      <c r="B51" s="121"/>
      <c r="C51" s="130"/>
      <c r="D51" s="121"/>
      <c r="E51" s="121"/>
      <c r="F51" s="121"/>
      <c r="G51" s="121"/>
      <c r="H51" s="121"/>
      <c r="I51" s="121"/>
      <c r="J51" s="120"/>
      <c r="M51" s="278"/>
      <c r="N51" s="278"/>
      <c r="O51" s="278"/>
    </row>
    <row r="52" spans="1:18" x14ac:dyDescent="0.2">
      <c r="A52" s="175" t="s">
        <v>162</v>
      </c>
      <c r="B52" s="121" t="s">
        <v>332</v>
      </c>
      <c r="C52" s="121" t="s">
        <v>507</v>
      </c>
      <c r="D52" s="121"/>
      <c r="E52" s="121"/>
      <c r="F52" s="121"/>
      <c r="G52" s="121"/>
      <c r="H52" s="121"/>
      <c r="I52" s="121"/>
      <c r="J52" s="120"/>
      <c r="L52" s="14"/>
      <c r="M52" s="15" t="s">
        <v>10</v>
      </c>
      <c r="N52" s="15" t="s">
        <v>9</v>
      </c>
      <c r="O52" s="278"/>
    </row>
    <row r="53" spans="1:18" ht="17" thickBot="1" x14ac:dyDescent="0.25">
      <c r="A53" s="172"/>
      <c r="B53" s="248"/>
      <c r="C53" s="249"/>
      <c r="D53" s="248"/>
      <c r="E53" s="248"/>
      <c r="F53" s="248"/>
      <c r="G53" s="248"/>
      <c r="H53" s="248"/>
      <c r="I53" s="248"/>
      <c r="J53" s="247"/>
      <c r="L53" s="16" t="s">
        <v>10</v>
      </c>
      <c r="M53" s="282">
        <v>1</v>
      </c>
      <c r="N53" s="17">
        <f>I36</f>
        <v>0.4</v>
      </c>
      <c r="O53" s="278"/>
    </row>
    <row r="54" spans="1:18" ht="17" thickBot="1" x14ac:dyDescent="0.25">
      <c r="A54" s="193" t="s">
        <v>134</v>
      </c>
      <c r="B54" s="117"/>
      <c r="C54" s="192"/>
      <c r="D54" s="117"/>
      <c r="E54" s="117"/>
      <c r="F54" s="117"/>
      <c r="G54" s="117"/>
      <c r="H54" s="117"/>
      <c r="I54" s="117"/>
      <c r="J54" s="116"/>
      <c r="L54" s="16" t="s">
        <v>9</v>
      </c>
      <c r="M54" s="17">
        <f>I36</f>
        <v>0.4</v>
      </c>
      <c r="N54" s="282">
        <v>1</v>
      </c>
      <c r="O54" s="278"/>
    </row>
    <row r="55" spans="1:18" x14ac:dyDescent="0.2">
      <c r="L55" s="278"/>
      <c r="M55" s="278"/>
      <c r="N55" s="278"/>
      <c r="O55" s="278"/>
      <c r="P55" s="18"/>
      <c r="Q55" s="18"/>
      <c r="R55" s="18"/>
    </row>
    <row r="56" spans="1:18" x14ac:dyDescent="0.2">
      <c r="L56" s="14"/>
      <c r="M56" s="15" t="s">
        <v>10</v>
      </c>
      <c r="N56" s="15" t="s">
        <v>9</v>
      </c>
      <c r="O56" s="20" t="s">
        <v>50</v>
      </c>
      <c r="P56" s="20" t="s">
        <v>113</v>
      </c>
      <c r="Q56" s="278"/>
      <c r="R56" s="278"/>
    </row>
    <row r="57" spans="1:18" x14ac:dyDescent="0.2">
      <c r="L57" s="16" t="s">
        <v>10</v>
      </c>
      <c r="M57" s="281">
        <f>M53*M$59*M$60*$O57*$P57</f>
        <v>2.9159999999999998E-3</v>
      </c>
      <c r="N57" s="281">
        <f>N53*N$59*N$60*$O57*$P57</f>
        <v>1.0800000000000002E-4</v>
      </c>
      <c r="O57" s="17">
        <f>N37</f>
        <v>0.06</v>
      </c>
      <c r="P57" s="17">
        <f>M37</f>
        <v>0.9</v>
      </c>
      <c r="Q57" s="278"/>
      <c r="R57" s="278"/>
    </row>
    <row r="58" spans="1:18" x14ac:dyDescent="0.2">
      <c r="L58" s="16" t="s">
        <v>9</v>
      </c>
      <c r="M58" s="281">
        <f>M54*M$59*M$60*$O58*$P58</f>
        <v>1.0800000000000001E-4</v>
      </c>
      <c r="N58" s="281">
        <f>N54*N$59*N$60*$O58*$P58</f>
        <v>2.5000000000000008E-5</v>
      </c>
      <c r="O58" s="17">
        <f>N38</f>
        <v>0.05</v>
      </c>
      <c r="P58" s="17">
        <f>M38</f>
        <v>0.1</v>
      </c>
      <c r="Q58" s="278"/>
      <c r="R58" s="278"/>
    </row>
    <row r="59" spans="1:18" x14ac:dyDescent="0.2">
      <c r="L59" s="20" t="s">
        <v>50</v>
      </c>
      <c r="M59" s="17">
        <f>N37</f>
        <v>0.06</v>
      </c>
      <c r="N59" s="17">
        <f>N38</f>
        <v>0.05</v>
      </c>
      <c r="O59" s="280"/>
      <c r="P59" s="280"/>
      <c r="Q59" s="278"/>
      <c r="R59" s="278"/>
    </row>
    <row r="60" spans="1:18" x14ac:dyDescent="0.2">
      <c r="L60" s="20" t="s">
        <v>113</v>
      </c>
      <c r="M60" s="17">
        <f>M37</f>
        <v>0.9</v>
      </c>
      <c r="N60" s="17">
        <f>M38</f>
        <v>0.1</v>
      </c>
      <c r="O60" s="280"/>
      <c r="P60" s="280"/>
      <c r="Q60" s="278"/>
      <c r="R60" s="278"/>
    </row>
    <row r="61" spans="1:18" ht="17" thickBot="1" x14ac:dyDescent="0.25">
      <c r="L61" s="278"/>
      <c r="M61" s="278"/>
      <c r="N61" s="278"/>
      <c r="O61" s="278"/>
      <c r="P61" s="278"/>
      <c r="Q61" s="278"/>
      <c r="R61" s="278"/>
    </row>
    <row r="62" spans="1:18" ht="17" thickBot="1" x14ac:dyDescent="0.25">
      <c r="L62" s="154" t="s">
        <v>506</v>
      </c>
      <c r="M62" s="266"/>
      <c r="N62" s="279">
        <f>SQRT(SUM(M57:N58))</f>
        <v>5.618718715152058E-2</v>
      </c>
      <c r="O62" s="278"/>
      <c r="P62" s="278"/>
      <c r="Q62" s="278"/>
      <c r="R62" s="278"/>
    </row>
    <row r="65" spans="12:12" ht="19" x14ac:dyDescent="0.25">
      <c r="L65" s="158" t="s">
        <v>143</v>
      </c>
    </row>
    <row r="66" spans="12:12" x14ac:dyDescent="0.2">
      <c r="L66" t="s">
        <v>142</v>
      </c>
    </row>
  </sheetData>
  <mergeCells count="21">
    <mergeCell ref="C25:G25"/>
    <mergeCell ref="C16:G16"/>
    <mergeCell ref="C18:G18"/>
    <mergeCell ref="C19:G19"/>
    <mergeCell ref="C20:G20"/>
    <mergeCell ref="C21:G21"/>
    <mergeCell ref="C22:G22"/>
    <mergeCell ref="C23:G23"/>
    <mergeCell ref="C17:G17"/>
    <mergeCell ref="D14:E14"/>
    <mergeCell ref="D11:E11"/>
    <mergeCell ref="L4:R5"/>
    <mergeCell ref="C24:G24"/>
    <mergeCell ref="H17:H18"/>
    <mergeCell ref="I17:I18"/>
    <mergeCell ref="H23:H24"/>
    <mergeCell ref="I23:I24"/>
    <mergeCell ref="D12:E12"/>
    <mergeCell ref="O17:P17"/>
    <mergeCell ref="M17:N17"/>
    <mergeCell ref="D13:E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AA88-329D-2D48-8045-811FDA3B7753}">
  <dimension ref="A1:S35"/>
  <sheetViews>
    <sheetView workbookViewId="0">
      <selection activeCell="B1" sqref="B1"/>
    </sheetView>
  </sheetViews>
  <sheetFormatPr baseColWidth="10" defaultColWidth="11" defaultRowHeight="16" outlineLevelCol="1" x14ac:dyDescent="0.2"/>
  <cols>
    <col min="1" max="1" width="4" style="111" customWidth="1"/>
    <col min="2" max="2" width="11.5" customWidth="1"/>
    <col min="12"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246"/>
      <c r="B1" s="162" t="s">
        <v>367</v>
      </c>
      <c r="C1" s="161" t="s">
        <v>601</v>
      </c>
      <c r="D1" s="161" t="s">
        <v>365</v>
      </c>
      <c r="E1" s="161" t="s">
        <v>491</v>
      </c>
      <c r="F1" s="160"/>
      <c r="G1" s="160"/>
      <c r="H1" s="160"/>
      <c r="I1" s="160"/>
      <c r="J1" s="159"/>
      <c r="K1" s="155" t="s">
        <v>135</v>
      </c>
      <c r="L1" s="155"/>
    </row>
    <row r="2" spans="1:18" x14ac:dyDescent="0.2">
      <c r="A2" s="175"/>
      <c r="B2" s="245" t="s">
        <v>363</v>
      </c>
      <c r="C2" s="244">
        <v>2.5</v>
      </c>
      <c r="D2" s="121"/>
      <c r="E2" s="121"/>
      <c r="F2" s="121"/>
      <c r="G2" s="121"/>
      <c r="H2" s="121"/>
      <c r="I2" s="121"/>
      <c r="J2" s="120"/>
    </row>
    <row r="3" spans="1:18" x14ac:dyDescent="0.2">
      <c r="A3" s="175"/>
      <c r="B3" s="121"/>
      <c r="C3" s="121"/>
      <c r="D3" s="121"/>
      <c r="E3" s="121"/>
      <c r="F3" s="121"/>
      <c r="G3" s="121"/>
      <c r="H3" s="121"/>
      <c r="I3" s="121"/>
      <c r="J3" s="120"/>
      <c r="L3" s="155" t="s">
        <v>362</v>
      </c>
      <c r="M3" s="277"/>
    </row>
    <row r="4" spans="1:18" x14ac:dyDescent="0.2">
      <c r="A4" s="175"/>
      <c r="B4" s="121"/>
      <c r="C4" s="121" t="s">
        <v>600</v>
      </c>
      <c r="D4" s="121"/>
      <c r="E4" s="121"/>
      <c r="F4" s="121"/>
      <c r="G4" s="121"/>
      <c r="H4" s="121"/>
      <c r="I4" s="121"/>
      <c r="J4" s="120"/>
      <c r="L4" s="359" t="s">
        <v>599</v>
      </c>
      <c r="M4" s="359"/>
      <c r="N4" s="359"/>
      <c r="O4" s="359"/>
      <c r="P4" s="359"/>
      <c r="Q4" s="359"/>
      <c r="R4" s="359"/>
    </row>
    <row r="5" spans="1:18" x14ac:dyDescent="0.2">
      <c r="A5" s="175"/>
      <c r="B5" s="121"/>
      <c r="C5" s="121" t="s">
        <v>598</v>
      </c>
      <c r="D5" s="121"/>
      <c r="E5" s="121"/>
      <c r="F5" s="121"/>
      <c r="G5" s="121"/>
      <c r="H5" s="121"/>
      <c r="I5" s="121"/>
      <c r="J5" s="120"/>
      <c r="L5" s="359"/>
      <c r="M5" s="359"/>
      <c r="N5" s="359"/>
      <c r="O5" s="359"/>
      <c r="P5" s="359"/>
      <c r="Q5" s="359"/>
      <c r="R5" s="359"/>
    </row>
    <row r="6" spans="1:18" x14ac:dyDescent="0.2">
      <c r="A6" s="175"/>
      <c r="B6" s="121"/>
      <c r="C6" s="121"/>
      <c r="D6" s="121"/>
      <c r="E6" s="121"/>
      <c r="F6" s="121"/>
      <c r="G6" s="121"/>
      <c r="H6" s="121"/>
      <c r="I6" s="121"/>
      <c r="J6" s="120"/>
      <c r="M6" s="277"/>
    </row>
    <row r="7" spans="1:18" x14ac:dyDescent="0.2">
      <c r="A7" s="175"/>
      <c r="B7" s="121"/>
      <c r="C7" s="121" t="s">
        <v>597</v>
      </c>
      <c r="D7" s="121"/>
      <c r="E7" s="121"/>
      <c r="F7" s="121"/>
      <c r="G7" s="121"/>
      <c r="H7" s="121"/>
      <c r="I7" s="121"/>
      <c r="J7" s="120"/>
      <c r="L7" s="359" t="s">
        <v>596</v>
      </c>
      <c r="M7" s="359"/>
      <c r="N7" s="359"/>
      <c r="O7" s="359"/>
      <c r="P7" s="359"/>
      <c r="Q7" s="359"/>
      <c r="R7" s="359"/>
    </row>
    <row r="8" spans="1:18" x14ac:dyDescent="0.2">
      <c r="A8" s="175"/>
      <c r="B8" s="121"/>
      <c r="C8" s="121" t="s">
        <v>595</v>
      </c>
      <c r="D8" s="121"/>
      <c r="E8" s="121"/>
      <c r="F8" s="121"/>
      <c r="G8" s="121"/>
      <c r="H8" s="121"/>
      <c r="I8" s="121"/>
      <c r="J8" s="120"/>
      <c r="L8" s="359"/>
      <c r="M8" s="359"/>
      <c r="N8" s="359"/>
      <c r="O8" s="359"/>
      <c r="P8" s="359"/>
      <c r="Q8" s="359"/>
      <c r="R8" s="359"/>
    </row>
    <row r="9" spans="1:18" x14ac:dyDescent="0.2">
      <c r="A9" s="175"/>
      <c r="B9" s="121"/>
      <c r="C9" s="121" t="s">
        <v>594</v>
      </c>
      <c r="D9" s="121"/>
      <c r="E9" s="121"/>
      <c r="F9" s="121"/>
      <c r="G9" s="121"/>
      <c r="H9" s="121"/>
      <c r="I9" s="121"/>
      <c r="J9" s="120"/>
      <c r="M9" s="277"/>
    </row>
    <row r="10" spans="1:18" x14ac:dyDescent="0.2">
      <c r="A10" s="175"/>
      <c r="B10" s="121"/>
      <c r="C10" s="121" t="s">
        <v>593</v>
      </c>
      <c r="D10" s="121"/>
      <c r="E10" s="121"/>
      <c r="F10" s="121"/>
      <c r="G10" s="121"/>
      <c r="H10" s="121"/>
      <c r="I10" s="121"/>
      <c r="J10" s="120"/>
      <c r="L10" s="359" t="s">
        <v>592</v>
      </c>
      <c r="M10" s="359"/>
      <c r="N10" s="359"/>
      <c r="O10" s="359"/>
      <c r="P10" s="359"/>
      <c r="Q10" s="359"/>
      <c r="R10" s="359"/>
    </row>
    <row r="11" spans="1:18" x14ac:dyDescent="0.2">
      <c r="A11" s="175"/>
      <c r="B11" s="121"/>
      <c r="C11" s="121" t="s">
        <v>591</v>
      </c>
      <c r="D11" s="121"/>
      <c r="E11" s="121"/>
      <c r="F11" s="121"/>
      <c r="G11" s="121"/>
      <c r="H11" s="121"/>
      <c r="I11" s="121"/>
      <c r="J11" s="120"/>
      <c r="L11" s="359"/>
      <c r="M11" s="359"/>
      <c r="N11" s="359"/>
      <c r="O11" s="359"/>
      <c r="P11" s="359"/>
      <c r="Q11" s="359"/>
      <c r="R11" s="359"/>
    </row>
    <row r="12" spans="1:18" x14ac:dyDescent="0.2">
      <c r="A12" s="175"/>
      <c r="B12" s="121"/>
      <c r="C12" s="121" t="s">
        <v>590</v>
      </c>
      <c r="D12" s="121"/>
      <c r="E12" s="121"/>
      <c r="F12" s="121"/>
      <c r="G12" s="121"/>
      <c r="H12" s="121"/>
      <c r="I12" s="121"/>
      <c r="J12" s="120"/>
      <c r="M12" s="277"/>
    </row>
    <row r="13" spans="1:18" x14ac:dyDescent="0.2">
      <c r="A13" s="175"/>
      <c r="B13" s="121"/>
      <c r="C13" s="121" t="s">
        <v>589</v>
      </c>
      <c r="D13" s="121"/>
      <c r="E13" s="121"/>
      <c r="F13" s="121"/>
      <c r="G13" s="121"/>
      <c r="H13" s="121"/>
      <c r="I13" s="121"/>
      <c r="J13" s="120"/>
      <c r="L13" s="155" t="s">
        <v>345</v>
      </c>
      <c r="M13" s="277"/>
    </row>
    <row r="14" spans="1:18" x14ac:dyDescent="0.2">
      <c r="A14" s="175"/>
      <c r="B14" s="121"/>
      <c r="C14" s="121" t="s">
        <v>588</v>
      </c>
      <c r="D14" s="121"/>
      <c r="E14" s="121"/>
      <c r="F14" s="121"/>
      <c r="G14" s="121"/>
      <c r="H14" s="121"/>
      <c r="I14" s="121"/>
      <c r="J14" s="120"/>
      <c r="L14" s="359" t="s">
        <v>587</v>
      </c>
      <c r="M14" s="359"/>
      <c r="N14" s="359"/>
      <c r="O14" s="359"/>
      <c r="P14" s="359"/>
      <c r="Q14" s="359"/>
      <c r="R14" s="359"/>
    </row>
    <row r="15" spans="1:18" x14ac:dyDescent="0.2">
      <c r="A15" s="175"/>
      <c r="B15" s="121"/>
      <c r="C15" s="121"/>
      <c r="D15" s="121"/>
      <c r="E15" s="121"/>
      <c r="F15" s="121"/>
      <c r="G15" s="121"/>
      <c r="H15" s="121"/>
      <c r="I15" s="121"/>
      <c r="J15" s="120"/>
      <c r="L15" s="359"/>
      <c r="M15" s="359"/>
      <c r="N15" s="359"/>
      <c r="O15" s="359"/>
      <c r="P15" s="359"/>
      <c r="Q15" s="359"/>
      <c r="R15" s="359"/>
    </row>
    <row r="16" spans="1:18" ht="15.5" customHeight="1" x14ac:dyDescent="0.2">
      <c r="A16" s="175" t="s">
        <v>0</v>
      </c>
      <c r="B16" s="121" t="s">
        <v>310</v>
      </c>
      <c r="C16" s="121" t="s">
        <v>586</v>
      </c>
      <c r="D16" s="121"/>
      <c r="E16" s="121"/>
      <c r="F16" s="121"/>
      <c r="G16" s="121"/>
      <c r="H16" s="121"/>
      <c r="I16" s="121"/>
      <c r="J16" s="120"/>
      <c r="M16" s="277"/>
    </row>
    <row r="17" spans="1:18" x14ac:dyDescent="0.2">
      <c r="A17" s="175"/>
      <c r="B17" s="121"/>
      <c r="C17" s="121"/>
      <c r="D17" s="121"/>
      <c r="E17" s="121"/>
      <c r="F17" s="121"/>
      <c r="G17" s="121"/>
      <c r="H17" s="121"/>
      <c r="I17" s="121"/>
      <c r="J17" s="120"/>
      <c r="L17" s="359" t="s">
        <v>585</v>
      </c>
      <c r="M17" s="359"/>
      <c r="N17" s="359"/>
      <c r="O17" s="359"/>
      <c r="P17" s="359"/>
      <c r="Q17" s="359"/>
      <c r="R17" s="359"/>
    </row>
    <row r="18" spans="1:18" x14ac:dyDescent="0.2">
      <c r="A18" s="175" t="s">
        <v>1</v>
      </c>
      <c r="B18" s="121" t="s">
        <v>310</v>
      </c>
      <c r="C18" s="121" t="s">
        <v>584</v>
      </c>
      <c r="D18" s="121"/>
      <c r="E18" s="121"/>
      <c r="F18" s="121"/>
      <c r="G18" s="121"/>
      <c r="H18" s="121"/>
      <c r="I18" s="121"/>
      <c r="J18" s="120"/>
      <c r="L18" s="359"/>
      <c r="M18" s="359"/>
      <c r="N18" s="359"/>
      <c r="O18" s="359"/>
      <c r="P18" s="359"/>
      <c r="Q18" s="359"/>
      <c r="R18" s="359"/>
    </row>
    <row r="19" spans="1:18" x14ac:dyDescent="0.2">
      <c r="A19" s="175"/>
      <c r="B19" s="121"/>
      <c r="C19" s="121" t="s">
        <v>581</v>
      </c>
      <c r="D19" s="121"/>
      <c r="E19" s="121"/>
      <c r="F19" s="121"/>
      <c r="G19" s="121"/>
      <c r="H19" s="121"/>
      <c r="I19" s="121"/>
      <c r="J19" s="120"/>
      <c r="M19" s="276"/>
    </row>
    <row r="20" spans="1:18" x14ac:dyDescent="0.2">
      <c r="A20" s="175"/>
      <c r="B20" s="121"/>
      <c r="C20" s="121"/>
      <c r="D20" s="121"/>
      <c r="E20" s="121"/>
      <c r="F20" s="121"/>
      <c r="G20" s="121"/>
      <c r="H20" s="121"/>
      <c r="I20" s="121"/>
      <c r="J20" s="120"/>
      <c r="L20" t="s">
        <v>583</v>
      </c>
      <c r="M20" s="176"/>
      <c r="N20" s="176"/>
      <c r="O20" s="176"/>
      <c r="P20" s="176"/>
      <c r="Q20" s="176"/>
      <c r="R20" s="176"/>
    </row>
    <row r="21" spans="1:18" x14ac:dyDescent="0.2">
      <c r="A21" s="175" t="s">
        <v>2</v>
      </c>
      <c r="B21" s="121" t="s">
        <v>310</v>
      </c>
      <c r="C21" s="121" t="s">
        <v>582</v>
      </c>
      <c r="D21" s="121"/>
      <c r="E21" s="121"/>
      <c r="F21" s="121"/>
      <c r="G21" s="121"/>
      <c r="H21" s="121"/>
      <c r="I21" s="121"/>
      <c r="J21" s="120"/>
      <c r="L21" s="176"/>
      <c r="M21" s="176"/>
      <c r="N21" s="176"/>
      <c r="O21" s="176"/>
      <c r="P21" s="176"/>
      <c r="Q21" s="176"/>
      <c r="R21" s="176"/>
    </row>
    <row r="22" spans="1:18" ht="15.5" customHeight="1" x14ac:dyDescent="0.2">
      <c r="A22" s="175"/>
      <c r="B22" s="121"/>
      <c r="C22" s="121" t="s">
        <v>581</v>
      </c>
      <c r="D22" s="121"/>
      <c r="E22" s="121"/>
      <c r="F22" s="121"/>
      <c r="G22" s="121"/>
      <c r="H22" s="121"/>
      <c r="I22" s="121"/>
      <c r="J22" s="120"/>
      <c r="L22" s="155" t="s">
        <v>341</v>
      </c>
      <c r="M22" s="274"/>
    </row>
    <row r="23" spans="1:18" x14ac:dyDescent="0.2">
      <c r="A23" s="175"/>
      <c r="B23" s="121"/>
      <c r="C23" s="121"/>
      <c r="D23" s="121"/>
      <c r="E23" s="121"/>
      <c r="F23" s="121"/>
      <c r="G23" s="121"/>
      <c r="H23" s="121"/>
      <c r="I23" s="121"/>
      <c r="J23" s="120"/>
      <c r="L23" t="s">
        <v>580</v>
      </c>
    </row>
    <row r="24" spans="1:18" x14ac:dyDescent="0.2">
      <c r="A24" s="175" t="s">
        <v>164</v>
      </c>
      <c r="B24" s="121" t="s">
        <v>579</v>
      </c>
      <c r="C24" s="121" t="s">
        <v>578</v>
      </c>
      <c r="D24" s="121"/>
      <c r="E24" s="121"/>
      <c r="F24" s="121"/>
      <c r="G24" s="121"/>
      <c r="H24" s="121"/>
      <c r="I24" s="121"/>
      <c r="J24" s="120"/>
    </row>
    <row r="25" spans="1:18" x14ac:dyDescent="0.2">
      <c r="A25" s="175"/>
      <c r="B25" s="121"/>
      <c r="C25" s="121" t="s">
        <v>577</v>
      </c>
      <c r="D25" s="121"/>
      <c r="E25" s="121"/>
      <c r="F25" s="121"/>
      <c r="G25" s="121"/>
      <c r="H25" s="121"/>
      <c r="I25" s="121"/>
      <c r="J25" s="120"/>
      <c r="L25" t="s">
        <v>576</v>
      </c>
      <c r="M25" s="275"/>
    </row>
    <row r="26" spans="1:18" ht="17" thickBot="1" x14ac:dyDescent="0.25">
      <c r="A26" s="175"/>
      <c r="B26" s="121"/>
      <c r="C26" s="121"/>
      <c r="D26" s="121"/>
      <c r="E26" s="121"/>
      <c r="F26" s="121"/>
      <c r="G26" s="121"/>
      <c r="H26" s="121"/>
      <c r="I26" s="121"/>
      <c r="J26" s="120"/>
    </row>
    <row r="27" spans="1:18" ht="17" thickBot="1" x14ac:dyDescent="0.25">
      <c r="A27" s="193" t="s">
        <v>134</v>
      </c>
      <c r="B27" s="117"/>
      <c r="C27" s="192"/>
      <c r="D27" s="117"/>
      <c r="E27" s="117"/>
      <c r="F27" s="117"/>
      <c r="G27" s="117"/>
      <c r="H27" s="117"/>
      <c r="I27" s="117"/>
      <c r="J27" s="116"/>
      <c r="L27" t="s">
        <v>575</v>
      </c>
    </row>
    <row r="29" spans="1:18" x14ac:dyDescent="0.2">
      <c r="L29" s="155" t="s">
        <v>327</v>
      </c>
    </row>
    <row r="30" spans="1:18" x14ac:dyDescent="0.2">
      <c r="L30" s="359" t="s">
        <v>574</v>
      </c>
      <c r="M30" s="359"/>
      <c r="N30" s="359"/>
      <c r="O30" s="359"/>
      <c r="P30" s="359"/>
      <c r="Q30" s="359"/>
      <c r="R30" s="359"/>
    </row>
    <row r="31" spans="1:18" x14ac:dyDescent="0.2">
      <c r="L31" s="359"/>
      <c r="M31" s="359"/>
      <c r="N31" s="359"/>
      <c r="O31" s="359"/>
      <c r="P31" s="359"/>
      <c r="Q31" s="359"/>
      <c r="R31" s="359"/>
    </row>
    <row r="34" spans="12:12" ht="19" x14ac:dyDescent="0.25">
      <c r="L34" s="158" t="s">
        <v>143</v>
      </c>
    </row>
    <row r="35" spans="12:12" x14ac:dyDescent="0.2">
      <c r="L35" t="s">
        <v>144</v>
      </c>
    </row>
  </sheetData>
  <mergeCells count="6">
    <mergeCell ref="L30:R31"/>
    <mergeCell ref="L4:R5"/>
    <mergeCell ref="L7:R8"/>
    <mergeCell ref="L10:R11"/>
    <mergeCell ref="L14:R15"/>
    <mergeCell ref="L17:R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E109-3EFB-6C40-830E-633374575B29}">
  <dimension ref="A1:T202"/>
  <sheetViews>
    <sheetView workbookViewId="0"/>
  </sheetViews>
  <sheetFormatPr baseColWidth="10" defaultColWidth="10.83203125" defaultRowHeight="16" outlineLevelCol="1" x14ac:dyDescent="0.2"/>
  <cols>
    <col min="1" max="1" width="4.5" style="111" customWidth="1"/>
    <col min="2" max="2" width="10.83203125" style="111"/>
    <col min="3" max="3" width="13.83203125" style="111" bestFit="1" customWidth="1"/>
    <col min="4" max="7" width="10.83203125" style="111"/>
    <col min="8" max="10" width="11.5" style="111" customWidth="1"/>
    <col min="11" max="11" width="10.83203125" style="111"/>
    <col min="12" max="12" width="12" style="111" bestFit="1" customWidth="1"/>
    <col min="13" max="19" width="10.83203125" style="111" hidden="1" customWidth="1" outlineLevel="1"/>
    <col min="20" max="20" width="10.83203125" style="111" collapsed="1"/>
    <col min="21" max="16384" width="10.83203125" style="111"/>
  </cols>
  <sheetData>
    <row r="1" spans="1:19" ht="19" x14ac:dyDescent="0.25">
      <c r="A1" s="188" t="s">
        <v>299</v>
      </c>
      <c r="B1" s="162"/>
      <c r="C1" s="161"/>
      <c r="D1" s="161"/>
      <c r="E1" s="161"/>
      <c r="F1" s="187"/>
      <c r="G1" s="187"/>
      <c r="H1" s="187"/>
      <c r="I1" s="187"/>
      <c r="J1" s="186"/>
      <c r="L1" s="158" t="s">
        <v>298</v>
      </c>
    </row>
    <row r="2" spans="1:19" x14ac:dyDescent="0.2">
      <c r="A2" s="175"/>
      <c r="B2" s="174"/>
      <c r="C2" s="174"/>
      <c r="D2" s="174"/>
      <c r="E2" s="174"/>
      <c r="F2" s="174"/>
      <c r="G2" s="174"/>
      <c r="H2" s="174"/>
      <c r="I2" s="174"/>
      <c r="J2" s="173"/>
    </row>
    <row r="3" spans="1:19" x14ac:dyDescent="0.2">
      <c r="A3" s="175"/>
      <c r="B3" s="177" t="s">
        <v>297</v>
      </c>
      <c r="C3" s="174"/>
      <c r="D3" s="174"/>
      <c r="E3" s="174"/>
      <c r="F3" s="174"/>
      <c r="G3" s="174"/>
      <c r="H3" s="174"/>
      <c r="I3" s="174"/>
      <c r="J3" s="173"/>
      <c r="M3" s="185" t="s">
        <v>297</v>
      </c>
    </row>
    <row r="4" spans="1:19" x14ac:dyDescent="0.2">
      <c r="A4" s="175"/>
      <c r="B4" s="174"/>
      <c r="C4" s="174"/>
      <c r="D4" s="174"/>
      <c r="E4" s="174"/>
      <c r="F4" s="174"/>
      <c r="G4" s="174"/>
      <c r="H4" s="174"/>
      <c r="I4" s="174"/>
      <c r="J4" s="173"/>
      <c r="M4" s="164"/>
    </row>
    <row r="5" spans="1:19" x14ac:dyDescent="0.2">
      <c r="A5" s="175"/>
      <c r="B5" s="376" t="s">
        <v>296</v>
      </c>
      <c r="C5" s="376"/>
      <c r="D5" s="376"/>
      <c r="E5" s="376"/>
      <c r="F5" s="376"/>
      <c r="G5" s="376"/>
      <c r="H5" s="376"/>
      <c r="I5" s="174"/>
      <c r="J5" s="173"/>
      <c r="M5" s="373" t="s">
        <v>295</v>
      </c>
      <c r="N5" s="373"/>
      <c r="O5" s="373"/>
      <c r="P5" s="373"/>
      <c r="Q5" s="373"/>
      <c r="R5" s="373"/>
      <c r="S5" s="373"/>
    </row>
    <row r="6" spans="1:19" x14ac:dyDescent="0.2">
      <c r="A6" s="175"/>
      <c r="B6" s="376"/>
      <c r="C6" s="376"/>
      <c r="D6" s="376"/>
      <c r="E6" s="376"/>
      <c r="F6" s="376"/>
      <c r="G6" s="376"/>
      <c r="H6" s="376"/>
      <c r="I6" s="174"/>
      <c r="J6" s="173"/>
      <c r="M6" s="373"/>
      <c r="N6" s="373"/>
      <c r="O6" s="373"/>
      <c r="P6" s="373"/>
      <c r="Q6" s="373"/>
      <c r="R6" s="373"/>
      <c r="S6" s="373"/>
    </row>
    <row r="7" spans="1:19" x14ac:dyDescent="0.2">
      <c r="A7" s="175"/>
      <c r="B7" s="124"/>
      <c r="C7" s="174"/>
      <c r="D7" s="174"/>
      <c r="E7" s="174"/>
      <c r="F7" s="183"/>
      <c r="G7" s="174"/>
      <c r="H7" s="174"/>
      <c r="I7" s="174"/>
      <c r="J7" s="173"/>
      <c r="M7" s="164"/>
    </row>
    <row r="8" spans="1:19" x14ac:dyDescent="0.2">
      <c r="A8" s="175"/>
      <c r="B8" s="177" t="s">
        <v>294</v>
      </c>
      <c r="C8" s="174"/>
      <c r="D8" s="174"/>
      <c r="E8" s="183"/>
      <c r="F8" s="184"/>
      <c r="G8" s="174"/>
      <c r="H8" s="174"/>
      <c r="I8" s="174"/>
      <c r="J8" s="173"/>
      <c r="M8" s="133" t="s">
        <v>294</v>
      </c>
    </row>
    <row r="9" spans="1:19" x14ac:dyDescent="0.2">
      <c r="A9" s="175"/>
      <c r="B9" s="174"/>
      <c r="C9" s="174"/>
      <c r="D9" s="174"/>
      <c r="E9" s="183"/>
      <c r="F9" s="184"/>
      <c r="G9" s="174"/>
      <c r="H9" s="174"/>
      <c r="I9" s="174"/>
      <c r="J9" s="173"/>
    </row>
    <row r="10" spans="1:19" x14ac:dyDescent="0.2">
      <c r="A10" s="175"/>
      <c r="B10" s="182" t="s">
        <v>293</v>
      </c>
      <c r="C10" s="174"/>
      <c r="D10" s="174"/>
      <c r="E10" s="174"/>
      <c r="F10" s="183"/>
      <c r="G10" s="174"/>
      <c r="H10" s="174"/>
      <c r="I10" s="174"/>
      <c r="J10" s="173"/>
      <c r="M10" s="374" t="s">
        <v>292</v>
      </c>
      <c r="N10" s="374"/>
      <c r="O10" s="374"/>
      <c r="P10" s="374"/>
      <c r="Q10" s="374"/>
      <c r="R10" s="374"/>
      <c r="S10" s="374"/>
    </row>
    <row r="11" spans="1:19" x14ac:dyDescent="0.2">
      <c r="A11" s="175"/>
      <c r="B11" s="174"/>
      <c r="C11" s="174"/>
      <c r="D11" s="174"/>
      <c r="E11" s="174"/>
      <c r="F11" s="174"/>
      <c r="G11" s="174"/>
      <c r="H11" s="174"/>
      <c r="I11" s="174"/>
      <c r="J11" s="173"/>
      <c r="M11" s="374"/>
      <c r="N11" s="374"/>
      <c r="O11" s="374"/>
      <c r="P11" s="374"/>
      <c r="Q11" s="374"/>
      <c r="R11" s="374"/>
      <c r="S11" s="374"/>
    </row>
    <row r="12" spans="1:19" x14ac:dyDescent="0.2">
      <c r="A12" s="175"/>
      <c r="B12" s="177" t="s">
        <v>290</v>
      </c>
      <c r="C12" s="174"/>
      <c r="D12" s="174"/>
      <c r="E12" s="174"/>
      <c r="F12" s="174"/>
      <c r="G12" s="174"/>
      <c r="H12" s="174"/>
      <c r="I12" s="174"/>
      <c r="J12" s="173"/>
      <c r="M12" s="374"/>
      <c r="N12" s="374"/>
      <c r="O12" s="374"/>
      <c r="P12" s="374"/>
      <c r="Q12" s="374"/>
      <c r="R12" s="374"/>
      <c r="S12" s="374"/>
    </row>
    <row r="13" spans="1:19" x14ac:dyDescent="0.2">
      <c r="A13" s="175"/>
      <c r="B13" s="174"/>
      <c r="C13" s="174"/>
      <c r="D13" s="174"/>
      <c r="E13" s="174"/>
      <c r="F13" s="174"/>
      <c r="G13" s="174"/>
      <c r="H13" s="174"/>
      <c r="I13" s="174"/>
      <c r="J13" s="173"/>
      <c r="M13" s="374"/>
      <c r="N13" s="374"/>
      <c r="O13" s="374"/>
      <c r="P13" s="374"/>
      <c r="Q13" s="374"/>
      <c r="R13" s="374"/>
      <c r="S13" s="374"/>
    </row>
    <row r="14" spans="1:19" x14ac:dyDescent="0.2">
      <c r="A14" s="175"/>
      <c r="B14" s="182" t="s">
        <v>291</v>
      </c>
      <c r="C14" s="174"/>
      <c r="D14" s="174"/>
      <c r="E14" s="174"/>
      <c r="F14" s="174"/>
      <c r="G14" s="174"/>
      <c r="H14" s="174"/>
      <c r="I14" s="174"/>
      <c r="J14" s="173"/>
      <c r="M14" s="164"/>
    </row>
    <row r="15" spans="1:19" x14ac:dyDescent="0.2">
      <c r="A15" s="175"/>
      <c r="B15" s="174"/>
      <c r="C15" s="174"/>
      <c r="D15" s="174"/>
      <c r="E15" s="174"/>
      <c r="F15" s="174"/>
      <c r="G15" s="174"/>
      <c r="H15" s="174"/>
      <c r="I15" s="174"/>
      <c r="J15" s="173"/>
      <c r="M15" s="133" t="s">
        <v>290</v>
      </c>
    </row>
    <row r="16" spans="1:19" x14ac:dyDescent="0.2">
      <c r="A16" s="175"/>
      <c r="B16" s="124" t="s">
        <v>289</v>
      </c>
      <c r="C16" s="174"/>
      <c r="D16" s="174"/>
      <c r="E16" s="174"/>
      <c r="F16" s="174"/>
      <c r="G16" s="174"/>
      <c r="H16" s="174"/>
      <c r="I16" s="174"/>
      <c r="J16" s="173"/>
    </row>
    <row r="17" spans="1:19" x14ac:dyDescent="0.2">
      <c r="A17" s="175"/>
      <c r="B17" s="124" t="s">
        <v>288</v>
      </c>
      <c r="C17" s="174"/>
      <c r="D17" s="174"/>
      <c r="E17" s="174"/>
      <c r="F17" s="174"/>
      <c r="G17" s="174"/>
      <c r="H17" s="174"/>
      <c r="I17" s="174"/>
      <c r="J17" s="173"/>
      <c r="M17" s="164" t="s">
        <v>287</v>
      </c>
    </row>
    <row r="18" spans="1:19" x14ac:dyDescent="0.2">
      <c r="A18" s="175"/>
      <c r="B18" s="124" t="s">
        <v>286</v>
      </c>
      <c r="C18" s="174"/>
      <c r="D18" s="174"/>
      <c r="E18" s="174"/>
      <c r="F18" s="174"/>
      <c r="G18" s="174"/>
      <c r="H18" s="174"/>
      <c r="I18" s="174"/>
      <c r="J18" s="173"/>
      <c r="M18" s="373" t="s">
        <v>285</v>
      </c>
      <c r="N18" s="373"/>
      <c r="O18" s="373"/>
      <c r="P18" s="373"/>
      <c r="Q18" s="373"/>
      <c r="R18" s="373"/>
      <c r="S18" s="373"/>
    </row>
    <row r="19" spans="1:19" x14ac:dyDescent="0.2">
      <c r="A19" s="175"/>
      <c r="B19" s="174"/>
      <c r="C19" s="174"/>
      <c r="D19" s="174"/>
      <c r="E19" s="174"/>
      <c r="F19" s="174"/>
      <c r="G19" s="174"/>
      <c r="H19" s="174"/>
      <c r="I19" s="174"/>
      <c r="J19" s="173"/>
      <c r="M19" s="373"/>
      <c r="N19" s="373"/>
      <c r="O19" s="373"/>
      <c r="P19" s="373"/>
      <c r="Q19" s="373"/>
      <c r="R19" s="373"/>
      <c r="S19" s="373"/>
    </row>
    <row r="20" spans="1:19" x14ac:dyDescent="0.2">
      <c r="A20" s="175"/>
      <c r="B20" s="177" t="s">
        <v>283</v>
      </c>
      <c r="C20" s="174"/>
      <c r="D20" s="174"/>
      <c r="E20" s="174"/>
      <c r="F20" s="174"/>
      <c r="G20" s="174"/>
      <c r="H20" s="174"/>
      <c r="I20" s="174"/>
      <c r="J20" s="173"/>
      <c r="M20" s="164" t="s">
        <v>284</v>
      </c>
    </row>
    <row r="21" spans="1:19" x14ac:dyDescent="0.2">
      <c r="A21" s="175"/>
      <c r="B21" s="174"/>
      <c r="C21" s="174"/>
      <c r="D21" s="174"/>
      <c r="E21" s="174"/>
      <c r="F21" s="174"/>
      <c r="G21" s="174"/>
      <c r="H21" s="174"/>
      <c r="I21" s="174"/>
      <c r="J21" s="173"/>
    </row>
    <row r="22" spans="1:19" x14ac:dyDescent="0.2">
      <c r="A22" s="175"/>
      <c r="B22" s="181" t="s">
        <v>0</v>
      </c>
      <c r="C22" s="174"/>
      <c r="D22" s="174"/>
      <c r="E22" s="174"/>
      <c r="F22" s="174"/>
      <c r="G22" s="174"/>
      <c r="H22" s="174"/>
      <c r="I22" s="174"/>
      <c r="J22" s="173"/>
      <c r="M22" s="133" t="s">
        <v>283</v>
      </c>
    </row>
    <row r="23" spans="1:19" x14ac:dyDescent="0.2">
      <c r="A23" s="175"/>
      <c r="B23" s="174" t="s">
        <v>282</v>
      </c>
      <c r="C23" s="174"/>
      <c r="D23" s="174"/>
      <c r="E23" s="174"/>
      <c r="F23" s="174"/>
      <c r="G23" s="174"/>
      <c r="H23" s="174"/>
      <c r="I23" s="174"/>
      <c r="J23" s="173"/>
    </row>
    <row r="24" spans="1:19" x14ac:dyDescent="0.2">
      <c r="A24" s="175"/>
      <c r="B24" s="174"/>
      <c r="C24" s="174"/>
      <c r="D24" s="174"/>
      <c r="E24" s="174"/>
      <c r="F24" s="174"/>
      <c r="G24" s="174"/>
      <c r="H24" s="174"/>
      <c r="I24" s="174"/>
      <c r="J24" s="173"/>
      <c r="M24" s="165" t="s">
        <v>206</v>
      </c>
    </row>
    <row r="25" spans="1:19" x14ac:dyDescent="0.2">
      <c r="A25" s="175"/>
      <c r="B25" s="180" t="s">
        <v>1</v>
      </c>
      <c r="C25" s="174"/>
      <c r="D25" s="174"/>
      <c r="E25" s="174"/>
      <c r="F25" s="174"/>
      <c r="G25" s="174"/>
      <c r="H25" s="174"/>
      <c r="I25" s="174"/>
      <c r="J25" s="173"/>
    </row>
    <row r="26" spans="1:19" x14ac:dyDescent="0.2">
      <c r="A26" s="175"/>
      <c r="B26" s="174" t="s">
        <v>281</v>
      </c>
      <c r="C26" s="174"/>
      <c r="D26" s="174"/>
      <c r="E26" s="174"/>
      <c r="F26" s="174"/>
      <c r="G26" s="174"/>
      <c r="H26" s="174"/>
      <c r="I26" s="174"/>
      <c r="J26" s="173"/>
      <c r="M26" s="166" t="s">
        <v>280</v>
      </c>
    </row>
    <row r="27" spans="1:19" x14ac:dyDescent="0.2">
      <c r="A27" s="175"/>
      <c r="B27" s="178"/>
      <c r="C27" s="174"/>
      <c r="D27" s="174"/>
      <c r="E27" s="174"/>
      <c r="F27" s="174"/>
      <c r="G27" s="174"/>
      <c r="H27" s="174"/>
      <c r="I27" s="174"/>
      <c r="J27" s="173"/>
    </row>
    <row r="28" spans="1:19" x14ac:dyDescent="0.2">
      <c r="A28" s="175"/>
      <c r="B28" s="177" t="s">
        <v>275</v>
      </c>
      <c r="C28" s="174"/>
      <c r="D28" s="174"/>
      <c r="E28" s="174"/>
      <c r="F28" s="174"/>
      <c r="G28" s="174"/>
      <c r="H28" s="174"/>
      <c r="I28" s="174"/>
      <c r="J28" s="173"/>
      <c r="M28" s="165" t="s">
        <v>196</v>
      </c>
    </row>
    <row r="29" spans="1:19" x14ac:dyDescent="0.2">
      <c r="A29" s="175"/>
      <c r="B29" s="174"/>
      <c r="C29" s="174"/>
      <c r="D29" s="174"/>
      <c r="E29" s="174"/>
      <c r="F29" s="174"/>
      <c r="G29" s="174"/>
      <c r="H29" s="174"/>
      <c r="I29" s="174"/>
      <c r="J29" s="173"/>
    </row>
    <row r="30" spans="1:19" x14ac:dyDescent="0.2">
      <c r="A30" s="175"/>
      <c r="B30" s="181" t="s">
        <v>0</v>
      </c>
      <c r="C30" s="174"/>
      <c r="D30" s="174"/>
      <c r="E30" s="174"/>
      <c r="F30" s="174"/>
      <c r="G30" s="174"/>
      <c r="H30" s="174"/>
      <c r="I30" s="174"/>
      <c r="J30" s="173"/>
      <c r="M30" s="359" t="s">
        <v>279</v>
      </c>
      <c r="N30" s="359"/>
      <c r="O30" s="359"/>
      <c r="P30" s="359"/>
      <c r="Q30" s="359"/>
      <c r="R30" s="359"/>
      <c r="S30" s="359"/>
    </row>
    <row r="31" spans="1:19" x14ac:dyDescent="0.2">
      <c r="A31" s="175"/>
      <c r="B31" s="174" t="s">
        <v>278</v>
      </c>
      <c r="C31" s="174"/>
      <c r="D31" s="174"/>
      <c r="E31" s="174"/>
      <c r="F31" s="174"/>
      <c r="G31" s="174"/>
      <c r="H31" s="174"/>
      <c r="I31" s="174"/>
      <c r="J31" s="173"/>
      <c r="M31" s="359"/>
      <c r="N31" s="359"/>
      <c r="O31" s="359"/>
      <c r="P31" s="359"/>
      <c r="Q31" s="359"/>
      <c r="R31" s="359"/>
      <c r="S31" s="359"/>
    </row>
    <row r="32" spans="1:19" x14ac:dyDescent="0.2">
      <c r="A32" s="175"/>
      <c r="B32" s="174"/>
      <c r="C32" s="174"/>
      <c r="D32" s="174"/>
      <c r="E32" s="174"/>
      <c r="F32" s="174"/>
      <c r="G32" s="174"/>
      <c r="H32" s="174"/>
      <c r="I32" s="174"/>
      <c r="J32" s="173"/>
      <c r="M32" s="166"/>
    </row>
    <row r="33" spans="1:19" x14ac:dyDescent="0.2">
      <c r="A33" s="175"/>
      <c r="B33" s="180" t="s">
        <v>1</v>
      </c>
      <c r="C33" s="174"/>
      <c r="D33" s="174"/>
      <c r="E33" s="174"/>
      <c r="F33" s="174"/>
      <c r="G33" s="174"/>
      <c r="H33" s="174"/>
      <c r="I33" s="174"/>
      <c r="J33" s="173"/>
      <c r="M33" s="359" t="s">
        <v>277</v>
      </c>
      <c r="N33" s="359"/>
      <c r="O33" s="359"/>
      <c r="P33" s="359"/>
      <c r="Q33" s="359"/>
      <c r="R33" s="359"/>
      <c r="S33" s="359"/>
    </row>
    <row r="34" spans="1:19" x14ac:dyDescent="0.2">
      <c r="A34" s="175"/>
      <c r="B34" s="174" t="s">
        <v>276</v>
      </c>
      <c r="C34" s="174"/>
      <c r="D34" s="174"/>
      <c r="E34" s="174"/>
      <c r="F34" s="174"/>
      <c r="G34" s="174"/>
      <c r="H34" s="174"/>
      <c r="I34" s="174"/>
      <c r="J34" s="173"/>
      <c r="M34" s="359"/>
      <c r="N34" s="359"/>
      <c r="O34" s="359"/>
      <c r="P34" s="359"/>
      <c r="Q34" s="359"/>
      <c r="R34" s="359"/>
      <c r="S34" s="359"/>
    </row>
    <row r="35" spans="1:19" x14ac:dyDescent="0.2">
      <c r="A35" s="175"/>
      <c r="B35" s="178"/>
      <c r="C35" s="174"/>
      <c r="D35" s="174"/>
      <c r="E35" s="174"/>
      <c r="F35" s="174"/>
      <c r="G35" s="174"/>
      <c r="H35" s="174"/>
      <c r="I35" s="174"/>
      <c r="J35" s="173"/>
    </row>
    <row r="36" spans="1:19" x14ac:dyDescent="0.2">
      <c r="A36" s="175"/>
      <c r="B36" s="179" t="s">
        <v>267</v>
      </c>
      <c r="C36" s="174"/>
      <c r="D36" s="174"/>
      <c r="E36" s="174"/>
      <c r="F36" s="174"/>
      <c r="G36" s="174"/>
      <c r="H36" s="174"/>
      <c r="I36" s="174"/>
      <c r="J36" s="173"/>
      <c r="M36" s="133" t="s">
        <v>275</v>
      </c>
    </row>
    <row r="37" spans="1:19" x14ac:dyDescent="0.2">
      <c r="A37" s="175"/>
      <c r="B37" s="178"/>
      <c r="C37" s="174"/>
      <c r="D37" s="174"/>
      <c r="E37" s="174"/>
      <c r="F37" s="174"/>
      <c r="G37" s="174"/>
      <c r="H37" s="174"/>
      <c r="I37" s="174"/>
      <c r="J37" s="173"/>
      <c r="M37" s="165"/>
    </row>
    <row r="38" spans="1:19" ht="15.75" customHeight="1" x14ac:dyDescent="0.2">
      <c r="A38" s="175"/>
      <c r="B38" s="174" t="s">
        <v>0</v>
      </c>
      <c r="C38" s="174"/>
      <c r="D38" s="122"/>
      <c r="E38" s="122"/>
      <c r="F38" s="122"/>
      <c r="G38" s="122"/>
      <c r="H38" s="122"/>
      <c r="I38" s="174"/>
      <c r="J38" s="173"/>
      <c r="M38" s="165" t="s">
        <v>206</v>
      </c>
    </row>
    <row r="39" spans="1:19" x14ac:dyDescent="0.2">
      <c r="A39" s="175"/>
      <c r="B39" s="337" t="s">
        <v>274</v>
      </c>
      <c r="C39" s="337"/>
      <c r="D39" s="337"/>
      <c r="E39" s="337"/>
      <c r="F39" s="337"/>
      <c r="G39" s="337"/>
      <c r="H39" s="337"/>
      <c r="I39" s="174"/>
      <c r="J39" s="173"/>
    </row>
    <row r="40" spans="1:19" x14ac:dyDescent="0.2">
      <c r="A40" s="175"/>
      <c r="B40" s="337"/>
      <c r="C40" s="337"/>
      <c r="D40" s="337"/>
      <c r="E40" s="337"/>
      <c r="F40" s="337"/>
      <c r="G40" s="337"/>
      <c r="H40" s="337"/>
      <c r="I40" s="174"/>
      <c r="J40" s="173"/>
      <c r="M40" s="375" t="s">
        <v>273</v>
      </c>
      <c r="N40" s="375"/>
      <c r="O40" s="375"/>
      <c r="P40" s="375"/>
      <c r="Q40" s="375"/>
      <c r="R40" s="375"/>
      <c r="S40" s="375"/>
    </row>
    <row r="41" spans="1:19" ht="15.75" customHeight="1" x14ac:dyDescent="0.2">
      <c r="A41" s="175"/>
      <c r="B41" s="127"/>
      <c r="C41" s="174"/>
      <c r="D41" s="174"/>
      <c r="E41" s="174"/>
      <c r="F41" s="174"/>
      <c r="G41" s="174"/>
      <c r="H41" s="174"/>
      <c r="I41" s="174"/>
      <c r="J41" s="173"/>
      <c r="M41" s="375"/>
      <c r="N41" s="375"/>
      <c r="O41" s="375"/>
      <c r="P41" s="375"/>
      <c r="Q41" s="375"/>
      <c r="R41" s="375"/>
      <c r="S41" s="375"/>
    </row>
    <row r="42" spans="1:19" x14ac:dyDescent="0.2">
      <c r="A42" s="175"/>
      <c r="B42" s="174" t="s">
        <v>1</v>
      </c>
      <c r="C42" s="174"/>
      <c r="D42" s="122"/>
      <c r="E42" s="122"/>
      <c r="F42" s="122"/>
      <c r="G42" s="122"/>
      <c r="H42" s="122"/>
      <c r="I42" s="174"/>
      <c r="J42" s="173"/>
    </row>
    <row r="43" spans="1:19" x14ac:dyDescent="0.2">
      <c r="A43" s="175"/>
      <c r="B43" s="337" t="s">
        <v>272</v>
      </c>
      <c r="C43" s="337"/>
      <c r="D43" s="337"/>
      <c r="E43" s="337"/>
      <c r="F43" s="337"/>
      <c r="G43" s="337"/>
      <c r="H43" s="337"/>
      <c r="I43" s="174"/>
      <c r="J43" s="173"/>
      <c r="M43" s="165" t="s">
        <v>196</v>
      </c>
    </row>
    <row r="44" spans="1:19" ht="15.75" customHeight="1" x14ac:dyDescent="0.2">
      <c r="A44" s="175"/>
      <c r="B44" s="337"/>
      <c r="C44" s="337"/>
      <c r="D44" s="337"/>
      <c r="E44" s="337"/>
      <c r="F44" s="337"/>
      <c r="G44" s="337"/>
      <c r="H44" s="337"/>
      <c r="I44" s="174"/>
      <c r="J44" s="173"/>
    </row>
    <row r="45" spans="1:19" ht="15.75" customHeight="1" x14ac:dyDescent="0.2">
      <c r="A45" s="175"/>
      <c r="B45" s="127"/>
      <c r="C45" s="174"/>
      <c r="D45" s="174"/>
      <c r="E45" s="174"/>
      <c r="F45" s="174"/>
      <c r="G45" s="174"/>
      <c r="H45" s="174"/>
      <c r="I45" s="174"/>
      <c r="J45" s="173"/>
      <c r="M45" s="359" t="s">
        <v>271</v>
      </c>
      <c r="N45" s="359"/>
      <c r="O45" s="359"/>
      <c r="P45" s="359"/>
      <c r="Q45" s="359"/>
      <c r="R45" s="359"/>
      <c r="S45" s="359"/>
    </row>
    <row r="46" spans="1:19" x14ac:dyDescent="0.2">
      <c r="A46" s="175"/>
      <c r="B46" s="174" t="s">
        <v>2</v>
      </c>
      <c r="C46" s="174"/>
      <c r="D46" s="122"/>
      <c r="E46" s="122"/>
      <c r="F46" s="122"/>
      <c r="G46" s="122"/>
      <c r="H46" s="122"/>
      <c r="I46" s="174"/>
      <c r="J46" s="173"/>
      <c r="M46" s="359"/>
      <c r="N46" s="359"/>
      <c r="O46" s="359"/>
      <c r="P46" s="359"/>
      <c r="Q46" s="359"/>
      <c r="R46" s="359"/>
      <c r="S46" s="359"/>
    </row>
    <row r="47" spans="1:19" x14ac:dyDescent="0.2">
      <c r="A47" s="175"/>
      <c r="B47" s="121" t="s">
        <v>270</v>
      </c>
      <c r="C47" s="122"/>
      <c r="D47" s="122"/>
      <c r="E47" s="122"/>
      <c r="F47" s="122"/>
      <c r="G47" s="122"/>
      <c r="H47" s="122"/>
      <c r="I47" s="174"/>
      <c r="J47" s="173"/>
      <c r="M47" s="359"/>
      <c r="N47" s="359"/>
      <c r="O47" s="359"/>
      <c r="P47" s="359"/>
      <c r="Q47" s="359"/>
      <c r="R47" s="359"/>
      <c r="S47" s="359"/>
    </row>
    <row r="48" spans="1:19" x14ac:dyDescent="0.2">
      <c r="A48" s="175"/>
      <c r="B48" s="121"/>
      <c r="C48" s="122"/>
      <c r="D48" s="122"/>
      <c r="E48" s="122"/>
      <c r="F48" s="122"/>
      <c r="G48" s="122"/>
      <c r="H48" s="122"/>
      <c r="I48" s="174"/>
      <c r="J48" s="173"/>
    </row>
    <row r="49" spans="1:19" x14ac:dyDescent="0.2">
      <c r="A49" s="175"/>
      <c r="B49" s="177" t="s">
        <v>260</v>
      </c>
      <c r="C49" s="174"/>
      <c r="D49" s="174"/>
      <c r="E49" s="174"/>
      <c r="F49" s="174"/>
      <c r="G49" s="174"/>
      <c r="H49" s="174"/>
      <c r="I49" s="174"/>
      <c r="J49" s="173"/>
      <c r="M49" s="359" t="s">
        <v>269</v>
      </c>
      <c r="N49" s="359"/>
      <c r="O49" s="359"/>
      <c r="P49" s="359"/>
      <c r="Q49" s="359"/>
      <c r="R49" s="359"/>
      <c r="S49" s="359"/>
    </row>
    <row r="50" spans="1:19" x14ac:dyDescent="0.2">
      <c r="A50" s="175"/>
      <c r="B50" s="174"/>
      <c r="C50" s="174"/>
      <c r="D50" s="174"/>
      <c r="E50" s="174"/>
      <c r="F50" s="174"/>
      <c r="G50" s="174"/>
      <c r="H50" s="174"/>
      <c r="I50" s="174"/>
      <c r="J50" s="173"/>
      <c r="M50" s="359"/>
      <c r="N50" s="359"/>
      <c r="O50" s="359"/>
      <c r="P50" s="359"/>
      <c r="Q50" s="359"/>
      <c r="R50" s="359"/>
      <c r="S50" s="359"/>
    </row>
    <row r="51" spans="1:19" x14ac:dyDescent="0.2">
      <c r="A51" s="175"/>
      <c r="B51" s="174" t="s">
        <v>0</v>
      </c>
      <c r="C51" s="174"/>
      <c r="D51" s="174"/>
      <c r="E51" s="174"/>
      <c r="F51" s="174"/>
      <c r="G51" s="174"/>
      <c r="H51" s="174"/>
      <c r="I51" s="174"/>
      <c r="J51" s="173"/>
    </row>
    <row r="52" spans="1:19" x14ac:dyDescent="0.2">
      <c r="A52" s="175"/>
      <c r="B52" s="174" t="s">
        <v>268</v>
      </c>
      <c r="C52" s="174"/>
      <c r="D52" s="174"/>
      <c r="E52" s="174"/>
      <c r="F52" s="174"/>
      <c r="G52" s="174"/>
      <c r="H52" s="174"/>
      <c r="I52" s="174"/>
      <c r="J52" s="173"/>
      <c r="M52" s="133" t="s">
        <v>267</v>
      </c>
    </row>
    <row r="53" spans="1:19" x14ac:dyDescent="0.2">
      <c r="A53" s="175"/>
      <c r="B53" s="127"/>
      <c r="C53" s="174"/>
      <c r="D53" s="174"/>
      <c r="E53" s="174"/>
      <c r="F53" s="174"/>
      <c r="G53" s="174"/>
      <c r="H53" s="174"/>
      <c r="I53" s="174"/>
      <c r="J53" s="173"/>
      <c r="N53" s="166"/>
    </row>
    <row r="54" spans="1:19" x14ac:dyDescent="0.2">
      <c r="A54" s="175"/>
      <c r="B54" s="174" t="s">
        <v>1</v>
      </c>
      <c r="C54" s="174"/>
      <c r="D54" s="174"/>
      <c r="E54" s="174"/>
      <c r="F54" s="174"/>
      <c r="G54" s="174"/>
      <c r="H54" s="174"/>
      <c r="I54" s="174"/>
      <c r="J54" s="173"/>
      <c r="M54" s="165" t="s">
        <v>206</v>
      </c>
    </row>
    <row r="55" spans="1:19" x14ac:dyDescent="0.2">
      <c r="A55" s="175"/>
      <c r="B55" s="174" t="s">
        <v>266</v>
      </c>
      <c r="C55" s="174"/>
      <c r="D55" s="174"/>
      <c r="E55" s="174"/>
      <c r="F55" s="174"/>
      <c r="G55" s="174"/>
      <c r="H55" s="174"/>
      <c r="I55" s="174"/>
      <c r="J55" s="173"/>
    </row>
    <row r="56" spans="1:19" x14ac:dyDescent="0.2">
      <c r="A56" s="175"/>
      <c r="B56" s="174"/>
      <c r="C56" s="174"/>
      <c r="D56" s="174"/>
      <c r="E56" s="174"/>
      <c r="F56" s="174"/>
      <c r="G56" s="174"/>
      <c r="H56" s="174"/>
      <c r="I56" s="174"/>
      <c r="J56" s="173"/>
      <c r="M56" s="111" t="s">
        <v>265</v>
      </c>
    </row>
    <row r="57" spans="1:19" x14ac:dyDescent="0.2">
      <c r="A57" s="175"/>
      <c r="B57" s="177" t="s">
        <v>248</v>
      </c>
      <c r="C57" s="174"/>
      <c r="D57" s="174"/>
      <c r="E57" s="174"/>
      <c r="F57" s="174"/>
      <c r="G57" s="174"/>
      <c r="H57" s="174"/>
      <c r="I57" s="174"/>
      <c r="J57" s="173"/>
    </row>
    <row r="58" spans="1:19" x14ac:dyDescent="0.2">
      <c r="A58" s="175"/>
      <c r="B58" s="174"/>
      <c r="C58" s="174"/>
      <c r="D58" s="174"/>
      <c r="E58" s="174"/>
      <c r="F58" s="174"/>
      <c r="G58" s="174"/>
      <c r="H58" s="174"/>
      <c r="I58" s="174"/>
      <c r="J58" s="173"/>
      <c r="M58" s="165" t="s">
        <v>196</v>
      </c>
    </row>
    <row r="59" spans="1:19" x14ac:dyDescent="0.2">
      <c r="A59" s="175"/>
      <c r="B59" s="174" t="s">
        <v>0</v>
      </c>
      <c r="C59" s="174"/>
      <c r="D59" s="174"/>
      <c r="E59" s="174"/>
      <c r="F59" s="174"/>
      <c r="G59" s="174"/>
      <c r="H59" s="174"/>
      <c r="I59" s="174"/>
      <c r="J59" s="173"/>
    </row>
    <row r="60" spans="1:19" x14ac:dyDescent="0.2">
      <c r="A60" s="175"/>
      <c r="B60" s="174" t="s">
        <v>264</v>
      </c>
      <c r="C60" s="174"/>
      <c r="D60" s="174"/>
      <c r="E60" s="174"/>
      <c r="F60" s="174"/>
      <c r="G60" s="174"/>
      <c r="H60" s="174"/>
      <c r="I60" s="174"/>
      <c r="J60" s="173"/>
      <c r="M60" s="111" t="s">
        <v>263</v>
      </c>
    </row>
    <row r="61" spans="1:19" x14ac:dyDescent="0.2">
      <c r="A61" s="175"/>
      <c r="B61" s="127"/>
      <c r="C61" s="174"/>
      <c r="D61" s="174"/>
      <c r="E61" s="174"/>
      <c r="F61" s="174"/>
      <c r="G61" s="174"/>
      <c r="H61" s="174"/>
      <c r="I61" s="174"/>
      <c r="J61" s="173"/>
    </row>
    <row r="62" spans="1:19" x14ac:dyDescent="0.2">
      <c r="A62" s="175"/>
      <c r="B62" s="174" t="s">
        <v>1</v>
      </c>
      <c r="C62" s="174"/>
      <c r="D62" s="174"/>
      <c r="E62" s="174"/>
      <c r="F62" s="174"/>
      <c r="G62" s="174"/>
      <c r="H62" s="174"/>
      <c r="I62" s="174"/>
      <c r="J62" s="173"/>
      <c r="M62" s="165" t="s">
        <v>191</v>
      </c>
    </row>
    <row r="63" spans="1:19" x14ac:dyDescent="0.2">
      <c r="A63" s="175"/>
      <c r="B63" s="174" t="s">
        <v>262</v>
      </c>
      <c r="C63" s="174"/>
      <c r="D63" s="174"/>
      <c r="E63" s="174"/>
      <c r="F63" s="174"/>
      <c r="G63" s="174"/>
      <c r="H63" s="174"/>
      <c r="I63" s="174"/>
      <c r="J63" s="173"/>
    </row>
    <row r="64" spans="1:19" x14ac:dyDescent="0.2">
      <c r="A64" s="175"/>
      <c r="B64" s="174"/>
      <c r="C64" s="174"/>
      <c r="D64" s="174"/>
      <c r="E64" s="174"/>
      <c r="F64" s="174"/>
      <c r="G64" s="174"/>
      <c r="H64" s="174"/>
      <c r="I64" s="174"/>
      <c r="J64" s="173"/>
      <c r="M64" s="359" t="s">
        <v>261</v>
      </c>
      <c r="N64" s="359"/>
      <c r="O64" s="359"/>
      <c r="P64" s="359"/>
      <c r="Q64" s="359"/>
      <c r="R64" s="359"/>
      <c r="S64" s="359"/>
    </row>
    <row r="65" spans="1:19" x14ac:dyDescent="0.2">
      <c r="A65" s="175"/>
      <c r="B65" s="177" t="s">
        <v>233</v>
      </c>
      <c r="C65" s="174"/>
      <c r="D65" s="174"/>
      <c r="E65" s="174"/>
      <c r="F65" s="174"/>
      <c r="G65" s="174"/>
      <c r="H65" s="174"/>
      <c r="I65" s="174"/>
      <c r="J65" s="173"/>
      <c r="M65" s="359"/>
      <c r="N65" s="359"/>
      <c r="O65" s="359"/>
      <c r="P65" s="359"/>
      <c r="Q65" s="359"/>
      <c r="R65" s="359"/>
      <c r="S65" s="359"/>
    </row>
    <row r="66" spans="1:19" x14ac:dyDescent="0.2">
      <c r="A66" s="175"/>
      <c r="B66" s="174"/>
      <c r="C66" s="174"/>
      <c r="D66" s="174"/>
      <c r="E66" s="174"/>
      <c r="F66" s="174"/>
      <c r="G66" s="174"/>
      <c r="H66" s="174"/>
      <c r="I66" s="174"/>
      <c r="J66" s="173"/>
    </row>
    <row r="67" spans="1:19" x14ac:dyDescent="0.2">
      <c r="A67" s="175"/>
      <c r="B67" s="174" t="s">
        <v>252</v>
      </c>
      <c r="C67" s="174"/>
      <c r="D67" s="174"/>
      <c r="E67" s="174"/>
      <c r="F67" s="174"/>
      <c r="G67" s="174"/>
      <c r="H67" s="174"/>
      <c r="I67" s="174"/>
      <c r="J67" s="173"/>
      <c r="M67" s="133" t="s">
        <v>260</v>
      </c>
    </row>
    <row r="68" spans="1:19" x14ac:dyDescent="0.2">
      <c r="A68" s="175"/>
      <c r="B68" s="174"/>
      <c r="C68" s="174"/>
      <c r="D68" s="174"/>
      <c r="E68" s="174"/>
      <c r="F68" s="174"/>
      <c r="G68" s="174"/>
      <c r="H68" s="174"/>
      <c r="I68" s="174"/>
      <c r="J68" s="173"/>
    </row>
    <row r="69" spans="1:19" x14ac:dyDescent="0.2">
      <c r="A69" s="175"/>
      <c r="B69" s="124" t="s">
        <v>251</v>
      </c>
      <c r="C69" s="174"/>
      <c r="D69" s="174"/>
      <c r="E69" s="174"/>
      <c r="F69" s="174"/>
      <c r="G69" s="174"/>
      <c r="H69" s="174"/>
      <c r="I69" s="174"/>
      <c r="J69" s="173"/>
      <c r="M69" s="165" t="s">
        <v>206</v>
      </c>
    </row>
    <row r="70" spans="1:19" x14ac:dyDescent="0.2">
      <c r="A70" s="175"/>
      <c r="B70" s="124" t="s">
        <v>250</v>
      </c>
      <c r="C70" s="174"/>
      <c r="D70" s="174"/>
      <c r="E70" s="174"/>
      <c r="F70" s="174"/>
      <c r="G70" s="174"/>
      <c r="H70" s="174"/>
      <c r="I70" s="174"/>
      <c r="J70" s="173"/>
    </row>
    <row r="71" spans="1:19" x14ac:dyDescent="0.2">
      <c r="A71" s="175"/>
      <c r="B71" s="124" t="s">
        <v>249</v>
      </c>
      <c r="C71" s="174"/>
      <c r="D71" s="174"/>
      <c r="E71" s="174"/>
      <c r="F71" s="174"/>
      <c r="G71" s="174"/>
      <c r="H71" s="174"/>
      <c r="I71" s="174"/>
      <c r="J71" s="173"/>
      <c r="M71" s="359" t="s">
        <v>259</v>
      </c>
      <c r="N71" s="359"/>
      <c r="O71" s="359"/>
      <c r="P71" s="359"/>
      <c r="Q71" s="359"/>
      <c r="R71" s="359"/>
      <c r="S71" s="359"/>
    </row>
    <row r="72" spans="1:19" x14ac:dyDescent="0.2">
      <c r="A72" s="175"/>
      <c r="B72" s="174"/>
      <c r="C72" s="174"/>
      <c r="D72" s="174"/>
      <c r="E72" s="174"/>
      <c r="F72" s="174"/>
      <c r="G72" s="174"/>
      <c r="H72" s="174"/>
      <c r="I72" s="174"/>
      <c r="J72" s="173"/>
      <c r="M72" s="359"/>
      <c r="N72" s="359"/>
      <c r="O72" s="359"/>
      <c r="P72" s="359"/>
      <c r="Q72" s="359"/>
      <c r="R72" s="359"/>
      <c r="S72" s="359"/>
    </row>
    <row r="73" spans="1:19" x14ac:dyDescent="0.2">
      <c r="A73" s="175"/>
      <c r="B73" s="174" t="s">
        <v>258</v>
      </c>
      <c r="C73" s="174"/>
      <c r="D73" s="174"/>
      <c r="E73" s="174"/>
      <c r="F73" s="174"/>
      <c r="G73" s="174"/>
      <c r="H73" s="174"/>
      <c r="I73" s="174"/>
      <c r="J73" s="173"/>
    </row>
    <row r="74" spans="1:19" x14ac:dyDescent="0.2">
      <c r="A74" s="175"/>
      <c r="B74" s="174"/>
      <c r="C74" s="174"/>
      <c r="D74" s="174"/>
      <c r="E74" s="174"/>
      <c r="F74" s="174"/>
      <c r="G74" s="174"/>
      <c r="H74" s="174"/>
      <c r="I74" s="174"/>
      <c r="J74" s="173"/>
      <c r="M74" s="359" t="s">
        <v>257</v>
      </c>
      <c r="N74" s="359"/>
      <c r="O74" s="359"/>
      <c r="P74" s="359"/>
      <c r="Q74" s="359"/>
      <c r="R74" s="359"/>
      <c r="S74" s="359"/>
    </row>
    <row r="75" spans="1:19" x14ac:dyDescent="0.2">
      <c r="A75" s="175"/>
      <c r="B75" s="177" t="s">
        <v>229</v>
      </c>
      <c r="C75" s="174"/>
      <c r="D75" s="174"/>
      <c r="E75" s="174"/>
      <c r="F75" s="174"/>
      <c r="G75" s="174"/>
      <c r="H75" s="174"/>
      <c r="I75" s="174"/>
      <c r="J75" s="173"/>
      <c r="M75" s="359"/>
      <c r="N75" s="359"/>
      <c r="O75" s="359"/>
      <c r="P75" s="359"/>
      <c r="Q75" s="359"/>
      <c r="R75" s="359"/>
      <c r="S75" s="359"/>
    </row>
    <row r="76" spans="1:19" x14ac:dyDescent="0.2">
      <c r="A76" s="175"/>
      <c r="B76" s="174"/>
      <c r="C76" s="174"/>
      <c r="D76" s="174"/>
      <c r="E76" s="174"/>
      <c r="F76" s="174"/>
      <c r="G76" s="174"/>
      <c r="H76" s="174"/>
      <c r="I76" s="174"/>
      <c r="J76" s="173"/>
    </row>
    <row r="77" spans="1:19" x14ac:dyDescent="0.2">
      <c r="A77" s="175"/>
      <c r="B77" s="337" t="s">
        <v>256</v>
      </c>
      <c r="C77" s="337"/>
      <c r="D77" s="337"/>
      <c r="E77" s="337"/>
      <c r="F77" s="337"/>
      <c r="G77" s="337"/>
      <c r="H77" s="337"/>
      <c r="I77" s="174"/>
      <c r="J77" s="173"/>
      <c r="M77" s="359" t="s">
        <v>255</v>
      </c>
      <c r="N77" s="359"/>
      <c r="O77" s="359"/>
      <c r="P77" s="359"/>
      <c r="Q77" s="359"/>
      <c r="R77" s="359"/>
      <c r="S77" s="359"/>
    </row>
    <row r="78" spans="1:19" x14ac:dyDescent="0.2">
      <c r="A78" s="175"/>
      <c r="B78" s="337"/>
      <c r="C78" s="337"/>
      <c r="D78" s="337"/>
      <c r="E78" s="337"/>
      <c r="F78" s="337"/>
      <c r="G78" s="337"/>
      <c r="H78" s="337"/>
      <c r="I78" s="174"/>
      <c r="J78" s="173"/>
      <c r="M78" s="359"/>
      <c r="N78" s="359"/>
      <c r="O78" s="359"/>
      <c r="P78" s="359"/>
      <c r="Q78" s="359"/>
      <c r="R78" s="359"/>
      <c r="S78" s="359"/>
    </row>
    <row r="79" spans="1:19" x14ac:dyDescent="0.2">
      <c r="A79" s="175"/>
      <c r="B79" s="174"/>
      <c r="C79" s="174"/>
      <c r="D79" s="174"/>
      <c r="E79" s="174"/>
      <c r="F79" s="174"/>
      <c r="G79" s="174"/>
      <c r="H79" s="174"/>
      <c r="I79" s="174"/>
      <c r="J79" s="173"/>
      <c r="M79" s="359"/>
      <c r="N79" s="359"/>
      <c r="O79" s="359"/>
      <c r="P79" s="359"/>
      <c r="Q79" s="359"/>
      <c r="R79" s="359"/>
      <c r="S79" s="359"/>
    </row>
    <row r="80" spans="1:19" x14ac:dyDescent="0.2">
      <c r="A80" s="175"/>
      <c r="B80" s="177" t="s">
        <v>226</v>
      </c>
      <c r="C80" s="174"/>
      <c r="D80" s="174"/>
      <c r="E80" s="174"/>
      <c r="F80" s="174"/>
      <c r="G80" s="174"/>
      <c r="H80" s="174"/>
      <c r="I80" s="174"/>
      <c r="J80" s="173"/>
    </row>
    <row r="81" spans="1:19" x14ac:dyDescent="0.2">
      <c r="A81" s="175"/>
      <c r="B81" s="174"/>
      <c r="C81" s="174"/>
      <c r="D81" s="174"/>
      <c r="E81" s="174"/>
      <c r="F81" s="174"/>
      <c r="G81" s="174"/>
      <c r="H81" s="174"/>
      <c r="I81" s="174"/>
      <c r="J81" s="173"/>
      <c r="M81" s="165" t="s">
        <v>196</v>
      </c>
    </row>
    <row r="82" spans="1:19" x14ac:dyDescent="0.2">
      <c r="A82" s="175"/>
      <c r="B82" s="174" t="s">
        <v>254</v>
      </c>
      <c r="C82" s="174"/>
      <c r="D82" s="174"/>
      <c r="E82" s="174"/>
      <c r="F82" s="174"/>
      <c r="G82" s="174"/>
      <c r="H82" s="174"/>
      <c r="I82" s="174"/>
      <c r="J82" s="173"/>
    </row>
    <row r="83" spans="1:19" x14ac:dyDescent="0.2">
      <c r="A83" s="175"/>
      <c r="B83" s="174"/>
      <c r="C83" s="174"/>
      <c r="D83" s="174"/>
      <c r="E83" s="174"/>
      <c r="F83" s="174"/>
      <c r="G83" s="174"/>
      <c r="H83" s="174"/>
      <c r="I83" s="174"/>
      <c r="J83" s="173"/>
      <c r="M83" s="359" t="s">
        <v>253</v>
      </c>
      <c r="N83" s="359"/>
      <c r="O83" s="359"/>
      <c r="P83" s="359"/>
      <c r="Q83" s="359"/>
      <c r="R83" s="359"/>
      <c r="S83" s="359"/>
    </row>
    <row r="84" spans="1:19" x14ac:dyDescent="0.2">
      <c r="A84" s="175"/>
      <c r="B84" s="177" t="s">
        <v>224</v>
      </c>
      <c r="C84" s="174"/>
      <c r="D84" s="174"/>
      <c r="E84" s="174"/>
      <c r="F84" s="174"/>
      <c r="G84" s="174"/>
      <c r="H84" s="174"/>
      <c r="I84" s="174"/>
      <c r="J84" s="173"/>
      <c r="M84" s="359"/>
      <c r="N84" s="359"/>
      <c r="O84" s="359"/>
      <c r="P84" s="359"/>
      <c r="Q84" s="359"/>
      <c r="R84" s="359"/>
      <c r="S84" s="359"/>
    </row>
    <row r="85" spans="1:19" x14ac:dyDescent="0.2">
      <c r="A85" s="175"/>
      <c r="B85" s="174"/>
      <c r="C85" s="174"/>
      <c r="D85" s="174"/>
      <c r="E85" s="174"/>
      <c r="F85" s="174"/>
      <c r="G85" s="174"/>
      <c r="H85" s="174"/>
      <c r="I85" s="174"/>
      <c r="J85" s="173"/>
      <c r="M85" s="359"/>
      <c r="N85" s="359"/>
      <c r="O85" s="359"/>
      <c r="P85" s="359"/>
      <c r="Q85" s="359"/>
      <c r="R85" s="359"/>
      <c r="S85" s="359"/>
    </row>
    <row r="86" spans="1:19" x14ac:dyDescent="0.2">
      <c r="A86" s="175"/>
      <c r="B86" s="174" t="s">
        <v>252</v>
      </c>
      <c r="C86" s="174"/>
      <c r="D86" s="174"/>
      <c r="E86" s="174"/>
      <c r="F86" s="174"/>
      <c r="G86" s="174"/>
      <c r="H86" s="174"/>
      <c r="I86" s="174"/>
      <c r="J86" s="173"/>
      <c r="M86" s="359"/>
      <c r="N86" s="359"/>
      <c r="O86" s="359"/>
      <c r="P86" s="359"/>
      <c r="Q86" s="359"/>
      <c r="R86" s="359"/>
      <c r="S86" s="359"/>
    </row>
    <row r="87" spans="1:19" x14ac:dyDescent="0.2">
      <c r="A87" s="175"/>
      <c r="B87" s="174"/>
      <c r="C87" s="174"/>
      <c r="D87" s="174"/>
      <c r="E87" s="174"/>
      <c r="F87" s="174"/>
      <c r="G87" s="174"/>
      <c r="H87" s="174"/>
      <c r="I87" s="174"/>
      <c r="J87" s="173"/>
      <c r="M87" s="359"/>
      <c r="N87" s="359"/>
      <c r="O87" s="359"/>
      <c r="P87" s="359"/>
      <c r="Q87" s="359"/>
      <c r="R87" s="359"/>
      <c r="S87" s="359"/>
    </row>
    <row r="88" spans="1:19" x14ac:dyDescent="0.2">
      <c r="A88" s="175"/>
      <c r="B88" s="124" t="s">
        <v>251</v>
      </c>
      <c r="C88" s="174"/>
      <c r="D88" s="174"/>
      <c r="E88" s="174"/>
      <c r="F88" s="174"/>
      <c r="G88" s="174"/>
      <c r="H88" s="174"/>
      <c r="I88" s="174"/>
      <c r="J88" s="173"/>
      <c r="M88" s="359"/>
      <c r="N88" s="359"/>
      <c r="O88" s="359"/>
      <c r="P88" s="359"/>
      <c r="Q88" s="359"/>
      <c r="R88" s="359"/>
      <c r="S88" s="359"/>
    </row>
    <row r="89" spans="1:19" x14ac:dyDescent="0.2">
      <c r="A89" s="175"/>
      <c r="B89" s="124" t="s">
        <v>250</v>
      </c>
      <c r="C89" s="174"/>
      <c r="D89" s="174"/>
      <c r="E89" s="174"/>
      <c r="F89" s="174"/>
      <c r="G89" s="174"/>
      <c r="H89" s="174"/>
      <c r="I89" s="174"/>
      <c r="J89" s="173"/>
      <c r="M89" s="359"/>
      <c r="N89" s="359"/>
      <c r="O89" s="359"/>
      <c r="P89" s="359"/>
      <c r="Q89" s="359"/>
      <c r="R89" s="359"/>
      <c r="S89" s="359"/>
    </row>
    <row r="90" spans="1:19" x14ac:dyDescent="0.2">
      <c r="A90" s="175"/>
      <c r="B90" s="124" t="s">
        <v>249</v>
      </c>
      <c r="C90" s="174"/>
      <c r="D90" s="174"/>
      <c r="E90" s="174"/>
      <c r="F90" s="174"/>
      <c r="G90" s="174"/>
      <c r="H90" s="174"/>
      <c r="I90" s="174"/>
      <c r="J90" s="173"/>
    </row>
    <row r="91" spans="1:19" x14ac:dyDescent="0.2">
      <c r="A91" s="175"/>
      <c r="B91" s="174"/>
      <c r="C91" s="174"/>
      <c r="D91" s="174"/>
      <c r="E91" s="174"/>
      <c r="F91" s="174"/>
      <c r="G91" s="174"/>
      <c r="H91" s="174"/>
      <c r="I91" s="174"/>
      <c r="J91" s="173"/>
      <c r="M91" s="133" t="s">
        <v>248</v>
      </c>
    </row>
    <row r="92" spans="1:19" x14ac:dyDescent="0.2">
      <c r="A92" s="175"/>
      <c r="B92" s="174" t="s">
        <v>247</v>
      </c>
      <c r="C92" s="174"/>
      <c r="D92" s="174"/>
      <c r="E92" s="174"/>
      <c r="F92" s="174"/>
      <c r="G92" s="174"/>
      <c r="H92" s="174"/>
      <c r="I92" s="174"/>
      <c r="J92" s="173"/>
    </row>
    <row r="93" spans="1:19" x14ac:dyDescent="0.2">
      <c r="A93" s="175"/>
      <c r="B93" s="174"/>
      <c r="C93" s="174"/>
      <c r="D93" s="174"/>
      <c r="E93" s="174"/>
      <c r="F93" s="174"/>
      <c r="G93" s="174"/>
      <c r="H93" s="174"/>
      <c r="I93" s="174"/>
      <c r="J93" s="173"/>
      <c r="M93" s="165" t="s">
        <v>206</v>
      </c>
    </row>
    <row r="94" spans="1:19" x14ac:dyDescent="0.2">
      <c r="A94" s="175"/>
      <c r="B94" s="177" t="s">
        <v>218</v>
      </c>
      <c r="C94" s="174"/>
      <c r="D94" s="174"/>
      <c r="E94" s="174"/>
      <c r="F94" s="174"/>
      <c r="G94" s="174"/>
      <c r="H94" s="174"/>
      <c r="I94" s="174"/>
      <c r="J94" s="173"/>
    </row>
    <row r="95" spans="1:19" x14ac:dyDescent="0.2">
      <c r="A95" s="175"/>
      <c r="B95" s="174"/>
      <c r="C95" s="174"/>
      <c r="D95" s="174"/>
      <c r="E95" s="174"/>
      <c r="F95" s="174"/>
      <c r="G95" s="174"/>
      <c r="H95" s="174"/>
      <c r="I95" s="174"/>
      <c r="J95" s="173"/>
      <c r="M95" s="359" t="s">
        <v>246</v>
      </c>
      <c r="N95" s="359"/>
      <c r="O95" s="359"/>
      <c r="P95" s="359"/>
      <c r="Q95" s="359"/>
      <c r="R95" s="359"/>
      <c r="S95" s="359"/>
    </row>
    <row r="96" spans="1:19" x14ac:dyDescent="0.2">
      <c r="A96" s="175"/>
      <c r="B96" s="174" t="s">
        <v>245</v>
      </c>
      <c r="C96" s="174"/>
      <c r="D96" s="174"/>
      <c r="E96" s="174"/>
      <c r="F96" s="174"/>
      <c r="G96" s="174"/>
      <c r="H96" s="174"/>
      <c r="I96" s="174"/>
      <c r="J96" s="173"/>
      <c r="M96" s="359"/>
      <c r="N96" s="359"/>
      <c r="O96" s="359"/>
      <c r="P96" s="359"/>
      <c r="Q96" s="359"/>
      <c r="R96" s="359"/>
      <c r="S96" s="359"/>
    </row>
    <row r="97" spans="1:19" x14ac:dyDescent="0.2">
      <c r="A97" s="175"/>
      <c r="B97" s="174"/>
      <c r="C97" s="174"/>
      <c r="D97" s="174"/>
      <c r="E97" s="174"/>
      <c r="F97" s="174"/>
      <c r="G97" s="174"/>
      <c r="H97" s="174"/>
      <c r="I97" s="174"/>
      <c r="J97" s="173"/>
    </row>
    <row r="98" spans="1:19" ht="15.75" customHeight="1" x14ac:dyDescent="0.2">
      <c r="A98" s="175"/>
      <c r="B98" s="177" t="s">
        <v>216</v>
      </c>
      <c r="C98" s="174"/>
      <c r="D98" s="174"/>
      <c r="E98" s="174"/>
      <c r="F98" s="174"/>
      <c r="G98" s="174"/>
      <c r="H98" s="174"/>
      <c r="I98" s="174"/>
      <c r="J98" s="173"/>
      <c r="M98" s="359" t="s">
        <v>244</v>
      </c>
      <c r="N98" s="359"/>
      <c r="O98" s="359"/>
      <c r="P98" s="359"/>
      <c r="Q98" s="359"/>
      <c r="R98" s="359"/>
      <c r="S98" s="359"/>
    </row>
    <row r="99" spans="1:19" x14ac:dyDescent="0.2">
      <c r="A99" s="175"/>
      <c r="B99" s="174"/>
      <c r="C99" s="174"/>
      <c r="D99" s="174"/>
      <c r="E99" s="174"/>
      <c r="F99" s="174"/>
      <c r="G99" s="174"/>
      <c r="H99" s="174"/>
      <c r="I99" s="174"/>
      <c r="J99" s="173"/>
      <c r="M99" s="359"/>
      <c r="N99" s="359"/>
      <c r="O99" s="359"/>
      <c r="P99" s="359"/>
      <c r="Q99" s="359"/>
      <c r="R99" s="359"/>
      <c r="S99" s="359"/>
    </row>
    <row r="100" spans="1:19" x14ac:dyDescent="0.2">
      <c r="A100" s="175"/>
      <c r="B100" s="174" t="s">
        <v>0</v>
      </c>
      <c r="C100" s="174"/>
      <c r="D100" s="174"/>
      <c r="E100" s="174"/>
      <c r="F100" s="174"/>
      <c r="G100" s="174"/>
      <c r="H100" s="174"/>
      <c r="I100" s="174"/>
      <c r="J100" s="173"/>
      <c r="M100" s="176"/>
      <c r="N100" s="176"/>
      <c r="O100" s="176"/>
      <c r="P100" s="176"/>
      <c r="Q100" s="176"/>
      <c r="R100" s="176"/>
      <c r="S100" s="176"/>
    </row>
    <row r="101" spans="1:19" x14ac:dyDescent="0.2">
      <c r="A101" s="175"/>
      <c r="B101" s="174" t="s">
        <v>243</v>
      </c>
      <c r="C101" s="174"/>
      <c r="D101" s="174"/>
      <c r="E101" s="174"/>
      <c r="F101" s="174"/>
      <c r="G101" s="174"/>
      <c r="H101" s="174"/>
      <c r="I101" s="174"/>
      <c r="J101" s="173"/>
      <c r="M101" s="359" t="s">
        <v>242</v>
      </c>
      <c r="N101" s="359"/>
      <c r="O101" s="359"/>
      <c r="P101" s="359"/>
      <c r="Q101" s="359"/>
      <c r="R101" s="359"/>
      <c r="S101" s="359"/>
    </row>
    <row r="102" spans="1:19" x14ac:dyDescent="0.2">
      <c r="A102" s="175"/>
      <c r="B102" s="127"/>
      <c r="C102" s="174"/>
      <c r="D102" s="174"/>
      <c r="E102" s="174"/>
      <c r="F102" s="174"/>
      <c r="G102" s="174"/>
      <c r="H102" s="174"/>
      <c r="I102" s="174"/>
      <c r="J102" s="173"/>
      <c r="M102" s="359"/>
      <c r="N102" s="359"/>
      <c r="O102" s="359"/>
      <c r="P102" s="359"/>
      <c r="Q102" s="359"/>
      <c r="R102" s="359"/>
      <c r="S102" s="359"/>
    </row>
    <row r="103" spans="1:19" x14ac:dyDescent="0.2">
      <c r="A103" s="175"/>
      <c r="B103" s="174" t="s">
        <v>1</v>
      </c>
      <c r="C103" s="174"/>
      <c r="D103" s="174"/>
      <c r="E103" s="174"/>
      <c r="F103" s="174"/>
      <c r="G103" s="174"/>
      <c r="H103" s="174"/>
      <c r="I103" s="174"/>
      <c r="J103" s="173"/>
    </row>
    <row r="104" spans="1:19" x14ac:dyDescent="0.2">
      <c r="A104" s="175"/>
      <c r="B104" s="337" t="s">
        <v>241</v>
      </c>
      <c r="C104" s="337"/>
      <c r="D104" s="337"/>
      <c r="E104" s="337"/>
      <c r="F104" s="337"/>
      <c r="G104" s="337"/>
      <c r="H104" s="337"/>
      <c r="I104" s="174"/>
      <c r="J104" s="173"/>
      <c r="M104" s="165" t="s">
        <v>196</v>
      </c>
    </row>
    <row r="105" spans="1:19" x14ac:dyDescent="0.2">
      <c r="A105" s="175"/>
      <c r="B105" s="337"/>
      <c r="C105" s="337"/>
      <c r="D105" s="337"/>
      <c r="E105" s="337"/>
      <c r="F105" s="337"/>
      <c r="G105" s="337"/>
      <c r="H105" s="337"/>
      <c r="I105" s="174"/>
      <c r="J105" s="173"/>
    </row>
    <row r="106" spans="1:19" ht="17" thickBot="1" x14ac:dyDescent="0.25">
      <c r="A106" s="172"/>
      <c r="B106" s="171"/>
      <c r="C106" s="171"/>
      <c r="D106" s="171"/>
      <c r="E106" s="171"/>
      <c r="F106" s="171"/>
      <c r="G106" s="171"/>
      <c r="H106" s="171"/>
      <c r="I106" s="171"/>
      <c r="J106" s="170"/>
      <c r="M106" s="167" t="s">
        <v>240</v>
      </c>
      <c r="N106" s="167"/>
    </row>
    <row r="107" spans="1:19" x14ac:dyDescent="0.2">
      <c r="M107" s="167"/>
      <c r="N107" s="377" t="s">
        <v>239</v>
      </c>
      <c r="O107" s="377"/>
      <c r="P107" s="377"/>
      <c r="Q107" s="377"/>
      <c r="R107" s="377"/>
      <c r="S107" s="377"/>
    </row>
    <row r="108" spans="1:19" x14ac:dyDescent="0.2">
      <c r="M108" s="167"/>
      <c r="N108" s="377"/>
      <c r="O108" s="377"/>
      <c r="P108" s="377"/>
      <c r="Q108" s="377"/>
      <c r="R108" s="377"/>
      <c r="S108" s="377"/>
    </row>
    <row r="109" spans="1:19" x14ac:dyDescent="0.2">
      <c r="M109" s="167"/>
      <c r="N109" s="377"/>
      <c r="O109" s="377"/>
      <c r="P109" s="377"/>
      <c r="Q109" s="377"/>
      <c r="R109" s="377"/>
      <c r="S109" s="377"/>
    </row>
    <row r="110" spans="1:19" x14ac:dyDescent="0.2">
      <c r="M110" s="167"/>
      <c r="N110" s="377"/>
      <c r="O110" s="377"/>
      <c r="P110" s="377"/>
      <c r="Q110" s="377"/>
      <c r="R110" s="377"/>
      <c r="S110" s="377"/>
    </row>
    <row r="111" spans="1:19" x14ac:dyDescent="0.2">
      <c r="M111" s="167"/>
      <c r="N111" s="377"/>
      <c r="O111" s="377"/>
      <c r="P111" s="377"/>
      <c r="Q111" s="377"/>
      <c r="R111" s="377"/>
      <c r="S111" s="377"/>
    </row>
    <row r="112" spans="1:19" x14ac:dyDescent="0.2">
      <c r="M112" s="167"/>
      <c r="N112" s="169"/>
    </row>
    <row r="113" spans="13:19" x14ac:dyDescent="0.2">
      <c r="M113" s="167" t="s">
        <v>238</v>
      </c>
      <c r="N113" s="169"/>
    </row>
    <row r="114" spans="13:19" x14ac:dyDescent="0.2">
      <c r="M114" s="167"/>
      <c r="N114" s="377" t="s">
        <v>237</v>
      </c>
      <c r="O114" s="377"/>
      <c r="P114" s="377"/>
      <c r="Q114" s="377"/>
      <c r="R114" s="377"/>
      <c r="S114" s="377"/>
    </row>
    <row r="115" spans="13:19" x14ac:dyDescent="0.2">
      <c r="M115" s="167"/>
      <c r="N115" s="377"/>
      <c r="O115" s="377"/>
      <c r="P115" s="377"/>
      <c r="Q115" s="377"/>
      <c r="R115" s="377"/>
      <c r="S115" s="377"/>
    </row>
    <row r="116" spans="13:19" x14ac:dyDescent="0.2">
      <c r="M116" s="167"/>
      <c r="N116" s="377"/>
      <c r="O116" s="377"/>
      <c r="P116" s="377"/>
      <c r="Q116" s="377"/>
      <c r="R116" s="377"/>
      <c r="S116" s="377"/>
    </row>
    <row r="117" spans="13:19" x14ac:dyDescent="0.2">
      <c r="M117" s="167"/>
      <c r="N117" s="377"/>
      <c r="O117" s="377"/>
      <c r="P117" s="377"/>
      <c r="Q117" s="377"/>
      <c r="R117" s="377"/>
      <c r="S117" s="377"/>
    </row>
    <row r="118" spans="13:19" x14ac:dyDescent="0.2">
      <c r="M118" s="167"/>
      <c r="N118" s="167"/>
    </row>
    <row r="119" spans="13:19" x14ac:dyDescent="0.2">
      <c r="M119" s="167" t="s">
        <v>236</v>
      </c>
      <c r="N119" s="167"/>
    </row>
    <row r="120" spans="13:19" ht="15.75" customHeight="1" x14ac:dyDescent="0.2">
      <c r="M120" s="167"/>
      <c r="N120" s="374" t="s">
        <v>235</v>
      </c>
      <c r="O120" s="374"/>
      <c r="P120" s="374"/>
      <c r="Q120" s="374"/>
      <c r="R120" s="374"/>
      <c r="S120" s="374"/>
    </row>
    <row r="121" spans="13:19" x14ac:dyDescent="0.2">
      <c r="M121" s="167"/>
      <c r="N121" s="374"/>
      <c r="O121" s="374"/>
      <c r="P121" s="374"/>
      <c r="Q121" s="374"/>
      <c r="R121" s="374"/>
      <c r="S121" s="374"/>
    </row>
    <row r="122" spans="13:19" x14ac:dyDescent="0.2">
      <c r="M122" s="167"/>
      <c r="N122" s="374"/>
      <c r="O122" s="374"/>
      <c r="P122" s="374"/>
      <c r="Q122" s="374"/>
      <c r="R122" s="374"/>
      <c r="S122" s="374"/>
    </row>
    <row r="123" spans="13:19" x14ac:dyDescent="0.2">
      <c r="M123" s="167"/>
      <c r="N123" s="168"/>
      <c r="O123" s="168"/>
      <c r="P123" s="168"/>
      <c r="Q123" s="168"/>
      <c r="R123" s="168"/>
      <c r="S123" s="168"/>
    </row>
    <row r="124" spans="13:19" x14ac:dyDescent="0.2">
      <c r="M124" s="167"/>
      <c r="N124" s="374" t="s">
        <v>234</v>
      </c>
      <c r="O124" s="374"/>
      <c r="P124" s="374"/>
      <c r="Q124" s="374"/>
      <c r="R124" s="374"/>
      <c r="S124" s="374"/>
    </row>
    <row r="125" spans="13:19" x14ac:dyDescent="0.2">
      <c r="M125" s="167"/>
      <c r="N125" s="374"/>
      <c r="O125" s="374"/>
      <c r="P125" s="374"/>
      <c r="Q125" s="374"/>
      <c r="R125" s="374"/>
      <c r="S125" s="374"/>
    </row>
    <row r="126" spans="13:19" x14ac:dyDescent="0.2">
      <c r="M126" s="166"/>
      <c r="N126" s="374"/>
      <c r="O126" s="374"/>
      <c r="P126" s="374"/>
      <c r="Q126" s="374"/>
      <c r="R126" s="374"/>
      <c r="S126" s="374"/>
    </row>
    <row r="128" spans="13:19" x14ac:dyDescent="0.2">
      <c r="M128" s="133" t="s">
        <v>233</v>
      </c>
    </row>
    <row r="130" spans="13:19" x14ac:dyDescent="0.2">
      <c r="M130" s="359" t="s">
        <v>232</v>
      </c>
      <c r="N130" s="359"/>
      <c r="O130" s="359"/>
      <c r="P130" s="359"/>
      <c r="Q130" s="359"/>
      <c r="R130" s="359"/>
      <c r="S130" s="359"/>
    </row>
    <row r="131" spans="13:19" x14ac:dyDescent="0.2">
      <c r="M131" s="359"/>
      <c r="N131" s="359"/>
      <c r="O131" s="359"/>
      <c r="P131" s="359"/>
      <c r="Q131" s="359"/>
      <c r="R131" s="359"/>
      <c r="S131" s="359"/>
    </row>
    <row r="133" spans="13:19" x14ac:dyDescent="0.2">
      <c r="M133" s="359" t="s">
        <v>231</v>
      </c>
      <c r="N133" s="359"/>
      <c r="O133" s="359"/>
      <c r="P133" s="359"/>
      <c r="Q133" s="359"/>
      <c r="R133" s="359"/>
      <c r="S133" s="359"/>
    </row>
    <row r="134" spans="13:19" x14ac:dyDescent="0.2">
      <c r="M134" s="359"/>
      <c r="N134" s="359"/>
      <c r="O134" s="359"/>
      <c r="P134" s="359"/>
      <c r="Q134" s="359"/>
      <c r="R134" s="359"/>
      <c r="S134" s="359"/>
    </row>
    <row r="135" spans="13:19" x14ac:dyDescent="0.2">
      <c r="M135" s="359"/>
      <c r="N135" s="359"/>
      <c r="O135" s="359"/>
      <c r="P135" s="359"/>
      <c r="Q135" s="359"/>
      <c r="R135" s="359"/>
      <c r="S135" s="359"/>
    </row>
    <row r="137" spans="13:19" x14ac:dyDescent="0.2">
      <c r="M137" s="359" t="s">
        <v>230</v>
      </c>
      <c r="N137" s="359"/>
      <c r="O137" s="359"/>
      <c r="P137" s="359"/>
      <c r="Q137" s="359"/>
      <c r="R137" s="359"/>
      <c r="S137" s="359"/>
    </row>
    <row r="138" spans="13:19" x14ac:dyDescent="0.2">
      <c r="M138" s="359"/>
      <c r="N138" s="359"/>
      <c r="O138" s="359"/>
      <c r="P138" s="359"/>
      <c r="Q138" s="359"/>
      <c r="R138" s="359"/>
      <c r="S138" s="359"/>
    </row>
    <row r="139" spans="13:19" x14ac:dyDescent="0.2">
      <c r="M139" s="359"/>
      <c r="N139" s="359"/>
      <c r="O139" s="359"/>
      <c r="P139" s="359"/>
      <c r="Q139" s="359"/>
      <c r="R139" s="359"/>
      <c r="S139" s="359"/>
    </row>
    <row r="140" spans="13:19" x14ac:dyDescent="0.2">
      <c r="M140" s="359"/>
      <c r="N140" s="359"/>
      <c r="O140" s="359"/>
      <c r="P140" s="359"/>
      <c r="Q140" s="359"/>
      <c r="R140" s="359"/>
      <c r="S140" s="359"/>
    </row>
    <row r="142" spans="13:19" x14ac:dyDescent="0.2">
      <c r="M142" s="133" t="s">
        <v>229</v>
      </c>
    </row>
    <row r="144" spans="13:19" x14ac:dyDescent="0.2">
      <c r="M144" s="359" t="s">
        <v>228</v>
      </c>
      <c r="N144" s="359"/>
      <c r="O144" s="359"/>
      <c r="P144" s="359"/>
      <c r="Q144" s="359"/>
      <c r="R144" s="359"/>
      <c r="S144" s="359"/>
    </row>
    <row r="145" spans="13:19" x14ac:dyDescent="0.2">
      <c r="M145" s="359"/>
      <c r="N145" s="359"/>
      <c r="O145" s="359"/>
      <c r="P145" s="359"/>
      <c r="Q145" s="359"/>
      <c r="R145" s="359"/>
      <c r="S145" s="359"/>
    </row>
    <row r="147" spans="13:19" x14ac:dyDescent="0.2">
      <c r="M147" s="359" t="s">
        <v>227</v>
      </c>
      <c r="N147" s="359"/>
      <c r="O147" s="359"/>
      <c r="P147" s="359"/>
      <c r="Q147" s="359"/>
      <c r="R147" s="359"/>
      <c r="S147" s="359"/>
    </row>
    <row r="148" spans="13:19" x14ac:dyDescent="0.2">
      <c r="M148" s="359"/>
      <c r="N148" s="359"/>
      <c r="O148" s="359"/>
      <c r="P148" s="359"/>
      <c r="Q148" s="359"/>
      <c r="R148" s="359"/>
      <c r="S148" s="359"/>
    </row>
    <row r="149" spans="13:19" x14ac:dyDescent="0.2">
      <c r="M149" s="359"/>
      <c r="N149" s="359"/>
      <c r="O149" s="359"/>
      <c r="P149" s="359"/>
      <c r="Q149" s="359"/>
      <c r="R149" s="359"/>
      <c r="S149" s="359"/>
    </row>
    <row r="151" spans="13:19" x14ac:dyDescent="0.2">
      <c r="M151" s="133" t="s">
        <v>226</v>
      </c>
    </row>
    <row r="153" spans="13:19" x14ac:dyDescent="0.2">
      <c r="M153" s="359" t="s">
        <v>225</v>
      </c>
      <c r="N153" s="359"/>
      <c r="O153" s="359"/>
      <c r="P153" s="359"/>
      <c r="Q153" s="359"/>
      <c r="R153" s="359"/>
      <c r="S153" s="359"/>
    </row>
    <row r="154" spans="13:19" x14ac:dyDescent="0.2">
      <c r="M154" s="359"/>
      <c r="N154" s="359"/>
      <c r="O154" s="359"/>
      <c r="P154" s="359"/>
      <c r="Q154" s="359"/>
      <c r="R154" s="359"/>
      <c r="S154" s="359"/>
    </row>
    <row r="155" spans="13:19" x14ac:dyDescent="0.2">
      <c r="M155" s="359"/>
      <c r="N155" s="359"/>
      <c r="O155" s="359"/>
      <c r="P155" s="359"/>
      <c r="Q155" s="359"/>
      <c r="R155" s="359"/>
      <c r="S155" s="359"/>
    </row>
    <row r="156" spans="13:19" x14ac:dyDescent="0.2">
      <c r="M156" s="359"/>
      <c r="N156" s="359"/>
      <c r="O156" s="359"/>
      <c r="P156" s="359"/>
      <c r="Q156" s="359"/>
      <c r="R156" s="359"/>
      <c r="S156" s="359"/>
    </row>
    <row r="158" spans="13:19" x14ac:dyDescent="0.2">
      <c r="M158" s="133" t="s">
        <v>224</v>
      </c>
    </row>
    <row r="160" spans="13:19" x14ac:dyDescent="0.2">
      <c r="M160" s="111" t="s">
        <v>73</v>
      </c>
    </row>
    <row r="162" spans="13:19" x14ac:dyDescent="0.2">
      <c r="N162" s="359" t="s">
        <v>223</v>
      </c>
      <c r="O162" s="359"/>
      <c r="P162" s="359"/>
      <c r="Q162" s="359"/>
      <c r="R162" s="359"/>
      <c r="S162" s="359"/>
    </row>
    <row r="163" spans="13:19" x14ac:dyDescent="0.2">
      <c r="N163" s="359"/>
      <c r="O163" s="359"/>
      <c r="P163" s="359"/>
      <c r="Q163" s="359"/>
      <c r="R163" s="359"/>
      <c r="S163" s="359"/>
    </row>
    <row r="165" spans="13:19" x14ac:dyDescent="0.2">
      <c r="N165" s="359" t="s">
        <v>222</v>
      </c>
      <c r="O165" s="359"/>
      <c r="P165" s="359"/>
      <c r="Q165" s="359"/>
      <c r="R165" s="359"/>
      <c r="S165" s="359"/>
    </row>
    <row r="166" spans="13:19" x14ac:dyDescent="0.2">
      <c r="N166" s="359"/>
      <c r="O166" s="359"/>
      <c r="P166" s="359"/>
      <c r="Q166" s="359"/>
      <c r="R166" s="359"/>
      <c r="S166" s="359"/>
    </row>
    <row r="168" spans="13:19" x14ac:dyDescent="0.2">
      <c r="M168" s="111" t="s">
        <v>71</v>
      </c>
    </row>
    <row r="170" spans="13:19" x14ac:dyDescent="0.2">
      <c r="N170" s="111" t="s">
        <v>221</v>
      </c>
    </row>
    <row r="171" spans="13:19" x14ac:dyDescent="0.2">
      <c r="N171" s="111" t="s">
        <v>220</v>
      </c>
    </row>
    <row r="173" spans="13:19" x14ac:dyDescent="0.2">
      <c r="M173" s="111" t="s">
        <v>72</v>
      </c>
    </row>
    <row r="175" spans="13:19" x14ac:dyDescent="0.2">
      <c r="N175" s="359" t="s">
        <v>219</v>
      </c>
      <c r="O175" s="359"/>
      <c r="P175" s="359"/>
      <c r="Q175" s="359"/>
      <c r="R175" s="359"/>
      <c r="S175" s="359"/>
    </row>
    <row r="176" spans="13:19" x14ac:dyDescent="0.2">
      <c r="N176" s="359"/>
      <c r="O176" s="359"/>
      <c r="P176" s="359"/>
      <c r="Q176" s="359"/>
      <c r="R176" s="359"/>
      <c r="S176" s="359"/>
    </row>
    <row r="178" spans="13:19" x14ac:dyDescent="0.2">
      <c r="M178" s="133" t="s">
        <v>218</v>
      </c>
    </row>
    <row r="180" spans="13:19" x14ac:dyDescent="0.2">
      <c r="M180" s="111" t="s">
        <v>217</v>
      </c>
    </row>
    <row r="182" spans="13:19" x14ac:dyDescent="0.2">
      <c r="M182" s="133" t="s">
        <v>216</v>
      </c>
    </row>
    <row r="184" spans="13:19" x14ac:dyDescent="0.2">
      <c r="M184" s="165" t="s">
        <v>206</v>
      </c>
    </row>
    <row r="186" spans="13:19" x14ac:dyDescent="0.2">
      <c r="M186" s="359" t="s">
        <v>215</v>
      </c>
      <c r="N186" s="359"/>
      <c r="O186" s="359"/>
      <c r="P186" s="359"/>
      <c r="Q186" s="359"/>
      <c r="R186" s="359"/>
      <c r="S186" s="359"/>
    </row>
    <row r="187" spans="13:19" x14ac:dyDescent="0.2">
      <c r="M187" s="359"/>
      <c r="N187" s="359"/>
      <c r="O187" s="359"/>
      <c r="P187" s="359"/>
      <c r="Q187" s="359"/>
      <c r="R187" s="359"/>
      <c r="S187" s="359"/>
    </row>
    <row r="188" spans="13:19" x14ac:dyDescent="0.2">
      <c r="M188" s="359"/>
      <c r="N188" s="359"/>
      <c r="O188" s="359"/>
      <c r="P188" s="359"/>
      <c r="Q188" s="359"/>
      <c r="R188" s="359"/>
      <c r="S188" s="359"/>
    </row>
    <row r="189" spans="13:19" x14ac:dyDescent="0.2">
      <c r="M189" s="359"/>
      <c r="N189" s="359"/>
      <c r="O189" s="359"/>
      <c r="P189" s="359"/>
      <c r="Q189" s="359"/>
      <c r="R189" s="359"/>
      <c r="S189" s="359"/>
    </row>
    <row r="191" spans="13:19" x14ac:dyDescent="0.2">
      <c r="M191" s="165" t="s">
        <v>196</v>
      </c>
    </row>
    <row r="193" spans="13:19" x14ac:dyDescent="0.2">
      <c r="M193" s="359" t="s">
        <v>214</v>
      </c>
      <c r="N193" s="359"/>
      <c r="O193" s="359"/>
      <c r="P193" s="359"/>
      <c r="Q193" s="359"/>
      <c r="R193" s="359"/>
      <c r="S193" s="359"/>
    </row>
    <row r="194" spans="13:19" x14ac:dyDescent="0.2">
      <c r="M194" s="359"/>
      <c r="N194" s="359"/>
      <c r="O194" s="359"/>
      <c r="P194" s="359"/>
      <c r="Q194" s="359"/>
      <c r="R194" s="359"/>
      <c r="S194" s="359"/>
    </row>
    <row r="196" spans="13:19" x14ac:dyDescent="0.2">
      <c r="M196" s="164" t="s">
        <v>213</v>
      </c>
    </row>
    <row r="197" spans="13:19" x14ac:dyDescent="0.2">
      <c r="M197" s="164" t="s">
        <v>212</v>
      </c>
    </row>
    <row r="198" spans="13:19" x14ac:dyDescent="0.2">
      <c r="M198" s="373" t="s">
        <v>211</v>
      </c>
      <c r="N198" s="373"/>
      <c r="O198" s="373"/>
      <c r="P198" s="373"/>
      <c r="Q198" s="373"/>
      <c r="R198" s="373"/>
      <c r="S198" s="373"/>
    </row>
    <row r="199" spans="13:19" x14ac:dyDescent="0.2">
      <c r="M199" s="373"/>
      <c r="N199" s="373"/>
      <c r="O199" s="373"/>
      <c r="P199" s="373"/>
      <c r="Q199" s="373"/>
      <c r="R199" s="373"/>
      <c r="S199" s="373"/>
    </row>
    <row r="200" spans="13:19" x14ac:dyDescent="0.2">
      <c r="M200" s="373" t="s">
        <v>210</v>
      </c>
      <c r="N200" s="373"/>
      <c r="O200" s="373"/>
      <c r="P200" s="373"/>
      <c r="Q200" s="373"/>
      <c r="R200" s="373"/>
      <c r="S200" s="373"/>
    </row>
    <row r="201" spans="13:19" x14ac:dyDescent="0.2">
      <c r="M201" s="373"/>
      <c r="N201" s="373"/>
      <c r="O201" s="373"/>
      <c r="P201" s="373"/>
      <c r="Q201" s="373"/>
      <c r="R201" s="373"/>
      <c r="S201" s="373"/>
    </row>
    <row r="202" spans="13:19" x14ac:dyDescent="0.2">
      <c r="M202" s="164" t="s">
        <v>209</v>
      </c>
    </row>
  </sheetData>
  <mergeCells count="38">
    <mergeCell ref="M200:S201"/>
    <mergeCell ref="M144:S145"/>
    <mergeCell ref="M147:S149"/>
    <mergeCell ref="M153:S156"/>
    <mergeCell ref="N162:S163"/>
    <mergeCell ref="N165:S166"/>
    <mergeCell ref="N175:S176"/>
    <mergeCell ref="N107:S111"/>
    <mergeCell ref="N114:S117"/>
    <mergeCell ref="N120:S122"/>
    <mergeCell ref="N124:S126"/>
    <mergeCell ref="M130:S131"/>
    <mergeCell ref="M133:S135"/>
    <mergeCell ref="M137:S140"/>
    <mergeCell ref="M186:S189"/>
    <mergeCell ref="M193:S194"/>
    <mergeCell ref="M198:S199"/>
    <mergeCell ref="B104:H105"/>
    <mergeCell ref="M5:S6"/>
    <mergeCell ref="M10:S13"/>
    <mergeCell ref="M18:S19"/>
    <mergeCell ref="M30:S31"/>
    <mergeCell ref="M33:S34"/>
    <mergeCell ref="M40:S41"/>
    <mergeCell ref="M45:S47"/>
    <mergeCell ref="B5:H6"/>
    <mergeCell ref="B39:H40"/>
    <mergeCell ref="M77:S79"/>
    <mergeCell ref="M95:S96"/>
    <mergeCell ref="M98:S99"/>
    <mergeCell ref="M101:S102"/>
    <mergeCell ref="M83:S89"/>
    <mergeCell ref="B77:H78"/>
    <mergeCell ref="B43:H44"/>
    <mergeCell ref="M49:S50"/>
    <mergeCell ref="M64:S65"/>
    <mergeCell ref="M71:S72"/>
    <mergeCell ref="M74:S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Q #1</vt:lpstr>
      <vt:lpstr>Q #2</vt:lpstr>
      <vt:lpstr>Q #3</vt:lpstr>
      <vt:lpstr>Q #4</vt:lpstr>
      <vt:lpstr>Q #5</vt:lpstr>
      <vt:lpstr>Q #6</vt:lpstr>
      <vt:lpstr>Q #7</vt:lpstr>
      <vt:lpstr>2013 #8</vt:lpstr>
      <vt:lpstr>2013 #13</vt:lpstr>
      <vt:lpstr>2014 #8</vt:lpstr>
      <vt:lpstr>2014 #11</vt:lpstr>
      <vt:lpstr>2015 #7</vt:lpstr>
      <vt:lpstr>2015 #8</vt:lpstr>
      <vt:lpstr>2015 #9</vt:lpstr>
      <vt:lpstr>2016 #10</vt:lpstr>
      <vt:lpstr>2017 #8</vt:lpstr>
      <vt:lpstr>2019 #9</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2025-04-23T18:24:57Z</dcterms:modified>
</cp:coreProperties>
</file>