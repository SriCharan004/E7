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defaultThemeVersion="166925"/>
  <mc:AlternateContent xmlns:mc="http://schemas.openxmlformats.org/markup-compatibility/2006">
    <mc:Choice Requires="x15">
      <x15ac:absPath xmlns:x15ac="http://schemas.microsoft.com/office/spreadsheetml/2010/11/ac" url="/Users/stephenroll/Library/CloudStorage/Dropbox-RisingFellow/Rising Fellow/_Products/Exam 7/_Problem Bank/Exam 7 Problem Bank - Original &amp; Past CAS/"/>
    </mc:Choice>
  </mc:AlternateContent>
  <xr:revisionPtr revIDLastSave="0" documentId="13_ncr:1_{84ABD820-5DA6-3B41-A8C4-5DD61659E109}" xr6:coauthVersionLast="47" xr6:coauthVersionMax="47" xr10:uidLastSave="{00000000-0000-0000-0000-000000000000}"/>
  <bookViews>
    <workbookView xWindow="14540" yWindow="500" windowWidth="25720" windowHeight="21100" xr2:uid="{B2F629C4-F532-0048-94B5-6129BC4B4200}"/>
  </bookViews>
  <sheets>
    <sheet name="Overview" sheetId="9" r:id="rId1"/>
    <sheet name="Q #1" sheetId="1" r:id="rId2"/>
    <sheet name="Q #2" sheetId="2" r:id="rId3"/>
    <sheet name="Q #3" sheetId="3" r:id="rId4"/>
    <sheet name="Q #4" sheetId="4" r:id="rId5"/>
    <sheet name="Q #5" sheetId="5" r:id="rId6"/>
    <sheet name="Q #6" sheetId="6" r:id="rId7"/>
    <sheet name="Q #7" sheetId="7" r:id="rId8"/>
    <sheet name="Q #8" sheetId="8" r:id="rId9"/>
    <sheet name="Q #9" sheetId="10" r:id="rId10"/>
    <sheet name="Q #10" sheetId="11" r:id="rId11"/>
    <sheet name="Q #11" sheetId="12" r:id="rId12"/>
    <sheet name="Q #12" sheetId="13" r:id="rId13"/>
    <sheet name="Q #13" sheetId="16" r:id="rId14"/>
    <sheet name="Q #14" sheetId="24" r:id="rId15"/>
    <sheet name="Q #15" sheetId="28" r:id="rId16"/>
    <sheet name="Q #16" sheetId="30" r:id="rId17"/>
    <sheet name="Q #17" sheetId="47" r:id="rId18"/>
    <sheet name="Q #18" sheetId="37" r:id="rId19"/>
    <sheet name="Q #19" sheetId="19" r:id="rId20"/>
    <sheet name="Q #20" sheetId="31" r:id="rId21"/>
    <sheet name="2019 #12" sheetId="15" r:id="rId22"/>
    <sheet name="Essay Problems" sheetId="14" r:id="rId23"/>
  </sheets>
  <externalReferences>
    <externalReference r:id="rId24"/>
  </externalReferences>
  <definedNames>
    <definedName name="Agg_Ded_Limit" localSheetId="16">#REF!</definedName>
    <definedName name="Agg_Ded_Limit" localSheetId="17">#REF!</definedName>
    <definedName name="Agg_Ded_Limit" localSheetId="19">#REF!</definedName>
    <definedName name="Agg_Ded_Limit" localSheetId="20">#REF!</definedName>
    <definedName name="Agg_Ded_Limit">#REF!</definedName>
    <definedName name="Basic">#REF!</definedName>
    <definedName name="Commission" localSheetId="16">#REF!</definedName>
    <definedName name="Commission" localSheetId="17">#REF!</definedName>
    <definedName name="Commission" localSheetId="19">#REF!</definedName>
    <definedName name="Commission" localSheetId="20">#REF!</definedName>
    <definedName name="Commission">#REF!</definedName>
    <definedName name="DesignMatrix">[1]Data!$B$39:$F$44</definedName>
    <definedName name="Excess_Ratio">#REF!</definedName>
    <definedName name="Fixed_Expense" localSheetId="16">#REF!</definedName>
    <definedName name="Fixed_Expense" localSheetId="17">#REF!</definedName>
    <definedName name="Fixed_Expense" localSheetId="19">#REF!</definedName>
    <definedName name="Fixed_Expense" localSheetId="20">#REF!</definedName>
    <definedName name="Fixed_Expense">#REF!</definedName>
    <definedName name="Insurance_Charge_Dollars_1.5" localSheetId="16">#REF!</definedName>
    <definedName name="Insurance_Charge_Dollars_1.5" localSheetId="17">#REF!</definedName>
    <definedName name="Insurance_Charge_Dollars_1.5" localSheetId="19">#REF!</definedName>
    <definedName name="Insurance_Charge_Dollars_1.5" localSheetId="20">#REF!</definedName>
    <definedName name="Insurance_Charge_Dollars_1.5">#REF!</definedName>
    <definedName name="Insurance_Charge_Percentage_0.5">#REF!</definedName>
    <definedName name="Insurance_Charge_Percentage_1.5" localSheetId="16">#REF!</definedName>
    <definedName name="Insurance_Charge_Percentage_1.5" localSheetId="17">#REF!</definedName>
    <definedName name="Insurance_Charge_Percentage_1.5" localSheetId="19">#REF!</definedName>
    <definedName name="Insurance_Charge_Percentage_1.5" localSheetId="20">#REF!</definedName>
    <definedName name="Insurance_Charge_Percentage_1.5">#REF!</definedName>
    <definedName name="Insurance_Charge_Percentage_2.0">#REF!</definedName>
    <definedName name="Insurance_Savings_0.5">#REF!</definedName>
    <definedName name="Insurance_Savings_Dollars_0.5">#REF!</definedName>
    <definedName name="LAE" localSheetId="16">#REF!</definedName>
    <definedName name="LAE" localSheetId="17">#REF!</definedName>
    <definedName name="LAE" localSheetId="19">#REF!</definedName>
    <definedName name="LAE" localSheetId="20">#REF!</definedName>
    <definedName name="LAE">#REF!</definedName>
    <definedName name="LAE_Dollars" localSheetId="16">#REF!</definedName>
    <definedName name="LAE_Dollars" localSheetId="17">#REF!</definedName>
    <definedName name="LAE_Dollars" localSheetId="19">#REF!</definedName>
    <definedName name="LAE_Dollars" localSheetId="20">#REF!</definedName>
    <definedName name="LAE_Dollars">#REF!</definedName>
    <definedName name="LCF">#REF!</definedName>
    <definedName name="LD_Premium_NoAggDedLimit">#REF!</definedName>
    <definedName name="Limited_Loss" localSheetId="16">#REF!</definedName>
    <definedName name="Limited_Loss" localSheetId="17">#REF!</definedName>
    <definedName name="Limited_Loss" localSheetId="19">#REF!</definedName>
    <definedName name="Limited_Loss" localSheetId="20">#REF!</definedName>
    <definedName name="Limited_Loss">#REF!</definedName>
    <definedName name="Maximum_Ratable_Loss">#REF!</definedName>
    <definedName name="Mean">#REF!</definedName>
    <definedName name="Minimum_Ratable_Loss">#REF!</definedName>
    <definedName name="Modified_Expected_Losses" localSheetId="16">#REF!</definedName>
    <definedName name="Modified_Expected_Losses" localSheetId="17">#REF!</definedName>
    <definedName name="Modified_Expected_Losses" localSheetId="19">#REF!</definedName>
    <definedName name="Modified_Expected_Losses" localSheetId="20">#REF!</definedName>
    <definedName name="Modified_Expected_Losses">#REF!</definedName>
    <definedName name="mu">#REF!</definedName>
    <definedName name="Net_Insurance_Charge_1.5">#REF!</definedName>
    <definedName name="Per_Occurrence_Excess" localSheetId="16">#REF!</definedName>
    <definedName name="Per_Occurrence_Excess" localSheetId="17">#REF!</definedName>
    <definedName name="Per_Occurrence_Excess" localSheetId="19">#REF!</definedName>
    <definedName name="Per_Occurrence_Excess" localSheetId="20">#REF!</definedName>
    <definedName name="Per_Occurrence_Excess">#REF!</definedName>
    <definedName name="Premium_Tax" localSheetId="16">#REF!</definedName>
    <definedName name="Premium_Tax" localSheetId="17">#REF!</definedName>
    <definedName name="Premium_Tax" localSheetId="19">#REF!</definedName>
    <definedName name="Premium_Tax" localSheetId="20">#REF!</definedName>
    <definedName name="Premium_Tax">#REF!</definedName>
    <definedName name="sigma">#REF!</definedName>
    <definedName name="TM">#REF!</definedName>
    <definedName name="Trend">#REF!</definedName>
    <definedName name="UW_Profit" localSheetId="16">#REF!</definedName>
    <definedName name="UW_Profit" localSheetId="17">#REF!</definedName>
    <definedName name="UW_Profit" localSheetId="19">#REF!</definedName>
    <definedName name="UW_Profit" localSheetId="20">#REF!</definedName>
    <definedName name="UW_Profit">#REF!</definedName>
    <definedName name="WeightMatri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14" i="28" l="1"/>
  <c r="O120" i="28"/>
  <c r="O122" i="28" s="1"/>
  <c r="O121" i="28"/>
  <c r="N11" i="28" l="1"/>
  <c r="O10" i="28"/>
  <c r="N10" i="28"/>
  <c r="N116" i="28" s="1"/>
  <c r="P9" i="28"/>
  <c r="P115" i="28" s="1"/>
  <c r="O9" i="28"/>
  <c r="N9" i="28"/>
  <c r="N115" i="28" s="1"/>
  <c r="Q8" i="28"/>
  <c r="P8" i="28"/>
  <c r="P114" i="28" s="1"/>
  <c r="O8" i="28"/>
  <c r="N8" i="28"/>
  <c r="O21" i="28" l="1"/>
  <c r="T24" i="28" s="1"/>
  <c r="O115" i="28"/>
  <c r="N20" i="28"/>
  <c r="T20" i="28" s="1"/>
  <c r="O22" i="28"/>
  <c r="T27" i="28" s="1"/>
  <c r="O116" i="28"/>
  <c r="O20" i="28"/>
  <c r="T21" i="28" s="1"/>
  <c r="O114" i="28"/>
  <c r="Q45" i="28"/>
  <c r="P20" i="28"/>
  <c r="T22" i="28" s="1"/>
  <c r="P21" i="28"/>
  <c r="T25" i="28" s="1"/>
  <c r="N22" i="28"/>
  <c r="T26" i="28" s="1"/>
  <c r="N21" i="28"/>
  <c r="T23" i="28" s="1"/>
  <c r="O119" i="28" l="1"/>
  <c r="O123" i="28" s="1"/>
  <c r="O45" i="28"/>
  <c r="P46" i="28"/>
  <c r="Q44" i="28"/>
  <c r="P44" i="28"/>
  <c r="O46" i="28"/>
  <c r="P45" i="28"/>
  <c r="R44" i="28"/>
  <c r="O44" i="28"/>
  <c r="O47" i="28"/>
  <c r="Q50" i="28" l="1"/>
  <c r="R45" i="28" s="1"/>
  <c r="R61" i="28" s="1"/>
  <c r="O50" i="28"/>
  <c r="P47" i="28" s="1"/>
  <c r="P63" i="28" s="1"/>
  <c r="P50" i="28"/>
  <c r="Q46" i="28" s="1"/>
  <c r="Q62" i="28" s="1"/>
  <c r="R46" i="28" l="1"/>
  <c r="R62" i="28" s="1"/>
  <c r="Q47" i="28"/>
  <c r="Q63" i="28" s="1"/>
  <c r="R47" i="28" l="1"/>
  <c r="R63" i="28" l="1"/>
  <c r="R65" i="28" s="1"/>
  <c r="Q20" i="24" l="1"/>
  <c r="Q12" i="24"/>
  <c r="R13" i="24"/>
  <c r="Q13" i="24"/>
  <c r="P13" i="24"/>
  <c r="R12" i="24"/>
  <c r="R11" i="24"/>
  <c r="S11" i="24" s="1"/>
  <c r="S12" i="24" l="1"/>
  <c r="S13" i="24"/>
  <c r="S14" i="24" l="1"/>
  <c r="Q19" i="24" l="1"/>
  <c r="Q26" i="24" s="1"/>
  <c r="Q25" i="24"/>
  <c r="O4" i="4" l="1"/>
  <c r="Q13" i="11"/>
  <c r="Q14" i="11"/>
  <c r="M22" i="11" l="1"/>
  <c r="M29" i="16"/>
  <c r="M21" i="16"/>
  <c r="M20" i="16"/>
  <c r="P11" i="16"/>
  <c r="M11" i="16"/>
  <c r="P10" i="16"/>
  <c r="M10" i="16"/>
  <c r="P9" i="16"/>
  <c r="M9" i="16"/>
  <c r="M18" i="11"/>
  <c r="M28" i="11" l="1"/>
  <c r="M33" i="16"/>
  <c r="M28" i="16"/>
  <c r="L13" i="16"/>
  <c r="L12" i="16"/>
  <c r="L11" i="16"/>
  <c r="L10" i="16"/>
  <c r="L9" i="16"/>
  <c r="M20" i="15"/>
  <c r="M21" i="15" s="1"/>
  <c r="M12" i="16" l="1"/>
  <c r="M22" i="15"/>
  <c r="M23" i="15" s="1"/>
  <c r="M24" i="15"/>
  <c r="M26" i="15" s="1"/>
  <c r="N10" i="13"/>
  <c r="O10" i="13"/>
  <c r="P10" i="13"/>
  <c r="Q10" i="13"/>
  <c r="N11" i="13"/>
  <c r="O11" i="13"/>
  <c r="P11" i="13"/>
  <c r="M24" i="13" s="1"/>
  <c r="N12" i="13"/>
  <c r="M25" i="13" s="1"/>
  <c r="O12" i="13"/>
  <c r="N13" i="13"/>
  <c r="M18" i="13"/>
  <c r="M19" i="13"/>
  <c r="M20" i="13"/>
  <c r="M21" i="13"/>
  <c r="M22" i="13"/>
  <c r="M23" i="13"/>
  <c r="M26" i="13"/>
  <c r="M27" i="13"/>
  <c r="O30" i="13"/>
  <c r="O31" i="13"/>
  <c r="O32" i="13"/>
  <c r="O33" i="13"/>
  <c r="O34" i="13"/>
  <c r="O35" i="13"/>
  <c r="O36" i="13"/>
  <c r="O37" i="13"/>
  <c r="O38" i="13"/>
  <c r="O39" i="13"/>
  <c r="N51" i="13"/>
  <c r="M60" i="13" s="1"/>
  <c r="O51" i="13"/>
  <c r="M61" i="13" s="1"/>
  <c r="P51" i="13"/>
  <c r="Q51" i="13"/>
  <c r="M63" i="13" s="1"/>
  <c r="R51" i="13"/>
  <c r="M64" i="13" s="1"/>
  <c r="N52" i="13"/>
  <c r="M65" i="13" s="1"/>
  <c r="O52" i="13"/>
  <c r="M66" i="13" s="1"/>
  <c r="P52" i="13"/>
  <c r="M67" i="13" s="1"/>
  <c r="Q52" i="13"/>
  <c r="M68" i="13" s="1"/>
  <c r="N53" i="13"/>
  <c r="M69" i="13" s="1"/>
  <c r="O53" i="13"/>
  <c r="P53" i="13"/>
  <c r="M71" i="13" s="1"/>
  <c r="N54" i="13"/>
  <c r="M72" i="13" s="1"/>
  <c r="O54" i="13"/>
  <c r="M73" i="13" s="1"/>
  <c r="N55" i="13"/>
  <c r="M74" i="13" s="1"/>
  <c r="M62" i="13"/>
  <c r="M70" i="13"/>
  <c r="M34" i="11"/>
  <c r="M8" i="10"/>
  <c r="N8" i="10"/>
  <c r="M9" i="10"/>
  <c r="N9" i="10"/>
  <c r="N13" i="10" s="1"/>
  <c r="M10" i="10"/>
  <c r="N10" i="10"/>
  <c r="M11" i="10"/>
  <c r="N11" i="10"/>
  <c r="M12" i="10"/>
  <c r="N12" i="10"/>
  <c r="P12" i="16" l="1"/>
  <c r="N21" i="10"/>
  <c r="M21" i="10"/>
  <c r="M41" i="10" s="1"/>
  <c r="M25" i="10"/>
  <c r="N25" i="10"/>
  <c r="M22" i="10"/>
  <c r="N22" i="10"/>
  <c r="M23" i="10"/>
  <c r="M34" i="10" s="1"/>
  <c r="N24" i="10"/>
  <c r="M24" i="10"/>
  <c r="N23" i="10"/>
  <c r="N26" i="10" l="1"/>
  <c r="M33" i="2" l="1"/>
  <c r="M32" i="2"/>
  <c r="M31" i="2"/>
  <c r="M30" i="2"/>
  <c r="M29" i="2"/>
  <c r="M28" i="2"/>
  <c r="M27" i="2"/>
  <c r="M26" i="2"/>
  <c r="M25" i="2"/>
  <c r="M24" i="2"/>
  <c r="O15" i="2"/>
  <c r="O14" i="2"/>
  <c r="O13" i="2"/>
  <c r="O12" i="2"/>
  <c r="O11" i="2"/>
  <c r="O10" i="2"/>
  <c r="N7" i="2"/>
  <c r="M15" i="2" s="1"/>
  <c r="N6" i="2"/>
  <c r="M13" i="2" s="1"/>
  <c r="O6" i="2"/>
  <c r="M14" i="2" s="1"/>
  <c r="P5" i="2"/>
  <c r="M12" i="2" s="1"/>
  <c r="O5" i="2"/>
  <c r="M11" i="2" s="1"/>
  <c r="N5" i="2"/>
  <c r="M10" i="2" s="1"/>
  <c r="O6" i="4" l="1"/>
  <c r="O9" i="4" s="1"/>
  <c r="N22" i="3"/>
  <c r="N21" i="3"/>
  <c r="N24" i="3" s="1"/>
  <c r="N13" i="3"/>
  <c r="N14" i="3" s="1"/>
  <c r="O8" i="3"/>
  <c r="N8" i="3"/>
  <c r="O7" i="3"/>
  <c r="N7" i="3"/>
  <c r="O6" i="3"/>
  <c r="N6" i="3"/>
  <c r="O5" i="3"/>
  <c r="N5" i="3"/>
  <c r="O4" i="3"/>
  <c r="N4" i="3"/>
  <c r="O8" i="1"/>
  <c r="O9" i="1"/>
  <c r="P8" i="1"/>
  <c r="P7" i="1"/>
  <c r="Q7" i="1"/>
  <c r="O7" i="1"/>
  <c r="N8" i="1"/>
  <c r="N9" i="1"/>
  <c r="N10" i="1"/>
  <c r="N7" i="1"/>
  <c r="O9" i="3" l="1"/>
  <c r="P4" i="3" s="1"/>
  <c r="N18" i="4"/>
  <c r="O11" i="4"/>
  <c r="N16" i="1"/>
  <c r="Q16" i="1" s="1"/>
  <c r="N17" i="1" s="1"/>
  <c r="Q17" i="1" s="1"/>
  <c r="Q8" i="3" l="1"/>
  <c r="P7" i="3"/>
  <c r="P6" i="3"/>
  <c r="Q5" i="3"/>
  <c r="P5" i="3"/>
  <c r="Q4" i="3"/>
  <c r="Q6" i="3"/>
  <c r="Q7" i="3"/>
  <c r="P8" i="3"/>
  <c r="N18" i="1"/>
  <c r="Q18" i="1" s="1"/>
  <c r="N19" i="1" s="1"/>
  <c r="O25" i="1" s="1"/>
  <c r="M13" i="16" l="1"/>
  <c r="N17" i="3"/>
  <c r="Q9" i="3"/>
  <c r="Q19" i="1"/>
  <c r="M19" i="16" l="1"/>
  <c r="P13" i="16"/>
  <c r="M27" i="16" s="1"/>
</calcChain>
</file>

<file path=xl/sharedStrings.xml><?xml version="1.0" encoding="utf-8"?>
<sst xmlns="http://schemas.openxmlformats.org/spreadsheetml/2006/main" count="905" uniqueCount="605">
  <si>
    <t>a.</t>
  </si>
  <si>
    <t>b.</t>
  </si>
  <si>
    <t>c.</t>
  </si>
  <si>
    <t>Part a</t>
  </si>
  <si>
    <t>Part b</t>
  </si>
  <si>
    <t>Part c</t>
  </si>
  <si>
    <t>Given the following information:</t>
  </si>
  <si>
    <t>Accident Year</t>
  </si>
  <si>
    <t>12 Months</t>
  </si>
  <si>
    <t>24 Months</t>
  </si>
  <si>
    <t>36 Months</t>
  </si>
  <si>
    <t>48 Months</t>
  </si>
  <si>
    <t>Calculate the parameter estimates for an ODP Cross-Classified model.</t>
  </si>
  <si>
    <t>Calculate the expected Calendar Year 2019 loss development for accident years 2015-2018.</t>
  </si>
  <si>
    <t>Cumulative Reported Losses ($000)</t>
  </si>
  <si>
    <t>Cumulative Reported Loss</t>
  </si>
  <si>
    <t>Fully specify the ODP Mack model for this loss triangle as a GLM.</t>
  </si>
  <si>
    <t>Fully specify the ODP Cross-Classified model for this loss triangle as a GLM.</t>
  </si>
  <si>
    <t>Describe two plots to look at for model validation.</t>
  </si>
  <si>
    <t>An actuary uses a GLM to run an ODP Mack model and ODP Cross-Classified model on the following</t>
  </si>
  <si>
    <t>five-year loss triangle as of December 31, 2018:</t>
  </si>
  <si>
    <t>Exposure Period</t>
  </si>
  <si>
    <t>The GLM parameter output is below:</t>
  </si>
  <si>
    <t>j</t>
  </si>
  <si>
    <t>GLM Parameter Estimates
for ODP Mack Model</t>
  </si>
  <si>
    <t>GLM Parameter Estimates for
ODP Cross-Classified Model</t>
  </si>
  <si>
    <t>ln(⍺_k)</t>
  </si>
  <si>
    <t>ln(β_k)</t>
  </si>
  <si>
    <t>Calculate the renormalized ODP Cross-Classified parameters.</t>
  </si>
  <si>
    <t>Calculate the loss reserve estimate for both models for exposure period 3 and demonstrate that they</t>
  </si>
  <si>
    <t>produce the same expected reserve as the chain ladder method.</t>
  </si>
  <si>
    <t>A Tweedie Mack model with p = 1.3 is used on a triangle of reported losses as of December 31, 2018.</t>
  </si>
  <si>
    <t>The model produced the following parameter estimates:</t>
  </si>
  <si>
    <r>
      <rPr>
        <i/>
        <sz val="12"/>
        <color theme="1"/>
        <rFont val="Calibri"/>
        <family val="2"/>
      </rPr>
      <t>f</t>
    </r>
    <r>
      <rPr>
        <sz val="12"/>
        <color theme="1"/>
        <rFont val="Calibri"/>
        <family val="2"/>
      </rPr>
      <t xml:space="preserve">(24) = </t>
    </r>
  </si>
  <si>
    <t>Calculate the value of θ that would be used in the EDF distribution for Y(2017, 36).</t>
  </si>
  <si>
    <t>Outline the conditions underlying the Non-Parametric Mack model.</t>
  </si>
  <si>
    <t>Describe the two results derived from the Non-Parametric Mack Model and how they relate to the</t>
  </si>
  <si>
    <t>chain ladder method.</t>
  </si>
  <si>
    <t>Non-Parametric Mack Model assumptions:</t>
  </si>
  <si>
    <t>- E[X(k,j+1) | X(k,j) ] = f(j) * X(k,j)</t>
  </si>
  <si>
    <t>- Var[X(k,j+1) | X(k,j) ] = σ(j)^2 * X(k,j)</t>
  </si>
  <si>
    <t>1 - The conventional chain ladder LDF estimators, f(j), are:</t>
  </si>
  <si>
    <t>2 - The conventional chain ladder reserve estimator, R(k), is unbiased</t>
  </si>
  <si>
    <t>Contrast the EDF Mack model with the original Mack model.</t>
  </si>
  <si>
    <t>Fully describe Taylor’s theorem regarding the EDF Mack model and its implications with respect to</t>
  </si>
  <si>
    <t>the Chain Ladder method.</t>
  </si>
  <si>
    <t xml:space="preserve">In the original Mack model, there is a strict variance assumption: </t>
  </si>
  <si>
    <t>For the EDF Mack model, this isn’t necessary. Instead, we assume incremental losses come from an EDF</t>
  </si>
  <si>
    <t>distribution and the variance is set by the distribution selected:</t>
  </si>
  <si>
    <t>- Y(k,j+1) | X(k,j) ~ EDF( θ(k,j) ,ɸ(k,j) ; a,b,c )</t>
  </si>
  <si>
    <t>For losses in an n x n  triangle with observations subject to the EDF Mack model assumptions:</t>
  </si>
  <si>
    <t>For the same conditions as (b), the cumulative loss estimates, X(k,j), and reserve estimates, R(k), are also MVUEs.</t>
  </si>
  <si>
    <t>Outline the conditions underlying the EDF Cross-Classified model.</t>
  </si>
  <si>
    <t>Fully describe Taylor’s two theorems regarding ODP Cross-Classified models and how they relate to</t>
  </si>
  <si>
    <t>the conventional chain ladder method.</t>
  </si>
  <si>
    <t>- E[Y(k,j)] = ⍺(k) * β(j)</t>
  </si>
  <si>
    <t>- ∑β(j) = 1</t>
  </si>
  <si>
    <t>Theorem 3.2</t>
  </si>
  <si>
    <t>- Y(k,j) is restricted to an ODP distribution</t>
  </si>
  <si>
    <t>- The dispersion parameters are identical for all cells: ɸ(k,j) = ɸ</t>
  </si>
  <si>
    <t>Then the MLE fitted values Y(k,j) are the same as those from the conventional chain ladder method.</t>
  </si>
  <si>
    <t>Theorem 3.3</t>
  </si>
  <si>
    <t>These two theorems parallel Taylor’s theorem about the ODP Mack model and mean that:</t>
  </si>
  <si>
    <t>Given the following standardized Pearson residual plot for an ODP Cross-Classified model of a 10x10 loss triangle:</t>
  </si>
  <si>
    <t>Standard Deviation of Residuals by Age</t>
  </si>
  <si>
    <t>Age</t>
  </si>
  <si>
    <t>Std Dev</t>
  </si>
  <si>
    <t>Evaluate the residuals and describe a problem with the model assumptions for this set of loss data.</t>
  </si>
  <si>
    <t>Demonstrate how you could adjust the model to correct the issue identified in part a.</t>
  </si>
  <si>
    <t>We need to adjust the model to reflect the variation in ɸ over development age. We can do this by using weights in the GLM.
The average standard deviation of the 12 and 24 residuals is 2.6. The average of the standard deviations for ages 36 to 84 is 1.64, so the residuals at age 12 and 24 are about 1.6 times larger. This means the value ɸ for ages 12 and 24 is really ~1.6^2 times larger.
 This means we should set the weights to:</t>
  </si>
  <si>
    <t>- w(i) = 1</t>
  </si>
  <si>
    <t>- w(i) = 1 / 1.6^2</t>
  </si>
  <si>
    <t>for observations of development ages 36+ (normal weight in ODP Cross-Classified)</t>
  </si>
  <si>
    <t>for observations of development ages 12 and 24</t>
  </si>
  <si>
    <t>Incremental Losses</t>
  </si>
  <si>
    <t>AY</t>
  </si>
  <si>
    <t>Alpha</t>
  </si>
  <si>
    <t>Dev Period</t>
  </si>
  <si>
    <t>Beta</t>
  </si>
  <si>
    <t>β = ∑IncLoss(AY,dev) / ∑⍺(AY,dev)</t>
  </si>
  <si>
    <t>⍺ = CumLoss / (1 - ∑β(remaining) )</t>
  </si>
  <si>
    <t>E[ IncLoss(AY,dev) ] = ⍺(AY) * β(dev)</t>
  </si>
  <si>
    <t xml:space="preserve">E[ IncLoss(CY 2019) ] = </t>
  </si>
  <si>
    <t>($000)</t>
  </si>
  <si>
    <t>j or k</t>
  </si>
  <si>
    <t>⍺(k)</t>
  </si>
  <si>
    <t>β(j)</t>
  </si>
  <si>
    <t>Renormalized</t>
  </si>
  <si>
    <t>ODP Mack Model:</t>
  </si>
  <si>
    <t>ODP Cross-Classified:</t>
  </si>
  <si>
    <t>Chain Ladder Method:</t>
  </si>
  <si>
    <t xml:space="preserve">E[Ult(3)] = </t>
  </si>
  <si>
    <t xml:space="preserve">E[Resv(3)] = </t>
  </si>
  <si>
    <t xml:space="preserve">LDF(3-4) = </t>
  </si>
  <si>
    <t xml:space="preserve">LDF(4-5) = </t>
  </si>
  <si>
    <t>For EDF Mack model:</t>
  </si>
  <si>
    <t xml:space="preserve">E[X(2017,36)] = </t>
  </si>
  <si>
    <t xml:space="preserve">E[Y(2017,36)] = </t>
  </si>
  <si>
    <t>The reported loss for accident year 2017 as of 24 months is:</t>
  </si>
  <si>
    <t>Var(Y) = ɸ * μ^p</t>
  </si>
  <si>
    <t xml:space="preserve">Var( Y(2017,36) ) = </t>
  </si>
  <si>
    <t xml:space="preserve">StdDev( Y(2017,36) ) = </t>
  </si>
  <si>
    <t xml:space="preserve"> μ = [(1 - p) * θ] ^ (1 / (1-p) )</t>
  </si>
  <si>
    <t xml:space="preserve"> θ =</t>
  </si>
  <si>
    <t xml:space="preserve"> θ = μ^(1-p) / (1 - p)</t>
  </si>
  <si>
    <t>Rearrange for θ</t>
  </si>
  <si>
    <t>Residual plot of standardized Pearson residuals vs. development age</t>
  </si>
  <si>
    <t>Histogram of standardized deviance residuals</t>
  </si>
  <si>
    <t>Table of f(k,j) - 1</t>
  </si>
  <si>
    <t xml:space="preserve">Y = </t>
  </si>
  <si>
    <t xml:space="preserve">w = </t>
  </si>
  <si>
    <t xml:space="preserve">X = </t>
  </si>
  <si>
    <t xml:space="preserve">β = </t>
  </si>
  <si>
    <t>f(12) - 1</t>
  </si>
  <si>
    <t>f(24) - 1</t>
  </si>
  <si>
    <t>f(36) - 1</t>
  </si>
  <si>
    <r>
      <t>μ = h^-1(</t>
    </r>
    <r>
      <rPr>
        <b/>
        <sz val="12"/>
        <color theme="1"/>
        <rFont val="Calibri"/>
        <family val="2"/>
      </rPr>
      <t>Xβ</t>
    </r>
    <r>
      <rPr>
        <sz val="12"/>
        <color theme="1"/>
        <rFont val="Calibri"/>
        <family val="2"/>
      </rPr>
      <t>)</t>
    </r>
  </si>
  <si>
    <t>h = identity function</t>
  </si>
  <si>
    <t>The output of the GLM will be the best-fit parameter estimates f(j) - 1.</t>
  </si>
  <si>
    <t>f(k,j) - 1 | X(k,j) ~ ODP[ f(j) - 1, ɸ(j) / X(k,j) ]</t>
  </si>
  <si>
    <t>ln( ⍺(2015) )</t>
  </si>
  <si>
    <t>ln( β(12) )</t>
  </si>
  <si>
    <t>ln( ⍺(2016) )</t>
  </si>
  <si>
    <t>ln( ⍺(2017) )</t>
  </si>
  <si>
    <t>ln( ⍺(2018) )</t>
  </si>
  <si>
    <t>ln( β(24) )</t>
  </si>
  <si>
    <t>ln( β(36) )</t>
  </si>
  <si>
    <t>ln( β(48) )</t>
  </si>
  <si>
    <t>μ(k,j) = exp( ln(⍺_k ) + ln( β_j ) )</t>
  </si>
  <si>
    <t>h = log link function</t>
  </si>
  <si>
    <t>Y(k,j) ~ ODP( μ(k,j), ɸ)</t>
  </si>
  <si>
    <t>Discussion</t>
  </si>
  <si>
    <t>Distribution</t>
  </si>
  <si>
    <t>p</t>
  </si>
  <si>
    <t>Normal</t>
  </si>
  <si>
    <t>ODP</t>
  </si>
  <si>
    <t>Gamma</t>
  </si>
  <si>
    <t>θ</t>
  </si>
  <si>
    <t>exp(θ)</t>
  </si>
  <si>
    <t>-1 / θ</t>
  </si>
  <si>
    <t>(-2θ)^(-1/2)</t>
  </si>
  <si>
    <t xml:space="preserve"> μ</t>
  </si>
  <si>
    <t>The key point here is this: Since observations at ages 12 and 24 have larger variances, they should receive less weight in the model than the other observations.
The formula for standardized Pearson residual using an ODP distribution is:</t>
  </si>
  <si>
    <r>
      <t xml:space="preserve">Because of the square root in the denominator, we set the weight to  w(i) = 1 / factor^2. This is the weight that will correct the heteroscedasticity in the residuals.
</t>
    </r>
    <r>
      <rPr>
        <b/>
        <sz val="12"/>
        <color theme="1"/>
        <rFont val="Calibri"/>
        <family val="2"/>
      </rPr>
      <t xml:space="preserve">Notes:  </t>
    </r>
    <r>
      <rPr>
        <sz val="12"/>
        <color theme="1"/>
        <rFont val="Calibri"/>
        <family val="2"/>
      </rPr>
      <t xml:space="preserve">
There are few observations at ages 96+, so we can’t tell too much from the standard deviation of the residuals there. 
Check out section 2.2.5 on pg. 19-20 in Taylor, Outliers and the Use of Weights. This is the section I wrote this problem off of and I think it’s a topic that could be tested.</t>
    </r>
  </si>
  <si>
    <t>For the Taylor paper, I think the three theorems discussed on pages 23-25 are likely to be tested, so I’d make sure to know them and the assumptions/results for the Mack models and Cross-Classified models.</t>
  </si>
  <si>
    <t>SHOW ALL WORK.</t>
  </si>
  <si>
    <t>Solution -&gt;</t>
  </si>
  <si>
    <t>Calculate the expected value and standard deviation of the incremental reported loss for accident</t>
  </si>
  <si>
    <t>year 2017 at 36 months.</t>
  </si>
  <si>
    <t>If it’s also true that the original Mack variance assumption holds, then the MLEs of the f(j) parameters are the conventional chain ladder LDF estimators, f(j) , and these are unbiased estimators.</t>
  </si>
  <si>
    <t>If the model is restricted to the ODP Mack model and if the dispersion parameters are just column dependent, ɸ(k,j) = ɸ(j), then the weighted average chain ladder LDFs, f(j), are minimum variance unbiased estimators (MVUEs)</t>
  </si>
  <si>
    <t>The implication from this theorem is that the conventional chain ladder estimates and forecasts are optimal estimators (MLE and MVUEs). This is a stronger implication than the original Mack model since it shows the conventional chain ladder LDF estimators, f(j) , are minimum variance for all unbiased estimators, not just of the linear combinations of the age-to-age factors.</t>
  </si>
  <si>
    <t>• Residuals should be random around zero (unbiased) and have a similar variance from left to right (homoscedasticity).</t>
  </si>
  <si>
    <t>• Deviance residuals should be normally distributed. This plot can also show outliers that we may want to address.</t>
  </si>
  <si>
    <t>• Assume no loss development after 48 months.</t>
  </si>
  <si>
    <t>• Assume the dispersion parameter is identical for all incremental losses.</t>
  </si>
  <si>
    <t>• Assume no loss development after development period 5.</t>
  </si>
  <si>
    <t>• Accident years are stochastically independent</t>
  </si>
  <si>
    <t>•  For each accident year k, the cumulative losses X(k,j) form a Markov chain</t>
  </si>
  <si>
    <t>• For each accident year k and development period j:</t>
  </si>
  <si>
    <t>• Unbiased</t>
  </si>
  <si>
    <t>• Minimum variance among estimators that are unbiased linear combinations of the triangle’s age-to-age factors, f(k,j)</t>
  </si>
  <si>
    <t>• The random variables Y(k,j) are stochastically independent</t>
  </si>
  <si>
    <t>If the assumptions above hold and the fitted values Y(k,j) and reserve estimates R(k) are corrected for bias, then they are MVUEs of Y(k,j) and R(k).</t>
  </si>
  <si>
    <t>1. Forecasts from the ODP Mack and ODP Cross-Classified models are identical and the same as those from the chain ladder method despite the different formulations.</t>
  </si>
  <si>
    <t>2. We can get forecasts for the ODP Cross-Classified model without considering the model directly and working as if the model was an ODP Mack model.</t>
  </si>
  <si>
    <t>RF Taylor - 1</t>
  </si>
  <si>
    <t>RF Taylor - 2</t>
  </si>
  <si>
    <t>RF Taylor - 3</t>
  </si>
  <si>
    <t>RF Taylor - 4</t>
  </si>
  <si>
    <t>RF Taylor - 5</t>
  </si>
  <si>
    <t>RF Taylor - 6</t>
  </si>
  <si>
    <t>RF Taylor - 7</t>
  </si>
  <si>
    <t>RF Taylor - 8</t>
  </si>
  <si>
    <t>- Y(k,j) ~ EDF( θ(k,j) ,ɸ(k,j) ; a,b,c )</t>
  </si>
  <si>
    <t>Inverse Gaussian</t>
  </si>
  <si>
    <t>For losses in an n x n  triangle with observations subject to the EDF Cross-Classified model assumptions and the following assumptions:</t>
  </si>
  <si>
    <t>Taylor - ODP Cross-Classified Model Parameters</t>
  </si>
  <si>
    <t>Taylor - GLM Representation of Chain Ladder Models</t>
  </si>
  <si>
    <t>Taylor - Re-Normalizing ODP Cross-Classified Parameters</t>
  </si>
  <si>
    <t>Recipe</t>
  </si>
  <si>
    <r>
      <t>f</t>
    </r>
    <r>
      <rPr>
        <vertAlign val="subscript"/>
        <sz val="12"/>
        <color rgb="FF000000"/>
        <rFont val="Calibri"/>
        <family val="2"/>
      </rPr>
      <t>j</t>
    </r>
    <r>
      <rPr>
        <sz val="12"/>
        <color rgb="FF000000"/>
        <rFont val="Calibri"/>
        <family val="2"/>
      </rPr>
      <t xml:space="preserve"> - 1</t>
    </r>
  </si>
  <si>
    <t>Note: These answers vary slightly because of rounding in the ODP Mack / Cross-Classified parameters in the problem.</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</si>
  <si>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</si>
  <si>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</si>
  <si>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</si>
  <si>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</si>
  <si>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</si>
  <si>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</si>
  <si>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</si>
  <si>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</si>
  <si>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</si>
  <si>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Ultimate Losses =</t>
  </si>
  <si>
    <t>Once the parameters have been re-normalized, alpha_1 corresponds to the ultimate losses for the oldest accident year (which is AY 2013 in this case).</t>
  </si>
  <si>
    <t>Part c:</t>
  </si>
  <si>
    <t>Reserves =</t>
  </si>
  <si>
    <t>AY 2015 corresponds to k = 3 (AY 2015)and j = 3 (36 months). The reserves are estimated as alpha_3*beta_4 + alpha_3*beta_5 for the 48mo and 60mo future development.</t>
  </si>
  <si>
    <t>Part b:</t>
  </si>
  <si>
    <t>Total</t>
  </si>
  <si>
    <t>Use the re-normalized parameters to determine the ultimate losses for accident year 2013.</t>
  </si>
  <si>
    <t>beta_j</t>
  </si>
  <si>
    <t>alpha_k</t>
  </si>
  <si>
    <t>Use the re-normalized parameters to estimate the reserves for accident year 2015.</t>
  </si>
  <si>
    <t>Determine re-normalized      and       parameters that underlie the non-GLM version of the ODP cross-classified model.</t>
  </si>
  <si>
    <t>Divide the beta parameters by the sum of the beta parameters to normalize them. Then, multiply the alpha parameters by the sum of the beta parameters to normalize them and ensure all normalizations are offsetting. The normalized parameters are as follows:</t>
  </si>
  <si>
    <t>• There is no development beyond 60 months</t>
  </si>
  <si>
    <r>
      <rPr>
        <i/>
        <sz val="12"/>
        <color theme="1"/>
        <rFont val="Calibri"/>
        <family val="2"/>
        <scheme val="minor"/>
      </rPr>
      <t>j</t>
    </r>
    <r>
      <rPr>
        <sz val="12"/>
        <color theme="1"/>
        <rFont val="Calibri"/>
        <family val="2"/>
        <scheme val="minor"/>
      </rPr>
      <t xml:space="preserve"> or </t>
    </r>
    <r>
      <rPr>
        <i/>
        <sz val="12"/>
        <color theme="1"/>
        <rFont val="Calibri"/>
        <family val="2"/>
        <scheme val="minor"/>
      </rPr>
      <t>k</t>
    </r>
  </si>
  <si>
    <t>Exponentiate the parameters:</t>
  </si>
  <si>
    <t>Part a:</t>
  </si>
  <si>
    <t>Given the following output from an ODP cross-classified GLM as of December 31, 2017, based on 5x5 loss triangle for accident years 2013-2017.</t>
  </si>
  <si>
    <t>RF Taylor - 9</t>
  </si>
  <si>
    <t>Don't worry about non-sensical results for parts d. and e. above. The intent is to test your understanding of the Tweedie distribution.</t>
  </si>
  <si>
    <t>&lt;-phi*(mean)^p</t>
  </si>
  <si>
    <t>Var(Y_2014,60) =</t>
  </si>
  <si>
    <t>A Gamma distribution is a special case of the Tweedie model with p = 2</t>
  </si>
  <si>
    <t>Part e:</t>
  </si>
  <si>
    <t>An ODP distribution is a special case of the Tweedie model with p = 1</t>
  </si>
  <si>
    <r>
      <t xml:space="preserve">Pretend the power </t>
    </r>
    <r>
      <rPr>
        <i/>
        <sz val="12"/>
        <color theme="1"/>
        <rFont val="Calibri"/>
        <family val="2"/>
        <scheme val="minor"/>
      </rPr>
      <t>p</t>
    </r>
    <r>
      <rPr>
        <sz val="12"/>
        <color theme="1"/>
        <rFont val="Calibri"/>
        <family val="2"/>
        <scheme val="minor"/>
      </rPr>
      <t xml:space="preserve"> underlying the Tweedie Mack model above corresponds to a Gamma distribution. Calculate the variance of the incremental paid losses between 48 and 60 months for accident year 2014.</t>
    </r>
  </si>
  <si>
    <t>e.</t>
  </si>
  <si>
    <t>Part d:</t>
  </si>
  <si>
    <r>
      <t xml:space="preserve">Pretend the power </t>
    </r>
    <r>
      <rPr>
        <i/>
        <sz val="12"/>
        <color theme="1"/>
        <rFont val="Calibri"/>
        <family val="2"/>
        <scheme val="minor"/>
      </rPr>
      <t>p</t>
    </r>
    <r>
      <rPr>
        <sz val="12"/>
        <color theme="1"/>
        <rFont val="Calibri"/>
        <family val="2"/>
        <scheme val="minor"/>
      </rPr>
      <t xml:space="preserve"> underlying the Tweedie Mack model above corresponds to an over-dispersed Poisson distribution. Calculate the variance of the incremental paid losses between 48 and 60 months for accident year 2014.</t>
    </r>
  </si>
  <si>
    <t>d.</t>
  </si>
  <si>
    <t>Calculate the variance of the incremental paid losses between 48 and 60 months for accident year 2014.</t>
  </si>
  <si>
    <t>Determine the location parameter for accident year 2014 at 60 months.</t>
  </si>
  <si>
    <t>Thus, mu_2014,60 =</t>
  </si>
  <si>
    <t>Using the data given in the problem, we find that E[X_2014,60] =</t>
  </si>
  <si>
    <t>Briefly describe the Tweedie distribution above in terms of frequency and severity distributions.</t>
  </si>
  <si>
    <t>For a Tweedie Mack model, E(X_2014,60) = f_48*X_2014,48</t>
  </si>
  <si>
    <t>For a Tweedie model, mu_kj = [(1-p)*theta_kj]^(1/(1-p)).</t>
  </si>
  <si>
    <t>•          (from the model) =</t>
  </si>
  <si>
    <t>•         (from the model) =</t>
  </si>
  <si>
    <t>• Cumulative paid losses for accident year 2014 are:</t>
  </si>
  <si>
    <t>When 1 &lt;= p &lt; 2, we have a compound Poisson distribution (i.e. Poisson frequency) with a Gamma severity distribution</t>
  </si>
  <si>
    <r>
      <t xml:space="preserve">A Tweedie Mack model with </t>
    </r>
    <r>
      <rPr>
        <i/>
        <sz val="12"/>
        <color theme="1"/>
        <rFont val="Calibri"/>
        <family val="2"/>
        <scheme val="minor"/>
      </rPr>
      <t>p</t>
    </r>
    <r>
      <rPr>
        <sz val="12"/>
        <color theme="1"/>
        <rFont val="Calibri"/>
        <family val="2"/>
        <scheme val="minor"/>
      </rPr>
      <t xml:space="preserve"> = 1.48 is fit on a triangle of incremental paid losses. Given the following as of December 31, 2017:</t>
    </r>
  </si>
  <si>
    <t>RF Taylor - 10</t>
  </si>
  <si>
    <t>Briefly describe how the residuals in the plot above violate the assumption identified in part a. above.</t>
  </si>
  <si>
    <t>Briefly describe the variance assumption underlying the ODP cross-classified model.</t>
  </si>
  <si>
    <t>60-120</t>
  </si>
  <si>
    <t>48-120</t>
  </si>
  <si>
    <t>12-60</t>
  </si>
  <si>
    <t>12-36</t>
  </si>
  <si>
    <t>Standard Deviation of Pearson Residuals</t>
  </si>
  <si>
    <t>Development Period Range</t>
  </si>
  <si>
    <t>The plot seems to show two homogeneous groupings: development periods 12-36 and development periods 48-120. 
Instead of a constant phi where observations are given equal weight, we can allow unequal variances in a GLM by giving less weight to the observations with larger variances. In this case, that would be the 48-120 group which has a standard deviation that 1.060/0.460 = 2.30 times the size of the 12-36 group. We should set the weights of the observations in the 48-120 group equal to 1/2.30^2</t>
  </si>
  <si>
    <t>In the plot above, there appear to be unequal variances across the development periods. This violates the constant phi assumption.</t>
  </si>
  <si>
    <t>It assumes that Y_kj is restricted to an ODP distribution where the dispersion parameters phi_kj are identical for all cells (phi_kj = phi)</t>
  </si>
  <si>
    <t>An ODP cross-classified GLM is fit to a triangle of incremental paid losses. Given the following plot of standardized Pearson residuals and associated standard deviations:</t>
  </si>
  <si>
    <t>RF Taylor - 11</t>
  </si>
  <si>
    <t>ln(beta_5)</t>
  </si>
  <si>
    <t>ln(beta_4)</t>
  </si>
  <si>
    <t>ln(beta_3)</t>
  </si>
  <si>
    <t>ln(beta_2)</t>
  </si>
  <si>
    <t>ln(beta_1)</t>
  </si>
  <si>
    <t>ln(alpha_5)</t>
  </si>
  <si>
    <t>ln(alpha_4)</t>
  </si>
  <si>
    <t>ln(alpha_3)</t>
  </si>
  <si>
    <t>ln(alpha_2)</t>
  </si>
  <si>
    <t>ln(alpha_1)</t>
  </si>
  <si>
    <t>Y*_5,5</t>
  </si>
  <si>
    <t>Y*_5,4</t>
  </si>
  <si>
    <t>Y*_5,3</t>
  </si>
  <si>
    <t>Y*_5,2</t>
  </si>
  <si>
    <t>Y*_4,5</t>
  </si>
  <si>
    <t>Y*_4,4</t>
  </si>
  <si>
    <t>Y*_4,3</t>
  </si>
  <si>
    <t>Y*_3,5</t>
  </si>
  <si>
    <t>Y*_3,4</t>
  </si>
  <si>
    <t>Y*_2,5</t>
  </si>
  <si>
    <t>X*</t>
  </si>
  <si>
    <t>Y*</t>
  </si>
  <si>
    <t>where mu = h^-1(X*Beta) and the weights are all equal to 1. Since h is the log link function, mu = exp(X*Beta) and mu_i,j = exp(ln(alpha_i) + ln(beta_j))</t>
  </si>
  <si>
    <t>X</t>
  </si>
  <si>
    <t>Y</t>
  </si>
  <si>
    <t>The required matrices are as follows:</t>
  </si>
  <si>
    <t>The incremental paid losses are as follows:</t>
  </si>
  <si>
    <t>Under the ODP cross-classified model, we have Y_kj ~ ODP(alpha_k*beta_j,phi)</t>
  </si>
  <si>
    <t>where mu = h^-1(X*Beta) and W is the weight matrix. For this model, h is the identity function. Thus, mu = X*Beta</t>
  </si>
  <si>
    <t>f_4 - 1</t>
  </si>
  <si>
    <t>f_3 - 1</t>
  </si>
  <si>
    <t>f_2 - 1</t>
  </si>
  <si>
    <t>f_1 - 1</t>
  </si>
  <si>
    <t>W</t>
  </si>
  <si>
    <t>Create the     , forecast design and     matrices for the triangle above based on the ODP cross-classified GLM.</t>
  </si>
  <si>
    <t>Fully specify the ODP cross-classified GLM for the triangle above using matrix notation.</t>
  </si>
  <si>
    <t>Fully specify the ODP Mack GLM for the triangle above using matrix notation.</t>
  </si>
  <si>
    <t>48-60</t>
  </si>
  <si>
    <t>36-48</t>
  </si>
  <si>
    <t>24-36</t>
  </si>
  <si>
    <t>12-24</t>
  </si>
  <si>
    <t>The loss development factors are as follows:</t>
  </si>
  <si>
    <t>60 mo.</t>
  </si>
  <si>
    <t>48 mo.</t>
  </si>
  <si>
    <t>36 mo.</t>
  </si>
  <si>
    <t>24 mo.</t>
  </si>
  <si>
    <t>12 mo.</t>
  </si>
  <si>
    <t>Under the ODP Mack model, we have f_kj = 1 | X_kj ~ ODP(f_j - 1, phi_j/X_kj)</t>
  </si>
  <si>
    <t>Cumulative Paid Losses ($000)</t>
  </si>
  <si>
    <t>Given the following cumulative paid losses for an insurer as of December 31, 2017:</t>
  </si>
  <si>
    <t>RF Taylor - 12</t>
  </si>
  <si>
    <t>Give zero weights to all observations prior to the m most recent experience years</t>
  </si>
  <si>
    <t>Question #9</t>
  </si>
  <si>
    <t>Forecasts can be obtained from the ODP cross-classified model without any explicit consideration of its parameters by working as if the model were the ODP Mack model</t>
  </si>
  <si>
    <t>They state that the forecasts from the ODP Mack and ODP cross-classified models are identical and the same as those from the conventional chain-ladder method despite the different formulations</t>
  </si>
  <si>
    <t>Theorem 3.3 - In general, the MLEs Y_kj will not be unbiased. However, if we assume that the ODP cross-classified model assumptions apply AND that the fitted values and forecasts Y_kj and R_k are corrected for basis, then they are MVUEs of Y_kj and R_k</t>
  </si>
  <si>
    <t>The assumptions underlying Theorem 3.2 result in MLE fitted values and forecasts Y_kj that are the same as those given by the conventional chain-ladder method</t>
  </si>
  <si>
    <t>2) The dispersion parameters phi_kj are identical for all cells (phi_kj = phi)</t>
  </si>
  <si>
    <t>1) Y_kj is restricted to an ODP distribution</t>
  </si>
  <si>
    <t>Theorem 3.2 - Given the assumptions from the EDF cross-classified model above, as well as the following ODP cross-classified model assumptions:</t>
  </si>
  <si>
    <t>sum(beta_j) = 1</t>
  </si>
  <si>
    <t>E(Y_kj) = alpha_k*beta_j for alpha_k, beta_j &gt; 0</t>
  </si>
  <si>
    <t>Y_kj ~ EDF(theta_kj, phi_kj; a, b, c)</t>
  </si>
  <si>
    <t>2) For each k = 1, 2, …K and j = 1, 2, …,J,</t>
  </si>
  <si>
    <t>1) The random variables Y_kj are stochastically independent</t>
  </si>
  <si>
    <t>The assumptions of the EDF cross-classified model are as follows:</t>
  </si>
  <si>
    <t>Question #8</t>
  </si>
  <si>
    <t>3) The MVUE result in number 2 is much stronger than the Mack model results because the estimators here are the minimum variance estimators out of ALL unbiased estimators, not just out of the linear combinations of the f_kj</t>
  </si>
  <si>
    <t>2) If we are in the special case of the ODP Mack model AND the dispersion parameters phi_kj are just column dependent (phi_kj = phi_j), then the conventional chain-ladder estimators are minimum variance unbiased estimators (MVUEs). In addition, the cumulative loss estimates X_kj and the reserve estimators R_k are also MVUEs</t>
  </si>
  <si>
    <t>1) If the original Mack model variance assumptions holds (that Var(X_k,j+1|X_kj) = sigma_2_jX_kj), then the MLEs of the f_i are the conventional chain-ladder estimators (which are unbiased)</t>
  </si>
  <si>
    <t>The EDF Mack model results in the following assuming the data array is a triangle:</t>
  </si>
  <si>
    <t>The variance assumption of the non-parametric Mack model is replaced with the condition that Y_k,j+1 | X_kj ~ EDF(theta_kj, phi_kj; a, b, c)</t>
  </si>
  <si>
    <t>2) The conventional chain-ladder estimator R_k is unbiased</t>
  </si>
  <si>
    <t>1) The conventional chain-ladder estimators f_kj are unbiased and minimum variance estimators among estimators that are unbiased linear combinations of the f_kj</t>
  </si>
  <si>
    <t>4) For each k = 1, 2, …, K and j = 1, 2, …, J-1, Var(X_k,j+1 | X_kj) = sigma^2_jX_kj for some parameter sigma_j &gt; 0</t>
  </si>
  <si>
    <t>parameter f_j &gt; 0</t>
  </si>
  <si>
    <t>3) For each k = 1, 2, …, K and j = 1, 2, …, J-1, E(X_k,j+1 | X_kj) = f_jX_kj for some</t>
  </si>
  <si>
    <t>2) For each k = 1, 2, … K, the X_kj form a Markov chain</t>
  </si>
  <si>
    <t>1) Accident years are stochastically independent</t>
  </si>
  <si>
    <t>The conditions are as follows:</t>
  </si>
  <si>
    <t>Question #7</t>
  </si>
  <si>
    <t>Briefly describe two reasons why Theorems 3.2 and 3.3 are more remarkable than Theorem 3.1</t>
  </si>
  <si>
    <t>If removed from the model, the cost of the catastrophe needs to be captured somewhere else. Otherwise, the model fails to recognize the possible impact of such an event</t>
  </si>
  <si>
    <t>Fully describe Theorems 3.2 and 3.3 regarding the EDF cross-classified model.</t>
  </si>
  <si>
    <t>Give the outliers zero weight in the GLM</t>
  </si>
  <si>
    <t>Briefly describe the assumptions underlying the EDF cross-classified model.</t>
  </si>
  <si>
    <t>Plot of standardized Pearson residuals</t>
  </si>
  <si>
    <t>Fully describe Theorem 3.1 regarding the EDF Mack model.</t>
  </si>
  <si>
    <t>Question #6</t>
  </si>
  <si>
    <t>Briefly describe how the EDF Mack model differs from the non-parametric Mack model.</t>
  </si>
  <si>
    <t>The scale parameter can be calculated as phi = D*(Y, Y hat)/(n-p), where n is the number of observations and p is the number of parameters</t>
  </si>
  <si>
    <t>Briefly describe the two results of the non-parametric Mack model.</t>
  </si>
  <si>
    <t>Briefly describe the assumptions underlying the non-parametric Mack model.</t>
  </si>
  <si>
    <t>Use the deviance D*(Y,Y hat). This measures the difference between a saturated model (a model with a parameter for every observation) and the actual model. When this difference is small, the fitted values are close to the actual values. Thus, we want to determine parameters that minimize the unscaled deviance</t>
  </si>
  <si>
    <t>An actuary removes an outlier from a GLM caused by a major catastrophe. Briefly describe the danger in removing this outlier if no other action occurs.</t>
  </si>
  <si>
    <t>Question #5</t>
  </si>
  <si>
    <t>Briefly describe how to adjust a GLM to remove the influence of outliers.</t>
  </si>
  <si>
    <t>4) Selection of a link function, controlling the relationship between the mean mu_i and the associated covariates</t>
  </si>
  <si>
    <t>3) Selection of the covariates (i.e. the variables that explain mu_i)</t>
  </si>
  <si>
    <t>Identify a plot that can be used to determine outliers.</t>
  </si>
  <si>
    <t>2) Selection of an index p, controlling the relationship between the model's mean and variance</t>
  </si>
  <si>
    <t>1) Selection of a cumulant function, controlling the model's assumed error distribution</t>
  </si>
  <si>
    <t>The selection of a GLM consists of the following four components:</t>
  </si>
  <si>
    <t>Explain how deviance can be used to determine a GLM's scale parameter.</t>
  </si>
  <si>
    <t>Question #4</t>
  </si>
  <si>
    <t>Fully describe a goodness-of-fit measure used to assess GLMs.</t>
  </si>
  <si>
    <t>A weighted linear regression model is a GLM with the identity link function and normally distributed errors whose variances vary from observation to observation</t>
  </si>
  <si>
    <t>Question #3</t>
  </si>
  <si>
    <t>The selection of a GLM consists of four components. Identify those components.</t>
  </si>
  <si>
    <t>Use p = 1. This corresponds to an ODP distribution which is useful when little is known of the subject distribution</t>
  </si>
  <si>
    <t>Describe the connection between a GLM and a weighted linear regression model.</t>
  </si>
  <si>
    <r>
      <rPr>
        <b/>
        <sz val="12"/>
        <color theme="1"/>
        <rFont val="Calibri"/>
        <family val="2"/>
        <scheme val="minor"/>
      </rPr>
      <t xml:space="preserve">Note: </t>
    </r>
    <r>
      <rPr>
        <i/>
        <sz val="12"/>
        <color theme="1"/>
        <rFont val="Calibri"/>
        <family val="2"/>
        <scheme val="minor"/>
      </rPr>
      <t>'See pages 10 - 11 of the source where this is discussed. It is related to the fact that tail heaviness increases as p increases. Since Var(Y) = scale*mu^p, then an increasing p should lead to a higher variance.</t>
    </r>
  </si>
  <si>
    <t>An increase in p is warranted</t>
  </si>
  <si>
    <t>Question #2</t>
  </si>
  <si>
    <t>A Tweedie Mack model is fit to loss data and produces more widely dispersed residuals than expected. Identify whether an increase or decrease in the power p underlying the model is warranted.</t>
  </si>
  <si>
    <t>exp(c(y,phi)) is a normalizing factor, which produces unit total mass for the distribution</t>
  </si>
  <si>
    <t>b(theta) is the cumulant function, which determines the shape of the distribution</t>
  </si>
  <si>
    <t>phi is a dispersion parameter called the scale parameter</t>
  </si>
  <si>
    <t>theta is a location parameter called the canonical parameter</t>
  </si>
  <si>
    <r>
      <t>Briefly describe 𝜃, 𝜙 , 𝑏(𝜃) and 𝑒</t>
    </r>
    <r>
      <rPr>
        <vertAlign val="superscript"/>
        <sz val="12"/>
        <color rgb="FF000000"/>
        <rFont val="Calibri (Body)"/>
      </rPr>
      <t>𝑐(𝑦,𝜙)</t>
    </r>
    <r>
      <rPr>
        <sz val="12"/>
        <color rgb="FF000000"/>
        <rFont val="Calibri"/>
        <family val="2"/>
        <scheme val="minor"/>
      </rPr>
      <t xml:space="preserve"> in terms of a distribution from the exponential dispersion family.</t>
    </r>
  </si>
  <si>
    <t>Question #1</t>
  </si>
  <si>
    <t>Solutions -&gt;</t>
  </si>
  <si>
    <t>RF Taylor - Essay Problems</t>
  </si>
  <si>
    <t>Calculate the accident year 2018 ultimate loss.</t>
  </si>
  <si>
    <t>0.75 point</t>
  </si>
  <si>
    <r>
      <t xml:space="preserve">•   ln </t>
    </r>
    <r>
      <rPr>
        <sz val="12"/>
        <color theme="1"/>
        <rFont val="Calibri"/>
        <family val="2"/>
      </rPr>
      <t>π(y; 𝜃, 𝜙)</t>
    </r>
    <r>
      <rPr>
        <sz val="12"/>
        <color theme="1"/>
        <rFont val="Calibri"/>
        <family val="2"/>
        <scheme val="minor"/>
      </rPr>
      <t xml:space="preserve"> = [y ln(μ) - μ] /𝜙</t>
    </r>
  </si>
  <si>
    <t>•   μ = exp (𝜃)</t>
  </si>
  <si>
    <r>
      <t>•   b (</t>
    </r>
    <r>
      <rPr>
        <sz val="12"/>
        <color theme="1"/>
        <rFont val="Calibri"/>
        <family val="2"/>
      </rPr>
      <t>𝜃</t>
    </r>
    <r>
      <rPr>
        <sz val="12"/>
        <color theme="1"/>
        <rFont val="Calibri"/>
        <family val="2"/>
        <scheme val="minor"/>
      </rPr>
      <t>) = exp(𝜃)</t>
    </r>
  </si>
  <si>
    <t>•   p = 1</t>
  </si>
  <si>
    <t>a Tweedie error distribution specified by:</t>
  </si>
  <si>
    <t>A GLM is used to model the incremental paid losses. The GLM uses a log link function and</t>
  </si>
  <si>
    <t>AY 2018 Ult Loss</t>
  </si>
  <si>
    <t>⇽ AY 2018</t>
  </si>
  <si>
    <t>alpha_3</t>
  </si>
  <si>
    <t>beta_2</t>
  </si>
  <si>
    <t>Year</t>
  </si>
  <si>
    <t>⇽ AY 2017</t>
  </si>
  <si>
    <t>alpha_2</t>
  </si>
  <si>
    <t>as of (months)</t>
  </si>
  <si>
    <t xml:space="preserve">Accident </t>
  </si>
  <si>
    <t>beta_3</t>
  </si>
  <si>
    <t>Cumulative Paid Loss ($000)</t>
  </si>
  <si>
    <t>⇽ AY 2016</t>
  </si>
  <si>
    <t>alpha_1</t>
  </si>
  <si>
    <t>Given the following information as of December 31, 2018:</t>
  </si>
  <si>
    <t>beta_j = sum(Y_k,j)/sum(alpha_k); see formulas below for specific values being summed</t>
  </si>
  <si>
    <t>alpha_k = X_k,j/(1-sum(beta)); see formulas below for specific values being summed</t>
  </si>
  <si>
    <t>Briefly describe how to select a Tweedie distribution for a heavy-tailed exposure.</t>
  </si>
  <si>
    <t>0.25 point</t>
  </si>
  <si>
    <t>This particular specification is an over-dispersed Poisson (p = 1)</t>
  </si>
  <si>
    <t>Explain how the Tweedie sub-family can be obtained from the EDF above.</t>
  </si>
  <si>
    <t>0.5 point</t>
  </si>
  <si>
    <t>Part d.</t>
  </si>
  <si>
    <r>
      <t>Briefly describe the parameter 0 and the function b (</t>
    </r>
    <r>
      <rPr>
        <sz val="12"/>
        <color theme="1"/>
        <rFont val="Calibri"/>
        <family val="2"/>
      </rPr>
      <t>θ</t>
    </r>
    <r>
      <rPr>
        <sz val="12"/>
        <color theme="1"/>
        <rFont val="Calibri"/>
        <family val="2"/>
        <scheme val="minor"/>
      </rPr>
      <t>) in the equation above.</t>
    </r>
  </si>
  <si>
    <t>Select a larger value for p</t>
  </si>
  <si>
    <t>Part c.</t>
  </si>
  <si>
    <t>and variance function of the form:</t>
  </si>
  <si>
    <t>The Tweedie sub-family can be obtained by setting the variance function equal to V(mu) = mu^p, where p &lt;= 0 or p &gt;= 1</t>
  </si>
  <si>
    <t>Part b.</t>
  </si>
  <si>
    <t>• b(theta) is the cumulant function, which determines the shape of the distribution</t>
  </si>
  <si>
    <r>
      <t xml:space="preserve">density function </t>
    </r>
    <r>
      <rPr>
        <sz val="12"/>
        <color theme="1"/>
        <rFont val="Calibri"/>
        <family val="2"/>
      </rPr>
      <t>π</t>
    </r>
    <r>
      <rPr>
        <sz val="12"/>
        <color theme="1"/>
        <rFont val="Calibri"/>
        <family val="2"/>
        <scheme val="minor"/>
      </rPr>
      <t xml:space="preserve">(y; </t>
    </r>
    <r>
      <rPr>
        <sz val="12"/>
        <color theme="1"/>
        <rFont val="Calibri"/>
        <family val="2"/>
      </rPr>
      <t>𝜃, 𝜙</t>
    </r>
    <r>
      <rPr>
        <sz val="12"/>
        <color theme="1"/>
        <rFont val="Calibri"/>
        <family val="2"/>
        <scheme val="minor"/>
      </rPr>
      <t>) of the form:</t>
    </r>
  </si>
  <si>
    <t>• Theta is a location parameter called the canonical parameter</t>
  </si>
  <si>
    <t>The Exponential Dispersion Family ("EDF") is a family of distributions with probability</t>
  </si>
  <si>
    <t>Part a.</t>
  </si>
  <si>
    <t>Points:</t>
  </si>
  <si>
    <t>Q #12</t>
  </si>
  <si>
    <t>Exam 7</t>
  </si>
  <si>
    <t>Spring 2019</t>
  </si>
  <si>
    <t>Source:</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</si>
  <si>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</si>
  <si>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RF Taylor - 13</t>
  </si>
  <si>
    <t>An ODP cross-classified model is fit to the following incremental paid losses as of December 31, 2017:</t>
  </si>
  <si>
    <t>Incremental Paid Losses ($000)</t>
  </si>
  <si>
    <t>•</t>
  </si>
  <si>
    <t>• The contribution of the accident year 2016 incremental paid loss between 0 and 12 months to the</t>
  </si>
  <si>
    <t>total deviance is:</t>
  </si>
  <si>
    <t>Model Fitted Loss =</t>
  </si>
  <si>
    <t>&lt;-- alpha_2017*beta_24*1000</t>
  </si>
  <si>
    <t>Determine the full set of ⍺k and 𝛽j parameters underlying the ODP cross-classified model.</t>
  </si>
  <si>
    <t>Variance =</t>
  </si>
  <si>
    <t>&lt;-- phi*Mean</t>
  </si>
  <si>
    <t>CV =</t>
  </si>
  <si>
    <t>Calculate the coefficient of variation of incremental paid losses between 12 and 24 months for accident year 2017.</t>
  </si>
  <si>
    <t>Calculate the standardized Pearson residual for the incremental paid losses between 0 and 12 months for accident year 2016.</t>
  </si>
  <si>
    <t>Fitted Value =</t>
  </si>
  <si>
    <t>&lt;-- alpha_2016*beta_12*1000</t>
  </si>
  <si>
    <t>Actual Value =</t>
  </si>
  <si>
    <t>Residual =</t>
  </si>
  <si>
    <t>&lt;-- Raw Residual/(Std. Dev.)</t>
  </si>
  <si>
    <t>Calculate the standardized deviance residual for the incremental paid losses between 0 and 12 months for accident year 2016.</t>
  </si>
  <si>
    <t>&lt;-sgn(Raw Residual)*(d/Phi)^0.5, where sgn is either +1 or -1 depending on the sign of the raw residual</t>
  </si>
  <si>
    <t>Describe the shapes of the following for a large, non-normal loss dataset:</t>
  </si>
  <si>
    <t>• Histogram of standardized Pearson residuals</t>
  </si>
  <si>
    <t>• Histogram of standardized deviance residuals</t>
  </si>
  <si>
    <t>Standardized Pearson residuals retain any non-normality present in the data. Since we are told that the loss dataset is non-Normal, I expect the Standardized Pearson residuals to be skewed to the right (as is typical for loss data). I expect the Standardized deviance residuals to be approximately normal (this is one of the advantages of the standardized deviance residuals over the standardized Pearson residuals)</t>
  </si>
  <si>
    <t>Using the standard deviations above, propose an adjustment to the variance assumption to correct the issue identified in part b. above.</t>
  </si>
  <si>
    <t>Pg. 20 in the Taylor paper discusses how weights can be used to correct for heteroscedasticity:
"Thus, in general, if a residual plot displays heteroscedasticity, one adjusts weights roughly in inverse proportion with variance of the residuals. A specific example of the use of weights in this way is given in Section 6.6 (see particularly Figure 6-15, Figure 6-17 and associated text)."</t>
  </si>
  <si>
    <t xml:space="preserve">ɸ(24) = </t>
  </si>
  <si>
    <t>Now, solve for theta_2014,48:</t>
  </si>
  <si>
    <t>theta_2014,48 =</t>
  </si>
  <si>
    <t>The residuals do appear to be random around zero for each development period, since there are no development periods that have predominantly positive or negative residuals. Therefore, the model doesn’t appear biased high or low. 
The standardized Pearson residual plot shows that there is greater variance of residuals at ages 12 and 24 than for more mature development periods. This suggests there is heteroscedasticity.
For an ODP Cross-Classified model, we assume ɸ is constant for all cells. This is not the case here because of the heteroscedasticity.</t>
  </si>
  <si>
    <t>Generalized Tweedie</t>
  </si>
  <si>
    <t>Over-Dispersed Poisson (p = 1)</t>
  </si>
  <si>
    <t>For the exam, make sure you know the following formulas for common forms of the Tweedie and ODP sub-families of the EDF distribution:</t>
  </si>
  <si>
    <t>The Non-Parametric Mack model is the same as the Mack model from the Mack - Chain Ladder paper, so the assumptions here are just rewordings of the three Mack assumptions.
This model is stochastic since it reflects the variance of observations and doesn’t just calculate the expected values like the chain ladder method does. Non-parametric means that we don’t define a distribution (e.g. EDF) that the observations are from.</t>
  </si>
  <si>
    <t>An actuary wants to fit a Tweedie Mack model to loss data. The actuary has no insight into the shape of the loss distribution. Suggest a power of p for the Tweedie Mack model and and explain why that power is reasonable.</t>
  </si>
  <si>
    <r>
      <t xml:space="preserve">An actuary is using a GLM to model the chain-ladder method stochastically. The actuary only wants to use the most recent </t>
    </r>
    <r>
      <rPr>
        <i/>
        <sz val="12"/>
        <color theme="1"/>
        <rFont val="Calibri"/>
        <family val="2"/>
        <scheme val="minor"/>
      </rPr>
      <t>m</t>
    </r>
    <r>
      <rPr>
        <sz val="12"/>
        <color theme="1"/>
        <rFont val="Calibri"/>
        <family val="2"/>
        <scheme val="minor"/>
      </rPr>
      <t xml:space="preserve"> experience years in the model. Briefly describe an adjustment to the GLM to meet this requirement.</t>
    </r>
  </si>
  <si>
    <t>Solution &gt;</t>
  </si>
  <si>
    <t>Source</t>
  </si>
  <si>
    <t>Answer:</t>
  </si>
  <si>
    <t>Taylor – Delta Method for Reserve Prediction Error</t>
  </si>
  <si>
    <t>Estimate</t>
  </si>
  <si>
    <t xml:space="preserve">• Scale Parameter   φ̂ = </t>
  </si>
  <si>
    <t>Accident</t>
  </si>
  <si>
    <t>Forecast</t>
  </si>
  <si>
    <t>Year (k)</t>
  </si>
  <si>
    <r>
      <t>R</t>
    </r>
    <r>
      <rPr>
        <vertAlign val="superscript"/>
        <sz val="12"/>
        <color theme="1"/>
        <rFont val="Calibri"/>
        <family val="2"/>
      </rPr>
      <t>hat</t>
    </r>
    <r>
      <rPr>
        <vertAlign val="subscript"/>
        <sz val="12"/>
        <color theme="1"/>
        <rFont val="Calibri"/>
        <family val="2"/>
      </rPr>
      <t>k</t>
    </r>
  </si>
  <si>
    <t>Taylor – Semi-Parametric Bootstrap Method</t>
  </si>
  <si>
    <r>
      <t>Incremental Paid Loss Y</t>
    </r>
    <r>
      <rPr>
        <vertAlign val="subscript"/>
        <sz val="12"/>
        <color theme="1"/>
        <rFont val="Calibri"/>
        <family val="2"/>
      </rPr>
      <t>k,j</t>
    </r>
  </si>
  <si>
    <t>The parameters from the ODP cross-classified GLM model are below:</t>
  </si>
  <si>
    <t>ln ⍺̂ₖ</t>
  </si>
  <si>
    <t xml:space="preserve"> </t>
  </si>
  <si>
    <r>
      <t>Fitted Incremental Loss - E[Y</t>
    </r>
    <r>
      <rPr>
        <vertAlign val="subscript"/>
        <sz val="12"/>
        <color theme="1"/>
        <rFont val="Calibri"/>
        <family val="2"/>
      </rPr>
      <t>k,j</t>
    </r>
    <r>
      <rPr>
        <sz val="12"/>
        <color theme="1"/>
        <rFont val="Calibri"/>
        <family val="2"/>
      </rPr>
      <t>]</t>
    </r>
  </si>
  <si>
    <r>
      <t>Standardized Pearson Residuals - S</t>
    </r>
    <r>
      <rPr>
        <vertAlign val="subscript"/>
        <sz val="12"/>
        <color theme="1"/>
        <rFont val="Calibri"/>
        <family val="2"/>
      </rPr>
      <t>k,j</t>
    </r>
  </si>
  <si>
    <t>In Excel</t>
  </si>
  <si>
    <t>Sampled Residual = VLOOKUP( Sample Position, Residuals Array,2,FALSE)</t>
  </si>
  <si>
    <r>
      <t>Pseudo-Data Set (𝑌</t>
    </r>
    <r>
      <rPr>
        <vertAlign val="subscript"/>
        <sz val="12"/>
        <color theme="1"/>
        <rFont val="Calibri"/>
        <family val="2"/>
      </rPr>
      <t>i</t>
    </r>
    <r>
      <rPr>
        <vertAlign val="superscript"/>
        <sz val="12"/>
        <color theme="1"/>
        <rFont val="Calibri"/>
        <family val="2"/>
      </rPr>
      <t>pseudo</t>
    </r>
    <r>
      <rPr>
        <sz val="12"/>
        <color theme="1"/>
        <rFont val="Calibri"/>
        <family val="2"/>
      </rPr>
      <t>) &amp; Pseudo-Forecast (E[𝑌</t>
    </r>
    <r>
      <rPr>
        <vertAlign val="subscript"/>
        <sz val="12"/>
        <color theme="1"/>
        <rFont val="Calibri"/>
        <family val="2"/>
      </rPr>
      <t>i</t>
    </r>
    <r>
      <rPr>
        <vertAlign val="superscript"/>
        <sz val="12"/>
        <color theme="1"/>
        <rFont val="Calibri"/>
        <family val="2"/>
      </rPr>
      <t>pseudo</t>
    </r>
    <r>
      <rPr>
        <sz val="12"/>
        <color theme="1"/>
        <rFont val="Calibri"/>
        <family val="2"/>
      </rPr>
      <t>])</t>
    </r>
  </si>
  <si>
    <t>Position</t>
  </si>
  <si>
    <t>Residual (S)</t>
  </si>
  <si>
    <t>1 - 2</t>
  </si>
  <si>
    <t>2 - 3</t>
  </si>
  <si>
    <t>3 - 4</t>
  </si>
  <si>
    <t>LDF</t>
  </si>
  <si>
    <r>
      <t>Projected Losses with Process Error (Y</t>
    </r>
    <r>
      <rPr>
        <vertAlign val="superscript"/>
        <sz val="12"/>
        <color theme="1"/>
        <rFont val="Calibri"/>
        <family val="2"/>
      </rPr>
      <t>proc</t>
    </r>
    <r>
      <rPr>
        <vertAlign val="subscript"/>
        <sz val="12"/>
        <color theme="1"/>
        <rFont val="Calibri"/>
        <family val="2"/>
      </rPr>
      <t>i</t>
    </r>
    <r>
      <rPr>
        <sz val="12"/>
        <color theme="1"/>
        <rFont val="Calibri"/>
        <family val="2"/>
      </rPr>
      <t>)</t>
    </r>
  </si>
  <si>
    <t>ln β̂ⱼ</t>
  </si>
  <si>
    <t>GLM Parameter Estimates</t>
  </si>
  <si>
    <t xml:space="preserve">An Over-Dispersed Poisson (ODP) cross-classified model was fit onto a 4x4 paid loss triangle. Below are the GLM parameter estimates: </t>
  </si>
  <si>
    <t xml:space="preserve">• Parameter Variance = </t>
  </si>
  <si>
    <t>• There is no loss development after period 4</t>
  </si>
  <si>
    <r>
      <t xml:space="preserve">Calculate the expected </t>
    </r>
    <r>
      <rPr>
        <i/>
        <u/>
        <sz val="12"/>
        <color theme="1"/>
        <rFont val="Calibri"/>
        <family val="2"/>
      </rPr>
      <t>future</t>
    </r>
    <r>
      <rPr>
        <sz val="12"/>
        <color theme="1"/>
        <rFont val="Calibri"/>
        <family val="2"/>
      </rPr>
      <t xml:space="preserve"> incremental losses using the ⍺</t>
    </r>
    <r>
      <rPr>
        <vertAlign val="subscript"/>
        <sz val="12"/>
        <color theme="1"/>
        <rFont val="Calibri"/>
        <family val="2"/>
      </rPr>
      <t>AY</t>
    </r>
    <r>
      <rPr>
        <sz val="12"/>
        <color theme="1"/>
        <rFont val="Calibri"/>
        <family val="2"/>
      </rPr>
      <t xml:space="preserve"> and β</t>
    </r>
    <r>
      <rPr>
        <vertAlign val="subscript"/>
        <sz val="12"/>
        <color theme="1"/>
        <rFont val="Calibri"/>
        <family val="2"/>
      </rPr>
      <t>dev</t>
    </r>
    <r>
      <rPr>
        <sz val="12"/>
        <color theme="1"/>
        <rFont val="Calibri"/>
        <family val="2"/>
      </rPr>
      <t xml:space="preserve"> parameters to calculate the forecasted outstanding loss, R</t>
    </r>
    <r>
      <rPr>
        <vertAlign val="superscript"/>
        <sz val="12"/>
        <color theme="1"/>
        <rFont val="Calibri"/>
        <family val="2"/>
      </rPr>
      <t>hat</t>
    </r>
    <r>
      <rPr>
        <vertAlign val="subscript"/>
        <sz val="12"/>
        <color theme="1"/>
        <rFont val="Calibri"/>
        <family val="2"/>
      </rPr>
      <t>k</t>
    </r>
    <r>
      <rPr>
        <sz val="12"/>
        <color theme="1"/>
        <rFont val="Calibri"/>
        <family val="2"/>
      </rPr>
      <t>:</t>
    </r>
  </si>
  <si>
    <t>for the forecast reserve</t>
  </si>
  <si>
    <r>
      <t>Process Error (Var</t>
    </r>
    <r>
      <rPr>
        <vertAlign val="subscript"/>
        <sz val="12"/>
        <color theme="1"/>
        <rFont val="Calibri"/>
        <family val="2"/>
      </rPr>
      <t>proc</t>
    </r>
    <r>
      <rPr>
        <sz val="12"/>
        <color theme="1"/>
        <rFont val="Calibri"/>
        <family val="2"/>
      </rPr>
      <t>(R</t>
    </r>
    <r>
      <rPr>
        <vertAlign val="superscript"/>
        <sz val="12"/>
        <color theme="1"/>
        <rFont val="Calibri"/>
        <family val="2"/>
      </rPr>
      <t>hat</t>
    </r>
    <r>
      <rPr>
        <vertAlign val="subscript"/>
        <sz val="12"/>
        <color theme="1"/>
        <rFont val="Calibri"/>
        <family val="2"/>
      </rPr>
      <t>k</t>
    </r>
    <r>
      <rPr>
        <sz val="12"/>
        <color theme="1"/>
        <rFont val="Calibri"/>
        <family val="2"/>
      </rPr>
      <t>)) =</t>
    </r>
  </si>
  <si>
    <r>
      <t>Parameter Error (Var</t>
    </r>
    <r>
      <rPr>
        <vertAlign val="subscript"/>
        <sz val="12"/>
        <color theme="1"/>
        <rFont val="Calibri"/>
        <family val="2"/>
      </rPr>
      <t>param</t>
    </r>
    <r>
      <rPr>
        <sz val="12"/>
        <color theme="1"/>
        <rFont val="Calibri"/>
        <family val="2"/>
      </rPr>
      <t>(R</t>
    </r>
    <r>
      <rPr>
        <vertAlign val="superscript"/>
        <sz val="12"/>
        <color theme="1"/>
        <rFont val="Calibri"/>
        <family val="2"/>
      </rPr>
      <t>hat</t>
    </r>
    <r>
      <rPr>
        <vertAlign val="subscript"/>
        <sz val="12"/>
        <color theme="1"/>
        <rFont val="Calibri"/>
        <family val="2"/>
      </rPr>
      <t>k</t>
    </r>
    <r>
      <rPr>
        <sz val="12"/>
        <color theme="1"/>
        <rFont val="Calibri"/>
        <family val="2"/>
      </rPr>
      <t>)) =</t>
    </r>
  </si>
  <si>
    <t>Total Prediction Error (MSEP) =</t>
  </si>
  <si>
    <r>
      <t>Forecast outstanding Loss (R</t>
    </r>
    <r>
      <rPr>
        <vertAlign val="superscript"/>
        <sz val="12"/>
        <color theme="1"/>
        <rFont val="Calibri"/>
        <family val="2"/>
      </rPr>
      <t>hat</t>
    </r>
    <r>
      <rPr>
        <vertAlign val="subscript"/>
        <sz val="12"/>
        <color theme="1"/>
        <rFont val="Calibri"/>
        <family val="2"/>
      </rPr>
      <t xml:space="preserve">k) = </t>
    </r>
  </si>
  <si>
    <t>Calculate the process error using the scale parameter. The parameter error is given:</t>
  </si>
  <si>
    <t>Fully discuss how the ODP cross-classified model relates to the chain ladder model.</t>
  </si>
  <si>
    <r>
      <t xml:space="preserve">The Chain ladder model estimates give the same forecasted reserve estimate as the ODP Cross-Classified Model. 
Further, they are </t>
    </r>
    <r>
      <rPr>
        <i/>
        <u/>
        <sz val="12"/>
        <color theme="1"/>
        <rFont val="Calibri"/>
        <family val="2"/>
      </rPr>
      <t>maximum likelihood estimates</t>
    </r>
    <r>
      <rPr>
        <sz val="12"/>
        <color theme="1"/>
        <rFont val="Calibri"/>
        <family val="2"/>
      </rPr>
      <t xml:space="preserve"> (MLE) for the ODP Cross-Classified Model (Theorem 3.2). If the fitted values of future incremental losses (Y_kj) and reserve estimates (R ̂_k) are also corrected for bias, then the chain ladder estimates are </t>
    </r>
    <r>
      <rPr>
        <i/>
        <u/>
        <sz val="12"/>
        <color theme="1"/>
        <rFont val="Calibri"/>
        <family val="2"/>
      </rPr>
      <t>minimum variance unbiased estimates</t>
    </r>
    <r>
      <rPr>
        <sz val="12"/>
        <color theme="1"/>
        <rFont val="Calibri"/>
        <family val="2"/>
      </rPr>
      <t xml:space="preserve"> (MVUEs) of Y_kj and R_k (Theorem 3.3).</t>
    </r>
  </si>
  <si>
    <t>RF Taylor - 14</t>
  </si>
  <si>
    <t>Calculate the forecast outstanding loss and prediction error of outstanding loss using the Delta method.</t>
  </si>
  <si>
    <t>For this problem, we're only given the GLM parameter output, so use that to estimate the forecasted outstanding loss (reserve). For the Delta Method, the process variance is simply the forecast multiplied by the scale parameter. The parameter variance is calculated with the following matrix equation:</t>
  </si>
  <si>
    <t>RF Taylor - 15</t>
  </si>
  <si>
    <t>Response</t>
  </si>
  <si>
    <t>Incremental losses Y(k,j)</t>
  </si>
  <si>
    <t>Error distribution</t>
  </si>
  <si>
    <t>Link function</t>
  </si>
  <si>
    <t>Covariates</t>
  </si>
  <si>
    <t>Weights</t>
  </si>
  <si>
    <t>Taylor - pg. 28-33, plus errata</t>
  </si>
  <si>
    <t>Taylor - pg. 23-24</t>
  </si>
  <si>
    <t>A model with as many parameters as observations fits the training data perfectly and therefore has the greatest predictive value.</t>
  </si>
  <si>
    <t>Discuss how the necessary conditions for the ODP Mack model differ from the non-parametric model and how its results about the chain ladder estimators are "remarkable."</t>
  </si>
  <si>
    <t>Discuss the benefits of specifying these as GLMs and how they can be used.</t>
  </si>
  <si>
    <t>Identify and briefly discuss the the decomposition of prediction error associated with a model's forecast of future losses.</t>
  </si>
  <si>
    <t>Select all of the following statements that are true:</t>
  </si>
  <si>
    <t>Briefly describe two forms of proxy measures of prediction error used to penalize overfitting when comparing models.</t>
  </si>
  <si>
    <r>
      <t xml:space="preserve">Below are the conditions (reworded and reordered Mack assumptions):
1 - Accident years are stochastically independent.
2 - For each accident year, cumulative losses, X_kj, form a Markov chain.
3 - For each accident year, the next development period’s losses have the following:
	-  Expected loss is proportional to losses-to-date:
	E[X_(k,j+1)│X_kj ]=f_j X_kj where f_j is an LDF
	-  Variance is proportional to losses-to-date with a proportionality constant that varies by age:
	 Var[X_(k,j+1)│X_kj ]=σ_j^2 X_kj
</t>
    </r>
    <r>
      <rPr>
        <u/>
        <sz val="14"/>
        <color theme="1"/>
        <rFont val="Calibri (Body)"/>
      </rPr>
      <t>Results (assuming conditions hold)</t>
    </r>
    <r>
      <rPr>
        <u/>
        <sz val="12"/>
        <color theme="1"/>
        <rFont val="Calibri (Body)"/>
      </rPr>
      <t xml:space="preserve">
</t>
    </r>
    <r>
      <rPr>
        <b/>
        <sz val="12"/>
        <color theme="1"/>
        <rFont val="Calibri (Body)"/>
      </rPr>
      <t>Result 1 -</t>
    </r>
    <r>
      <rPr>
        <sz val="12"/>
        <color theme="1"/>
        <rFont val="Calibri (Body)"/>
      </rPr>
      <t xml:space="preserve"> The conventional chain ladder f_i (LDF) estimators are </t>
    </r>
    <r>
      <rPr>
        <b/>
        <sz val="12"/>
        <color theme="1"/>
        <rFont val="Calibri (Body)"/>
      </rPr>
      <t>unbiased</t>
    </r>
    <r>
      <rPr>
        <sz val="12"/>
        <color theme="1"/>
        <rFont val="Calibri (Body)"/>
      </rPr>
      <t xml:space="preserve"> and </t>
    </r>
    <r>
      <rPr>
        <b/>
        <sz val="12"/>
        <color theme="1"/>
        <rFont val="Calibri (Body)"/>
      </rPr>
      <t>minimum variance</t>
    </r>
    <r>
      <rPr>
        <sz val="12"/>
        <color theme="1"/>
        <rFont val="Calibri (Body)"/>
      </rPr>
      <t xml:space="preserve"> among unbiased estimators that are </t>
    </r>
    <r>
      <rPr>
        <i/>
        <u/>
        <sz val="12"/>
        <color theme="1"/>
        <rFont val="Calibri (Body)"/>
      </rPr>
      <t>linear combinations of f_ki age-to-age factors</t>
    </r>
    <r>
      <rPr>
        <sz val="12"/>
        <color theme="1"/>
        <rFont val="Calibri (Body)"/>
      </rPr>
      <t xml:space="preserve">
</t>
    </r>
    <r>
      <rPr>
        <b/>
        <sz val="12"/>
        <color theme="1"/>
        <rFont val="Calibri (Body)"/>
      </rPr>
      <t>Result 2</t>
    </r>
    <r>
      <rPr>
        <sz val="12"/>
        <color theme="1"/>
        <rFont val="Calibri (Body)"/>
      </rPr>
      <t xml:space="preserve"> - The conventional chain-ladder reserve estimator, R ̂_k, is </t>
    </r>
    <r>
      <rPr>
        <b/>
        <sz val="12"/>
        <color theme="1"/>
        <rFont val="Calibri (Body)"/>
      </rPr>
      <t>unbiased</t>
    </r>
    <r>
      <rPr>
        <sz val="12"/>
        <color theme="1"/>
        <rFont val="Calibri (Body)"/>
      </rPr>
      <t>.</t>
    </r>
  </si>
  <si>
    <t>Give the conditions for the EDF and ODP Cross-Classified models.</t>
  </si>
  <si>
    <r>
      <t xml:space="preserve">The ODP cross-classified and ODP Mack models have very different formulations. The Mack model is structured more like the chain ladder method, but specifies an ODP distribution for incremental losses. The cross-classified ODP model also assumes incremental losses follow an ODP distribution, but expected incremental losses are calculated with row and column parameters.
However, both models produce </t>
    </r>
    <r>
      <rPr>
        <i/>
        <u/>
        <sz val="12"/>
        <color theme="1"/>
        <rFont val="Calibri"/>
        <family val="2"/>
      </rPr>
      <t>identical forecasts,</t>
    </r>
    <r>
      <rPr>
        <sz val="12"/>
        <color theme="1"/>
        <rFont val="Calibri"/>
        <family val="2"/>
      </rPr>
      <t xml:space="preserve"> equal to the conventional chain ladder's when the assumptions hold.</t>
    </r>
  </si>
  <si>
    <t>Fully discuss how the ODP Cross-Classified model compares to the ODP Mack model.</t>
  </si>
  <si>
    <t>Below are the conditions for the EDF cross-classified model, which is structured with explicit row (α_k) and column (β_j) parameters:
1 - Incremental losses Y_kj are stochastically independent
2 - For each accident year and development period:
      a - Y_kj∼EDF(θ_kj,φ_kj,a,b,c)
      b - E[Y_kj ] = α_k * β_j, for α_k, β_j&gt;0
      c - Sum(β_j) = 1
The ODP cross-classified model adds the following conditions:
•  The Y_kj distribution is restricted to an ODP distribution (Y_kj∼ODP)
•  The dispersion parameter is identical for all cells (i.e., φ_kj=φ)</t>
  </si>
  <si>
    <t>Discuss the results, and necessary conditions, of the how the ODP cross-classified model relates to the conventional chain ladder method. Also, briefly discuss the implications of these results relative to the chain ladder method and ODP Mack model.</t>
  </si>
  <si>
    <r>
      <t xml:space="preserve">These are answered from Theorems 3.2 and 3.3:
</t>
    </r>
    <r>
      <rPr>
        <b/>
        <sz val="12"/>
        <color theme="1"/>
        <rFont val="Calibri"/>
        <family val="2"/>
      </rPr>
      <t>Theorem 3.2</t>
    </r>
    <r>
      <rPr>
        <sz val="12"/>
        <color theme="1"/>
        <rFont val="Calibri"/>
        <family val="2"/>
      </rPr>
      <t xml:space="preserve">
When the conditions above for an ODP cross-classified model hold (part a), then the MLE fitted values and forecasts are the same as the conventional chain ladder forecasts.
</t>
    </r>
    <r>
      <rPr>
        <b/>
        <sz val="12"/>
        <color theme="1"/>
        <rFont val="Calibri"/>
        <family val="2"/>
      </rPr>
      <t xml:space="preserve">Theorem 3.3
</t>
    </r>
    <r>
      <rPr>
        <sz val="12"/>
        <color theme="1"/>
        <rFont val="Calibri"/>
        <family val="2"/>
      </rPr>
      <t xml:space="preserve">When the conditions above for an ODP cross-classified model hold </t>
    </r>
    <r>
      <rPr>
        <i/>
        <u/>
        <sz val="12"/>
        <color theme="1"/>
        <rFont val="Calibri"/>
        <family val="2"/>
      </rPr>
      <t>and</t>
    </r>
    <r>
      <rPr>
        <sz val="12"/>
        <color theme="1"/>
        <rFont val="Calibri"/>
        <family val="2"/>
      </rPr>
      <t xml:space="preserve"> the fitted values and forecasts of incremental losses and reserves are </t>
    </r>
    <r>
      <rPr>
        <i/>
        <u/>
        <sz val="12"/>
        <color theme="1"/>
        <rFont val="Calibri"/>
        <family val="2"/>
      </rPr>
      <t>corrected for bias</t>
    </r>
    <r>
      <rPr>
        <sz val="12"/>
        <color theme="1"/>
        <rFont val="Calibri"/>
        <family val="2"/>
      </rPr>
      <t xml:space="preserve">, then they are minimum variance unbiased estimators (MVUEs) and therefore MLEs as well.
</t>
    </r>
    <r>
      <rPr>
        <b/>
        <sz val="12"/>
        <color theme="1"/>
        <rFont val="Calibri"/>
        <family val="2"/>
      </rPr>
      <t xml:space="preserve">Implications
</t>
    </r>
    <r>
      <rPr>
        <sz val="12"/>
        <color theme="1"/>
        <rFont val="Calibri"/>
        <family val="2"/>
      </rPr>
      <t xml:space="preserve">Relative to the heuristic chain ladder method, the ODP cross-classified model has a very different formulation, but results in the same forecasts (when conditions hold). This also means that we can get the </t>
    </r>
    <r>
      <rPr>
        <i/>
        <u/>
        <sz val="12"/>
        <color theme="1"/>
        <rFont val="Calibri"/>
        <family val="2"/>
      </rPr>
      <t>same forecasts</t>
    </r>
    <r>
      <rPr>
        <sz val="12"/>
        <color theme="1"/>
        <rFont val="Calibri"/>
        <family val="2"/>
      </rPr>
      <t xml:space="preserve"> as the ODP cross classified model, just by working as if it were an ODP Mack model.</t>
    </r>
  </si>
  <si>
    <t>Taylor &amp; McGuire - Sections 3.1 and 3.2 (pg. 22-28)</t>
  </si>
  <si>
    <r>
      <t xml:space="preserve">For the exam, make sure you understand the three theorems and how they relate the ODP Mack and ODP Cross-Classified models to the heuristic chain ladder method.
This solution is more detailed than necessary for an exam, but you should fully understand it all.
</t>
    </r>
    <r>
      <rPr>
        <b/>
        <sz val="12"/>
        <color theme="1"/>
        <rFont val="Calibri"/>
        <family val="2"/>
      </rPr>
      <t>One important note:</t>
    </r>
    <r>
      <rPr>
        <sz val="12"/>
        <color theme="1"/>
        <rFont val="Calibri"/>
        <family val="2"/>
      </rPr>
      <t xml:space="preserve">
The ODP Mack and ODP cross-classified models give the same central forecasts, but since they're different models, they produce different prediction error (Section 5.4.1, pg. 53-54 in the paper)</t>
    </r>
  </si>
  <si>
    <t>RF Taylor - 17</t>
  </si>
  <si>
    <t>RF Taylor - 18</t>
  </si>
  <si>
    <t>RF Taylor - 19</t>
  </si>
  <si>
    <t>RF Taylor - 20</t>
  </si>
  <si>
    <t>Both the ODP Mack model and the ODP cross-classified model can be represented as GLMs whose MLE forecasts reproduce the conventional chain ladder forecasts.</t>
  </si>
  <si>
    <t>Parameter Vector</t>
  </si>
  <si>
    <t>Model Feature</t>
  </si>
  <si>
    <t>Specification</t>
  </si>
  <si>
    <t>ODP (Tweedie EDF with p = 1)</t>
  </si>
  <si>
    <t xml:space="preserve">(f_j - 1) for development period j = 1, 2, ... </t>
  </si>
  <si>
    <t xml:space="preserve"> X(k,j)*</t>
  </si>
  <si>
    <t>* Weight is technically X(k,j) / φ_j but the paper shows that knowledge of φ_j is not required, so we can ignore it.</t>
  </si>
  <si>
    <t>Development period as categorical (0 or 1) variates</t>
  </si>
  <si>
    <t>For the ODP Mack GLM:</t>
  </si>
  <si>
    <t>Identity link</t>
  </si>
  <si>
    <t>Log link</t>
  </si>
  <si>
    <t>AY and development period as categorical variates</t>
  </si>
  <si>
    <t>Equal weights</t>
  </si>
  <si>
    <t>For the ODP Cross-Classified GLM:</t>
  </si>
  <si>
    <t>f-hat(k,j) - 1 |X(k,j)</t>
  </si>
  <si>
    <t>&lt;-- where f-hat(k,j) are the estimated age-to-age factors</t>
  </si>
  <si>
    <r>
      <t>The model output is estimates of</t>
    </r>
    <r>
      <rPr>
        <b/>
        <sz val="12"/>
        <color theme="1"/>
        <rFont val="Calibri"/>
        <family val="2"/>
      </rPr>
      <t xml:space="preserve"> f_j - 1</t>
    </r>
  </si>
  <si>
    <r>
      <t xml:space="preserve">The model output is estimates of </t>
    </r>
    <r>
      <rPr>
        <b/>
        <sz val="12"/>
        <color theme="1"/>
        <rFont val="Calibri"/>
        <family val="2"/>
      </rPr>
      <t xml:space="preserve">α_k  </t>
    </r>
    <r>
      <rPr>
        <sz val="12"/>
        <color theme="1"/>
        <rFont val="Calibri"/>
        <family val="2"/>
      </rPr>
      <t>and</t>
    </r>
    <r>
      <rPr>
        <b/>
        <sz val="12"/>
        <color theme="1"/>
        <rFont val="Calibri"/>
        <family val="2"/>
      </rPr>
      <t xml:space="preserve"> β_j </t>
    </r>
    <r>
      <rPr>
        <sz val="12"/>
        <color theme="1"/>
        <rFont val="Calibri"/>
        <family val="2"/>
      </rPr>
      <t xml:space="preserve">  (or stated as ln(α_k)  and ln(β_j) )</t>
    </r>
  </si>
  <si>
    <t>For the ODP Mack model, fully specify the GLM (response, the error distribution, the link function, the parameter vector, covariates, and any weights). Also, specify the model output.</t>
  </si>
  <si>
    <t>For the ODP Cross-Classified model, fully specify the GLM (response, the error distribution, the link function, the parameter vector, covariates, and any weights). Also, specify the model output.</t>
  </si>
  <si>
    <t xml:space="preserve">The GLM forms of the ODP Mack and Cross-Classified models put the chain ladder method inside a GLM framework. This allows us to calculate parameter estimates and their standard errors and correlations. 
Then, we can create a predictive distribution of outstanding losses and estimate prediction error using the Delta Method and the Bootstrap. </t>
  </si>
  <si>
    <r>
      <t xml:space="preserve">The first part of the paper is showing that the MLE and MVUE parameters of the ODP Mack and ODP Cross-Classified models are the chain ladder estimates.
Next, the paper shows how these models can be reformulated as GLMs, with the goal of calculating prediction errors and creating predictive distributions.
</t>
    </r>
    <r>
      <rPr>
        <b/>
        <sz val="12"/>
        <color theme="1"/>
        <rFont val="Calibri"/>
        <family val="2"/>
      </rPr>
      <t>Errata Note:</t>
    </r>
    <r>
      <rPr>
        <sz val="12"/>
        <color theme="1"/>
        <rFont val="Calibri"/>
        <family val="2"/>
      </rPr>
      <t xml:space="preserve">
The parameter vector in the original paper for the ODP Mack GLM reads (f_1, ..., f_9). The errata corrects this to (f_1 - 1, ..., f_9 - 1).</t>
    </r>
  </si>
  <si>
    <t>As a formula, prediction error (formula 4-4 in the paper) is decomposed into: 
Parameter Error = mu_k,j - Y^hat_k,j
Process Error = epsilon_k,j</t>
  </si>
  <si>
    <r>
      <t xml:space="preserve">The prediction error of a model's forecast can be decomposed into three components:
1. </t>
    </r>
    <r>
      <rPr>
        <b/>
        <sz val="12"/>
        <color theme="1"/>
        <rFont val="Calibri"/>
        <family val="2"/>
      </rPr>
      <t>Parameter Error -</t>
    </r>
    <r>
      <rPr>
        <sz val="12"/>
        <color theme="1"/>
        <rFont val="Calibri"/>
        <family val="2"/>
      </rPr>
      <t xml:space="preserve">  The error due to the uncertainty in the fitted parameters. This is the difference between the true (unknown) mean and the forecast of future observations.
2. </t>
    </r>
    <r>
      <rPr>
        <b/>
        <sz val="12"/>
        <color theme="1"/>
        <rFont val="Calibri"/>
        <family val="2"/>
      </rPr>
      <t>Process Error</t>
    </r>
    <r>
      <rPr>
        <sz val="12"/>
        <color theme="1"/>
        <rFont val="Calibri"/>
        <family val="2"/>
      </rPr>
      <t xml:space="preserve"> -  The irreducible noise in future claims due to the insurance process, because the future observations are stochastic.
3. </t>
    </r>
    <r>
      <rPr>
        <b/>
        <sz val="12"/>
        <color theme="1"/>
        <rFont val="Calibri"/>
        <family val="2"/>
      </rPr>
      <t>Model Error</t>
    </r>
    <r>
      <rPr>
        <sz val="12"/>
        <color theme="1"/>
        <rFont val="Calibri"/>
        <family val="2"/>
      </rPr>
      <t xml:space="preserve"> - The difference between the true (unknown) functional model form and the assumed model form.
We can't statistically measure model error, so we focus on parameter and process error.</t>
    </r>
  </si>
  <si>
    <t>Discuss how the two main approaches from the Taylor &amp; McGuire paper are used to estimate prediction error and identify an advantage and disadvantage of each one.</t>
  </si>
  <si>
    <t>Give the conditions for the non-parametric mack model and discuss the results from the model about the conventional chain ladder estimators.</t>
  </si>
  <si>
    <t>Note that these results are only true if the required conditions are valid. Part a is the form and result from in the Mack - Chain Ladder paper. Part b takes it a step further by adding a specific distribution and seeing how the MLE and MVUE estimates line up with the chain ladder forecasts.</t>
  </si>
  <si>
    <t>The training error decreases monotonically as complexity increases, but the test error eventually rises. The optimum complexity is at the minimum of the test error curve.</t>
  </si>
  <si>
    <r>
      <t xml:space="preserve">The two main forms are:
• </t>
    </r>
    <r>
      <rPr>
        <b/>
        <sz val="12"/>
        <color theme="1"/>
        <rFont val="Calibri"/>
        <family val="2"/>
      </rPr>
      <t>Information Criteria</t>
    </r>
    <r>
      <rPr>
        <sz val="12"/>
        <color theme="1"/>
        <rFont val="Calibri"/>
        <family val="2"/>
      </rPr>
      <t xml:space="preserve"> (AIC, BIC) - Measure of the model fit error on the training data penalized for the number of parameters
• </t>
    </r>
    <r>
      <rPr>
        <b/>
        <sz val="12"/>
        <color theme="1"/>
        <rFont val="Calibri"/>
        <family val="2"/>
      </rPr>
      <t>Generalized Cross-Validation</t>
    </r>
    <r>
      <rPr>
        <sz val="12"/>
        <color theme="1"/>
        <rFont val="Calibri"/>
        <family val="2"/>
      </rPr>
      <t xml:space="preserve"> – An approximation to leave-one-out cross validation.</t>
    </r>
  </si>
  <si>
    <t>This training-vs-test plot (Figure 4-1 in the paper) demonstrates how additional parameters will always reduce training data model error. But, after a certain point, model error increases for the holdout data, which indicates an over-fit model. 
The information criteria (AIC, BIC) and generalized cross-validation are proxies for the model error relative to a test data set. They allow us to compare different models.</t>
  </si>
  <si>
    <t>The training model error decreases monotonically, but the test model error eventually rises.</t>
  </si>
  <si>
    <t>Training error falls monotonically with complexity, but the optimal complexity is when test data model error is minimized.</t>
  </si>
  <si>
    <t>A saturated model with as many parameters as observations fits the training data perfectly, but only models noise, so it has no useful predictive value.</t>
  </si>
  <si>
    <t>Improving the goodness-of-fit of a model to a data set always reduces its mean square error of prediction.</t>
  </si>
  <si>
    <t>Improving goodness-of-fit to the training data does not always reduce MSEP. Adding an excessive number of parameters beyond the optimum will over-fit the model and increase MSEP.</t>
  </si>
  <si>
    <t>Taylor &amp; McGuire Section 4.2 to 4.4 (pg. 37-40)</t>
  </si>
  <si>
    <r>
      <rPr>
        <u/>
        <sz val="14"/>
        <color theme="1"/>
        <rFont val="Calibri"/>
        <family val="2"/>
      </rPr>
      <t>Delta Method</t>
    </r>
    <r>
      <rPr>
        <b/>
        <sz val="12"/>
        <color theme="1"/>
        <rFont val="Calibri"/>
        <family val="2"/>
      </rPr>
      <t xml:space="preserve">
</t>
    </r>
    <r>
      <rPr>
        <sz val="12"/>
        <color theme="1"/>
        <rFont val="Calibri"/>
        <family val="2"/>
      </rPr>
      <t xml:space="preserve">This method uses the parameter estimates, standard errors, and covariance matrix from the ODP Cross-Classified model to estimate the variance of the total outstanding losses, R. 
</t>
    </r>
    <r>
      <rPr>
        <b/>
        <sz val="12"/>
        <color theme="1"/>
        <rFont val="Calibri"/>
        <family val="2"/>
      </rPr>
      <t>Advantages</t>
    </r>
    <r>
      <rPr>
        <sz val="12"/>
        <color theme="1"/>
        <rFont val="Calibri"/>
        <family val="2"/>
      </rPr>
      <t xml:space="preserve">: Computationally simple and gives an estimate of MSEP
</t>
    </r>
    <r>
      <rPr>
        <b/>
        <sz val="12"/>
        <color theme="1"/>
        <rFont val="Calibri"/>
        <family val="2"/>
      </rPr>
      <t>Disadvantages:</t>
    </r>
    <r>
      <rPr>
        <sz val="12"/>
        <color theme="1"/>
        <rFont val="Calibri"/>
        <family val="2"/>
      </rPr>
      <t xml:space="preserve"> Unknown accuracy, gives no distribution of prediction error (we must assume one like lognormal), only a second order approximation
</t>
    </r>
    <r>
      <rPr>
        <u/>
        <sz val="14"/>
        <color theme="1"/>
        <rFont val="Calibri"/>
        <family val="2"/>
      </rPr>
      <t xml:space="preserve">Bootstrap method </t>
    </r>
    <r>
      <rPr>
        <sz val="12"/>
        <color theme="1"/>
        <rFont val="Calibri"/>
        <family val="2"/>
      </rPr>
      <t xml:space="preserve">
Uses data re-sampling of residuals to create pseudo triangles. The model is refit to each pseudo triangle to create a pseudo forecast and estimate of outstanding losses. This gives an entire predictive distribution of outstanding losses.
</t>
    </r>
    <r>
      <rPr>
        <b/>
        <sz val="12"/>
        <color theme="1"/>
        <rFont val="Calibri"/>
        <family val="2"/>
      </rPr>
      <t xml:space="preserve">Advantages: </t>
    </r>
    <r>
      <rPr>
        <sz val="12"/>
        <color theme="1"/>
        <rFont val="Calibri"/>
        <family val="2"/>
      </rPr>
      <t>Estimates the full predictive distribution and accuracy can be increased with sufficient computation</t>
    </r>
    <r>
      <rPr>
        <b/>
        <sz val="12"/>
        <color theme="1"/>
        <rFont val="Calibri"/>
        <family val="2"/>
      </rPr>
      <t xml:space="preserve">
Disadvantages: </t>
    </r>
    <r>
      <rPr>
        <sz val="12"/>
        <color theme="1"/>
        <rFont val="Calibri"/>
        <family val="2"/>
      </rPr>
      <t xml:space="preserve"> Computationally more demanding and requires residuals to be approximately iid. Also, Meyers shows that the ODP Bootstrap does not validate.
</t>
    </r>
    <r>
      <rPr>
        <b/>
        <sz val="12"/>
        <color theme="1"/>
        <rFont val="Calibri"/>
        <family val="2"/>
      </rPr>
      <t xml:space="preserve">Note: </t>
    </r>
    <r>
      <rPr>
        <sz val="12"/>
        <color theme="1"/>
        <rFont val="Calibri"/>
        <family val="2"/>
      </rPr>
      <t>Only one advantage and disadvantage is needed in the solution for each method.</t>
    </r>
  </si>
  <si>
    <t>⍺̂ₖ</t>
  </si>
  <si>
    <t xml:space="preserve">β̂ⱼ </t>
  </si>
  <si>
    <t>Sampled Position = RANDBETWEEN(1, n)</t>
  </si>
  <si>
    <r>
      <t xml:space="preserve">Build the pseudo-data set for a simulation using randomly sampled residuals (with replacement) and the original fitted, incremental losses. Then, </t>
    </r>
    <r>
      <rPr>
        <i/>
        <u/>
        <sz val="12"/>
        <color theme="1"/>
        <rFont val="Calibri"/>
        <family val="2"/>
      </rPr>
      <t>re-fit</t>
    </r>
    <r>
      <rPr>
        <sz val="12"/>
        <color theme="1"/>
        <rFont val="Calibri"/>
        <family val="2"/>
      </rPr>
      <t xml:space="preserve"> the model to the pseudo-data set to calculate projected incremental losses that include parameter error.</t>
    </r>
  </si>
  <si>
    <t xml:space="preserve">Forecasted Reserve Estimate (R) = </t>
  </si>
  <si>
    <t>Calculate the pool of standardized Pearson residuals used for resampling in a semi-parametric bootstrap model.</t>
  </si>
  <si>
    <t>Use the RANDBETWEEN() function for sampling residual positions.</t>
  </si>
  <si>
    <t>An ODP cross-classified GLM is fit to the incremental paid loss triangle below. A semi-parametric bootstrap model is used to create a predictive distribution.</t>
  </si>
  <si>
    <t>First, calculate the fitted incremental losses for the triangle based on the alpha and beta parameters:</t>
  </si>
  <si>
    <t>Residual Pool for re-sampling:</t>
  </si>
  <si>
    <t>Calculate the standardized Pearson residuals for the triangle between the actual and expected incremental losses. The residual pool for resampling excludes the zero corner residuals (like Shapland):</t>
  </si>
  <si>
    <t xml:space="preserve">Note: </t>
  </si>
  <si>
    <t>Set the corner residuals to zero and don't sample from them. The corners have some uncertainty and residual amount, but we don't know how much.</t>
  </si>
  <si>
    <r>
      <t xml:space="preserve">Use a </t>
    </r>
    <r>
      <rPr>
        <i/>
        <u/>
        <sz val="12"/>
        <color theme="1"/>
        <rFont val="Calibri"/>
        <family val="2"/>
      </rPr>
      <t>second</t>
    </r>
    <r>
      <rPr>
        <sz val="12"/>
        <color theme="1"/>
        <rFont val="Calibri"/>
        <family val="2"/>
      </rPr>
      <t>, independent set of sampled residuals and the projected incremental losses from the pseudo-data set to add process error to each future cell.</t>
    </r>
  </si>
  <si>
    <t>&lt;-- Bold values are the projected pseudo incremental losses</t>
  </si>
  <si>
    <t>&lt;-- Re-fit the model to the pseudo-data set (we can use a chain ladder)</t>
  </si>
  <si>
    <t>Based on the semi-parametric bootstrap model, create a predictive distribution of reserves using 20 replicates.</t>
  </si>
  <si>
    <t>Use the semi-parametric bootstrap method to calculate pseudo-forecasts of the reserve estimate that include both parameter error and process error. Use sampled residuals for process error.</t>
  </si>
  <si>
    <t>Each calculation of the model creates a sampled reserve estimate for a simulation (replicate). To create the predictive distribution, simply copy/paste the reserve estimate from the model 20 times, then sort from low to high:</t>
  </si>
  <si>
    <t>Replicate #</t>
  </si>
  <si>
    <t>Reserve</t>
  </si>
  <si>
    <t>Forecasts</t>
  </si>
  <si>
    <t>R(Y*) Pseudo</t>
  </si>
  <si>
    <t>Cumulative</t>
  </si>
  <si>
    <t>Percentile</t>
  </si>
  <si>
    <t xml:space="preserve">Chi-Square Statistic = </t>
  </si>
  <si>
    <t>Parameters (p) =</t>
  </si>
  <si>
    <t>Deg. of Freedom (d) =</t>
  </si>
  <si>
    <t xml:space="preserve">Scale Parameter (φ) = </t>
  </si>
  <si>
    <t>Scale Parameter</t>
  </si>
  <si>
    <t>We can calculate an estimated scale parameter in the same way as in the Shapland Bootstrap:</t>
  </si>
  <si>
    <t>Number of observations (N) =</t>
  </si>
  <si>
    <t>Unscaled Pearson Residuals (r_kj)</t>
  </si>
  <si>
    <r>
      <t xml:space="preserve">-&gt; See the </t>
    </r>
    <r>
      <rPr>
        <b/>
        <sz val="12"/>
        <color theme="1"/>
        <rFont val="Calibri"/>
        <family val="2"/>
      </rPr>
      <t>Shapland - Standardized Pearson Residuals</t>
    </r>
    <r>
      <rPr>
        <sz val="12"/>
        <color theme="1"/>
        <rFont val="Calibri"/>
        <family val="2"/>
      </rPr>
      <t xml:space="preserve"> recipe</t>
    </r>
  </si>
  <si>
    <r>
      <t xml:space="preserve">This is a start-to-finish semi-parametric bootstrap model based on the Taylor approach. It's the same as the Shapland method, except that residuals are used to add process variance. 
By Theorem 3.2, the ODP cross-classified MLE forecasts are equal to the volume-weighted chain ladder forecasts so we can just use the chain ladder method to do this. This is a key point of the paper.
For an exam problem, you might be asked to calculate the marginal sum alpha and beta parameters. See the </t>
    </r>
    <r>
      <rPr>
        <b/>
        <sz val="12"/>
        <color theme="1"/>
        <rFont val="Calibri"/>
        <family val="2"/>
      </rPr>
      <t>Taylor - ODP Cross-Classified Model Parameters</t>
    </r>
    <r>
      <rPr>
        <sz val="12"/>
        <color theme="1"/>
        <rFont val="Calibri"/>
        <family val="2"/>
      </rPr>
      <t xml:space="preserve"> recipe.</t>
    </r>
  </si>
  <si>
    <r>
      <t xml:space="preserve">The ODP Mack model makes one assumption change: 
It assigns an ODP distribution (EDF Tweedie with p = 1) to the incremental losses Y_kj, which replaces the variance assumption in the traditional Mack model.
For an ODP Mack model, if the dispersion parameters are only column-dependent (φ_kj=φ_j), then the chain ladder LDFs, (f^hat_j ), are both </t>
    </r>
    <r>
      <rPr>
        <b/>
        <sz val="12"/>
        <color theme="1"/>
        <rFont val="Calibri"/>
        <family val="2"/>
        <scheme val="minor"/>
      </rPr>
      <t>MLEs</t>
    </r>
    <r>
      <rPr>
        <sz val="12"/>
        <color theme="1"/>
        <rFont val="Calibri"/>
        <family val="2"/>
        <scheme val="minor"/>
      </rPr>
      <t xml:space="preserve"> and </t>
    </r>
    <r>
      <rPr>
        <b/>
        <sz val="12"/>
        <color theme="1"/>
        <rFont val="Calibri"/>
        <family val="2"/>
        <scheme val="minor"/>
      </rPr>
      <t>MVUEs</t>
    </r>
    <r>
      <rPr>
        <sz val="12"/>
        <color theme="1"/>
        <rFont val="Calibri"/>
        <family val="2"/>
        <scheme val="minor"/>
      </rPr>
      <t xml:space="preserve"> (minimum variance unbiased estimators) of the f_j parameters. 
This is "remarkable" because it means that the chain ladder method, introduced decades ago, produces estimates and forecasts that are optimal estimators in the MLE and MVUE sense. This is a stronger result than the non-parametric Mack, because the estimators are minimum variance out of </t>
    </r>
    <r>
      <rPr>
        <i/>
        <u/>
        <sz val="12"/>
        <color theme="1"/>
        <rFont val="Calibri (Body)"/>
      </rPr>
      <t>all unbiased estimators</t>
    </r>
    <r>
      <rPr>
        <sz val="12"/>
        <color theme="1"/>
        <rFont val="Calibri"/>
        <family val="2"/>
        <scheme val="minor"/>
      </rPr>
      <t xml:space="preserve"> - not just out of linear combinations of f_ki age-to-age factors. </t>
    </r>
  </si>
  <si>
    <t xml:space="preserve">ln(α_k)  and ln(β_j), for each AY and development period </t>
  </si>
  <si>
    <t>Both the training error and the test error decrease monotonically as parameters are added, so the most complex model is the best predictor.</t>
  </si>
  <si>
    <t>A data set is split into two subsets, a training and test set. A series of models with increasing complexity are fit to the training set, and each model is evaluated on the previously unseen test set. Model error is plotted against model complexity for both the training and test sets.</t>
  </si>
  <si>
    <t>RF Taylor - 16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</si>
</sst>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43" formatCode="_(* #,##0.00_);_(* \(#,##0.00\);_(* &quot;-&quot;??_);_(@_)"/>
    <numFmt numFmtId="164" formatCode="0.000"/>
    <numFmt numFmtId="165" formatCode="0.0000"/>
    <numFmt numFmtId="166" formatCode="_(* #,##0_);_(* \(#,##0\);_(* &quot;-&quot;??_);_(@_)"/>
    <numFmt numFmtId="167" formatCode="_(* #,##0.000_);_(* \(#,##0.000\);_(* &quot;-&quot;??_);_(@_)"/>
    <numFmt numFmtId="168" formatCode="#,##0.000"/>
    <numFmt numFmtId="169" formatCode="0.0%"/>
    <numFmt numFmtId="170" formatCode="_(&quot;$&quot;* #,##0_);_(&quot;$&quot;* \(#,##0\);_(&quot;$&quot;* &quot;-&quot;??_);_(@_)"/>
    <numFmt numFmtId="171" formatCode="#,##0.0000"/>
    <numFmt numFmtId="172" formatCode="#,##0.0_);[Red]\(#,##0.0\)"/>
  </numFmts>
  <fonts count="47"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u/>
      <sz val="12"/>
      <color theme="1"/>
      <name val="Calibri"/>
      <family val="2"/>
    </font>
    <font>
      <sz val="12"/>
      <color rgb="FF000000"/>
      <name val="Calibri"/>
      <family val="2"/>
    </font>
    <font>
      <i/>
      <sz val="12"/>
      <color rgb="FF000000"/>
      <name val="Calibri"/>
      <family val="2"/>
    </font>
    <font>
      <i/>
      <sz val="12"/>
      <color theme="1"/>
      <name val="Calibri"/>
      <family val="2"/>
    </font>
    <font>
      <b/>
      <sz val="12"/>
      <color theme="1"/>
      <name val="Calibri"/>
      <family val="2"/>
    </font>
    <font>
      <vertAlign val="subscript"/>
      <sz val="12"/>
      <color rgb="FF00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b/>
      <sz val="12"/>
      <color theme="1"/>
      <name val="Calibri"/>
      <family val="2"/>
      <scheme val="minor"/>
    </font>
    <font>
      <b/>
      <u/>
      <sz val="12"/>
      <color theme="1"/>
      <name val="Calibri (Body)"/>
    </font>
    <font>
      <i/>
      <sz val="12"/>
      <color theme="1"/>
      <name val="Calibri"/>
      <family val="2"/>
      <scheme val="minor"/>
    </font>
    <font>
      <u/>
      <sz val="12"/>
      <color theme="1"/>
      <name val="Calibri"/>
      <family val="2"/>
      <scheme val="minor"/>
    </font>
    <font>
      <sz val="12"/>
      <color theme="1"/>
      <name val="Calibri (Body)"/>
    </font>
    <font>
      <sz val="12"/>
      <color rgb="FF000000"/>
      <name val="Calibri"/>
      <family val="2"/>
      <scheme val="minor"/>
    </font>
    <font>
      <vertAlign val="superscript"/>
      <sz val="12"/>
      <color rgb="FF000000"/>
      <name val="Calibri (Body)"/>
    </font>
    <font>
      <sz val="11"/>
      <color rgb="FF000000"/>
      <name val="Adobe Caslon Pro"/>
    </font>
    <font>
      <vertAlign val="subscript"/>
      <sz val="12"/>
      <color theme="1"/>
      <name val="Calibri"/>
      <family val="2"/>
    </font>
    <font>
      <vertAlign val="superscript"/>
      <sz val="12"/>
      <color theme="1"/>
      <name val="Calibri"/>
      <family val="2"/>
    </font>
    <font>
      <i/>
      <u/>
      <sz val="12"/>
      <color theme="1"/>
      <name val="Calibri"/>
      <family val="2"/>
    </font>
    <font>
      <sz val="11"/>
      <color theme="1"/>
      <name val="Calibri"/>
      <family val="2"/>
      <charset val="1"/>
    </font>
    <font>
      <sz val="12"/>
      <name val="Calibri"/>
      <family val="2"/>
    </font>
    <font>
      <sz val="12"/>
      <color rgb="FFFF0000"/>
      <name val="Calibri"/>
      <family val="2"/>
      <scheme val="minor"/>
    </font>
    <font>
      <u/>
      <sz val="12"/>
      <color theme="1"/>
      <name val="Calibri (Body)"/>
    </font>
    <font>
      <b/>
      <u/>
      <sz val="12"/>
      <color theme="1"/>
      <name val="Calibri"/>
      <family val="2"/>
      <scheme val="minor"/>
    </font>
    <font>
      <u/>
      <sz val="14"/>
      <color theme="1"/>
      <name val="Calibri (Body)"/>
    </font>
    <font>
      <b/>
      <sz val="12"/>
      <color theme="1"/>
      <name val="Calibri (Body)"/>
    </font>
    <font>
      <i/>
      <u/>
      <sz val="12"/>
      <color theme="1"/>
      <name val="Calibri (Body)"/>
    </font>
    <font>
      <b/>
      <sz val="14"/>
      <color rgb="FF00000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2F2F2"/>
        <bgColor rgb="FFFFFFCC"/>
      </patternFill>
    </fill>
    <fill>
      <patternFill patternType="solid">
        <fgColor rgb="FFF2F2F2"/>
        <bgColor rgb="FF000000"/>
      </patternFill>
    </fill>
  </fills>
  <borders count="38">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s>
  <cellStyleXfs count="11">
    <xf numFmtId="0" fontId="0" fillId="0" borderId="0"/>
    <xf numFmtId="43" fontId="11" fillId="0" borderId="0" applyFont="0" applyFill="0" applyBorder="0" applyAlignment="0" applyProtection="0"/>
    <xf numFmtId="0" fontId="22" fillId="0" borderId="0"/>
    <xf numFmtId="0" fontId="7" fillId="0" borderId="0"/>
    <xf numFmtId="0" fontId="23" fillId="0" borderId="0" applyNumberForma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0" fontId="2" fillId="0" borderId="0"/>
    <xf numFmtId="0" fontId="38" fillId="0" borderId="0"/>
  </cellStyleXfs>
  <cellXfs count="471">
    <xf numFmtId="0" fontId="0" fillId="0" borderId="0" xfId="0"/>
    <xf numFmtId="0" fontId="12" fillId="2" borderId="1" xfId="0" applyFont="1" applyFill="1" applyBorder="1"/>
    <xf numFmtId="2" fontId="13" fillId="2" borderId="1" xfId="0" applyNumberFormat="1" applyFont="1" applyFill="1" applyBorder="1" applyAlignment="1">
      <alignment horizontal="left"/>
    </xf>
    <xf numFmtId="0" fontId="12" fillId="0" borderId="0" xfId="0" applyFont="1"/>
    <xf numFmtId="0" fontId="14" fillId="0" borderId="0" xfId="0" applyFont="1"/>
    <xf numFmtId="0" fontId="15" fillId="0" borderId="0" xfId="0" applyFont="1"/>
    <xf numFmtId="3" fontId="17" fillId="2" borderId="0" xfId="0" applyNumberFormat="1" applyFont="1" applyFill="1" applyAlignment="1">
      <alignment horizontal="center" vertical="center" wrapText="1"/>
    </xf>
    <xf numFmtId="0" fontId="17" fillId="2" borderId="0" xfId="0" applyFont="1" applyFill="1" applyAlignment="1">
      <alignment horizontal="center" vertical="center" wrapText="1"/>
    </xf>
    <xf numFmtId="0" fontId="20" fillId="0" borderId="0" xfId="0" applyFont="1"/>
    <xf numFmtId="0" fontId="17" fillId="0" borderId="0" xfId="0" applyFont="1" applyAlignment="1">
      <alignment horizontal="center" vertical="center" wrapText="1"/>
    </xf>
    <xf numFmtId="6" fontId="20" fillId="0" borderId="0" xfId="0" quotePrefix="1" applyNumberFormat="1" applyFont="1"/>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164" fontId="17" fillId="0" borderId="0" xfId="0" applyNumberFormat="1" applyFont="1" applyAlignment="1">
      <alignment horizontal="center" vertical="center" wrapText="1"/>
    </xf>
    <xf numFmtId="0" fontId="20" fillId="0" borderId="0" xfId="0" applyFont="1" applyAlignment="1">
      <alignment horizontal="right"/>
    </xf>
    <xf numFmtId="0" fontId="17" fillId="0" borderId="0" xfId="0" quotePrefix="1" applyFont="1" applyAlignment="1">
      <alignment horizontal="center" vertical="center" wrapText="1"/>
    </xf>
    <xf numFmtId="0" fontId="20" fillId="2" borderId="17" xfId="0" applyFont="1" applyFill="1" applyBorder="1" applyAlignment="1">
      <alignment horizontal="center" vertical="center"/>
    </xf>
    <xf numFmtId="0" fontId="20" fillId="0" borderId="0" xfId="0" applyFont="1" applyAlignment="1">
      <alignment vertical="center"/>
    </xf>
    <xf numFmtId="0" fontId="12" fillId="0" borderId="0" xfId="0" applyFont="1" applyAlignment="1">
      <alignment vertical="center"/>
    </xf>
    <xf numFmtId="0" fontId="15" fillId="0" borderId="0" xfId="0" applyFont="1" applyAlignment="1">
      <alignment vertical="center"/>
    </xf>
    <xf numFmtId="2" fontId="13" fillId="2" borderId="1" xfId="0" applyNumberFormat="1" applyFont="1" applyFill="1" applyBorder="1" applyAlignment="1">
      <alignment horizontal="left" vertical="center"/>
    </xf>
    <xf numFmtId="0" fontId="17" fillId="2" borderId="3" xfId="0" applyFont="1" applyFill="1" applyBorder="1" applyAlignment="1">
      <alignment horizontal="center" wrapText="1"/>
    </xf>
    <xf numFmtId="0" fontId="17" fillId="2" borderId="3"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wrapText="1"/>
    </xf>
    <xf numFmtId="0" fontId="17" fillId="0" borderId="3" xfId="0" applyFont="1" applyBorder="1" applyAlignment="1">
      <alignment horizontal="center" vertical="center" wrapText="1"/>
    </xf>
    <xf numFmtId="0" fontId="10" fillId="2" borderId="17" xfId="0" applyFont="1" applyFill="1" applyBorder="1" applyAlignment="1">
      <alignment horizontal="center" vertical="center"/>
    </xf>
    <xf numFmtId="0" fontId="10" fillId="2" borderId="0" xfId="0" applyFont="1" applyFill="1"/>
    <xf numFmtId="0" fontId="10" fillId="2" borderId="2" xfId="0" applyFont="1" applyFill="1" applyBorder="1"/>
    <xf numFmtId="0" fontId="10" fillId="0" borderId="0" xfId="0" applyFont="1"/>
    <xf numFmtId="164" fontId="10" fillId="0" borderId="0" xfId="0" applyNumberFormat="1" applyFont="1"/>
    <xf numFmtId="0" fontId="10" fillId="0" borderId="5" xfId="0" applyFont="1" applyBorder="1" applyAlignment="1">
      <alignment horizontal="center" wrapText="1"/>
    </xf>
    <xf numFmtId="0" fontId="10" fillId="0" borderId="3" xfId="0" applyFont="1" applyBorder="1" applyAlignment="1">
      <alignment horizontal="center"/>
    </xf>
    <xf numFmtId="0" fontId="10" fillId="0" borderId="4" xfId="0" applyFont="1" applyBorder="1" applyAlignment="1">
      <alignment horizontal="center"/>
    </xf>
    <xf numFmtId="3" fontId="10" fillId="0" borderId="0" xfId="0" applyNumberFormat="1" applyFont="1" applyAlignment="1">
      <alignment horizontal="center"/>
    </xf>
    <xf numFmtId="0" fontId="10" fillId="0" borderId="4" xfId="0" applyFont="1" applyBorder="1" applyAlignment="1">
      <alignment horizontal="center" vertical="center"/>
    </xf>
    <xf numFmtId="3" fontId="10" fillId="0" borderId="0" xfId="0" applyNumberFormat="1" applyFont="1" applyAlignment="1">
      <alignment horizontal="center" vertical="center"/>
    </xf>
    <xf numFmtId="0" fontId="10" fillId="0" borderId="0" xfId="0" applyFont="1" applyAlignment="1">
      <alignment horizontal="center"/>
    </xf>
    <xf numFmtId="0" fontId="10" fillId="2" borderId="0" xfId="0" quotePrefix="1" applyFont="1" applyFill="1"/>
    <xf numFmtId="0" fontId="10" fillId="0" borderId="5" xfId="0" applyFont="1" applyBorder="1" applyAlignment="1">
      <alignment horizontal="center"/>
    </xf>
    <xf numFmtId="165" fontId="10" fillId="0" borderId="0" xfId="0" applyNumberFormat="1" applyFont="1" applyAlignment="1">
      <alignment horizontal="center"/>
    </xf>
    <xf numFmtId="0" fontId="10" fillId="0" borderId="0" xfId="0" applyFont="1" applyAlignment="1">
      <alignment wrapText="1"/>
    </xf>
    <xf numFmtId="0" fontId="10" fillId="0" borderId="0" xfId="0" quotePrefix="1" applyFont="1"/>
    <xf numFmtId="0" fontId="10" fillId="0" borderId="0" xfId="0" applyFont="1" applyAlignment="1">
      <alignment vertical="center"/>
    </xf>
    <xf numFmtId="164" fontId="10" fillId="0" borderId="0" xfId="0" applyNumberFormat="1" applyFont="1" applyAlignment="1">
      <alignment vertical="center"/>
    </xf>
    <xf numFmtId="3" fontId="10" fillId="0" borderId="0" xfId="0" applyNumberFormat="1" applyFont="1" applyAlignment="1">
      <alignment vertical="center"/>
    </xf>
    <xf numFmtId="3" fontId="10" fillId="2" borderId="0" xfId="0" applyNumberFormat="1" applyFont="1" applyFill="1" applyAlignment="1">
      <alignment horizontal="left"/>
    </xf>
    <xf numFmtId="0" fontId="10" fillId="2" borderId="0" xfId="0" applyFont="1" applyFill="1" applyAlignment="1">
      <alignment horizontal="center"/>
    </xf>
    <xf numFmtId="0" fontId="10" fillId="2" borderId="0" xfId="0" applyFont="1" applyFill="1" applyAlignment="1">
      <alignment vertical="center"/>
    </xf>
    <xf numFmtId="0" fontId="10" fillId="2" borderId="2" xfId="0" applyFont="1" applyFill="1" applyBorder="1" applyAlignment="1">
      <alignment vertical="center"/>
    </xf>
    <xf numFmtId="0" fontId="10" fillId="2" borderId="0" xfId="0" quotePrefix="1" applyFont="1" applyFill="1" applyAlignment="1">
      <alignment vertical="center"/>
    </xf>
    <xf numFmtId="164" fontId="10" fillId="0" borderId="10" xfId="0" applyNumberFormat="1" applyFont="1" applyBorder="1"/>
    <xf numFmtId="166" fontId="10" fillId="0" borderId="10" xfId="1" applyNumberFormat="1" applyFont="1" applyBorder="1"/>
    <xf numFmtId="0" fontId="10" fillId="0" borderId="12" xfId="1" applyNumberFormat="1" applyFont="1" applyBorder="1" applyAlignment="1">
      <alignment horizontal="center"/>
    </xf>
    <xf numFmtId="0" fontId="10" fillId="0" borderId="7" xfId="0" applyFont="1" applyBorder="1" applyAlignment="1">
      <alignment horizontal="center"/>
    </xf>
    <xf numFmtId="0" fontId="10" fillId="0" borderId="6" xfId="0" applyFont="1" applyBorder="1" applyAlignment="1">
      <alignment horizontal="center"/>
    </xf>
    <xf numFmtId="164" fontId="10" fillId="0" borderId="9" xfId="0" applyNumberFormat="1" applyFont="1" applyBorder="1"/>
    <xf numFmtId="166" fontId="10" fillId="0" borderId="9" xfId="1" applyNumberFormat="1" applyFont="1" applyBorder="1"/>
    <xf numFmtId="0" fontId="10" fillId="0" borderId="8" xfId="1" applyNumberFormat="1" applyFont="1" applyBorder="1" applyAlignment="1">
      <alignment horizontal="center"/>
    </xf>
    <xf numFmtId="0" fontId="10" fillId="0" borderId="10" xfId="0" applyFont="1" applyBorder="1" applyAlignment="1">
      <alignment horizontal="center"/>
    </xf>
    <xf numFmtId="0" fontId="10" fillId="0" borderId="9" xfId="0" applyFont="1" applyBorder="1" applyAlignment="1">
      <alignment horizontal="center"/>
    </xf>
    <xf numFmtId="0" fontId="10" fillId="0" borderId="11" xfId="0" applyFont="1" applyBorder="1" applyAlignment="1">
      <alignment horizontal="center"/>
    </xf>
    <xf numFmtId="164" fontId="10" fillId="0" borderId="11" xfId="0" applyNumberFormat="1" applyFont="1" applyBorder="1"/>
    <xf numFmtId="166" fontId="10" fillId="0" borderId="11" xfId="1" applyNumberFormat="1" applyFont="1" applyBorder="1"/>
    <xf numFmtId="0" fontId="10" fillId="0" borderId="13" xfId="1" applyNumberFormat="1" applyFont="1" applyBorder="1" applyAlignment="1">
      <alignment horizontal="center"/>
    </xf>
    <xf numFmtId="0" fontId="10" fillId="0" borderId="12" xfId="0" applyFont="1" applyBorder="1" applyAlignment="1">
      <alignment horizontal="center"/>
    </xf>
    <xf numFmtId="0" fontId="10" fillId="0" borderId="8" xfId="0" applyFont="1" applyBorder="1" applyAlignment="1">
      <alignment horizontal="center"/>
    </xf>
    <xf numFmtId="0" fontId="10" fillId="0" borderId="13" xfId="0" applyFont="1" applyBorder="1" applyAlignment="1">
      <alignment horizontal="center"/>
    </xf>
    <xf numFmtId="0" fontId="9" fillId="0" borderId="0" xfId="0" applyFont="1"/>
    <xf numFmtId="164" fontId="9" fillId="0" borderId="0" xfId="0" applyNumberFormat="1" applyFont="1"/>
    <xf numFmtId="0" fontId="9" fillId="0" borderId="0" xfId="0" applyFont="1" applyAlignment="1">
      <alignment vertical="center"/>
    </xf>
    <xf numFmtId="0" fontId="18" fillId="0" borderId="3" xfId="0" applyFont="1" applyBorder="1" applyAlignment="1">
      <alignment horizontal="center" vertical="center" wrapText="1"/>
    </xf>
    <xf numFmtId="0" fontId="8" fillId="0" borderId="14" xfId="0" applyFont="1" applyBorder="1" applyAlignment="1">
      <alignment vertical="center"/>
    </xf>
    <xf numFmtId="0" fontId="8" fillId="0" borderId="15" xfId="0" applyFont="1" applyBorder="1" applyAlignment="1">
      <alignment vertical="center"/>
    </xf>
    <xf numFmtId="3" fontId="8" fillId="0" borderId="16" xfId="0" applyNumberFormat="1" applyFont="1" applyBorder="1" applyAlignment="1">
      <alignment vertical="center"/>
    </xf>
    <xf numFmtId="0" fontId="8" fillId="0" borderId="14" xfId="0" applyFont="1" applyBorder="1" applyAlignment="1">
      <alignment horizontal="center" vertical="center"/>
    </xf>
    <xf numFmtId="164" fontId="8" fillId="0" borderId="16" xfId="0" applyNumberFormat="1" applyFont="1" applyBorder="1" applyAlignment="1">
      <alignment horizontal="center" vertical="center"/>
    </xf>
    <xf numFmtId="3" fontId="8" fillId="0" borderId="16" xfId="0" applyNumberFormat="1" applyFont="1" applyBorder="1" applyAlignment="1">
      <alignment horizontal="center" vertical="center"/>
    </xf>
    <xf numFmtId="0" fontId="8" fillId="0" borderId="14" xfId="0" applyFont="1" applyBorder="1"/>
    <xf numFmtId="0" fontId="8" fillId="0" borderId="15" xfId="0" applyFont="1" applyBorder="1"/>
    <xf numFmtId="1" fontId="8" fillId="0" borderId="16" xfId="0" applyNumberFormat="1" applyFont="1" applyBorder="1"/>
    <xf numFmtId="164" fontId="17" fillId="0" borderId="4" xfId="0" applyNumberFormat="1" applyFont="1" applyBorder="1" applyAlignment="1">
      <alignment horizontal="center" vertical="center" wrapText="1"/>
    </xf>
    <xf numFmtId="0" fontId="17" fillId="0" borderId="4" xfId="0" applyFont="1" applyBorder="1" applyAlignment="1">
      <alignment horizontal="right" vertical="center"/>
    </xf>
    <xf numFmtId="0" fontId="10" fillId="0" borderId="0" xfId="0" quotePrefix="1" applyFont="1" applyAlignment="1">
      <alignment horizontal="left" indent="1"/>
    </xf>
    <xf numFmtId="0" fontId="10" fillId="0" borderId="0" xfId="0" quotePrefix="1" applyFont="1" applyAlignment="1">
      <alignment horizontal="left" indent="2"/>
    </xf>
    <xf numFmtId="0" fontId="10" fillId="0" borderId="0" xfId="0" quotePrefix="1" applyFont="1" applyAlignment="1">
      <alignment horizontal="left" indent="3"/>
    </xf>
    <xf numFmtId="0" fontId="10" fillId="0" borderId="0" xfId="0" applyFont="1" applyAlignment="1">
      <alignment horizontal="left" indent="2"/>
    </xf>
    <xf numFmtId="0" fontId="7" fillId="0" borderId="18" xfId="2" applyFont="1" applyBorder="1" applyAlignment="1">
      <alignment horizontal="center" vertical="center"/>
    </xf>
    <xf numFmtId="0" fontId="7" fillId="0" borderId="17" xfId="2" applyFont="1" applyBorder="1" applyAlignment="1">
      <alignment vertical="center" wrapText="1"/>
    </xf>
    <xf numFmtId="0" fontId="20" fillId="0" borderId="17" xfId="2" applyFont="1" applyBorder="1" applyAlignment="1">
      <alignment horizontal="center" vertical="center"/>
    </xf>
    <xf numFmtId="0" fontId="7" fillId="0" borderId="19" xfId="2" applyFont="1" applyBorder="1" applyAlignment="1">
      <alignment horizontal="center" vertical="center"/>
    </xf>
    <xf numFmtId="0" fontId="7" fillId="0" borderId="0" xfId="2" applyFont="1" applyAlignment="1">
      <alignment horizontal="center" vertical="center"/>
    </xf>
    <xf numFmtId="0" fontId="7" fillId="0" borderId="1" xfId="3" applyBorder="1"/>
    <xf numFmtId="0" fontId="7" fillId="0" borderId="0" xfId="3"/>
    <xf numFmtId="0" fontId="7" fillId="0" borderId="2" xfId="3" applyBorder="1"/>
    <xf numFmtId="0" fontId="23" fillId="0" borderId="0" xfId="4" applyBorder="1"/>
    <xf numFmtId="0" fontId="24" fillId="0" borderId="0" xfId="3" applyFont="1"/>
    <xf numFmtId="0" fontId="7" fillId="0" borderId="0" xfId="3" applyAlignment="1">
      <alignment horizontal="left" vertical="top"/>
    </xf>
    <xf numFmtId="0" fontId="25" fillId="0" borderId="0" xfId="3" applyFont="1"/>
    <xf numFmtId="0" fontId="13" fillId="0" borderId="0" xfId="3" applyFont="1" applyAlignment="1">
      <alignment horizontal="left" vertical="top"/>
    </xf>
    <xf numFmtId="0" fontId="7" fillId="0" borderId="20" xfId="2" applyFont="1" applyBorder="1" applyAlignment="1">
      <alignment horizontal="center" vertical="center"/>
    </xf>
    <xf numFmtId="0" fontId="7" fillId="0" borderId="21" xfId="2" applyFont="1" applyBorder="1" applyAlignment="1">
      <alignment horizontal="center" vertical="center"/>
    </xf>
    <xf numFmtId="0" fontId="7" fillId="0" borderId="22" xfId="2" applyFont="1" applyBorder="1" applyAlignment="1">
      <alignment horizontal="center" vertical="center"/>
    </xf>
    <xf numFmtId="0" fontId="0" fillId="0" borderId="0" xfId="0" applyAlignment="1">
      <alignment horizontal="left"/>
    </xf>
    <xf numFmtId="0" fontId="26" fillId="0" borderId="0" xfId="0" applyFont="1"/>
    <xf numFmtId="3" fontId="0" fillId="0" borderId="16" xfId="0" applyNumberFormat="1" applyBorder="1" applyAlignment="1">
      <alignment horizontal="center"/>
    </xf>
    <xf numFmtId="0" fontId="0" fillId="0" borderId="14" xfId="0" applyBorder="1" applyAlignment="1">
      <alignment horizontal="left"/>
    </xf>
    <xf numFmtId="0" fontId="27" fillId="0" borderId="0" xfId="0" applyFont="1" applyAlignment="1">
      <alignment horizontal="left"/>
    </xf>
    <xf numFmtId="0" fontId="0" fillId="0" borderId="0" xfId="0" applyAlignment="1">
      <alignment horizontal="center"/>
    </xf>
    <xf numFmtId="3" fontId="0" fillId="0" borderId="0" xfId="0" applyNumberFormat="1" applyAlignment="1">
      <alignment horizontal="center"/>
    </xf>
    <xf numFmtId="3" fontId="0" fillId="0" borderId="0" xfId="0" quotePrefix="1" applyNumberFormat="1" applyAlignment="1">
      <alignment horizontal="center"/>
    </xf>
    <xf numFmtId="167" fontId="0" fillId="0" borderId="0" xfId="0" applyNumberFormat="1" applyAlignment="1">
      <alignment horizontal="center"/>
    </xf>
    <xf numFmtId="0" fontId="0" fillId="0" borderId="4" xfId="0" applyBorder="1" applyAlignment="1">
      <alignment horizontal="center"/>
    </xf>
    <xf numFmtId="167" fontId="0" fillId="0" borderId="22" xfId="0" applyNumberFormat="1" applyBorder="1"/>
    <xf numFmtId="3" fontId="0" fillId="0" borderId="20" xfId="0" applyNumberFormat="1" applyBorder="1"/>
    <xf numFmtId="0" fontId="0" fillId="0" borderId="3" xfId="0" applyBorder="1" applyAlignment="1">
      <alignment horizontal="center"/>
    </xf>
    <xf numFmtId="0" fontId="0" fillId="2" borderId="16" xfId="0" applyFill="1" applyBorder="1"/>
    <xf numFmtId="0" fontId="0" fillId="2" borderId="15" xfId="0" applyFill="1" applyBorder="1"/>
    <xf numFmtId="0" fontId="0" fillId="2" borderId="14" xfId="0" applyFill="1" applyBorder="1"/>
    <xf numFmtId="167" fontId="0" fillId="0" borderId="2" xfId="0" applyNumberFormat="1" applyBorder="1"/>
    <xf numFmtId="3" fontId="0" fillId="0" borderId="1" xfId="0" applyNumberFormat="1" applyBorder="1"/>
    <xf numFmtId="0" fontId="0" fillId="2" borderId="2" xfId="0" applyFill="1" applyBorder="1"/>
    <xf numFmtId="0" fontId="0" fillId="2" borderId="0" xfId="0" applyFill="1"/>
    <xf numFmtId="0" fontId="28" fillId="2" borderId="0" xfId="0" applyFont="1" applyFill="1"/>
    <xf numFmtId="0" fontId="0" fillId="2" borderId="1" xfId="0" applyFill="1" applyBorder="1"/>
    <xf numFmtId="0" fontId="0" fillId="2" borderId="0" xfId="0" applyFill="1" applyAlignment="1">
      <alignment horizontal="center"/>
    </xf>
    <xf numFmtId="43" fontId="0" fillId="0" borderId="0" xfId="1" applyFont="1" applyAlignment="1">
      <alignment horizontal="center"/>
    </xf>
    <xf numFmtId="0" fontId="0" fillId="2" borderId="0" xfId="0" applyFill="1" applyAlignment="1">
      <alignment horizontal="left"/>
    </xf>
    <xf numFmtId="167" fontId="0" fillId="0" borderId="19" xfId="0" applyNumberFormat="1" applyBorder="1"/>
    <xf numFmtId="3" fontId="0" fillId="0" borderId="18" xfId="0" applyNumberFormat="1" applyBorder="1"/>
    <xf numFmtId="0" fontId="0" fillId="0" borderId="5" xfId="0" applyBorder="1" applyAlignment="1">
      <alignment horizontal="center"/>
    </xf>
    <xf numFmtId="0" fontId="0" fillId="2" borderId="0" xfId="0" applyFill="1" applyAlignment="1">
      <alignment wrapText="1"/>
    </xf>
    <xf numFmtId="0" fontId="0" fillId="2" borderId="0" xfId="0" quotePrefix="1" applyFill="1"/>
    <xf numFmtId="167" fontId="0" fillId="0" borderId="3" xfId="0" applyNumberFormat="1" applyBorder="1" applyAlignment="1">
      <alignment horizontal="center"/>
    </xf>
    <xf numFmtId="164" fontId="0" fillId="2" borderId="5" xfId="0" applyNumberForma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0" fontId="0" fillId="2" borderId="4" xfId="0" applyFill="1" applyBorder="1" applyAlignment="1">
      <alignment horizontal="center"/>
    </xf>
    <xf numFmtId="0" fontId="0" fillId="2" borderId="9" xfId="0" applyFill="1" applyBorder="1" applyAlignment="1">
      <alignment horizontal="center"/>
    </xf>
    <xf numFmtId="0" fontId="0" fillId="2" borderId="23" xfId="0" applyFill="1" applyBorder="1"/>
    <xf numFmtId="0" fontId="0" fillId="2" borderId="24" xfId="0" applyFill="1" applyBorder="1"/>
    <xf numFmtId="0" fontId="0" fillId="2" borderId="25" xfId="0" applyFill="1" applyBorder="1" applyAlignment="1">
      <alignment horizontal="center"/>
    </xf>
    <xf numFmtId="167" fontId="0" fillId="0" borderId="0" xfId="1" applyNumberFormat="1" applyFont="1" applyAlignment="1">
      <alignment horizontal="center"/>
    </xf>
    <xf numFmtId="0" fontId="30" fillId="0" borderId="0" xfId="0" applyFont="1" applyAlignment="1">
      <alignment horizontal="left"/>
    </xf>
    <xf numFmtId="0" fontId="0" fillId="2" borderId="19" xfId="0" applyFill="1" applyBorder="1"/>
    <xf numFmtId="0" fontId="0" fillId="2" borderId="17" xfId="0" applyFill="1" applyBorder="1"/>
    <xf numFmtId="0" fontId="0" fillId="2" borderId="17" xfId="0" applyFill="1" applyBorder="1" applyAlignment="1">
      <alignment horizontal="center"/>
    </xf>
    <xf numFmtId="0" fontId="27" fillId="2" borderId="17" xfId="0" applyFont="1" applyFill="1" applyBorder="1"/>
    <xf numFmtId="0" fontId="26" fillId="2" borderId="18" xfId="0" applyFont="1" applyFill="1" applyBorder="1"/>
    <xf numFmtId="3" fontId="0" fillId="0" borderId="0" xfId="0" applyNumberFormat="1"/>
    <xf numFmtId="0" fontId="29" fillId="0" borderId="0" xfId="0" applyFont="1" applyAlignment="1">
      <alignment vertical="top" wrapText="1"/>
    </xf>
    <xf numFmtId="6" fontId="0" fillId="0" borderId="0" xfId="0" applyNumberFormat="1"/>
    <xf numFmtId="0" fontId="28" fillId="0" borderId="0" xfId="0" applyFont="1"/>
    <xf numFmtId="0" fontId="0" fillId="2" borderId="15" xfId="0" applyFill="1" applyBorder="1" applyAlignment="1">
      <alignment horizontal="center"/>
    </xf>
    <xf numFmtId="168" fontId="0" fillId="0" borderId="16" xfId="0" applyNumberFormat="1" applyBorder="1" applyAlignment="1">
      <alignment horizontal="center"/>
    </xf>
    <xf numFmtId="0" fontId="0" fillId="0" borderId="14" xfId="0" applyBorder="1" applyAlignment="1">
      <alignment horizontal="center"/>
    </xf>
    <xf numFmtId="2" fontId="0" fillId="2" borderId="0" xfId="0" applyNumberFormat="1" applyFill="1" applyAlignment="1">
      <alignment horizontal="center"/>
    </xf>
    <xf numFmtId="6" fontId="0" fillId="2" borderId="0" xfId="0" applyNumberFormat="1" applyFill="1" applyAlignment="1">
      <alignment horizontal="center"/>
    </xf>
    <xf numFmtId="0" fontId="0" fillId="2" borderId="0" xfId="0" applyFill="1" applyAlignment="1">
      <alignment horizontal="left" wrapText="1"/>
    </xf>
    <xf numFmtId="0" fontId="0" fillId="2" borderId="11" xfId="0" quotePrefix="1" applyFill="1" applyBorder="1" applyAlignment="1">
      <alignment horizontal="center"/>
    </xf>
    <xf numFmtId="164" fontId="0" fillId="2" borderId="4" xfId="0" applyNumberFormat="1" applyFill="1" applyBorder="1" applyAlignment="1">
      <alignment horizontal="center"/>
    </xf>
    <xf numFmtId="0" fontId="0" fillId="2" borderId="9" xfId="0" quotePrefix="1" applyFill="1" applyBorder="1" applyAlignment="1">
      <alignment horizontal="center"/>
    </xf>
    <xf numFmtId="3" fontId="0" fillId="0" borderId="11" xfId="0" applyNumberFormat="1" applyBorder="1" applyAlignment="1">
      <alignment horizontal="center"/>
    </xf>
    <xf numFmtId="3" fontId="0" fillId="0" borderId="9" xfId="0" applyNumberFormat="1" applyBorder="1" applyAlignment="1">
      <alignment horizontal="center"/>
    </xf>
    <xf numFmtId="3" fontId="0" fillId="0" borderId="10" xfId="0" applyNumberFormat="1" applyBorder="1" applyAlignment="1">
      <alignment horizontal="center"/>
    </xf>
    <xf numFmtId="0" fontId="0" fillId="0" borderId="13" xfId="0"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3" fontId="0" fillId="0" borderId="3" xfId="0" applyNumberFormat="1" applyBorder="1" applyAlignment="1">
      <alignment horizontal="center"/>
    </xf>
    <xf numFmtId="166" fontId="0" fillId="0" borderId="11" xfId="0" applyNumberFormat="1" applyBorder="1"/>
    <xf numFmtId="166" fontId="0" fillId="0" borderId="9" xfId="0" applyNumberFormat="1" applyBorder="1"/>
    <xf numFmtId="166" fontId="0" fillId="0" borderId="9" xfId="0" quotePrefix="1" applyNumberFormat="1" applyBorder="1"/>
    <xf numFmtId="166" fontId="0" fillId="0" borderId="10" xfId="0" applyNumberFormat="1" applyBorder="1"/>
    <xf numFmtId="166" fontId="0" fillId="0" borderId="0" xfId="0" applyNumberFormat="1" applyAlignment="1">
      <alignment horizontal="center"/>
    </xf>
    <xf numFmtId="166" fontId="0" fillId="0" borderId="0" xfId="0" applyNumberFormat="1" applyAlignment="1">
      <alignment horizontal="left"/>
    </xf>
    <xf numFmtId="0" fontId="0" fillId="0" borderId="3" xfId="0" quotePrefix="1" applyBorder="1" applyAlignment="1">
      <alignment horizontal="center"/>
    </xf>
    <xf numFmtId="166" fontId="0" fillId="0" borderId="3" xfId="0" quotePrefix="1" applyNumberFormat="1" applyBorder="1" applyAlignment="1">
      <alignment horizontal="center"/>
    </xf>
    <xf numFmtId="166" fontId="11" fillId="0" borderId="0" xfId="1" applyNumberFormat="1" applyFont="1" applyAlignment="1">
      <alignment horizontal="center"/>
    </xf>
    <xf numFmtId="167" fontId="0" fillId="0" borderId="11" xfId="0" quotePrefix="1" applyNumberFormat="1" applyBorder="1" applyAlignment="1">
      <alignment horizontal="center"/>
    </xf>
    <xf numFmtId="167" fontId="0" fillId="0" borderId="9" xfId="0" applyNumberFormat="1" applyBorder="1" applyAlignment="1">
      <alignment horizontal="center"/>
    </xf>
    <xf numFmtId="0" fontId="28" fillId="2" borderId="15" xfId="0" applyFont="1" applyFill="1" applyBorder="1"/>
    <xf numFmtId="167" fontId="0" fillId="0" borderId="10" xfId="0" applyNumberFormat="1" applyBorder="1" applyAlignment="1">
      <alignment horizontal="center"/>
    </xf>
    <xf numFmtId="3" fontId="0" fillId="2" borderId="0" xfId="0" applyNumberFormat="1" applyFill="1" applyAlignment="1">
      <alignment horizontal="center"/>
    </xf>
    <xf numFmtId="3" fontId="0" fillId="2" borderId="5" xfId="0" applyNumberFormat="1" applyFill="1" applyBorder="1" applyAlignment="1">
      <alignment horizontal="center"/>
    </xf>
    <xf numFmtId="3" fontId="0" fillId="2" borderId="3" xfId="0" applyNumberFormat="1" applyFill="1" applyBorder="1" applyAlignment="1">
      <alignment horizontal="center"/>
    </xf>
    <xf numFmtId="3" fontId="0" fillId="2" borderId="4" xfId="0" applyNumberFormat="1" applyFill="1" applyBorder="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0" fillId="2" borderId="10" xfId="0" applyFill="1" applyBorder="1" applyAlignment="1">
      <alignment horizontal="center"/>
    </xf>
    <xf numFmtId="0" fontId="0" fillId="2" borderId="22" xfId="0" applyFill="1" applyBorder="1" applyAlignment="1">
      <alignment horizontal="left"/>
    </xf>
    <xf numFmtId="0" fontId="0" fillId="2" borderId="21" xfId="0" applyFill="1" applyBorder="1" applyAlignment="1">
      <alignment horizontal="left"/>
    </xf>
    <xf numFmtId="0" fontId="0" fillId="2" borderId="20"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27" fillId="2" borderId="0" xfId="0" applyFont="1" applyFill="1" applyAlignment="1">
      <alignment horizontal="left"/>
    </xf>
    <xf numFmtId="0" fontId="31" fillId="0" borderId="0" xfId="0" applyFont="1" applyAlignment="1">
      <alignment horizontal="left"/>
    </xf>
    <xf numFmtId="0" fontId="0" fillId="0" borderId="0" xfId="0" quotePrefix="1" applyAlignment="1">
      <alignment horizontal="left"/>
    </xf>
    <xf numFmtId="0" fontId="30" fillId="0" borderId="0" xfId="0" quotePrefix="1" applyFont="1" applyAlignment="1">
      <alignment horizontal="left"/>
    </xf>
    <xf numFmtId="0" fontId="32" fillId="2" borderId="0" xfId="0" applyFont="1" applyFill="1" applyAlignment="1">
      <alignment horizontal="left"/>
    </xf>
    <xf numFmtId="0" fontId="27" fillId="0" borderId="0" xfId="0" quotePrefix="1" applyFont="1" applyAlignment="1">
      <alignment horizontal="left"/>
    </xf>
    <xf numFmtId="0" fontId="0" fillId="2" borderId="19" xfId="0" applyFill="1" applyBorder="1" applyAlignment="1">
      <alignment horizontal="left"/>
    </xf>
    <xf numFmtId="0" fontId="0" fillId="2" borderId="17" xfId="0" applyFill="1" applyBorder="1" applyAlignment="1">
      <alignment horizontal="left"/>
    </xf>
    <xf numFmtId="0" fontId="0" fillId="2" borderId="15" xfId="0" quotePrefix="1" applyFill="1" applyBorder="1"/>
    <xf numFmtId="0" fontId="0" fillId="2" borderId="14" xfId="0" applyFill="1" applyBorder="1" applyAlignment="1">
      <alignment horizontal="left"/>
    </xf>
    <xf numFmtId="0" fontId="0" fillId="2" borderId="22" xfId="0" applyFill="1" applyBorder="1"/>
    <xf numFmtId="0" fontId="0" fillId="2" borderId="21" xfId="0" applyFill="1" applyBorder="1"/>
    <xf numFmtId="0" fontId="0" fillId="2" borderId="21" xfId="0" quotePrefix="1" applyFill="1" applyBorder="1"/>
    <xf numFmtId="43" fontId="27" fillId="0" borderId="0" xfId="0" applyNumberFormat="1" applyFont="1"/>
    <xf numFmtId="0" fontId="27" fillId="0" borderId="0" xfId="0" applyFont="1"/>
    <xf numFmtId="2" fontId="0" fillId="0" borderId="0" xfId="0" applyNumberFormat="1"/>
    <xf numFmtId="1" fontId="0" fillId="0" borderId="16" xfId="0" applyNumberFormat="1" applyBorder="1" applyAlignment="1">
      <alignment horizontal="center"/>
    </xf>
    <xf numFmtId="0" fontId="0" fillId="0" borderId="14" xfId="0" applyBorder="1"/>
    <xf numFmtId="0" fontId="0" fillId="2" borderId="5" xfId="0" applyFill="1" applyBorder="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43" fontId="0" fillId="0" borderId="0" xfId="1" applyFont="1"/>
    <xf numFmtId="43" fontId="0" fillId="0" borderId="0" xfId="0" applyNumberFormat="1"/>
    <xf numFmtId="167" fontId="0" fillId="0" borderId="0" xfId="1" applyNumberFormat="1" applyFont="1"/>
    <xf numFmtId="0" fontId="0" fillId="0" borderId="0" xfId="0" quotePrefix="1"/>
    <xf numFmtId="166" fontId="0" fillId="0" borderId="0" xfId="1" applyNumberFormat="1" applyFont="1"/>
    <xf numFmtId="2" fontId="27" fillId="2" borderId="0" xfId="0" applyNumberFormat="1" applyFont="1" applyFill="1" applyAlignment="1">
      <alignment horizontal="center"/>
    </xf>
    <xf numFmtId="0" fontId="27" fillId="2" borderId="0" xfId="0" applyFont="1" applyFill="1"/>
    <xf numFmtId="0" fontId="0" fillId="2" borderId="18" xfId="0" applyFill="1" applyBorder="1" applyAlignment="1">
      <alignment horizontal="left"/>
    </xf>
    <xf numFmtId="0" fontId="0" fillId="2" borderId="26" xfId="0" applyFill="1" applyBorder="1" applyAlignment="1">
      <alignment horizontal="center"/>
    </xf>
    <xf numFmtId="0" fontId="0" fillId="2" borderId="25" xfId="0" applyFill="1" applyBorder="1"/>
    <xf numFmtId="0" fontId="5" fillId="0" borderId="0" xfId="0" applyFont="1"/>
    <xf numFmtId="3" fontId="0" fillId="2" borderId="8" xfId="0" applyNumberFormat="1" applyFill="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0" fontId="5" fillId="0" borderId="0" xfId="0" applyFont="1" applyAlignment="1">
      <alignment horizontal="center"/>
    </xf>
    <xf numFmtId="0" fontId="5" fillId="0" borderId="4" xfId="0" applyFont="1" applyBorder="1" applyAlignment="1">
      <alignment horizontal="center"/>
    </xf>
    <xf numFmtId="3" fontId="5" fillId="0" borderId="0" xfId="0" applyNumberFormat="1" applyFont="1" applyAlignment="1">
      <alignment horizontal="center"/>
    </xf>
    <xf numFmtId="165" fontId="5" fillId="0" borderId="0" xfId="0" applyNumberFormat="1" applyFont="1" applyAlignment="1">
      <alignment horizontal="center"/>
    </xf>
    <xf numFmtId="3" fontId="0" fillId="2" borderId="13" xfId="0" applyNumberFormat="1" applyFill="1" applyBorder="1" applyAlignment="1">
      <alignment horizontal="center"/>
    </xf>
    <xf numFmtId="3" fontId="0" fillId="2" borderId="2" xfId="0" applyNumberFormat="1" applyFill="1" applyBorder="1" applyAlignment="1">
      <alignment horizontal="center"/>
    </xf>
    <xf numFmtId="0" fontId="0" fillId="2" borderId="0" xfId="0" quotePrefix="1" applyFill="1" applyAlignment="1">
      <alignment horizontal="left" indent="1"/>
    </xf>
    <xf numFmtId="164" fontId="5" fillId="0" borderId="0" xfId="0" applyNumberFormat="1" applyFont="1"/>
    <xf numFmtId="169" fontId="11" fillId="0" borderId="16" xfId="5" applyNumberFormat="1" applyFont="1" applyBorder="1"/>
    <xf numFmtId="0" fontId="26" fillId="0" borderId="0" xfId="0" applyFont="1" applyAlignment="1">
      <alignment horizontal="left"/>
    </xf>
    <xf numFmtId="0" fontId="4" fillId="2" borderId="0" xfId="0" applyFont="1" applyFill="1" applyAlignment="1">
      <alignment horizontal="center"/>
    </xf>
    <xf numFmtId="0" fontId="34" fillId="0" borderId="0" xfId="0" applyFont="1" applyAlignment="1">
      <alignment vertical="top" wrapText="1"/>
    </xf>
    <xf numFmtId="0" fontId="2" fillId="0" borderId="0" xfId="0" applyFont="1" applyAlignment="1">
      <alignment horizontal="left" vertical="top" wrapText="1"/>
    </xf>
    <xf numFmtId="0" fontId="16" fillId="0" borderId="0" xfId="0" applyFont="1" applyAlignment="1">
      <alignment vertical="center"/>
    </xf>
    <xf numFmtId="0" fontId="2" fillId="2" borderId="0" xfId="0" applyFont="1" applyFill="1"/>
    <xf numFmtId="0" fontId="2" fillId="2" borderId="2" xfId="0" applyFont="1" applyFill="1" applyBorder="1"/>
    <xf numFmtId="0" fontId="2" fillId="0" borderId="0" xfId="0" applyFont="1"/>
    <xf numFmtId="2" fontId="2" fillId="2" borderId="1" xfId="0" applyNumberFormat="1" applyFont="1" applyFill="1" applyBorder="1" applyAlignment="1">
      <alignment horizontal="left"/>
    </xf>
    <xf numFmtId="164" fontId="2" fillId="0" borderId="0" xfId="0" applyNumberFormat="1" applyFont="1"/>
    <xf numFmtId="0" fontId="2" fillId="2" borderId="20" xfId="0" applyFont="1" applyFill="1" applyBorder="1"/>
    <xf numFmtId="0" fontId="2" fillId="2" borderId="21" xfId="0" applyFont="1" applyFill="1" applyBorder="1"/>
    <xf numFmtId="170" fontId="2" fillId="2" borderId="21" xfId="6" applyNumberFormat="1" applyFont="1" applyFill="1" applyBorder="1"/>
    <xf numFmtId="0" fontId="2" fillId="2" borderId="22" xfId="0" applyFont="1" applyFill="1" applyBorder="1"/>
    <xf numFmtId="0" fontId="15" fillId="0" borderId="0" xfId="7" applyFont="1"/>
    <xf numFmtId="0" fontId="2" fillId="0" borderId="0" xfId="7" applyFont="1"/>
    <xf numFmtId="0" fontId="2" fillId="2" borderId="17" xfId="0" applyFont="1" applyFill="1" applyBorder="1"/>
    <xf numFmtId="0" fontId="2" fillId="2" borderId="17" xfId="7" applyFont="1" applyFill="1" applyBorder="1"/>
    <xf numFmtId="0" fontId="2" fillId="2" borderId="19" xfId="7" applyFont="1" applyFill="1" applyBorder="1"/>
    <xf numFmtId="0" fontId="12" fillId="0" borderId="0" xfId="7" applyFont="1"/>
    <xf numFmtId="0" fontId="2" fillId="2" borderId="0" xfId="7" applyFont="1" applyFill="1"/>
    <xf numFmtId="0" fontId="2" fillId="2" borderId="2" xfId="7" applyFont="1" applyFill="1" applyBorder="1"/>
    <xf numFmtId="2" fontId="2" fillId="2" borderId="1" xfId="7" applyNumberFormat="1" applyFont="1" applyFill="1" applyBorder="1" applyAlignment="1">
      <alignment horizontal="left"/>
    </xf>
    <xf numFmtId="2" fontId="2" fillId="2" borderId="20" xfId="7" applyNumberFormat="1" applyFont="1" applyFill="1" applyBorder="1" applyAlignment="1">
      <alignment horizontal="left"/>
    </xf>
    <xf numFmtId="0" fontId="2" fillId="2" borderId="21" xfId="7" applyFont="1" applyFill="1" applyBorder="1"/>
    <xf numFmtId="0" fontId="2" fillId="2" borderId="22" xfId="7" applyFont="1" applyFill="1" applyBorder="1"/>
    <xf numFmtId="0" fontId="2" fillId="0" borderId="0" xfId="7" applyFont="1" applyAlignment="1">
      <alignment horizontal="left" wrapText="1"/>
    </xf>
    <xf numFmtId="0" fontId="14" fillId="0" borderId="0" xfId="7" applyFont="1"/>
    <xf numFmtId="0" fontId="2" fillId="0" borderId="0" xfId="7" applyFont="1" applyAlignment="1">
      <alignment vertical="top" wrapText="1"/>
    </xf>
    <xf numFmtId="0" fontId="2" fillId="0" borderId="0" xfId="7" applyFont="1" applyAlignment="1">
      <alignment wrapText="1"/>
    </xf>
    <xf numFmtId="164" fontId="2" fillId="0" borderId="0" xfId="7" applyNumberFormat="1" applyFont="1"/>
    <xf numFmtId="0" fontId="20" fillId="3" borderId="25" xfId="0" applyFont="1" applyFill="1" applyBorder="1" applyAlignment="1">
      <alignment horizontal="center"/>
    </xf>
    <xf numFmtId="0" fontId="2" fillId="2" borderId="0" xfId="0" applyFont="1" applyFill="1" applyAlignment="1">
      <alignment horizontal="left" vertical="top" wrapText="1"/>
    </xf>
    <xf numFmtId="0" fontId="2" fillId="2" borderId="26" xfId="0" applyFont="1" applyFill="1" applyBorder="1" applyAlignment="1">
      <alignment horizontal="center"/>
    </xf>
    <xf numFmtId="0" fontId="2" fillId="2" borderId="23" xfId="0" applyFont="1" applyFill="1" applyBorder="1" applyAlignment="1">
      <alignment horizontal="center"/>
    </xf>
    <xf numFmtId="0" fontId="2" fillId="2" borderId="25"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10" xfId="0" applyFont="1" applyFill="1" applyBorder="1" applyAlignment="1">
      <alignment horizontal="center" vertical="center" wrapText="1"/>
    </xf>
    <xf numFmtId="3" fontId="2" fillId="2" borderId="7" xfId="0" applyNumberFormat="1" applyFont="1"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 fontId="2" fillId="2" borderId="0" xfId="0" applyNumberFormat="1" applyFont="1" applyFill="1" applyAlignment="1">
      <alignment horizontal="center"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1" xfId="0"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2" xfId="0" applyFont="1" applyFill="1" applyBorder="1" applyAlignment="1">
      <alignment horizontal="center"/>
    </xf>
    <xf numFmtId="168" fontId="2" fillId="2" borderId="12" xfId="0" applyNumberFormat="1" applyFont="1" applyFill="1" applyBorder="1" applyAlignment="1">
      <alignment horizontal="center"/>
    </xf>
    <xf numFmtId="171" fontId="2" fillId="2" borderId="6" xfId="0" applyNumberFormat="1" applyFont="1" applyFill="1" applyBorder="1" applyAlignment="1">
      <alignment horizontal="center"/>
    </xf>
    <xf numFmtId="0" fontId="2" fillId="2" borderId="8" xfId="0" applyFont="1" applyFill="1" applyBorder="1" applyAlignment="1">
      <alignment horizontal="center"/>
    </xf>
    <xf numFmtId="168" fontId="2" fillId="2" borderId="8" xfId="0" applyNumberFormat="1" applyFont="1" applyFill="1" applyBorder="1" applyAlignment="1">
      <alignment horizontal="center"/>
    </xf>
    <xf numFmtId="171" fontId="2" fillId="2" borderId="4" xfId="0" applyNumberFormat="1" applyFont="1" applyFill="1" applyBorder="1" applyAlignment="1">
      <alignment horizontal="center"/>
    </xf>
    <xf numFmtId="0" fontId="2" fillId="2" borderId="13" xfId="0" applyFont="1" applyFill="1" applyBorder="1" applyAlignment="1">
      <alignment horizontal="center"/>
    </xf>
    <xf numFmtId="168" fontId="2" fillId="2" borderId="13" xfId="0" applyNumberFormat="1" applyFont="1" applyFill="1" applyBorder="1" applyAlignment="1">
      <alignment horizontal="center"/>
    </xf>
    <xf numFmtId="171" fontId="2" fillId="2" borderId="5" xfId="0" applyNumberFormat="1" applyFont="1" applyFill="1" applyBorder="1" applyAlignment="1">
      <alignment horizontal="center"/>
    </xf>
    <xf numFmtId="0" fontId="2" fillId="2" borderId="0" xfId="0" applyFont="1" applyFill="1" applyAlignment="1">
      <alignment horizontal="center"/>
    </xf>
    <xf numFmtId="3" fontId="2" fillId="2" borderId="0" xfId="0" applyNumberFormat="1" applyFont="1" applyFill="1" applyAlignment="1">
      <alignment horizontal="center"/>
    </xf>
    <xf numFmtId="3" fontId="2" fillId="2" borderId="0" xfId="0" applyNumberFormat="1" applyFont="1" applyFill="1" applyAlignment="1">
      <alignment horizontal="center" vertical="center"/>
    </xf>
    <xf numFmtId="172" fontId="2" fillId="2" borderId="0" xfId="0" applyNumberFormat="1" applyFont="1" applyFill="1" applyAlignment="1">
      <alignment horizontal="center"/>
    </xf>
    <xf numFmtId="169" fontId="2" fillId="2" borderId="0" xfId="5" applyNumberFormat="1" applyFont="1" applyFill="1" applyAlignment="1">
      <alignment horizontal="center" vertical="center"/>
    </xf>
    <xf numFmtId="0" fontId="2" fillId="0" borderId="0" xfId="0" applyFont="1" applyAlignment="1">
      <alignment horizontal="center"/>
    </xf>
    <xf numFmtId="0" fontId="2" fillId="0" borderId="4" xfId="0" applyFont="1" applyBorder="1" applyAlignment="1">
      <alignment horizontal="center"/>
    </xf>
    <xf numFmtId="0" fontId="2" fillId="0" borderId="27" xfId="0" applyFont="1" applyBorder="1" applyAlignment="1">
      <alignment horizontal="center"/>
    </xf>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center"/>
    </xf>
    <xf numFmtId="0" fontId="2" fillId="0" borderId="28" xfId="0" applyFont="1" applyBorder="1" applyAlignment="1">
      <alignment horizontal="center"/>
    </xf>
    <xf numFmtId="0" fontId="2" fillId="0" borderId="4" xfId="0" applyFont="1" applyBorder="1" applyAlignment="1">
      <alignment horizontal="center" vertical="center"/>
    </xf>
    <xf numFmtId="3" fontId="2" fillId="0" borderId="0" xfId="0" applyNumberFormat="1" applyFont="1" applyAlignment="1">
      <alignment horizontal="center" vertical="center"/>
    </xf>
    <xf numFmtId="3" fontId="2" fillId="0" borderId="3" xfId="0" applyNumberFormat="1" applyFont="1" applyBorder="1" applyAlignment="1">
      <alignment horizontal="center" vertical="center"/>
    </xf>
    <xf numFmtId="3" fontId="2" fillId="0" borderId="29" xfId="0" applyNumberFormat="1" applyFont="1" applyBorder="1" applyAlignment="1">
      <alignment horizontal="center" vertical="center"/>
    </xf>
    <xf numFmtId="3" fontId="2" fillId="0" borderId="5" xfId="0" applyNumberFormat="1" applyFont="1" applyBorder="1" applyAlignment="1">
      <alignment horizontal="center" vertical="center"/>
    </xf>
    <xf numFmtId="0" fontId="2" fillId="0" borderId="5" xfId="0" applyFont="1" applyBorder="1" applyAlignment="1">
      <alignment horizontal="center"/>
    </xf>
    <xf numFmtId="3" fontId="2" fillId="0" borderId="28" xfId="0" applyNumberFormat="1" applyFont="1" applyBorder="1" applyAlignment="1">
      <alignment horizontal="center" vertical="center"/>
    </xf>
    <xf numFmtId="0" fontId="2" fillId="0" borderId="6" xfId="0" applyFont="1" applyBorder="1" applyAlignment="1">
      <alignment horizontal="center"/>
    </xf>
    <xf numFmtId="0" fontId="2" fillId="0" borderId="7" xfId="0" applyFont="1" applyBorder="1"/>
    <xf numFmtId="3" fontId="2" fillId="0" borderId="30" xfId="0" applyNumberFormat="1" applyFont="1" applyBorder="1" applyAlignment="1">
      <alignment horizontal="center"/>
    </xf>
    <xf numFmtId="0" fontId="2" fillId="0" borderId="17" xfId="0" applyFont="1" applyBorder="1"/>
    <xf numFmtId="0" fontId="25" fillId="0" borderId="0" xfId="0" applyFont="1"/>
    <xf numFmtId="0" fontId="2" fillId="0" borderId="0" xfId="0" applyFont="1" applyAlignment="1">
      <alignment vertical="top"/>
    </xf>
    <xf numFmtId="0" fontId="2" fillId="0" borderId="0" xfId="0" applyFont="1" applyAlignment="1">
      <alignment vertical="top" wrapText="1"/>
    </xf>
    <xf numFmtId="0" fontId="2" fillId="2" borderId="6" xfId="0" applyFont="1" applyFill="1" applyBorder="1" applyAlignment="1">
      <alignment horizontal="center"/>
    </xf>
    <xf numFmtId="0" fontId="2" fillId="2" borderId="5" xfId="0" applyFont="1" applyFill="1" applyBorder="1" applyAlignment="1">
      <alignment horizontal="center"/>
    </xf>
    <xf numFmtId="168" fontId="2" fillId="2" borderId="6" xfId="0" applyNumberFormat="1" applyFont="1" applyFill="1" applyBorder="1" applyAlignment="1">
      <alignment horizontal="center"/>
    </xf>
    <xf numFmtId="168" fontId="2" fillId="2" borderId="4" xfId="0" applyNumberFormat="1" applyFont="1" applyFill="1" applyBorder="1" applyAlignment="1">
      <alignment horizontal="center"/>
    </xf>
    <xf numFmtId="168" fontId="2" fillId="2" borderId="5" xfId="0" applyNumberFormat="1" applyFont="1" applyFill="1" applyBorder="1" applyAlignment="1">
      <alignment horizontal="center"/>
    </xf>
    <xf numFmtId="0" fontId="31" fillId="4" borderId="0" xfId="0" applyFont="1" applyFill="1" applyAlignment="1">
      <alignment horizontal="left" vertical="top"/>
    </xf>
    <xf numFmtId="3" fontId="31" fillId="2" borderId="0" xfId="0" applyNumberFormat="1" applyFont="1" applyFill="1" applyAlignment="1">
      <alignment horizontal="center" vertical="center"/>
    </xf>
    <xf numFmtId="169" fontId="31" fillId="2" borderId="0" xfId="5" applyNumberFormat="1" applyFont="1" applyFill="1" applyAlignment="1">
      <alignment horizontal="center" vertical="center"/>
    </xf>
    <xf numFmtId="0" fontId="31" fillId="2" borderId="0" xfId="0" applyFont="1" applyFill="1"/>
    <xf numFmtId="168" fontId="2" fillId="0" borderId="0" xfId="0" applyNumberFormat="1" applyFont="1" applyAlignment="1">
      <alignment horizontal="center" vertical="center"/>
    </xf>
    <xf numFmtId="0" fontId="16" fillId="0" borderId="0" xfId="0" applyFont="1"/>
    <xf numFmtId="16" fontId="2" fillId="0" borderId="3" xfId="0" quotePrefix="1" applyNumberFormat="1" applyFont="1" applyBorder="1" applyAlignment="1">
      <alignment horizontal="center"/>
    </xf>
    <xf numFmtId="0" fontId="2" fillId="0" borderId="3" xfId="0" quotePrefix="1" applyFont="1" applyBorder="1" applyAlignment="1">
      <alignment horizontal="center"/>
    </xf>
    <xf numFmtId="164" fontId="2" fillId="0" borderId="0" xfId="0" applyNumberFormat="1" applyFont="1" applyAlignment="1">
      <alignment horizontal="center"/>
    </xf>
    <xf numFmtId="3" fontId="2" fillId="0" borderId="16" xfId="0" applyNumberFormat="1" applyFont="1" applyBorder="1" applyAlignment="1">
      <alignment horizontal="center"/>
    </xf>
    <xf numFmtId="3" fontId="2" fillId="0" borderId="4" xfId="0" applyNumberFormat="1" applyFont="1" applyBorder="1" applyAlignment="1">
      <alignment horizontal="center" vertical="center"/>
    </xf>
    <xf numFmtId="0" fontId="2" fillId="2" borderId="12" xfId="0" applyFont="1" applyFill="1" applyBorder="1"/>
    <xf numFmtId="0" fontId="2" fillId="2" borderId="23" xfId="0" applyFont="1" applyFill="1" applyBorder="1"/>
    <xf numFmtId="38" fontId="2" fillId="2" borderId="0" xfId="0" applyNumberFormat="1" applyFont="1" applyFill="1" applyAlignment="1">
      <alignment horizontal="center"/>
    </xf>
    <xf numFmtId="3" fontId="2" fillId="2" borderId="0" xfId="0" applyNumberFormat="1" applyFont="1" applyFill="1" applyAlignment="1">
      <alignment horizontal="left" vertical="center"/>
    </xf>
    <xf numFmtId="0" fontId="2" fillId="0" borderId="0" xfId="0" applyFont="1" applyAlignment="1">
      <alignment horizontal="left" vertical="center"/>
    </xf>
    <xf numFmtId="0" fontId="2" fillId="0" borderId="18" xfId="0" applyFont="1" applyBorder="1" applyAlignment="1">
      <alignment horizontal="left"/>
    </xf>
    <xf numFmtId="3" fontId="2" fillId="0" borderId="19" xfId="0" applyNumberFormat="1" applyFont="1" applyBorder="1" applyAlignment="1">
      <alignment horizontal="center" vertical="center"/>
    </xf>
    <xf numFmtId="0" fontId="2" fillId="0" borderId="20" xfId="0" applyFont="1" applyBorder="1" applyAlignment="1">
      <alignment horizontal="left" vertical="center"/>
    </xf>
    <xf numFmtId="0" fontId="2" fillId="0" borderId="21" xfId="0" applyFont="1" applyBorder="1"/>
    <xf numFmtId="3" fontId="2" fillId="0" borderId="22" xfId="0" applyNumberFormat="1" applyFont="1" applyBorder="1" applyAlignment="1">
      <alignment horizontal="center" vertical="center"/>
    </xf>
    <xf numFmtId="0" fontId="2" fillId="2" borderId="0" xfId="0" applyFont="1" applyFill="1" applyAlignment="1">
      <alignment vertical="top"/>
    </xf>
    <xf numFmtId="0" fontId="2" fillId="2" borderId="0" xfId="0" applyFont="1" applyFill="1" applyAlignment="1">
      <alignment horizontal="left" vertical="top"/>
    </xf>
    <xf numFmtId="0" fontId="20" fillId="0" borderId="0" xfId="7" applyFont="1" applyAlignment="1">
      <alignment horizontal="left" vertical="top"/>
    </xf>
    <xf numFmtId="0" fontId="2" fillId="0" borderId="0" xfId="7" applyFont="1" applyAlignment="1">
      <alignment horizontal="left" vertical="top"/>
    </xf>
    <xf numFmtId="0" fontId="0" fillId="0" borderId="0" xfId="0" applyAlignment="1">
      <alignment horizontal="left" vertical="top"/>
    </xf>
    <xf numFmtId="0" fontId="20" fillId="0" borderId="0" xfId="7" applyFont="1"/>
    <xf numFmtId="0" fontId="39" fillId="4" borderId="0" xfId="10" applyFont="1" applyFill="1" applyAlignment="1">
      <alignment vertical="top"/>
    </xf>
    <xf numFmtId="0" fontId="38" fillId="4" borderId="0" xfId="10" applyFill="1"/>
    <xf numFmtId="0" fontId="42" fillId="0" borderId="0" xfId="0" applyFont="1" applyAlignment="1">
      <alignment horizontal="left"/>
    </xf>
    <xf numFmtId="0" fontId="20" fillId="0" borderId="25" xfId="0" applyFont="1" applyBorder="1" applyAlignment="1">
      <alignment horizontal="center"/>
    </xf>
    <xf numFmtId="0" fontId="2" fillId="0" borderId="0" xfId="7" applyFont="1" applyAlignment="1">
      <alignment horizontal="left"/>
    </xf>
    <xf numFmtId="0" fontId="46" fillId="5" borderId="18" xfId="0" applyFont="1" applyFill="1" applyBorder="1"/>
    <xf numFmtId="0" fontId="2" fillId="0" borderId="4" xfId="0" applyFont="1" applyBorder="1"/>
    <xf numFmtId="0" fontId="40" fillId="2" borderId="0" xfId="0" applyFont="1" applyFill="1"/>
    <xf numFmtId="3" fontId="2" fillId="2" borderId="12" xfId="0" applyNumberFormat="1" applyFont="1" applyFill="1" applyBorder="1" applyAlignment="1">
      <alignment horizontal="center"/>
    </xf>
    <xf numFmtId="3" fontId="2" fillId="2" borderId="8" xfId="0" applyNumberFormat="1" applyFont="1" applyFill="1" applyBorder="1" applyAlignment="1">
      <alignment horizontal="center"/>
    </xf>
    <xf numFmtId="3" fontId="2" fillId="2" borderId="13" xfId="0" applyNumberFormat="1" applyFont="1" applyFill="1" applyBorder="1" applyAlignment="1">
      <alignment horizontal="center"/>
    </xf>
    <xf numFmtId="3" fontId="20" fillId="0" borderId="0" xfId="0" applyNumberFormat="1" applyFont="1" applyAlignment="1">
      <alignment horizontal="center" vertical="center"/>
    </xf>
    <xf numFmtId="0" fontId="2" fillId="0" borderId="32" xfId="0" applyFont="1" applyBorder="1" applyAlignment="1">
      <alignment horizontal="center"/>
    </xf>
    <xf numFmtId="0" fontId="2" fillId="0" borderId="33" xfId="0" applyFont="1" applyBorder="1" applyAlignment="1">
      <alignment horizontal="center"/>
    </xf>
    <xf numFmtId="0" fontId="2" fillId="0" borderId="34" xfId="0" applyFont="1" applyBorder="1" applyAlignment="1">
      <alignment horizontal="center" vertical="center"/>
    </xf>
    <xf numFmtId="168" fontId="2" fillId="0" borderId="2" xfId="0" applyNumberFormat="1" applyFont="1" applyBorder="1" applyAlignment="1">
      <alignment horizontal="center"/>
    </xf>
    <xf numFmtId="0" fontId="2" fillId="0" borderId="35" xfId="0" applyFont="1" applyBorder="1" applyAlignment="1">
      <alignment horizontal="center" vertical="center"/>
    </xf>
    <xf numFmtId="168" fontId="2" fillId="0" borderId="22" xfId="0" applyNumberFormat="1" applyFont="1" applyBorder="1" applyAlignment="1">
      <alignment horizontal="center"/>
    </xf>
    <xf numFmtId="0" fontId="2" fillId="0" borderId="3" xfId="0" applyFont="1" applyBorder="1"/>
    <xf numFmtId="0" fontId="2" fillId="0" borderId="36" xfId="0" applyFont="1" applyBorder="1" applyAlignment="1">
      <alignment horizontal="center"/>
    </xf>
    <xf numFmtId="0" fontId="2" fillId="0" borderId="19" xfId="0" applyFont="1" applyBorder="1" applyAlignment="1">
      <alignment horizontal="center"/>
    </xf>
    <xf numFmtId="0" fontId="2" fillId="0" borderId="37" xfId="0" applyFont="1" applyBorder="1" applyAlignment="1">
      <alignment horizontal="center"/>
    </xf>
    <xf numFmtId="0" fontId="2" fillId="0" borderId="31" xfId="0" applyFont="1" applyBorder="1" applyAlignment="1">
      <alignment horizontal="center"/>
    </xf>
    <xf numFmtId="9" fontId="2" fillId="0" borderId="34" xfId="0" applyNumberFormat="1" applyFont="1" applyBorder="1" applyAlignment="1">
      <alignment horizontal="center"/>
    </xf>
    <xf numFmtId="3" fontId="2" fillId="0" borderId="2" xfId="0" applyNumberFormat="1" applyFont="1" applyBorder="1" applyAlignment="1">
      <alignment horizontal="center" vertical="center"/>
    </xf>
    <xf numFmtId="9" fontId="2" fillId="0" borderId="35" xfId="0" applyNumberFormat="1" applyFont="1" applyBorder="1" applyAlignment="1">
      <alignment horizontal="center"/>
    </xf>
    <xf numFmtId="2" fontId="2" fillId="0" borderId="0" xfId="0" applyNumberFormat="1" applyFont="1"/>
    <xf numFmtId="0" fontId="2" fillId="0" borderId="0" xfId="0" quotePrefix="1" applyFont="1"/>
    <xf numFmtId="0" fontId="16" fillId="0" borderId="0" xfId="0" applyFont="1" applyAlignment="1">
      <alignment horizontal="center" vertical="center"/>
    </xf>
    <xf numFmtId="0" fontId="16" fillId="2" borderId="0" xfId="0" applyFont="1" applyFill="1" applyAlignment="1">
      <alignment horizontal="center" vertical="center"/>
    </xf>
    <xf numFmtId="0" fontId="20" fillId="2" borderId="14" xfId="0" applyFont="1" applyFill="1" applyBorder="1" applyAlignment="1">
      <alignment horizontal="left" vertical="center"/>
    </xf>
    <xf numFmtId="0" fontId="20" fillId="2" borderId="15" xfId="0" applyFont="1" applyFill="1" applyBorder="1" applyAlignment="1">
      <alignment horizontal="left" vertical="center"/>
    </xf>
    <xf numFmtId="0" fontId="20" fillId="2" borderId="16" xfId="0" applyFont="1" applyFill="1" applyBorder="1" applyAlignment="1">
      <alignment horizontal="left" vertical="center"/>
    </xf>
    <xf numFmtId="0" fontId="8" fillId="0" borderId="0" xfId="0" applyFont="1" applyAlignment="1">
      <alignment horizontal="left" vertical="center" wrapText="1"/>
    </xf>
    <xf numFmtId="0" fontId="10" fillId="0" borderId="0" xfId="0" applyFont="1" applyAlignment="1">
      <alignment horizontal="left" vertical="center" wrapText="1"/>
    </xf>
    <xf numFmtId="0" fontId="16" fillId="2" borderId="0" xfId="0" applyFont="1" applyFill="1" applyAlignment="1">
      <alignment horizontal="center" vertical="center" wrapText="1"/>
    </xf>
    <xf numFmtId="0" fontId="7" fillId="0" borderId="0" xfId="3" applyAlignment="1">
      <alignment horizontal="left" vertical="top" wrapText="1"/>
    </xf>
    <xf numFmtId="0" fontId="7" fillId="0" borderId="0" xfId="3" applyAlignment="1">
      <alignment horizontal="left" vertical="top"/>
    </xf>
    <xf numFmtId="0" fontId="6" fillId="0" borderId="0" xfId="3" applyFont="1" applyAlignment="1">
      <alignment horizontal="left" vertical="top" wrapText="1"/>
    </xf>
    <xf numFmtId="0" fontId="16" fillId="2" borderId="0" xfId="0" applyFont="1" applyFill="1" applyAlignment="1">
      <alignment horizontal="center"/>
    </xf>
    <xf numFmtId="164" fontId="16" fillId="0" borderId="0" xfId="0" applyNumberFormat="1" applyFont="1" applyAlignment="1">
      <alignment horizontal="center"/>
    </xf>
    <xf numFmtId="0" fontId="20" fillId="2" borderId="14" xfId="0" applyFont="1" applyFill="1" applyBorder="1" applyAlignment="1">
      <alignment horizontal="left"/>
    </xf>
    <xf numFmtId="0" fontId="20" fillId="2" borderId="15" xfId="0" applyFont="1" applyFill="1" applyBorder="1" applyAlignment="1">
      <alignment horizontal="left"/>
    </xf>
    <xf numFmtId="0" fontId="20" fillId="2" borderId="16" xfId="0" applyFont="1" applyFill="1" applyBorder="1" applyAlignment="1">
      <alignment horizontal="left"/>
    </xf>
    <xf numFmtId="0" fontId="2" fillId="0" borderId="0" xfId="0" applyFont="1" applyAlignment="1">
      <alignment horizontal="left" vertical="top" wrapText="1"/>
    </xf>
    <xf numFmtId="0" fontId="10" fillId="0" borderId="0" xfId="0" quotePrefix="1" applyFont="1" applyAlignment="1">
      <alignment horizontal="left" wrapText="1" indent="2"/>
    </xf>
    <xf numFmtId="0" fontId="10" fillId="0" borderId="0" xfId="0" applyFont="1" applyAlignment="1">
      <alignment horizontal="left" vertical="top" wrapText="1"/>
    </xf>
    <xf numFmtId="0" fontId="10" fillId="0" borderId="0" xfId="0" applyFont="1" applyAlignment="1">
      <alignment horizontal="left" wrapText="1"/>
    </xf>
    <xf numFmtId="0" fontId="3" fillId="0" borderId="0" xfId="0" applyFont="1" applyAlignment="1">
      <alignment horizontal="left" vertical="top" wrapText="1"/>
    </xf>
    <xf numFmtId="0" fontId="0" fillId="0" borderId="0" xfId="0" applyAlignment="1">
      <alignment horizontal="left" wrapText="1"/>
    </xf>
    <xf numFmtId="0" fontId="0" fillId="2" borderId="0" xfId="0" applyFill="1" applyAlignment="1">
      <alignment horizontal="left" vertical="top" wrapText="1"/>
    </xf>
    <xf numFmtId="0" fontId="0" fillId="2" borderId="0" xfId="0" applyFill="1" applyAlignment="1">
      <alignment horizontal="left" wrapText="1"/>
    </xf>
    <xf numFmtId="0" fontId="0" fillId="0" borderId="0" xfId="0" applyAlignment="1">
      <alignment horizontal="left" vertical="top" wrapText="1"/>
    </xf>
    <xf numFmtId="0" fontId="0" fillId="2" borderId="10" xfId="0" applyFill="1" applyBorder="1" applyAlignment="1">
      <alignment horizontal="center" wrapText="1"/>
    </xf>
    <xf numFmtId="0" fontId="0" fillId="2" borderId="9" xfId="0" applyFill="1" applyBorder="1" applyAlignment="1">
      <alignment horizontal="center" wrapText="1"/>
    </xf>
    <xf numFmtId="0" fontId="0" fillId="2" borderId="11" xfId="0" applyFill="1" applyBorder="1" applyAlignment="1">
      <alignment horizontal="center" wrapText="1"/>
    </xf>
    <xf numFmtId="0" fontId="0" fillId="2" borderId="26" xfId="0" applyFill="1" applyBorder="1" applyAlignment="1">
      <alignment horizontal="center"/>
    </xf>
    <xf numFmtId="0" fontId="0" fillId="2" borderId="24" xfId="0" applyFill="1" applyBorder="1" applyAlignment="1">
      <alignment horizontal="center"/>
    </xf>
    <xf numFmtId="0" fontId="0" fillId="2" borderId="23"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166" fontId="0" fillId="0" borderId="0" xfId="0" applyNumberFormat="1" applyAlignment="1">
      <alignment horizontal="center"/>
    </xf>
    <xf numFmtId="0" fontId="0" fillId="0" borderId="0" xfId="0" applyAlignment="1">
      <alignment horizontal="center"/>
    </xf>
    <xf numFmtId="166" fontId="0" fillId="0" borderId="3" xfId="0" applyNumberFormat="1" applyBorder="1" applyAlignment="1">
      <alignment horizontal="center"/>
    </xf>
    <xf numFmtId="0" fontId="2" fillId="0" borderId="8" xfId="0" applyFont="1" applyBorder="1" applyAlignment="1">
      <alignment horizontal="center"/>
    </xf>
    <xf numFmtId="0" fontId="2" fillId="0" borderId="0" xfId="0" applyFont="1" applyAlignment="1">
      <alignment horizontal="center"/>
    </xf>
    <xf numFmtId="0" fontId="2" fillId="2" borderId="0" xfId="0" applyFont="1" applyFill="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26" xfId="0" applyFont="1" applyFill="1" applyBorder="1" applyAlignment="1">
      <alignment horizontal="center"/>
    </xf>
    <xf numFmtId="0" fontId="2" fillId="2" borderId="24" xfId="0" applyFont="1" applyFill="1" applyBorder="1" applyAlignment="1">
      <alignment horizontal="center"/>
    </xf>
    <xf numFmtId="0" fontId="2" fillId="2" borderId="23" xfId="0" applyFont="1" applyFill="1" applyBorder="1" applyAlignment="1">
      <alignment horizontal="center"/>
    </xf>
    <xf numFmtId="0" fontId="2" fillId="0" borderId="14" xfId="0" applyFont="1" applyBorder="1" applyAlignment="1">
      <alignment horizontal="left"/>
    </xf>
    <xf numFmtId="0" fontId="2" fillId="0" borderId="15" xfId="0" applyFont="1" applyBorder="1" applyAlignment="1">
      <alignment horizontal="left"/>
    </xf>
    <xf numFmtId="0" fontId="2" fillId="0" borderId="12" xfId="7" applyFont="1" applyBorder="1" applyAlignment="1">
      <alignment horizontal="left" vertical="top" wrapText="1"/>
    </xf>
    <xf numFmtId="0" fontId="2" fillId="0" borderId="7" xfId="7" applyFont="1" applyBorder="1" applyAlignment="1">
      <alignment horizontal="left" vertical="top" wrapText="1"/>
    </xf>
    <xf numFmtId="0" fontId="2" fillId="0" borderId="6" xfId="7" applyFont="1" applyBorder="1" applyAlignment="1">
      <alignment horizontal="left" vertical="top" wrapText="1"/>
    </xf>
    <xf numFmtId="0" fontId="2" fillId="0" borderId="8" xfId="7" applyFont="1" applyBorder="1" applyAlignment="1">
      <alignment horizontal="left" vertical="top" wrapText="1"/>
    </xf>
    <xf numFmtId="0" fontId="2" fillId="0" borderId="0" xfId="7" applyFont="1" applyAlignment="1">
      <alignment horizontal="left" vertical="top" wrapText="1"/>
    </xf>
    <xf numFmtId="0" fontId="2" fillId="0" borderId="4" xfId="7" applyFont="1" applyBorder="1" applyAlignment="1">
      <alignment horizontal="left" vertical="top" wrapText="1"/>
    </xf>
    <xf numFmtId="0" fontId="2" fillId="0" borderId="13" xfId="7" applyFont="1" applyBorder="1" applyAlignment="1">
      <alignment horizontal="left" vertical="top" wrapText="1"/>
    </xf>
    <xf numFmtId="0" fontId="2" fillId="0" borderId="3" xfId="7" applyFont="1" applyBorder="1" applyAlignment="1">
      <alignment horizontal="left" vertical="top" wrapText="1"/>
    </xf>
    <xf numFmtId="0" fontId="2" fillId="0" borderId="5" xfId="7" applyFont="1" applyBorder="1" applyAlignment="1">
      <alignment horizontal="left" vertical="top" wrapText="1"/>
    </xf>
    <xf numFmtId="0" fontId="20" fillId="0" borderId="3" xfId="0" applyFont="1" applyBorder="1" applyAlignment="1">
      <alignment horizontal="center"/>
    </xf>
    <xf numFmtId="0" fontId="39" fillId="4" borderId="0" xfId="10" applyFont="1" applyFill="1" applyAlignment="1">
      <alignment horizontal="left" vertical="top" wrapText="1"/>
    </xf>
    <xf numFmtId="0" fontId="20" fillId="0" borderId="5" xfId="0" applyFont="1" applyBorder="1" applyAlignment="1">
      <alignment horizontal="center"/>
    </xf>
    <xf numFmtId="0" fontId="2" fillId="2" borderId="0" xfId="7" applyFont="1" applyFill="1" applyAlignment="1">
      <alignment horizontal="left" vertical="top" wrapText="1"/>
    </xf>
    <xf numFmtId="0" fontId="0" fillId="2" borderId="12" xfId="0" applyFill="1" applyBorder="1" applyAlignment="1">
      <alignment horizontal="center"/>
    </xf>
    <xf numFmtId="0" fontId="0" fillId="2" borderId="7" xfId="0" applyFill="1" applyBorder="1" applyAlignment="1">
      <alignment horizontal="center"/>
    </xf>
    <xf numFmtId="0" fontId="0" fillId="2" borderId="6" xfId="0" applyFill="1" applyBorder="1" applyAlignment="1">
      <alignment horizontal="center"/>
    </xf>
    <xf numFmtId="0" fontId="0" fillId="2" borderId="13" xfId="0" applyFill="1" applyBorder="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0" fontId="29" fillId="0" borderId="0" xfId="0" quotePrefix="1" applyFont="1" applyAlignment="1">
      <alignment horizontal="left" vertical="top" wrapText="1"/>
    </xf>
    <xf numFmtId="0" fontId="0" fillId="0" borderId="0" xfId="0" quotePrefix="1" applyAlignment="1">
      <alignment horizontal="left" wrapText="1"/>
    </xf>
    <xf numFmtId="164" fontId="1" fillId="2" borderId="0" xfId="0" applyNumberFormat="1" applyFont="1" applyFill="1" applyAlignment="1">
      <alignment horizontal="center" vertical="center" wrapText="1"/>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wrapText="1"/>
    </xf>
    <xf numFmtId="3" fontId="1" fillId="0" borderId="7" xfId="0" applyNumberFormat="1" applyFont="1" applyBorder="1" applyAlignment="1">
      <alignment horizontal="center" vertical="center" wrapText="1"/>
    </xf>
    <xf numFmtId="164" fontId="1" fillId="0" borderId="6" xfId="0" applyNumberFormat="1" applyFont="1" applyBorder="1" applyAlignment="1">
      <alignment horizontal="center" vertical="center" wrapText="1"/>
    </xf>
    <xf numFmtId="165" fontId="1" fillId="0" borderId="7" xfId="0" applyNumberFormat="1" applyFont="1" applyBorder="1" applyAlignment="1">
      <alignment horizontal="center" vertical="center" wrapText="1"/>
    </xf>
    <xf numFmtId="0" fontId="1" fillId="0" borderId="4" xfId="0" applyFont="1" applyBorder="1" applyAlignment="1">
      <alignment horizontal="center" vertical="center" wrapText="1"/>
    </xf>
    <xf numFmtId="3" fontId="1" fillId="0" borderId="0" xfId="0" applyNumberFormat="1" applyFont="1" applyAlignment="1">
      <alignment horizontal="center" vertical="center" wrapText="1"/>
    </xf>
    <xf numFmtId="164" fontId="1" fillId="0" borderId="4" xfId="0" applyNumberFormat="1" applyFont="1" applyBorder="1" applyAlignment="1">
      <alignment horizontal="center" vertical="center" wrapText="1"/>
    </xf>
    <xf numFmtId="165" fontId="1" fillId="0" borderId="0" xfId="0" applyNumberFormat="1" applyFont="1" applyAlignment="1">
      <alignment horizontal="center" vertical="center" wrapText="1"/>
    </xf>
    <xf numFmtId="0" fontId="1" fillId="0" borderId="5" xfId="0" applyFont="1" applyBorder="1" applyAlignment="1">
      <alignment horizontal="center" vertical="center" wrapText="1"/>
    </xf>
    <xf numFmtId="3" fontId="1" fillId="0" borderId="3"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5" fontId="1" fillId="0" borderId="3" xfId="0" applyNumberFormat="1" applyFont="1" applyBorder="1" applyAlignment="1">
      <alignment horizontal="center" vertical="center" wrapText="1"/>
    </xf>
  </cellXfs>
  <cellStyles count="11">
    <cellStyle name="Comma" xfId="1" builtinId="3"/>
    <cellStyle name="Currency" xfId="6" builtinId="4"/>
    <cellStyle name="Hyperlink 2" xfId="4" xr:uid="{6456BE19-215D-F744-B064-E5E6439CB838}"/>
    <cellStyle name="Normal" xfId="0" builtinId="0"/>
    <cellStyle name="Normal 2" xfId="10" xr:uid="{4A52205C-A661-C74B-8DC8-364B5E2ABEC6}"/>
    <cellStyle name="Normal 2 2" xfId="2" xr:uid="{064A702F-BFA7-6044-8416-3F0298C13B90}"/>
    <cellStyle name="Normal 2 2 2" xfId="8" xr:uid="{A794D11E-1700-F949-AA4D-04043B04689F}"/>
    <cellStyle name="Normal 2 3 2" xfId="7" xr:uid="{FC62D8DA-C2D2-9741-BB27-4EE084E71C70}"/>
    <cellStyle name="Normal 4" xfId="3" xr:uid="{D356DF0D-1978-A346-A4EE-228777E907C6}"/>
    <cellStyle name="Normal 4 2" xfId="9" xr:uid="{DFAE08F4-1A26-1F4D-8179-223062191E29}"/>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C2FB85C2-8FE7-4A47-ADE6-48D64D504695}"/>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2</xdr:row>
      <xdr:rowOff>0</xdr:rowOff>
    </xdr:from>
    <xdr:to>
      <xdr:col>13</xdr:col>
      <xdr:colOff>177800</xdr:colOff>
      <xdr:row>2</xdr:row>
      <xdr:rowOff>0</xdr:rowOff>
    </xdr:to>
    <xdr:pic>
      <xdr:nvPicPr>
        <xdr:cNvPr id="3074" name="Picture 2">
          <a:extLst>
            <a:ext uri="{FF2B5EF4-FFF2-40B4-BE49-F238E27FC236}">
              <a16:creationId xmlns:a16="http://schemas.microsoft.com/office/drawing/2014/main" id="{00000000-0008-0000-0200-000002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9100" y="7988300"/>
          <a:ext cx="1778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821871</xdr:colOff>
      <xdr:row>30</xdr:row>
      <xdr:rowOff>108857</xdr:rowOff>
    </xdr:from>
    <xdr:to>
      <xdr:col>14</xdr:col>
      <xdr:colOff>136071</xdr:colOff>
      <xdr:row>30</xdr:row>
      <xdr:rowOff>108857</xdr:rowOff>
    </xdr:to>
    <xdr:pic>
      <xdr:nvPicPr>
        <xdr:cNvPr id="5122" name="Picture 2">
          <a:extLst>
            <a:ext uri="{FF2B5EF4-FFF2-40B4-BE49-F238E27FC236}">
              <a16:creationId xmlns:a16="http://schemas.microsoft.com/office/drawing/2014/main" id="{00000000-0008-0000-0300-0000021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0" y="9878786"/>
          <a:ext cx="141514"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330200</xdr:colOff>
      <xdr:row>25</xdr:row>
      <xdr:rowOff>127000</xdr:rowOff>
    </xdr:from>
    <xdr:to>
      <xdr:col>13</xdr:col>
      <xdr:colOff>295275</xdr:colOff>
      <xdr:row>27</xdr:row>
      <xdr:rowOff>60960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85BBE543-432B-107B-ED3E-5CDD21335B30}"/>
                </a:ext>
              </a:extLst>
            </xdr:cNvPr>
            <xdr:cNvSpPr txBox="1"/>
          </xdr:nvSpPr>
          <xdr:spPr>
            <a:xfrm>
              <a:off x="8991600" y="5130800"/>
              <a:ext cx="1692275" cy="365760"/>
            </a:xfrm>
            <a:prstGeom prst="rect">
              <a:avLst/>
            </a:prstGeom>
            <a:solidFill>
              <a:schemeClr val="bg1"/>
            </a:solidFill>
            <a:ln>
              <a:solidFill>
                <a:sysClr val="windowText" lastClr="000000"/>
              </a:solidFill>
            </a:ln>
            <a:effectLst/>
          </xdr:spPr>
          <xdr:txBody>
            <a:bodyPr wrap="square" lIns="45720" tIns="45720" rIns="45720" bIns="45720" rtlCol="0" anchor="t">
              <a:spAutoFit/>
            </a:bodyPr>
            <a:lstStyle/>
            <a:p>
              <a:pPr marL="0" marR="0" algn="just">
                <a:buNone/>
              </a:pPr>
              <a14:m>
                <m:oMathPara xmlns:m="http://schemas.openxmlformats.org/officeDocument/2006/math">
                  <m:oMathParaPr>
                    <m:jc m:val="centerGroup"/>
                  </m:oMathParaPr>
                  <m:oMath xmlns:m="http://schemas.openxmlformats.org/officeDocument/2006/math">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𝐸</m:t>
                    </m:r>
                    <m:d>
                      <m:dPr>
                        <m:begChr m:val="["/>
                        <m:endChr m:val="]"/>
                        <m:ctrlP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ctrlPr>
                      </m:dPr>
                      <m:e>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𝑌</m:t>
                        </m:r>
                      </m:e>
                    </m:d>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m:t>
                    </m:r>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𝜇</m:t>
                    </m:r>
                    <m:r>
                      <a:rPr lang="en-US" sz="1100">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m:t>
                    </m:r>
                    <m:sSup>
                      <m:sSupPr>
                        <m:ctrlP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ctrlPr>
                      </m:sSupPr>
                      <m:e>
                        <m:d>
                          <m:dPr>
                            <m:begChr m:val="["/>
                            <m:endChr m:val="]"/>
                            <m:ctrlP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ctrlPr>
                          </m:dPr>
                          <m:e>
                            <m:d>
                              <m:dPr>
                                <m:ctrlP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ctrlPr>
                              </m:dPr>
                              <m:e>
                                <m:r>
                                  <a:rPr lang="en-US" sz="1100">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1−</m:t>
                                </m:r>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𝑝</m:t>
                                </m:r>
                              </m:e>
                            </m:d>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𝜃</m:t>
                            </m:r>
                          </m:e>
                        </m:d>
                      </m:e>
                      <m:sup>
                        <m:f>
                          <m:fPr>
                            <m:ctrlP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ctrlPr>
                          </m:fPr>
                          <m:num>
                            <m:r>
                              <a:rPr lang="en-US" sz="1100">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1</m:t>
                            </m:r>
                          </m:num>
                          <m:den>
                            <m:r>
                              <a:rPr lang="en-US" sz="1100">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1−</m:t>
                            </m:r>
                            <m:r>
                              <a:rPr lang="en-US" sz="1100" i="1">
                                <a:solidFill>
                                  <a:srgbClr val="000000"/>
                                </a:solidFill>
                                <a:effectLst/>
                                <a:latin typeface="Cambria Math" panose="02040503050406030204" pitchFamily="18" charset="0"/>
                                <a:ea typeface="Garamond" panose="02020404030301010803" pitchFamily="18" charset="0"/>
                                <a:cs typeface="Garamond" panose="02020404030301010803" pitchFamily="18" charset="0"/>
                              </a:rPr>
                              <m:t>𝑝</m:t>
                            </m:r>
                          </m:den>
                        </m:f>
                      </m:sup>
                    </m:sSup>
                  </m:oMath>
                </m:oMathPara>
              </a14:m>
              <a:endParaRPr lang="en-US" sz="1100">
                <a:solidFill>
                  <a:srgbClr val="000000"/>
                </a:solidFill>
                <a:effectLst/>
                <a:latin typeface="Adobe Caslon Pro" panose="0205050205050A020403" pitchFamily="18" charset="0"/>
                <a:ea typeface="Garamond" panose="02020404030301010803" pitchFamily="18" charset="0"/>
                <a:cs typeface="Garamond" panose="02020404030301010803" pitchFamily="18" charset="0"/>
              </a:endParaRPr>
            </a:p>
          </xdr:txBody>
        </xdr:sp>
      </mc:Choice>
      <mc:Fallback xmlns="">
        <xdr:sp macro="" textlink="">
          <xdr:nvSpPr>
            <xdr:cNvPr id="2" name="TextBox 2">
              <a:extLst>
                <a:ext uri="{FF2B5EF4-FFF2-40B4-BE49-F238E27FC236}">
                  <a16:creationId xmlns:a16="http://schemas.microsoft.com/office/drawing/2014/main" id="{85BBE543-432B-107B-ED3E-5CDD21335B30}"/>
                </a:ext>
              </a:extLst>
            </xdr:cNvPr>
            <xdr:cNvSpPr txBox="1"/>
          </xdr:nvSpPr>
          <xdr:spPr>
            <a:xfrm>
              <a:off x="8991600" y="5130800"/>
              <a:ext cx="1692275" cy="365760"/>
            </a:xfrm>
            <a:prstGeom prst="rect">
              <a:avLst/>
            </a:prstGeom>
            <a:solidFill>
              <a:schemeClr val="bg1"/>
            </a:solidFill>
            <a:ln>
              <a:solidFill>
                <a:sysClr val="windowText" lastClr="000000"/>
              </a:solidFill>
            </a:ln>
            <a:effectLst/>
          </xdr:spPr>
          <xdr:txBody>
            <a:bodyPr wrap="square" lIns="45720" tIns="45720" rIns="45720" bIns="45720" rtlCol="0" anchor="t">
              <a:spAutoFit/>
            </a:bodyPr>
            <a:lstStyle/>
            <a:p>
              <a:pPr marL="0" marR="0" algn="just">
                <a:buNone/>
              </a:pPr>
              <a:r>
                <a:rPr lang="en-US" sz="1100" i="0">
                  <a:solidFill>
                    <a:srgbClr val="000000"/>
                  </a:solidFill>
                  <a:effectLst/>
                  <a:latin typeface="Cambria Math" panose="02040503050406030204" pitchFamily="18" charset="0"/>
                  <a:ea typeface="Garamond" panose="02020404030301010803" pitchFamily="18" charset="0"/>
                  <a:cs typeface="Garamond" panose="02020404030301010803" pitchFamily="18" charset="0"/>
                </a:rPr>
                <a:t>𝐸</a:t>
              </a:r>
              <a:r>
                <a:rPr lang="en-US" sz="1100" i="0">
                  <a:solidFill>
                    <a:srgbClr val="000000"/>
                  </a:solidFill>
                  <a:effectLst/>
                  <a:latin typeface="Cambria Math" panose="02040503050406030204" pitchFamily="18" charset="0"/>
                </a:rPr>
                <a:t>[</a:t>
              </a:r>
              <a:r>
                <a:rPr lang="en-US" sz="1100" i="0">
                  <a:solidFill>
                    <a:srgbClr val="000000"/>
                  </a:solidFill>
                  <a:effectLst/>
                  <a:latin typeface="Cambria Math" panose="02040503050406030204" pitchFamily="18" charset="0"/>
                  <a:ea typeface="Garamond" panose="02020404030301010803" pitchFamily="18" charset="0"/>
                  <a:cs typeface="Garamond" panose="02020404030301010803" pitchFamily="18" charset="0"/>
                </a:rPr>
                <a:t>𝑌]=𝜇=</a:t>
              </a:r>
              <a:r>
                <a:rPr lang="en-US" sz="1100" i="0">
                  <a:solidFill>
                    <a:srgbClr val="000000"/>
                  </a:solidFill>
                  <a:effectLst/>
                  <a:latin typeface="Cambria Math" panose="02040503050406030204" pitchFamily="18" charset="0"/>
                </a:rPr>
                <a:t>[(</a:t>
              </a:r>
              <a:r>
                <a:rPr lang="en-US" sz="1100" i="0">
                  <a:solidFill>
                    <a:srgbClr val="000000"/>
                  </a:solidFill>
                  <a:effectLst/>
                  <a:latin typeface="Cambria Math" panose="02040503050406030204" pitchFamily="18" charset="0"/>
                  <a:ea typeface="Garamond" panose="02020404030301010803" pitchFamily="18" charset="0"/>
                  <a:cs typeface="Garamond" panose="02020404030301010803" pitchFamily="18" charset="0"/>
                </a:rPr>
                <a:t>1−𝑝)𝜃]^(1/(1−𝑝))</a:t>
              </a:r>
              <a:endParaRPr lang="en-US" sz="1100">
                <a:solidFill>
                  <a:srgbClr val="000000"/>
                </a:solidFill>
                <a:effectLst/>
                <a:latin typeface="Adobe Caslon Pro" panose="0205050205050A020403" pitchFamily="18" charset="0"/>
                <a:ea typeface="Garamond" panose="02020404030301010803" pitchFamily="18" charset="0"/>
                <a:cs typeface="Garamond" panose="02020404030301010803" pitchFamily="18" charset="0"/>
              </a:endParaRPr>
            </a:p>
          </xdr:txBody>
        </xdr:sp>
      </mc:Fallback>
    </mc:AlternateContent>
    <xdr:clientData/>
  </xdr:twoCellAnchor>
  <xdr:twoCellAnchor>
    <xdr:from>
      <xdr:col>13</xdr:col>
      <xdr:colOff>558800</xdr:colOff>
      <xdr:row>25</xdr:row>
      <xdr:rowOff>152400</xdr:rowOff>
    </xdr:from>
    <xdr:to>
      <xdr:col>14</xdr:col>
      <xdr:colOff>774065</xdr:colOff>
      <xdr:row>27</xdr:row>
      <xdr:rowOff>13335</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1AFE5A-22F1-CFC7-1ED5-9EE203E1EB82}"/>
                </a:ext>
              </a:extLst>
            </xdr:cNvPr>
            <xdr:cNvSpPr txBox="1"/>
          </xdr:nvSpPr>
          <xdr:spPr>
            <a:xfrm>
              <a:off x="10947400" y="5156200"/>
              <a:ext cx="1040765" cy="292735"/>
            </a:xfrm>
            <a:prstGeom prst="rect">
              <a:avLst/>
            </a:prstGeom>
            <a:solidFill>
              <a:schemeClr val="bg1"/>
            </a:solidFill>
            <a:ln>
              <a:solidFill>
                <a:sysClr val="windowText" lastClr="000000"/>
              </a:solidFill>
            </a:ln>
            <a:effectLst/>
          </xdr:spPr>
          <xdr:txBody>
            <a:bodyPr wrap="square" lIns="45720" tIns="45720" rIns="45720" bIns="45720" rtlCol="0" anchor="t">
              <a:spAutoFit/>
            </a:bodyPr>
            <a:lstStyle/>
            <a:p>
              <a:pPr marL="0" marR="0">
                <a:lnSpc>
                  <a:spcPct val="115000"/>
                </a:lnSpc>
                <a:buNone/>
              </a:pPr>
              <a14:m>
                <m:oMathPara xmlns:m="http://schemas.openxmlformats.org/officeDocument/2006/math">
                  <m:oMathParaPr>
                    <m:jc m:val="centerGroup"/>
                  </m:oMathParaPr>
                  <m:oMath xmlns:m="http://schemas.openxmlformats.org/officeDocument/2006/math">
                    <m:r>
                      <a:rPr lang="en-US" sz="1100" i="1">
                        <a:solidFill>
                          <a:srgbClr val="000000"/>
                        </a:solidFill>
                        <a:effectLst/>
                        <a:latin typeface="Cambria Math" panose="02040503050406030204" pitchFamily="18" charset="0"/>
                        <a:ea typeface="Arial" panose="020B0604020202020204" pitchFamily="34" charset="0"/>
                      </a:rPr>
                      <m:t>𝑉𝑎𝑟</m:t>
                    </m:r>
                    <m:d>
                      <m:dPr>
                        <m:ctrlPr>
                          <a:rPr lang="en-US" sz="1100" i="1">
                            <a:solidFill>
                              <a:srgbClr val="000000"/>
                            </a:solidFill>
                            <a:effectLst/>
                            <a:latin typeface="Cambria Math" panose="02040503050406030204" pitchFamily="18" charset="0"/>
                            <a:ea typeface="Arial" panose="020B0604020202020204" pitchFamily="34" charset="0"/>
                          </a:rPr>
                        </m:ctrlPr>
                      </m:dPr>
                      <m:e>
                        <m:r>
                          <a:rPr lang="en-US" sz="1100" i="1">
                            <a:solidFill>
                              <a:srgbClr val="000000"/>
                            </a:solidFill>
                            <a:effectLst/>
                            <a:latin typeface="Cambria Math" panose="02040503050406030204" pitchFamily="18" charset="0"/>
                            <a:ea typeface="Arial" panose="020B0604020202020204" pitchFamily="34" charset="0"/>
                          </a:rPr>
                          <m:t>𝑌</m:t>
                        </m:r>
                      </m:e>
                    </m:d>
                    <m:r>
                      <a:rPr lang="en-US" sz="1100" i="1">
                        <a:solidFill>
                          <a:srgbClr val="000000"/>
                        </a:solidFill>
                        <a:effectLst/>
                        <a:latin typeface="Cambria Math" panose="02040503050406030204" pitchFamily="18" charset="0"/>
                        <a:ea typeface="Arial" panose="020B0604020202020204" pitchFamily="34" charset="0"/>
                      </a:rPr>
                      <m:t>=</m:t>
                    </m:r>
                    <m:r>
                      <a:rPr lang="en-US" sz="1100" i="1">
                        <a:solidFill>
                          <a:srgbClr val="000000"/>
                        </a:solidFill>
                        <a:effectLst/>
                        <a:latin typeface="Cambria Math" panose="02040503050406030204" pitchFamily="18" charset="0"/>
                        <a:ea typeface="Arial" panose="020B0604020202020204" pitchFamily="34" charset="0"/>
                        <a:cs typeface="Cambria" panose="02040503050406030204" pitchFamily="18" charset="0"/>
                      </a:rPr>
                      <m:t>𝜙</m:t>
                    </m:r>
                    <m:sSup>
                      <m:sSupPr>
                        <m:ctrlPr>
                          <a:rPr lang="en-US" sz="1100" i="1">
                            <a:solidFill>
                              <a:srgbClr val="000000"/>
                            </a:solidFill>
                            <a:effectLst/>
                            <a:latin typeface="Cambria Math" panose="02040503050406030204" pitchFamily="18" charset="0"/>
                            <a:ea typeface="Arial" panose="020B0604020202020204" pitchFamily="34" charset="0"/>
                          </a:rPr>
                        </m:ctrlPr>
                      </m:sSupPr>
                      <m:e>
                        <m:r>
                          <a:rPr lang="en-US" sz="1100" i="1">
                            <a:solidFill>
                              <a:srgbClr val="000000"/>
                            </a:solidFill>
                            <a:effectLst/>
                            <a:latin typeface="Cambria Math" panose="02040503050406030204" pitchFamily="18" charset="0"/>
                            <a:ea typeface="Arial" panose="020B0604020202020204" pitchFamily="34" charset="0"/>
                          </a:rPr>
                          <m:t>𝜇</m:t>
                        </m:r>
                      </m:e>
                      <m:sup>
                        <m:r>
                          <a:rPr lang="en-US" sz="1100" i="1">
                            <a:solidFill>
                              <a:srgbClr val="000000"/>
                            </a:solidFill>
                            <a:effectLst/>
                            <a:latin typeface="Cambria Math" panose="02040503050406030204" pitchFamily="18" charset="0"/>
                            <a:ea typeface="Arial" panose="020B0604020202020204" pitchFamily="34" charset="0"/>
                          </a:rPr>
                          <m:t>𝑝</m:t>
                        </m:r>
                      </m:sup>
                    </m:sSup>
                  </m:oMath>
                </m:oMathPara>
              </a14:m>
              <a:endParaRPr lang="en-US" sz="1100">
                <a:solidFill>
                  <a:srgbClr val="000000"/>
                </a:solidFill>
                <a:effectLst/>
                <a:latin typeface="Arial" panose="020B0604020202020204" pitchFamily="34" charset="0"/>
                <a:ea typeface="Arial" panose="020B0604020202020204" pitchFamily="34" charset="0"/>
              </a:endParaRPr>
            </a:p>
          </xdr:txBody>
        </xdr:sp>
      </mc:Choice>
      <mc:Fallback xmlns="">
        <xdr:sp macro="" textlink="">
          <xdr:nvSpPr>
            <xdr:cNvPr id="3" name="TextBox 2">
              <a:extLst>
                <a:ext uri="{FF2B5EF4-FFF2-40B4-BE49-F238E27FC236}">
                  <a16:creationId xmlns:a16="http://schemas.microsoft.com/office/drawing/2014/main" id="{FA1AFE5A-22F1-CFC7-1ED5-9EE203E1EB82}"/>
                </a:ext>
              </a:extLst>
            </xdr:cNvPr>
            <xdr:cNvSpPr txBox="1"/>
          </xdr:nvSpPr>
          <xdr:spPr>
            <a:xfrm>
              <a:off x="10947400" y="5156200"/>
              <a:ext cx="1040765" cy="292735"/>
            </a:xfrm>
            <a:prstGeom prst="rect">
              <a:avLst/>
            </a:prstGeom>
            <a:solidFill>
              <a:schemeClr val="bg1"/>
            </a:solidFill>
            <a:ln>
              <a:solidFill>
                <a:sysClr val="windowText" lastClr="000000"/>
              </a:solidFill>
            </a:ln>
            <a:effectLst/>
          </xdr:spPr>
          <xdr:txBody>
            <a:bodyPr wrap="square" lIns="45720" tIns="45720" rIns="45720" bIns="45720" rtlCol="0" anchor="t">
              <a:spAutoFit/>
            </a:bodyPr>
            <a:lstStyle/>
            <a:p>
              <a:pPr marL="0" marR="0">
                <a:lnSpc>
                  <a:spcPct val="115000"/>
                </a:lnSpc>
                <a:buNone/>
              </a:pPr>
              <a:r>
                <a:rPr lang="en-US" sz="1100" i="0">
                  <a:solidFill>
                    <a:srgbClr val="000000"/>
                  </a:solidFill>
                  <a:effectLst/>
                  <a:latin typeface="Cambria Math" panose="02040503050406030204" pitchFamily="18" charset="0"/>
                  <a:ea typeface="Arial" panose="020B0604020202020204" pitchFamily="34" charset="0"/>
                </a:rPr>
                <a:t>𝑉𝑎𝑟</a:t>
              </a:r>
              <a:r>
                <a:rPr lang="en-US" sz="1100" i="0">
                  <a:solidFill>
                    <a:srgbClr val="000000"/>
                  </a:solidFill>
                  <a:effectLst/>
                  <a:latin typeface="Cambria Math" panose="02040503050406030204" pitchFamily="18" charset="0"/>
                </a:rPr>
                <a:t>(</a:t>
              </a:r>
              <a:r>
                <a:rPr lang="en-US" sz="1100" i="0">
                  <a:solidFill>
                    <a:srgbClr val="000000"/>
                  </a:solidFill>
                  <a:effectLst/>
                  <a:latin typeface="Cambria Math" panose="02040503050406030204" pitchFamily="18" charset="0"/>
                  <a:ea typeface="Arial" panose="020B0604020202020204" pitchFamily="34" charset="0"/>
                </a:rPr>
                <a:t>𝑌)=</a:t>
              </a:r>
              <a:r>
                <a:rPr lang="en-US" sz="1100" i="0">
                  <a:solidFill>
                    <a:srgbClr val="000000"/>
                  </a:solidFill>
                  <a:effectLst/>
                  <a:latin typeface="Cambria Math" panose="02040503050406030204" pitchFamily="18" charset="0"/>
                  <a:ea typeface="Arial" panose="020B0604020202020204" pitchFamily="34" charset="0"/>
                  <a:cs typeface="Cambria" panose="02040503050406030204" pitchFamily="18" charset="0"/>
                </a:rPr>
                <a:t>𝜙</a:t>
              </a:r>
              <a:r>
                <a:rPr lang="en-US" sz="1100" i="0">
                  <a:solidFill>
                    <a:srgbClr val="000000"/>
                  </a:solidFill>
                  <a:effectLst/>
                  <a:latin typeface="Cambria Math" panose="02040503050406030204" pitchFamily="18" charset="0"/>
                  <a:ea typeface="Arial" panose="020B0604020202020204" pitchFamily="34" charset="0"/>
                </a:rPr>
                <a:t>𝜇^𝑝</a:t>
              </a:r>
              <a:endParaRPr lang="en-US" sz="1100">
                <a:solidFill>
                  <a:srgbClr val="000000"/>
                </a:solidFill>
                <a:effectLst/>
                <a:latin typeface="Arial" panose="020B0604020202020204" pitchFamily="34" charset="0"/>
                <a:ea typeface="Arial" panose="020B0604020202020204" pitchFamily="34" charset="0"/>
              </a:endParaRPr>
            </a:p>
          </xdr:txBody>
        </xdr:sp>
      </mc:Fallback>
    </mc:AlternateContent>
    <xdr:clientData/>
  </xdr:twoCellAnchor>
  <xdr:twoCellAnchor>
    <xdr:from>
      <xdr:col>11</xdr:col>
      <xdr:colOff>431800</xdr:colOff>
      <xdr:row>29</xdr:row>
      <xdr:rowOff>76200</xdr:rowOff>
    </xdr:from>
    <xdr:to>
      <xdr:col>12</xdr:col>
      <xdr:colOff>711200</xdr:colOff>
      <xdr:row>30</xdr:row>
      <xdr:rowOff>168530</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3FBF5D01-8912-2E38-56D1-0348E8BDA45D}"/>
                </a:ext>
              </a:extLst>
            </xdr:cNvPr>
            <xdr:cNvSpPr txBox="1"/>
          </xdr:nvSpPr>
          <xdr:spPr>
            <a:xfrm>
              <a:off x="9093200" y="6159500"/>
              <a:ext cx="1104900" cy="295530"/>
            </a:xfrm>
            <a:prstGeom prst="rect">
              <a:avLst/>
            </a:prstGeom>
            <a:solidFill>
              <a:schemeClr val="bg1"/>
            </a:solidFill>
            <a:ln>
              <a:solidFill>
                <a:sysClr val="windowText" lastClr="000000"/>
              </a:solidFill>
            </a:ln>
            <a:effectLst/>
          </xdr:spPr>
          <xdr:txBody>
            <a:bodyPr wrap="square" lIns="45720" tIns="45720" rIns="45720" bIns="45720" rtlCol="0" anchor="t">
              <a:spAutoFit/>
            </a:bodyPr>
            <a:lstStyle/>
            <a:p>
              <a:pPr marL="0" marR="0">
                <a:lnSpc>
                  <a:spcPct val="115000"/>
                </a:lnSpc>
                <a:buNone/>
              </a:pPr>
              <a14:m>
                <m:oMathPara xmlns:m="http://schemas.openxmlformats.org/officeDocument/2006/math">
                  <m:oMathParaPr>
                    <m:jc m:val="centerGroup"/>
                  </m:oMathParaPr>
                  <m:oMath xmlns:m="http://schemas.openxmlformats.org/officeDocument/2006/math">
                    <m:r>
                      <a:rPr lang="en-US" sz="1100" i="1">
                        <a:solidFill>
                          <a:srgbClr val="000000"/>
                        </a:solidFill>
                        <a:effectLst/>
                        <a:latin typeface="Cambria Math" panose="02040503050406030204" pitchFamily="18" charset="0"/>
                        <a:ea typeface="Arial" panose="020B0604020202020204" pitchFamily="34" charset="0"/>
                      </a:rPr>
                      <m:t>𝐸</m:t>
                    </m:r>
                    <m:d>
                      <m:dPr>
                        <m:begChr m:val="["/>
                        <m:endChr m:val="]"/>
                        <m:ctrlPr>
                          <a:rPr lang="en-US" sz="1100" i="1">
                            <a:solidFill>
                              <a:srgbClr val="000000"/>
                            </a:solidFill>
                            <a:effectLst/>
                            <a:latin typeface="Cambria Math" panose="02040503050406030204" pitchFamily="18" charset="0"/>
                            <a:ea typeface="Arial" panose="020B0604020202020204" pitchFamily="34" charset="0"/>
                          </a:rPr>
                        </m:ctrlPr>
                      </m:dPr>
                      <m:e>
                        <m:r>
                          <a:rPr lang="en-US" sz="1100" i="1">
                            <a:solidFill>
                              <a:srgbClr val="000000"/>
                            </a:solidFill>
                            <a:effectLst/>
                            <a:latin typeface="Cambria Math" panose="02040503050406030204" pitchFamily="18" charset="0"/>
                            <a:ea typeface="Arial" panose="020B0604020202020204" pitchFamily="34" charset="0"/>
                          </a:rPr>
                          <m:t>𝑌</m:t>
                        </m:r>
                      </m:e>
                    </m:d>
                    <m:r>
                      <a:rPr lang="en-US" sz="1100" i="1">
                        <a:solidFill>
                          <a:srgbClr val="000000"/>
                        </a:solidFill>
                        <a:effectLst/>
                        <a:latin typeface="Cambria Math" panose="02040503050406030204" pitchFamily="18" charset="0"/>
                        <a:ea typeface="Arial" panose="020B0604020202020204" pitchFamily="34" charset="0"/>
                      </a:rPr>
                      <m:t>=</m:t>
                    </m:r>
                    <m:r>
                      <a:rPr lang="en-US" sz="1100" i="1">
                        <a:solidFill>
                          <a:srgbClr val="000000"/>
                        </a:solidFill>
                        <a:effectLst/>
                        <a:latin typeface="Cambria Math" panose="02040503050406030204" pitchFamily="18" charset="0"/>
                        <a:ea typeface="Arial" panose="020B0604020202020204" pitchFamily="34" charset="0"/>
                      </a:rPr>
                      <m:t>𝜇</m:t>
                    </m:r>
                    <m:r>
                      <a:rPr lang="en-US" sz="1100" i="1">
                        <a:solidFill>
                          <a:srgbClr val="000000"/>
                        </a:solidFill>
                        <a:effectLst/>
                        <a:latin typeface="Cambria Math" panose="02040503050406030204" pitchFamily="18" charset="0"/>
                        <a:ea typeface="Arial" panose="020B0604020202020204" pitchFamily="34" charset="0"/>
                      </a:rPr>
                      <m:t>=</m:t>
                    </m:r>
                    <m:sSup>
                      <m:sSupPr>
                        <m:ctrlPr>
                          <a:rPr lang="en-US" sz="1100" i="1">
                            <a:solidFill>
                              <a:srgbClr val="000000"/>
                            </a:solidFill>
                            <a:effectLst/>
                            <a:latin typeface="Cambria Math" panose="02040503050406030204" pitchFamily="18" charset="0"/>
                            <a:ea typeface="Arial" panose="020B0604020202020204" pitchFamily="34" charset="0"/>
                          </a:rPr>
                        </m:ctrlPr>
                      </m:sSupPr>
                      <m:e>
                        <m:r>
                          <a:rPr lang="en-US" sz="1100" i="1">
                            <a:solidFill>
                              <a:srgbClr val="000000"/>
                            </a:solidFill>
                            <a:effectLst/>
                            <a:latin typeface="Cambria Math" panose="02040503050406030204" pitchFamily="18" charset="0"/>
                            <a:ea typeface="Arial" panose="020B0604020202020204" pitchFamily="34" charset="0"/>
                          </a:rPr>
                          <m:t>𝑒</m:t>
                        </m:r>
                      </m:e>
                      <m:sup>
                        <m:r>
                          <a:rPr lang="en-US" sz="1100" i="1">
                            <a:solidFill>
                              <a:srgbClr val="000000"/>
                            </a:solidFill>
                            <a:effectLst/>
                            <a:latin typeface="Cambria Math" panose="02040503050406030204" pitchFamily="18" charset="0"/>
                            <a:ea typeface="Arial" panose="020B0604020202020204" pitchFamily="34" charset="0"/>
                          </a:rPr>
                          <m:t>𝜃</m:t>
                        </m:r>
                      </m:sup>
                    </m:sSup>
                  </m:oMath>
                </m:oMathPara>
              </a14:m>
              <a:endParaRPr lang="en-US" sz="1100">
                <a:solidFill>
                  <a:srgbClr val="000000"/>
                </a:solidFill>
                <a:effectLst/>
                <a:latin typeface="Arial" panose="020B0604020202020204" pitchFamily="34" charset="0"/>
                <a:ea typeface="Arial" panose="020B0604020202020204" pitchFamily="34" charset="0"/>
              </a:endParaRPr>
            </a:p>
          </xdr:txBody>
        </xdr:sp>
      </mc:Choice>
      <mc:Fallback xmlns="">
        <xdr:sp macro="" textlink="">
          <xdr:nvSpPr>
            <xdr:cNvPr id="4" name="TextBox 2">
              <a:extLst>
                <a:ext uri="{FF2B5EF4-FFF2-40B4-BE49-F238E27FC236}">
                  <a16:creationId xmlns:a16="http://schemas.microsoft.com/office/drawing/2014/main" id="{3FBF5D01-8912-2E38-56D1-0348E8BDA45D}"/>
                </a:ext>
              </a:extLst>
            </xdr:cNvPr>
            <xdr:cNvSpPr txBox="1"/>
          </xdr:nvSpPr>
          <xdr:spPr>
            <a:xfrm>
              <a:off x="9093200" y="6159500"/>
              <a:ext cx="1104900" cy="295530"/>
            </a:xfrm>
            <a:prstGeom prst="rect">
              <a:avLst/>
            </a:prstGeom>
            <a:solidFill>
              <a:schemeClr val="bg1"/>
            </a:solidFill>
            <a:ln>
              <a:solidFill>
                <a:sysClr val="windowText" lastClr="000000"/>
              </a:solidFill>
            </a:ln>
            <a:effectLst/>
          </xdr:spPr>
          <xdr:txBody>
            <a:bodyPr wrap="square" lIns="45720" tIns="45720" rIns="45720" bIns="45720" rtlCol="0" anchor="t">
              <a:spAutoFit/>
            </a:bodyPr>
            <a:lstStyle/>
            <a:p>
              <a:pPr marL="0" marR="0">
                <a:lnSpc>
                  <a:spcPct val="115000"/>
                </a:lnSpc>
                <a:buNone/>
              </a:pPr>
              <a:r>
                <a:rPr lang="en-US" sz="1100" i="0">
                  <a:solidFill>
                    <a:srgbClr val="000000"/>
                  </a:solidFill>
                  <a:effectLst/>
                  <a:latin typeface="Cambria Math" panose="02040503050406030204" pitchFamily="18" charset="0"/>
                  <a:ea typeface="Arial" panose="020B0604020202020204" pitchFamily="34" charset="0"/>
                </a:rPr>
                <a:t>𝐸</a:t>
              </a:r>
              <a:r>
                <a:rPr lang="en-US" sz="1100" i="0">
                  <a:solidFill>
                    <a:srgbClr val="000000"/>
                  </a:solidFill>
                  <a:effectLst/>
                  <a:latin typeface="Cambria Math" panose="02040503050406030204" pitchFamily="18" charset="0"/>
                </a:rPr>
                <a:t>[</a:t>
              </a:r>
              <a:r>
                <a:rPr lang="en-US" sz="1100" i="0">
                  <a:solidFill>
                    <a:srgbClr val="000000"/>
                  </a:solidFill>
                  <a:effectLst/>
                  <a:latin typeface="Cambria Math" panose="02040503050406030204" pitchFamily="18" charset="0"/>
                  <a:ea typeface="Arial" panose="020B0604020202020204" pitchFamily="34" charset="0"/>
                </a:rPr>
                <a:t>𝑌]=𝜇=𝑒^𝜃</a:t>
              </a:r>
              <a:endParaRPr lang="en-US" sz="1100">
                <a:solidFill>
                  <a:srgbClr val="000000"/>
                </a:solidFill>
                <a:effectLst/>
                <a:latin typeface="Arial" panose="020B0604020202020204" pitchFamily="34" charset="0"/>
                <a:ea typeface="Arial" panose="020B0604020202020204" pitchFamily="34" charset="0"/>
              </a:endParaRPr>
            </a:p>
          </xdr:txBody>
        </xdr:sp>
      </mc:Fallback>
    </mc:AlternateContent>
    <xdr:clientData/>
  </xdr:twoCellAnchor>
  <xdr:twoCellAnchor>
    <xdr:from>
      <xdr:col>13</xdr:col>
      <xdr:colOff>292100</xdr:colOff>
      <xdr:row>29</xdr:row>
      <xdr:rowOff>50800</xdr:rowOff>
    </xdr:from>
    <xdr:to>
      <xdr:col>14</xdr:col>
      <xdr:colOff>381000</xdr:colOff>
      <xdr:row>30</xdr:row>
      <xdr:rowOff>165100</xdr:rowOff>
    </xdr:to>
    <mc:AlternateContent xmlns:mc="http://schemas.openxmlformats.org/markup-compatibility/2006" xmlns:a14="http://schemas.microsoft.com/office/drawing/2010/main">
      <mc:Choice Requires="a14">
        <xdr:sp macro="" textlink="">
          <xdr:nvSpPr>
            <xdr:cNvPr id="5" name="TextBox 2">
              <a:extLst>
                <a:ext uri="{FF2B5EF4-FFF2-40B4-BE49-F238E27FC236}">
                  <a16:creationId xmlns:a16="http://schemas.microsoft.com/office/drawing/2014/main" id="{456DF00F-75C9-A89C-445F-2D77F75359D2}"/>
                </a:ext>
              </a:extLst>
            </xdr:cNvPr>
            <xdr:cNvSpPr txBox="1"/>
          </xdr:nvSpPr>
          <xdr:spPr>
            <a:xfrm>
              <a:off x="10680700" y="6134100"/>
              <a:ext cx="914400" cy="317500"/>
            </a:xfrm>
            <a:prstGeom prst="rect">
              <a:avLst/>
            </a:prstGeom>
            <a:solidFill>
              <a:schemeClr val="bg1"/>
            </a:solidFill>
            <a:ln>
              <a:solidFill>
                <a:sysClr val="windowText" lastClr="000000"/>
              </a:solidFill>
            </a:ln>
            <a:effectLst/>
          </xdr:spPr>
          <xdr:txBody>
            <a:bodyPr wrap="square" lIns="45720" tIns="45720" rIns="45720" bIns="45720" rtlCol="0" anchor="t">
              <a:noAutofit/>
            </a:bodyPr>
            <a:lstStyle/>
            <a:p>
              <a:pPr marL="0" marR="0">
                <a:lnSpc>
                  <a:spcPct val="115000"/>
                </a:lnSpc>
                <a:buNone/>
              </a:pPr>
              <a14:m>
                <m:oMathPara xmlns:m="http://schemas.openxmlformats.org/officeDocument/2006/math">
                  <m:oMathParaPr>
                    <m:jc m:val="centerGroup"/>
                  </m:oMathParaPr>
                  <m:oMath xmlns:m="http://schemas.openxmlformats.org/officeDocument/2006/math">
                    <m:r>
                      <a:rPr lang="en-US" sz="1100" i="1">
                        <a:solidFill>
                          <a:srgbClr val="000000"/>
                        </a:solidFill>
                        <a:effectLst/>
                        <a:latin typeface="Cambria Math" panose="02040503050406030204" pitchFamily="18" charset="0"/>
                        <a:ea typeface="Arial" panose="020B0604020202020204" pitchFamily="34" charset="0"/>
                      </a:rPr>
                      <m:t>𝑉𝑎𝑟</m:t>
                    </m:r>
                    <m:d>
                      <m:dPr>
                        <m:ctrlPr>
                          <a:rPr lang="en-US" sz="1100" i="1">
                            <a:solidFill>
                              <a:srgbClr val="000000"/>
                            </a:solidFill>
                            <a:effectLst/>
                            <a:latin typeface="Cambria Math" panose="02040503050406030204" pitchFamily="18" charset="0"/>
                            <a:ea typeface="Arial" panose="020B0604020202020204" pitchFamily="34" charset="0"/>
                          </a:rPr>
                        </m:ctrlPr>
                      </m:dPr>
                      <m:e>
                        <m:r>
                          <a:rPr lang="en-US" sz="1100" i="1">
                            <a:solidFill>
                              <a:srgbClr val="000000"/>
                            </a:solidFill>
                            <a:effectLst/>
                            <a:latin typeface="Cambria Math" panose="02040503050406030204" pitchFamily="18" charset="0"/>
                            <a:ea typeface="Arial" panose="020B0604020202020204" pitchFamily="34" charset="0"/>
                          </a:rPr>
                          <m:t>𝑌</m:t>
                        </m:r>
                      </m:e>
                    </m:d>
                    <m:r>
                      <a:rPr lang="en-US" sz="1100" i="1">
                        <a:solidFill>
                          <a:srgbClr val="000000"/>
                        </a:solidFill>
                        <a:effectLst/>
                        <a:latin typeface="Cambria Math" panose="02040503050406030204" pitchFamily="18" charset="0"/>
                        <a:ea typeface="Arial" panose="020B0604020202020204" pitchFamily="34" charset="0"/>
                      </a:rPr>
                      <m:t>=</m:t>
                    </m:r>
                    <m:r>
                      <a:rPr lang="en-US" sz="1100" i="1">
                        <a:solidFill>
                          <a:srgbClr val="000000"/>
                        </a:solidFill>
                        <a:effectLst/>
                        <a:latin typeface="Cambria Math" panose="02040503050406030204" pitchFamily="18" charset="0"/>
                        <a:ea typeface="Arial" panose="020B0604020202020204" pitchFamily="34" charset="0"/>
                        <a:cs typeface="Cambria" panose="02040503050406030204" pitchFamily="18" charset="0"/>
                      </a:rPr>
                      <m:t>𝜙</m:t>
                    </m:r>
                    <m:r>
                      <a:rPr lang="en-US" sz="1100" i="1">
                        <a:solidFill>
                          <a:srgbClr val="000000"/>
                        </a:solidFill>
                        <a:effectLst/>
                        <a:latin typeface="Cambria Math" panose="02040503050406030204" pitchFamily="18" charset="0"/>
                        <a:ea typeface="Arial" panose="020B0604020202020204" pitchFamily="34" charset="0"/>
                      </a:rPr>
                      <m:t>𝜇</m:t>
                    </m:r>
                  </m:oMath>
                </m:oMathPara>
              </a14:m>
              <a:endParaRPr lang="en-US" sz="1100">
                <a:solidFill>
                  <a:srgbClr val="000000"/>
                </a:solidFill>
                <a:effectLst/>
                <a:latin typeface="Arial" panose="020B0604020202020204" pitchFamily="34" charset="0"/>
                <a:ea typeface="Arial" panose="020B0604020202020204" pitchFamily="34" charset="0"/>
              </a:endParaRPr>
            </a:p>
          </xdr:txBody>
        </xdr:sp>
      </mc:Choice>
      <mc:Fallback xmlns="">
        <xdr:sp macro="" textlink="">
          <xdr:nvSpPr>
            <xdr:cNvPr id="5" name="TextBox 2">
              <a:extLst>
                <a:ext uri="{FF2B5EF4-FFF2-40B4-BE49-F238E27FC236}">
                  <a16:creationId xmlns:a16="http://schemas.microsoft.com/office/drawing/2014/main" id="{456DF00F-75C9-A89C-445F-2D77F75359D2}"/>
                </a:ext>
              </a:extLst>
            </xdr:cNvPr>
            <xdr:cNvSpPr txBox="1"/>
          </xdr:nvSpPr>
          <xdr:spPr>
            <a:xfrm>
              <a:off x="10680700" y="6134100"/>
              <a:ext cx="914400" cy="317500"/>
            </a:xfrm>
            <a:prstGeom prst="rect">
              <a:avLst/>
            </a:prstGeom>
            <a:solidFill>
              <a:schemeClr val="bg1"/>
            </a:solidFill>
            <a:ln>
              <a:solidFill>
                <a:sysClr val="windowText" lastClr="000000"/>
              </a:solidFill>
            </a:ln>
            <a:effectLst/>
          </xdr:spPr>
          <xdr:txBody>
            <a:bodyPr wrap="square" lIns="45720" tIns="45720" rIns="45720" bIns="45720" rtlCol="0" anchor="t">
              <a:noAutofit/>
            </a:bodyPr>
            <a:lstStyle/>
            <a:p>
              <a:pPr marL="0" marR="0">
                <a:lnSpc>
                  <a:spcPct val="115000"/>
                </a:lnSpc>
                <a:buNone/>
              </a:pPr>
              <a:r>
                <a:rPr lang="en-US" sz="1100" i="0">
                  <a:solidFill>
                    <a:srgbClr val="000000"/>
                  </a:solidFill>
                  <a:effectLst/>
                  <a:latin typeface="Cambria Math" panose="02040503050406030204" pitchFamily="18" charset="0"/>
                  <a:ea typeface="Arial" panose="020B0604020202020204" pitchFamily="34" charset="0"/>
                </a:rPr>
                <a:t>𝑉𝑎𝑟</a:t>
              </a:r>
              <a:r>
                <a:rPr lang="en-US" sz="1100" i="0">
                  <a:solidFill>
                    <a:srgbClr val="000000"/>
                  </a:solidFill>
                  <a:effectLst/>
                  <a:latin typeface="Cambria Math" panose="02040503050406030204" pitchFamily="18" charset="0"/>
                </a:rPr>
                <a:t>(</a:t>
              </a:r>
              <a:r>
                <a:rPr lang="en-US" sz="1100" i="0">
                  <a:solidFill>
                    <a:srgbClr val="000000"/>
                  </a:solidFill>
                  <a:effectLst/>
                  <a:latin typeface="Cambria Math" panose="02040503050406030204" pitchFamily="18" charset="0"/>
                  <a:ea typeface="Arial" panose="020B0604020202020204" pitchFamily="34" charset="0"/>
                </a:rPr>
                <a:t>𝑌)=</a:t>
              </a:r>
              <a:r>
                <a:rPr lang="en-US" sz="1100" i="0">
                  <a:solidFill>
                    <a:srgbClr val="000000"/>
                  </a:solidFill>
                  <a:effectLst/>
                  <a:latin typeface="Cambria Math" panose="02040503050406030204" pitchFamily="18" charset="0"/>
                  <a:ea typeface="Arial" panose="020B0604020202020204" pitchFamily="34" charset="0"/>
                  <a:cs typeface="Cambria" panose="02040503050406030204" pitchFamily="18" charset="0"/>
                </a:rPr>
                <a:t>𝜙</a:t>
              </a:r>
              <a:r>
                <a:rPr lang="en-US" sz="1100" i="0">
                  <a:solidFill>
                    <a:srgbClr val="000000"/>
                  </a:solidFill>
                  <a:effectLst/>
                  <a:latin typeface="Cambria Math" panose="02040503050406030204" pitchFamily="18" charset="0"/>
                  <a:ea typeface="Arial" panose="020B0604020202020204" pitchFamily="34" charset="0"/>
                </a:rPr>
                <a:t>𝜇</a:t>
              </a:r>
              <a:endParaRPr lang="en-US" sz="1100">
                <a:solidFill>
                  <a:srgbClr val="000000"/>
                </a:solidFill>
                <a:effectLst/>
                <a:latin typeface="Arial" panose="020B0604020202020204" pitchFamily="34" charset="0"/>
                <a:ea typeface="Arial" panose="020B0604020202020204" pitchFamily="34" charset="0"/>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439616</xdr:colOff>
      <xdr:row>3</xdr:row>
      <xdr:rowOff>117231</xdr:rowOff>
    </xdr:from>
    <xdr:to>
      <xdr:col>8</xdr:col>
      <xdr:colOff>114399</xdr:colOff>
      <xdr:row>19</xdr:row>
      <xdr:rowOff>1514</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0385" y="771769"/>
          <a:ext cx="4657090" cy="3166745"/>
        </a:xfrm>
        <a:prstGeom prst="rect">
          <a:avLst/>
        </a:prstGeom>
        <a:noFill/>
        <a:ln>
          <a:noFill/>
        </a:ln>
      </xdr:spPr>
    </xdr:pic>
    <xdr:clientData/>
  </xdr:twoCellAnchor>
  <xdr:twoCellAnchor>
    <xdr:from>
      <xdr:col>13</xdr:col>
      <xdr:colOff>222250</xdr:colOff>
      <xdr:row>32</xdr:row>
      <xdr:rowOff>107950</xdr:rowOff>
    </xdr:from>
    <xdr:to>
      <xdr:col>14</xdr:col>
      <xdr:colOff>292100</xdr:colOff>
      <xdr:row>34</xdr:row>
      <xdr:rowOff>146050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534650" y="6521450"/>
              <a:ext cx="895350" cy="4572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Sup>
                      <m:sSubSupPr>
                        <m:ctrlPr>
                          <a:rPr lang="en-US" sz="1200" b="0" i="1">
                            <a:latin typeface="Cambria Math" panose="02040503050406030204" pitchFamily="18" charset="0"/>
                          </a:rPr>
                        </m:ctrlPr>
                      </m:sSubSupPr>
                      <m:e>
                        <m:r>
                          <a:rPr lang="en-US" sz="1200" b="0" i="1">
                            <a:latin typeface="Cambria Math" panose="02040503050406030204" pitchFamily="18" charset="0"/>
                          </a:rPr>
                          <m:t>𝑅</m:t>
                        </m:r>
                      </m:e>
                      <m:sub>
                        <m:r>
                          <a:rPr lang="en-US" sz="1200" b="0" i="1">
                            <a:latin typeface="Cambria Math" panose="02040503050406030204" pitchFamily="18" charset="0"/>
                          </a:rPr>
                          <m:t>𝑖</m:t>
                        </m:r>
                      </m:sub>
                      <m:sup>
                        <m:r>
                          <a:rPr lang="en-US" sz="1200" b="0" i="1">
                            <a:latin typeface="Cambria Math" panose="02040503050406030204" pitchFamily="18" charset="0"/>
                          </a:rPr>
                          <m:t>𝑃</m:t>
                        </m:r>
                      </m:sup>
                    </m:sSubSup>
                    <m:r>
                      <a:rPr lang="en-US" sz="1200" b="0" i="1">
                        <a:latin typeface="Cambria Math" panose="02040503050406030204" pitchFamily="18" charset="0"/>
                      </a:rPr>
                      <m:t>=</m:t>
                    </m:r>
                    <m:f>
                      <m:fPr>
                        <m:ctrlPr>
                          <a:rPr lang="en-US" sz="1200" b="0" i="1">
                            <a:latin typeface="Cambria Math" panose="02040503050406030204" pitchFamily="18" charset="0"/>
                          </a:rPr>
                        </m:ctrlPr>
                      </m:fPr>
                      <m:num>
                        <m:sSub>
                          <m:sSubPr>
                            <m:ctrlPr>
                              <a:rPr lang="en-US" sz="1200" b="0" i="1">
                                <a:latin typeface="Cambria Math" panose="02040503050406030204" pitchFamily="18" charset="0"/>
                              </a:rPr>
                            </m:ctrlPr>
                          </m:sSubPr>
                          <m:e>
                            <m:r>
                              <a:rPr lang="en-US" sz="1200" b="0" i="1">
                                <a:latin typeface="Cambria Math" panose="02040503050406030204" pitchFamily="18" charset="0"/>
                              </a:rPr>
                              <m:t>𝑌</m:t>
                            </m:r>
                          </m:e>
                          <m:sub>
                            <m:r>
                              <a:rPr lang="en-US" sz="1200" b="0" i="1">
                                <a:latin typeface="Cambria Math" panose="02040503050406030204" pitchFamily="18" charset="0"/>
                              </a:rPr>
                              <m:t>𝑖</m:t>
                            </m:r>
                          </m:sub>
                        </m:sSub>
                        <m:r>
                          <a:rPr lang="en-US" sz="1200" b="0" i="1">
                            <a:latin typeface="Cambria Math" panose="02040503050406030204" pitchFamily="18" charset="0"/>
                          </a:rPr>
                          <m:t>−</m:t>
                        </m:r>
                        <m:sSub>
                          <m:sSubPr>
                            <m:ctrlPr>
                              <a:rPr lang="en-US" sz="1200" b="0" i="1">
                                <a:latin typeface="Cambria Math" panose="02040503050406030204" pitchFamily="18" charset="0"/>
                              </a:rPr>
                            </m:ctrlPr>
                          </m:sSubPr>
                          <m:e>
                            <m:acc>
                              <m:accPr>
                                <m:chr m:val="̂"/>
                                <m:ctrlPr>
                                  <a:rPr lang="en-US" sz="1200" b="0" i="1">
                                    <a:latin typeface="Cambria Math" panose="02040503050406030204" pitchFamily="18" charset="0"/>
                                  </a:rPr>
                                </m:ctrlPr>
                              </m:accPr>
                              <m:e>
                                <m:r>
                                  <a:rPr lang="en-US" sz="1200" b="0" i="1">
                                    <a:latin typeface="Cambria Math" panose="02040503050406030204" pitchFamily="18" charset="0"/>
                                  </a:rPr>
                                  <m:t>𝑌</m:t>
                                </m:r>
                              </m:e>
                            </m:acc>
                          </m:e>
                          <m:sub>
                            <m:r>
                              <a:rPr lang="en-US" sz="1200" b="0" i="1">
                                <a:latin typeface="Cambria Math" panose="02040503050406030204" pitchFamily="18" charset="0"/>
                              </a:rPr>
                              <m:t>𝑖</m:t>
                            </m:r>
                          </m:sub>
                        </m:sSub>
                      </m:num>
                      <m:den>
                        <m:rad>
                          <m:radPr>
                            <m:degHide m:val="on"/>
                            <m:ctrlPr>
                              <a:rPr lang="en-US" sz="1200" b="0" i="1">
                                <a:latin typeface="Cambria Math" panose="02040503050406030204" pitchFamily="18" charset="0"/>
                              </a:rPr>
                            </m:ctrlPr>
                          </m:radPr>
                          <m:deg/>
                          <m:e>
                            <m:r>
                              <a:rPr lang="en-US" sz="1200" b="0" i="1">
                                <a:latin typeface="Cambria Math" panose="02040503050406030204" pitchFamily="18" charset="0"/>
                                <a:ea typeface="Cambria Math" panose="02040503050406030204" pitchFamily="18" charset="0"/>
                              </a:rPr>
                              <m:t>𝜙</m:t>
                            </m:r>
                            <m:acc>
                              <m:accPr>
                                <m:chr m:val="̂"/>
                                <m:ctrlPr>
                                  <a:rPr lang="en-US" sz="1200" b="0" i="1">
                                    <a:latin typeface="Cambria Math" panose="02040503050406030204" pitchFamily="18" charset="0"/>
                                  </a:rPr>
                                </m:ctrlPr>
                              </m:accPr>
                              <m:e>
                                <m:r>
                                  <a:rPr lang="en-US" sz="1200" b="0" i="1">
                                    <a:latin typeface="Cambria Math" panose="02040503050406030204" pitchFamily="18" charset="0"/>
                                  </a:rPr>
                                  <m:t>𝑌</m:t>
                                </m:r>
                              </m:e>
                            </m:acc>
                          </m:e>
                        </m:rad>
                      </m:den>
                    </m:f>
                  </m:oMath>
                </m:oMathPara>
              </a14:m>
              <a:endParaRPr lang="en-US" sz="1200"/>
            </a:p>
          </xdr:txBody>
        </xdr:sp>
      </mc:Choice>
      <mc:Fallback xmlns="">
        <xdr:sp macro="" textlink="">
          <xdr:nvSpPr>
            <xdr:cNvPr id="3" name="TextBox 2">
              <a:extLst>
                <a:ext uri="{FF2B5EF4-FFF2-40B4-BE49-F238E27FC236}">
                  <a16:creationId xmlns:a16="http://schemas.microsoft.com/office/drawing/2014/main" id="{E9647D06-8B5C-110A-6E66-9C8FEE60AD51}"/>
                </a:ext>
              </a:extLst>
            </xdr:cNvPr>
            <xdr:cNvSpPr txBox="1"/>
          </xdr:nvSpPr>
          <xdr:spPr>
            <a:xfrm>
              <a:off x="10534650" y="6521450"/>
              <a:ext cx="895350" cy="4572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𝑅_𝑖^𝑃=(𝑌_𝑖−𝑌 ̂_𝑖)/√(</a:t>
              </a:r>
              <a:r>
                <a:rPr lang="en-US" sz="1200" b="0" i="0">
                  <a:latin typeface="Cambria Math" panose="02040503050406030204" pitchFamily="18" charset="0"/>
                  <a:ea typeface="Cambria Math" panose="02040503050406030204" pitchFamily="18" charset="0"/>
                </a:rPr>
                <a:t>𝜙</a:t>
              </a:r>
              <a:r>
                <a:rPr lang="en-US" sz="1200" b="0" i="0">
                  <a:latin typeface="Cambria Math" panose="02040503050406030204" pitchFamily="18" charset="0"/>
                </a:rPr>
                <a:t>𝑌 ̂ )</a:t>
              </a:r>
              <a:endParaRPr lang="en-US" sz="12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3</xdr:col>
      <xdr:colOff>254000</xdr:colOff>
      <xdr:row>5</xdr:row>
      <xdr:rowOff>19957</xdr:rowOff>
    </xdr:from>
    <xdr:ext cx="311945"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EC0EED6-2064-604D-BEF0-93C7B25840A1}"/>
                </a:ext>
              </a:extLst>
            </xdr:cNvPr>
            <xdr:cNvSpPr txBox="1"/>
          </xdr:nvSpPr>
          <xdr:spPr>
            <a:xfrm>
              <a:off x="2768600" y="1035957"/>
              <a:ext cx="3119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𝑙𝑛</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m:t>
                            </m:r>
                          </m:e>
                        </m:acc>
                      </m:e>
                      <m:sub>
                        <m:r>
                          <a:rPr lang="en-US" sz="1100" b="0" i="1">
                            <a:latin typeface="Cambria Math" panose="02040503050406030204" pitchFamily="18" charset="0"/>
                          </a:rPr>
                          <m:t>𝑘</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1EC0EED6-2064-604D-BEF0-93C7B25840A1}"/>
                </a:ext>
              </a:extLst>
            </xdr:cNvPr>
            <xdr:cNvSpPr txBox="1"/>
          </xdr:nvSpPr>
          <xdr:spPr>
            <a:xfrm>
              <a:off x="2768600" y="1035957"/>
              <a:ext cx="31194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𝑙𝑛⍺ ̂_𝑘</a:t>
              </a:r>
              <a:endParaRPr lang="en-US" sz="1100"/>
            </a:p>
          </xdr:txBody>
        </xdr:sp>
      </mc:Fallback>
    </mc:AlternateContent>
    <xdr:clientData/>
  </xdr:oneCellAnchor>
  <xdr:oneCellAnchor>
    <xdr:from>
      <xdr:col>4</xdr:col>
      <xdr:colOff>321129</xdr:colOff>
      <xdr:row>5</xdr:row>
      <xdr:rowOff>10886</xdr:rowOff>
    </xdr:from>
    <xdr:ext cx="289182" cy="1959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E403037-EEDA-E747-94B2-23ECE98E5751}"/>
                </a:ext>
              </a:extLst>
            </xdr:cNvPr>
            <xdr:cNvSpPr txBox="1"/>
          </xdr:nvSpPr>
          <xdr:spPr>
            <a:xfrm>
              <a:off x="3673929" y="1026886"/>
              <a:ext cx="289182" cy="195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𝑙𝑛</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𝛽</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2E403037-EEDA-E747-94B2-23ECE98E5751}"/>
                </a:ext>
              </a:extLst>
            </xdr:cNvPr>
            <xdr:cNvSpPr txBox="1"/>
          </xdr:nvSpPr>
          <xdr:spPr>
            <a:xfrm>
              <a:off x="3673929" y="1026886"/>
              <a:ext cx="289182" cy="195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𝑙𝑛𝛽 ̂_𝑗</a:t>
              </a:r>
              <a:endParaRPr lang="en-US" sz="1100"/>
            </a:p>
          </xdr:txBody>
        </xdr:sp>
      </mc:Fallback>
    </mc:AlternateContent>
    <xdr:clientData/>
  </xdr:oneCellAnchor>
  <xdr:oneCellAnchor>
    <xdr:from>
      <xdr:col>2</xdr:col>
      <xdr:colOff>739169</xdr:colOff>
      <xdr:row>15</xdr:row>
      <xdr:rowOff>16706</xdr:rowOff>
    </xdr:from>
    <xdr:ext cx="184025" cy="172227"/>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8A52287-A3D5-EF43-A5AD-6BA0C891968B}"/>
                </a:ext>
              </a:extLst>
            </xdr:cNvPr>
            <xdr:cNvSpPr txBox="1"/>
          </xdr:nvSpPr>
          <xdr:spPr>
            <a:xfrm>
              <a:off x="1903336" y="3064706"/>
              <a:ext cx="1840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m:t>
                            </m:r>
                          </m:e>
                        </m:acc>
                      </m:e>
                      <m:sub>
                        <m:r>
                          <a:rPr lang="en-US" sz="1100" b="0" i="1">
                            <a:latin typeface="Cambria Math" panose="02040503050406030204" pitchFamily="18" charset="0"/>
                          </a:rPr>
                          <m:t>𝑘</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68A52287-A3D5-EF43-A5AD-6BA0C891968B}"/>
                </a:ext>
              </a:extLst>
            </xdr:cNvPr>
            <xdr:cNvSpPr txBox="1"/>
          </xdr:nvSpPr>
          <xdr:spPr>
            <a:xfrm>
              <a:off x="1903336" y="3064706"/>
              <a:ext cx="18402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 ̂_𝑘</a:t>
              </a:r>
              <a:endParaRPr lang="en-US" sz="1100"/>
            </a:p>
          </xdr:txBody>
        </xdr:sp>
      </mc:Fallback>
    </mc:AlternateContent>
    <xdr:clientData/>
  </xdr:oneCellAnchor>
  <xdr:oneCellAnchor>
    <xdr:from>
      <xdr:col>3</xdr:col>
      <xdr:colOff>343280</xdr:colOff>
      <xdr:row>15</xdr:row>
      <xdr:rowOff>5671</xdr:rowOff>
    </xdr:from>
    <xdr:ext cx="161262" cy="19595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D3B4E81-696A-F145-998D-A5FD90B3679C}"/>
                </a:ext>
              </a:extLst>
            </xdr:cNvPr>
            <xdr:cNvSpPr txBox="1"/>
          </xdr:nvSpPr>
          <xdr:spPr>
            <a:xfrm>
              <a:off x="2332947" y="3053671"/>
              <a:ext cx="161262" cy="195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𝛽</m:t>
                            </m:r>
                          </m:e>
                        </m:acc>
                      </m:e>
                      <m:sub>
                        <m:r>
                          <a:rPr lang="en-US" sz="1100" b="0" i="1">
                            <a:latin typeface="Cambria Math" panose="02040503050406030204" pitchFamily="18" charset="0"/>
                          </a:rPr>
                          <m:t>𝑗</m:t>
                        </m:r>
                      </m:sub>
                    </m:sSub>
                  </m:oMath>
                </m:oMathPara>
              </a14:m>
              <a:endParaRPr lang="en-US" sz="1100"/>
            </a:p>
          </xdr:txBody>
        </xdr:sp>
      </mc:Choice>
      <mc:Fallback xmlns="">
        <xdr:sp macro="" textlink="">
          <xdr:nvSpPr>
            <xdr:cNvPr id="5" name="TextBox 4">
              <a:extLst>
                <a:ext uri="{FF2B5EF4-FFF2-40B4-BE49-F238E27FC236}">
                  <a16:creationId xmlns:a16="http://schemas.microsoft.com/office/drawing/2014/main" id="{7D3B4E81-696A-F145-998D-A5FD90B3679C}"/>
                </a:ext>
              </a:extLst>
            </xdr:cNvPr>
            <xdr:cNvSpPr txBox="1"/>
          </xdr:nvSpPr>
          <xdr:spPr>
            <a:xfrm>
              <a:off x="2332947" y="3053671"/>
              <a:ext cx="161262" cy="1959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𝛽 ̂_𝑗</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1</xdr:col>
      <xdr:colOff>111478</xdr:colOff>
      <xdr:row>7</xdr:row>
      <xdr:rowOff>11288</xdr:rowOff>
    </xdr:from>
    <xdr:ext cx="247760"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D197340-581E-944A-B518-6D7FFA2C34EA}"/>
                </a:ext>
              </a:extLst>
            </xdr:cNvPr>
            <xdr:cNvSpPr txBox="1"/>
          </xdr:nvSpPr>
          <xdr:spPr>
            <a:xfrm>
              <a:off x="454378" y="1471788"/>
              <a:ext cx="24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i="1">
                                <a:latin typeface="Cambria Math" panose="02040503050406030204" pitchFamily="18" charset="0"/>
                              </a:rPr>
                            </m:ctrlPr>
                          </m:accPr>
                          <m:e>
                            <m:r>
                              <a:rPr lang="en-US" sz="1100" b="0" i="1">
                                <a:latin typeface="Cambria Math" panose="02040503050406030204" pitchFamily="18" charset="0"/>
                              </a:rPr>
                              <m:t>𝜙</m:t>
                            </m:r>
                          </m:e>
                        </m:acc>
                      </m:e>
                      <m:sub>
                        <m:r>
                          <a:rPr lang="en-US" sz="1100" b="0" i="1">
                            <a:latin typeface="Cambria Math" panose="02040503050406030204" pitchFamily="18" charset="0"/>
                          </a:rPr>
                          <m:t>48</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3D197340-581E-944A-B518-6D7FFA2C34EA}"/>
                </a:ext>
              </a:extLst>
            </xdr:cNvPr>
            <xdr:cNvSpPr txBox="1"/>
          </xdr:nvSpPr>
          <xdr:spPr>
            <a:xfrm>
              <a:off x="454378" y="1471788"/>
              <a:ext cx="24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𝜙 ̂_48</a:t>
              </a:r>
              <a:endParaRPr lang="en-US" sz="1100"/>
            </a:p>
          </xdr:txBody>
        </xdr:sp>
      </mc:Fallback>
    </mc:AlternateContent>
    <xdr:clientData/>
  </xdr:oneCellAnchor>
  <xdr:oneCellAnchor>
    <xdr:from>
      <xdr:col>1</xdr:col>
      <xdr:colOff>108657</xdr:colOff>
      <xdr:row>6</xdr:row>
      <xdr:rowOff>8470</xdr:rowOff>
    </xdr:from>
    <xdr:ext cx="206916" cy="1853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1D52A46-5466-0F4A-9211-DE8123309962}"/>
                </a:ext>
              </a:extLst>
            </xdr:cNvPr>
            <xdr:cNvSpPr txBox="1"/>
          </xdr:nvSpPr>
          <xdr:spPr>
            <a:xfrm>
              <a:off x="946857" y="1227670"/>
              <a:ext cx="206916" cy="185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i="1">
                                <a:latin typeface="Cambria Math" panose="02040503050406030204" pitchFamily="18" charset="0"/>
                              </a:rPr>
                            </m:ctrlPr>
                          </m:accPr>
                          <m:e>
                            <m:r>
                              <a:rPr lang="en-US" sz="1100" b="0" i="1">
                                <a:latin typeface="Cambria Math" panose="02040503050406030204" pitchFamily="18" charset="0"/>
                              </a:rPr>
                              <m:t>𝑓</m:t>
                            </m:r>
                          </m:e>
                        </m:acc>
                      </m:e>
                      <m:sub>
                        <m:r>
                          <a:rPr lang="en-US" sz="1100" b="0" i="1">
                            <a:latin typeface="Cambria Math" panose="02040503050406030204" pitchFamily="18" charset="0"/>
                          </a:rPr>
                          <m:t>48</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B1D52A46-5466-0F4A-9211-DE8123309962}"/>
                </a:ext>
              </a:extLst>
            </xdr:cNvPr>
            <xdr:cNvSpPr txBox="1"/>
          </xdr:nvSpPr>
          <xdr:spPr>
            <a:xfrm>
              <a:off x="946857" y="1227670"/>
              <a:ext cx="206916" cy="1853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𝑓 ̂_48</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1</xdr:col>
      <xdr:colOff>419100</xdr:colOff>
      <xdr:row>4</xdr:row>
      <xdr:rowOff>152400</xdr:rowOff>
    </xdr:from>
    <xdr:ext cx="4102101" cy="3187700"/>
    <xdr:pic>
      <xdr:nvPicPr>
        <xdr:cNvPr id="2" name="Picture 1">
          <a:extLst>
            <a:ext uri="{FF2B5EF4-FFF2-40B4-BE49-F238E27FC236}">
              <a16:creationId xmlns:a16="http://schemas.microsoft.com/office/drawing/2014/main" id="{ED3104D4-11CB-EC4C-87D3-FBA6914D5F77}"/>
            </a:ext>
          </a:extLst>
        </xdr:cNvPr>
        <xdr:cNvPicPr>
          <a:picLocks noChangeAspect="1"/>
        </xdr:cNvPicPr>
      </xdr:nvPicPr>
      <xdr:blipFill rotWithShape="1">
        <a:blip xmlns:r="http://schemas.openxmlformats.org/officeDocument/2006/relationships" r:embed="rId1"/>
        <a:srcRect l="2915" t="3273" r="2917" b="4363"/>
        <a:stretch/>
      </xdr:blipFill>
      <xdr:spPr>
        <a:xfrm>
          <a:off x="1257300" y="965200"/>
          <a:ext cx="4102101" cy="3187700"/>
        </a:xfrm>
        <a:prstGeom prst="rect">
          <a:avLst/>
        </a:prstGeom>
        <a:ln>
          <a:solidFill>
            <a:schemeClr val="tx1"/>
          </a:solid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711200</xdr:colOff>
      <xdr:row>19</xdr:row>
      <xdr:rowOff>38100</xdr:rowOff>
    </xdr:from>
    <xdr:ext cx="178382" cy="172227"/>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4BF2796-E285-B649-90D2-35128F11FC1C}"/>
                </a:ext>
              </a:extLst>
            </xdr:cNvPr>
            <xdr:cNvSpPr txBox="1"/>
          </xdr:nvSpPr>
          <xdr:spPr>
            <a:xfrm>
              <a:off x="1549400" y="3898900"/>
              <a:ext cx="1783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p>
                      <m:sSupPr>
                        <m:ctrlPr>
                          <a:rPr lang="en-US" sz="1100" b="0" i="1">
                            <a:latin typeface="Cambria Math" panose="02040503050406030204" pitchFamily="18" charset="0"/>
                          </a:rPr>
                        </m:ctrlPr>
                      </m:sSupPr>
                      <m:e>
                        <m:r>
                          <a:rPr lang="en-US" sz="1100" b="0" i="1">
                            <a:latin typeface="Cambria Math" panose="02040503050406030204" pitchFamily="18" charset="0"/>
                          </a:rPr>
                          <m:t>𝑌</m:t>
                        </m:r>
                      </m:e>
                      <m:sup>
                        <m:r>
                          <a:rPr lang="en-US" sz="1100" b="0" i="1">
                            <a:latin typeface="Cambria Math" panose="02040503050406030204" pitchFamily="18" charset="0"/>
                          </a:rPr>
                          <m:t>∗</m:t>
                        </m:r>
                      </m:sup>
                    </m:sSup>
                  </m:oMath>
                </m:oMathPara>
              </a14:m>
              <a:endParaRPr lang="en-US" sz="1100"/>
            </a:p>
          </xdr:txBody>
        </xdr:sp>
      </mc:Choice>
      <mc:Fallback xmlns="">
        <xdr:sp macro="" textlink="">
          <xdr:nvSpPr>
            <xdr:cNvPr id="2" name="TextBox 1">
              <a:extLst>
                <a:ext uri="{FF2B5EF4-FFF2-40B4-BE49-F238E27FC236}">
                  <a16:creationId xmlns:a16="http://schemas.microsoft.com/office/drawing/2014/main" id="{44BF2796-E285-B649-90D2-35128F11FC1C}"/>
                </a:ext>
              </a:extLst>
            </xdr:cNvPr>
            <xdr:cNvSpPr txBox="1"/>
          </xdr:nvSpPr>
          <xdr:spPr>
            <a:xfrm>
              <a:off x="1549400" y="3898900"/>
              <a:ext cx="17838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𝑌^∗</a:t>
              </a:r>
              <a:endParaRPr lang="en-US" sz="1100"/>
            </a:p>
          </xdr:txBody>
        </xdr:sp>
      </mc:Fallback>
    </mc:AlternateContent>
    <xdr:clientData/>
  </xdr:oneCellAnchor>
  <xdr:oneCellAnchor>
    <xdr:from>
      <xdr:col>3</xdr:col>
      <xdr:colOff>568324</xdr:colOff>
      <xdr:row>18</xdr:row>
      <xdr:rowOff>196972</xdr:rowOff>
    </xdr:from>
    <xdr:ext cx="121636" cy="18498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1B19894-667A-D342-B2DA-8A63EBA83EA4}"/>
                </a:ext>
              </a:extLst>
            </xdr:cNvPr>
            <xdr:cNvSpPr txBox="1"/>
          </xdr:nvSpPr>
          <xdr:spPr>
            <a:xfrm>
              <a:off x="3082924" y="3854572"/>
              <a:ext cx="121636" cy="184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𝛽</m:t>
                        </m:r>
                      </m:e>
                    </m:acc>
                  </m:oMath>
                </m:oMathPara>
              </a14:m>
              <a:endParaRPr lang="en-US" sz="1100"/>
            </a:p>
          </xdr:txBody>
        </xdr:sp>
      </mc:Choice>
      <mc:Fallback xmlns="">
        <xdr:sp macro="" textlink="">
          <xdr:nvSpPr>
            <xdr:cNvPr id="3" name="TextBox 2">
              <a:extLst>
                <a:ext uri="{FF2B5EF4-FFF2-40B4-BE49-F238E27FC236}">
                  <a16:creationId xmlns:a16="http://schemas.microsoft.com/office/drawing/2014/main" id="{11B19894-667A-D342-B2DA-8A63EBA83EA4}"/>
                </a:ext>
              </a:extLst>
            </xdr:cNvPr>
            <xdr:cNvSpPr txBox="1"/>
          </xdr:nvSpPr>
          <xdr:spPr>
            <a:xfrm>
              <a:off x="3082924" y="3854572"/>
              <a:ext cx="121636" cy="1849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𝛽 ̂</a:t>
              </a:r>
              <a:endParaRPr lang="en-US"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1</xdr:col>
      <xdr:colOff>101600</xdr:colOff>
      <xdr:row>12</xdr:row>
      <xdr:rowOff>12700</xdr:rowOff>
    </xdr:from>
    <xdr:ext cx="275845" cy="18293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0804C53-49D3-6945-932B-4E30BEF23E76}"/>
                </a:ext>
              </a:extLst>
            </xdr:cNvPr>
            <xdr:cNvSpPr txBox="1"/>
          </xdr:nvSpPr>
          <xdr:spPr>
            <a:xfrm>
              <a:off x="444500" y="2489200"/>
              <a:ext cx="275845" cy="182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𝜙</m:t>
                        </m:r>
                      </m:e>
                    </m:acc>
                    <m:r>
                      <a:rPr lang="en-US" sz="1100" b="0" i="1">
                        <a:latin typeface="Cambria Math" panose="02040503050406030204" pitchFamily="18" charset="0"/>
                      </a:rPr>
                      <m:t>=</m:t>
                    </m:r>
                  </m:oMath>
                </m:oMathPara>
              </a14:m>
              <a:endParaRPr lang="en-US" sz="1100" b="0"/>
            </a:p>
          </xdr:txBody>
        </xdr:sp>
      </mc:Choice>
      <mc:Fallback xmlns="">
        <xdr:sp macro="" textlink="">
          <xdr:nvSpPr>
            <xdr:cNvPr id="2" name="TextBox 1">
              <a:extLst>
                <a:ext uri="{FF2B5EF4-FFF2-40B4-BE49-F238E27FC236}">
                  <a16:creationId xmlns:a16="http://schemas.microsoft.com/office/drawing/2014/main" id="{70804C53-49D3-6945-932B-4E30BEF23E76}"/>
                </a:ext>
              </a:extLst>
            </xdr:cNvPr>
            <xdr:cNvSpPr txBox="1"/>
          </xdr:nvSpPr>
          <xdr:spPr>
            <a:xfrm>
              <a:off x="444500" y="2489200"/>
              <a:ext cx="275845" cy="182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𝜙 ̂=</a:t>
              </a:r>
              <a:endParaRPr lang="en-US" sz="1100" b="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15</xdr:col>
      <xdr:colOff>387350</xdr:colOff>
      <xdr:row>6</xdr:row>
      <xdr:rowOff>211666</xdr:rowOff>
    </xdr:from>
    <xdr:to>
      <xdr:col>16</xdr:col>
      <xdr:colOff>622140</xdr:colOff>
      <xdr:row>7</xdr:row>
      <xdr:rowOff>195372</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0BE1B7D-759E-F449-8205-890B9EAA5BB1}"/>
                </a:ext>
              </a:extLst>
            </xdr:cNvPr>
            <xdr:cNvSpPr txBox="1"/>
          </xdr:nvSpPr>
          <xdr:spPr>
            <a:xfrm>
              <a:off x="12376150" y="1926166"/>
              <a:ext cx="1060290" cy="19960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𝐸</m:t>
                        </m:r>
                        <m:r>
                          <a:rPr lang="en-US" sz="1100" b="0" i="1">
                            <a:solidFill>
                              <a:schemeClr val="tx1"/>
                            </a:solidFill>
                            <a:effectLst/>
                            <a:latin typeface="Cambria Math" panose="02040503050406030204" pitchFamily="18" charset="0"/>
                            <a:ea typeface="+mn-ea"/>
                            <a:cs typeface="+mn-cs"/>
                          </a:rPr>
                          <m:t>[</m:t>
                        </m:r>
                        <m:acc>
                          <m:accPr>
                            <m:chr m:val="̂"/>
                            <m:ctrlPr>
                              <a:rPr lang="en-PH" sz="110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𝑌</m:t>
                            </m:r>
                          </m:e>
                        </m:acc>
                      </m:e>
                      <m:sub>
                        <m:r>
                          <a:rPr lang="en-US" sz="1100" b="0" i="1">
                            <a:solidFill>
                              <a:schemeClr val="tx1"/>
                            </a:solidFill>
                            <a:effectLst/>
                            <a:latin typeface="Cambria Math" panose="02040503050406030204" pitchFamily="18" charset="0"/>
                            <a:ea typeface="+mn-ea"/>
                            <a:cs typeface="+mn-cs"/>
                          </a:rPr>
                          <m:t>𝑘</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𝑗</m:t>
                        </m:r>
                      </m:sub>
                    </m:sSub>
                    <m:r>
                      <a:rPr lang="en-US" sz="1100" b="0" i="1">
                        <a:solidFill>
                          <a:schemeClr val="tx1"/>
                        </a:solidFill>
                        <a:effectLst/>
                        <a:latin typeface="Cambria Math" panose="02040503050406030204" pitchFamily="18" charset="0"/>
                        <a:ea typeface="+mn-ea"/>
                        <a:cs typeface="+mn-cs"/>
                      </a:rPr>
                      <m:t>]=</m:t>
                    </m:r>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𝑒</m:t>
                        </m:r>
                      </m:e>
                      <m:sup>
                        <m:func>
                          <m:funcPr>
                            <m:ctrlPr>
                              <a:rPr lang="en-US" sz="1100" b="0" i="1">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e>
                        </m:func>
                        <m:r>
                          <a:rPr lang="en-US" sz="1100" b="0" i="1">
                            <a:solidFill>
                              <a:schemeClr val="tx1"/>
                            </a:solidFill>
                            <a:effectLst/>
                            <a:latin typeface="Cambria Math" panose="02040503050406030204" pitchFamily="18" charset="0"/>
                            <a:ea typeface="+mn-ea"/>
                            <a:cs typeface="+mn-cs"/>
                          </a:rPr>
                          <m:t>+</m:t>
                        </m:r>
                        <m:func>
                          <m:funcPr>
                            <m:ctrlPr>
                              <a:rPr lang="en-US" sz="1100" b="0" i="1">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US" sz="1100" b="0" i="1">
                                    <a:solidFill>
                                      <a:schemeClr val="tx1"/>
                                    </a:solidFill>
                                    <a:effectLst/>
                                    <a:latin typeface="Cambria Math" panose="02040503050406030204" pitchFamily="18" charset="0"/>
                                    <a:ea typeface="+mn-ea"/>
                                    <a:cs typeface="+mn-cs"/>
                                  </a:rPr>
                                  <m:t>𝑗</m:t>
                                </m:r>
                              </m:sub>
                            </m:sSub>
                          </m:e>
                        </m:func>
                      </m:sup>
                    </m:sSup>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80BE1B7D-759E-F449-8205-890B9EAA5BB1}"/>
                </a:ext>
              </a:extLst>
            </xdr:cNvPr>
            <xdr:cNvSpPr txBox="1"/>
          </xdr:nvSpPr>
          <xdr:spPr>
            <a:xfrm>
              <a:off x="12376150" y="1926166"/>
              <a:ext cx="1060290" cy="19960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solidFill>
                    <a:schemeClr val="tx1"/>
                  </a:solidFill>
                  <a:effectLst/>
                  <a:latin typeface="Cambria Math" panose="02040503050406030204" pitchFamily="18" charset="0"/>
                  <a:ea typeface="+mn-ea"/>
                  <a:cs typeface="+mn-cs"/>
                </a:rPr>
                <a:t>〖𝐸[</a:t>
              </a:r>
              <a:r>
                <a:rPr lang="en-US" sz="1100" b="0" i="0">
                  <a:solidFill>
                    <a:schemeClr val="tx1"/>
                  </a:solidFill>
                  <a:effectLst/>
                  <a:latin typeface="Cambria Math" panose="02040503050406030204" pitchFamily="18" charset="0"/>
                  <a:ea typeface="Cambria Math" panose="02040503050406030204" pitchFamily="18" charset="0"/>
                  <a:cs typeface="+mn-cs"/>
                </a:rPr>
                <a:t>𝑌</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〗_(𝑘,𝑗)]=𝑒^(ln⁡〖</a:t>
              </a:r>
              <a:r>
                <a:rPr lang="en-PH" sz="1100" i="0">
                  <a:solidFill>
                    <a:schemeClr val="tx1"/>
                  </a:solidFill>
                  <a:effectLst/>
                  <a:latin typeface="Cambria Math" panose="02040503050406030204" pitchFamily="18" charset="0"/>
                  <a:ea typeface="+mn-ea"/>
                  <a:cs typeface="+mn-cs"/>
                </a:rPr>
                <a:t>𝛼_</a:t>
              </a:r>
              <a:r>
                <a:rPr lang="en-US" sz="1100" b="0" i="0">
                  <a:solidFill>
                    <a:schemeClr val="tx1"/>
                  </a:solidFill>
                  <a:effectLst/>
                  <a:latin typeface="Cambria Math" panose="02040503050406030204" pitchFamily="18" charset="0"/>
                  <a:ea typeface="+mn-ea"/>
                  <a:cs typeface="+mn-cs"/>
                </a:rPr>
                <a:t>𝑘 〗+ln⁡〖</a:t>
              </a:r>
              <a:r>
                <a:rPr lang="en-PH" sz="1100" i="0">
                  <a:solidFill>
                    <a:schemeClr val="tx1"/>
                  </a:solidFill>
                  <a:effectLst/>
                  <a:latin typeface="Cambria Math" panose="02040503050406030204" pitchFamily="18" charset="0"/>
                  <a:ea typeface="+mn-ea"/>
                  <a:cs typeface="+mn-cs"/>
                </a:rPr>
                <a:t>𝛽_</a:t>
              </a:r>
              <a:r>
                <a:rPr lang="en-US" sz="1100" b="0" i="0">
                  <a:solidFill>
                    <a:schemeClr val="tx1"/>
                  </a:solidFill>
                  <a:effectLst/>
                  <a:latin typeface="Cambria Math" panose="02040503050406030204" pitchFamily="18" charset="0"/>
                  <a:ea typeface="+mn-ea"/>
                  <a:cs typeface="+mn-cs"/>
                </a:rPr>
                <a:t>𝑗 〗 )</a:t>
              </a:r>
              <a:endParaRPr lang="en-US" sz="1100">
                <a:solidFill>
                  <a:schemeClr val="tx1"/>
                </a:solidFill>
              </a:endParaRPr>
            </a:p>
          </xdr:txBody>
        </xdr:sp>
      </mc:Fallback>
    </mc:AlternateContent>
    <xdr:clientData/>
  </xdr:twoCellAnchor>
  <xdr:twoCellAnchor>
    <xdr:from>
      <xdr:col>17</xdr:col>
      <xdr:colOff>65616</xdr:colOff>
      <xdr:row>18</xdr:row>
      <xdr:rowOff>10582</xdr:rowOff>
    </xdr:from>
    <xdr:to>
      <xdr:col>18</xdr:col>
      <xdr:colOff>615813</xdr:colOff>
      <xdr:row>19</xdr:row>
      <xdr:rowOff>54938</xdr:rowOff>
    </xdr:to>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F48C2F60-DA3E-0B4E-B513-84B8D39CF666}"/>
                </a:ext>
              </a:extLst>
            </xdr:cNvPr>
            <xdr:cNvSpPr txBox="1"/>
          </xdr:nvSpPr>
          <xdr:spPr>
            <a:xfrm>
              <a:off x="13705416" y="3871382"/>
              <a:ext cx="1375697" cy="2856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𝑝𝑟𝑜𝑐</m:t>
                        </m:r>
                      </m:sub>
                    </m:sSub>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r>
                      <a:rPr lang="en-US" sz="1100" b="0" i="1">
                        <a:solidFill>
                          <a:schemeClr val="tx1"/>
                        </a:solidFill>
                        <a:latin typeface="Cambria Math" panose="02040503050406030204" pitchFamily="18" charset="0"/>
                      </a:rPr>
                      <m:t>=</m:t>
                    </m:r>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𝜙</m:t>
                        </m:r>
                      </m:e>
                    </m:acc>
                    <m:r>
                      <a:rPr lang="en-US" sz="1100" b="0" i="1">
                        <a:solidFill>
                          <a:schemeClr val="tx1"/>
                        </a:solidFill>
                        <a:latin typeface="Cambria Math" panose="02040503050406030204" pitchFamily="18" charset="0"/>
                        <a:ea typeface="Cambria Math" panose="02040503050406030204" pitchFamily="18" charset="0"/>
                      </a:rPr>
                      <m:t>×</m:t>
                    </m:r>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F48C2F60-DA3E-0B4E-B513-84B8D39CF666}"/>
                </a:ext>
              </a:extLst>
            </xdr:cNvPr>
            <xdr:cNvSpPr txBox="1"/>
          </xdr:nvSpPr>
          <xdr:spPr>
            <a:xfrm>
              <a:off x="13705416" y="3871382"/>
              <a:ext cx="1375697" cy="28565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solidFill>
                    <a:schemeClr val="tx1"/>
                  </a:solidFill>
                  <a:latin typeface="Cambria Math" panose="02040503050406030204" pitchFamily="18" charset="0"/>
                </a:rPr>
                <a:t>〖𝑉𝑎𝑟〗_𝑝𝑟𝑜𝑐 [𝑅 ̂_𝑘 ]=</a:t>
              </a:r>
              <a:r>
                <a:rPr lang="en-US" sz="1100" b="0" i="0">
                  <a:solidFill>
                    <a:schemeClr val="tx1"/>
                  </a:solidFill>
                  <a:latin typeface="Cambria Math" panose="02040503050406030204" pitchFamily="18" charset="0"/>
                  <a:ea typeface="Cambria Math" panose="02040503050406030204" pitchFamily="18" charset="0"/>
                </a:rPr>
                <a:t>𝜙 ̂×</a:t>
              </a:r>
              <a:r>
                <a:rPr lang="en-US" sz="1100" b="0" i="0">
                  <a:solidFill>
                    <a:schemeClr val="tx1"/>
                  </a:solidFill>
                  <a:latin typeface="Cambria Math" panose="02040503050406030204" pitchFamily="18" charset="0"/>
                </a:rPr>
                <a:t>𝑅 ̂_𝑘</a:t>
              </a:r>
              <a:endParaRPr lang="en-US" sz="1100">
                <a:solidFill>
                  <a:schemeClr val="tx1"/>
                </a:solidFill>
              </a:endParaRPr>
            </a:p>
          </xdr:txBody>
        </xdr:sp>
      </mc:Fallback>
    </mc:AlternateContent>
    <xdr:clientData/>
  </xdr:twoCellAnchor>
  <xdr:twoCellAnchor>
    <xdr:from>
      <xdr:col>13</xdr:col>
      <xdr:colOff>139700</xdr:colOff>
      <xdr:row>21</xdr:row>
      <xdr:rowOff>139700</xdr:rowOff>
    </xdr:from>
    <xdr:to>
      <xdr:col>16</xdr:col>
      <xdr:colOff>303988</xdr:colOff>
      <xdr:row>23</xdr:row>
      <xdr:rowOff>32745</xdr:rowOff>
    </xdr:to>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6674B31-9C0F-A040-9C8A-4F187DB25285}"/>
                </a:ext>
              </a:extLst>
            </xdr:cNvPr>
            <xdr:cNvSpPr txBox="1"/>
          </xdr:nvSpPr>
          <xdr:spPr>
            <a:xfrm>
              <a:off x="10477500" y="4686300"/>
              <a:ext cx="2640788" cy="29944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ParaPr>
                    <m:jc m:val="centerGroup"/>
                  </m:oMathParaPr>
                  <m:oMath xmlns:m="http://schemas.openxmlformats.org/officeDocument/2006/math">
                    <m:r>
                      <a:rPr lang="en-US" sz="1100" b="0" i="1">
                        <a:solidFill>
                          <a:schemeClr val="tx1"/>
                        </a:solidFill>
                        <a:latin typeface="Cambria Math" panose="02040503050406030204" pitchFamily="18" charset="0"/>
                      </a:rPr>
                      <m:t>𝑀𝑆𝐸𝑃</m:t>
                    </m:r>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𝑝𝑎𝑟𝑎𝑚</m:t>
                        </m:r>
                      </m:sub>
                    </m:sSub>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𝑝𝑟𝑜𝑐</m:t>
                        </m:r>
                      </m:sub>
                    </m:sSub>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06674B31-9C0F-A040-9C8A-4F187DB25285}"/>
                </a:ext>
              </a:extLst>
            </xdr:cNvPr>
            <xdr:cNvSpPr txBox="1"/>
          </xdr:nvSpPr>
          <xdr:spPr>
            <a:xfrm>
              <a:off x="10477500" y="4686300"/>
              <a:ext cx="2640788" cy="29944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solidFill>
                    <a:schemeClr val="tx1"/>
                  </a:solidFill>
                  <a:latin typeface="Cambria Math" panose="02040503050406030204" pitchFamily="18" charset="0"/>
                </a:rPr>
                <a:t>𝑀𝑆𝐸𝑃[𝑅 ̂_𝑘 ]=〖𝑉𝑎𝑟〗_𝑝𝑎𝑟𝑎𝑚 [𝑅 ̂_𝑘 ]+〖𝑉𝑎𝑟〗_𝑝𝑟𝑜𝑐 [𝑅 ̂_𝑘 ]</a:t>
              </a:r>
              <a:endParaRPr lang="en-US" sz="1100">
                <a:solidFill>
                  <a:schemeClr val="tx1"/>
                </a:solidFill>
              </a:endParaRPr>
            </a:p>
          </xdr:txBody>
        </xdr:sp>
      </mc:Fallback>
    </mc:AlternateContent>
    <xdr:clientData/>
  </xdr:twoCellAnchor>
  <xdr:twoCellAnchor>
    <xdr:from>
      <xdr:col>13</xdr:col>
      <xdr:colOff>215900</xdr:colOff>
      <xdr:row>44</xdr:row>
      <xdr:rowOff>76200</xdr:rowOff>
    </xdr:from>
    <xdr:to>
      <xdr:col>17</xdr:col>
      <xdr:colOff>211341</xdr:colOff>
      <xdr:row>45</xdr:row>
      <xdr:rowOff>160707</xdr:rowOff>
    </xdr:to>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E2ED6EF0-5C79-C547-AE1A-489DCD30E880}"/>
                </a:ext>
              </a:extLst>
            </xdr:cNvPr>
            <xdr:cNvSpPr txBox="1"/>
          </xdr:nvSpPr>
          <xdr:spPr>
            <a:xfrm>
              <a:off x="10553700" y="9423400"/>
              <a:ext cx="3297441" cy="28770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𝑝𝑎𝑟𝑎𝑚</m:t>
                        </m:r>
                      </m:sub>
                    </m:sSub>
                    <m:d>
                      <m:dPr>
                        <m:begChr m:val="["/>
                        <m:endChr m:val="]"/>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𝑌</m:t>
                                </m:r>
                              </m:e>
                            </m:acc>
                          </m:e>
                          <m:sup>
                            <m:r>
                              <a:rPr lang="en-US" sz="1100" b="0" i="1">
                                <a:solidFill>
                                  <a:schemeClr val="tx1"/>
                                </a:solidFill>
                                <a:latin typeface="Cambria Math" panose="02040503050406030204" pitchFamily="18" charset="0"/>
                              </a:rPr>
                              <m:t>∗</m:t>
                            </m:r>
                          </m:sup>
                        </m:sSup>
                      </m:e>
                    </m:d>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𝐷𝑉𝑎𝑟</m:t>
                    </m:r>
                    <m:d>
                      <m:dPr>
                        <m:begChr m:val="["/>
                        <m:endChr m:val="]"/>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𝛽</m:t>
                            </m:r>
                          </m:e>
                        </m:acc>
                      </m:e>
                    </m:d>
                    <m:r>
                      <a:rPr lang="en-US" sz="1100" b="0" i="1">
                        <a:solidFill>
                          <a:schemeClr val="tx1"/>
                        </a:solidFill>
                        <a:latin typeface="Cambria Math" panose="02040503050406030204" pitchFamily="18" charset="0"/>
                      </a:rPr>
                      <m:t>𝐷</m:t>
                    </m:r>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𝐷</m:t>
                    </m:r>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r>
                      <a:rPr lang="en-US" sz="1100" b="0" i="1">
                        <a:solidFill>
                          <a:schemeClr val="tx1"/>
                        </a:solidFill>
                        <a:latin typeface="Cambria Math" panose="02040503050406030204" pitchFamily="18" charset="0"/>
                      </a:rPr>
                      <m:t>𝑉𝑎𝑟</m:t>
                    </m:r>
                    <m:d>
                      <m:dPr>
                        <m:begChr m:val="["/>
                        <m:endChr m:val="]"/>
                        <m:ctrlPr>
                          <a:rPr lang="en-US" sz="1100" b="0" i="1">
                            <a:solidFill>
                              <a:schemeClr val="tx1"/>
                            </a:solidFill>
                            <a:latin typeface="Cambria Math" panose="02040503050406030204" pitchFamily="18" charset="0"/>
                          </a:rPr>
                        </m:ctrlPr>
                      </m:d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𝛽</m:t>
                            </m:r>
                          </m:e>
                        </m:acc>
                      </m:e>
                    </m:d>
                    <m:sSup>
                      <m:sSupPr>
                        <m:ctrlPr>
                          <a:rPr lang="en-US" sz="1100" b="0" i="1">
                            <a:solidFill>
                              <a:schemeClr val="tx1"/>
                            </a:solidFill>
                            <a:latin typeface="Cambria Math" panose="02040503050406030204" pitchFamily="18" charset="0"/>
                            <a:ea typeface="Cambria Math" panose="02040503050406030204" pitchFamily="18" charset="0"/>
                          </a:rPr>
                        </m:ctrlPr>
                      </m:sSupPr>
                      <m:e>
                        <m:d>
                          <m:dPr>
                            <m:ctrlPr>
                              <a:rPr lang="en-US" sz="1100" b="0" i="1">
                                <a:solidFill>
                                  <a:schemeClr val="tx1"/>
                                </a:solidFill>
                                <a:latin typeface="Cambria Math" panose="02040503050406030204" pitchFamily="18" charset="0"/>
                                <a:ea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e>
                        </m:d>
                      </m:e>
                      <m:sup>
                        <m:r>
                          <a:rPr lang="en-US" sz="1100" b="0" i="1">
                            <a:solidFill>
                              <a:schemeClr val="tx1"/>
                            </a:solidFill>
                            <a:latin typeface="Cambria Math" panose="02040503050406030204" pitchFamily="18" charset="0"/>
                            <a:ea typeface="Cambria Math" panose="02040503050406030204" pitchFamily="18" charset="0"/>
                          </a:rPr>
                          <m:t>𝑇</m:t>
                        </m:r>
                      </m:sup>
                    </m:sSup>
                    <m:r>
                      <a:rPr lang="en-US" sz="1100" b="0" i="1">
                        <a:solidFill>
                          <a:schemeClr val="tx1"/>
                        </a:solidFill>
                        <a:latin typeface="Cambria Math" panose="02040503050406030204" pitchFamily="18" charset="0"/>
                      </a:rPr>
                      <m:t>𝐷</m:t>
                    </m:r>
                  </m:oMath>
                </m:oMathPara>
              </a14:m>
              <a:endParaRPr lang="en-US" sz="1100">
                <a:solidFill>
                  <a:schemeClr val="tx1"/>
                </a:solidFill>
              </a:endParaRPr>
            </a:p>
          </xdr:txBody>
        </xdr:sp>
      </mc:Choice>
      <mc:Fallback xmlns="">
        <xdr:sp macro="" textlink="">
          <xdr:nvSpPr>
            <xdr:cNvPr id="14" name="TextBox 13">
              <a:extLst>
                <a:ext uri="{FF2B5EF4-FFF2-40B4-BE49-F238E27FC236}">
                  <a16:creationId xmlns:a16="http://schemas.microsoft.com/office/drawing/2014/main" id="{E2ED6EF0-5C79-C547-AE1A-489DCD30E880}"/>
                </a:ext>
              </a:extLst>
            </xdr:cNvPr>
            <xdr:cNvSpPr txBox="1"/>
          </xdr:nvSpPr>
          <xdr:spPr>
            <a:xfrm>
              <a:off x="10553700" y="9423400"/>
              <a:ext cx="3297441" cy="28770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solidFill>
                    <a:schemeClr val="tx1"/>
                  </a:solidFill>
                  <a:latin typeface="Cambria Math" panose="02040503050406030204" pitchFamily="18" charset="0"/>
                </a:rPr>
                <a:t>〖𝑉𝑎𝑟〗_𝑝𝑎𝑟𝑎𝑚 [𝑌 ̂^∗ ]=𝐷𝑉𝑎𝑟[𝑋^∗ </a:t>
              </a:r>
              <a:r>
                <a:rPr lang="en-US" sz="1100" b="0" i="0">
                  <a:solidFill>
                    <a:schemeClr val="tx1"/>
                  </a:solidFill>
                  <a:latin typeface="Cambria Math" panose="02040503050406030204" pitchFamily="18" charset="0"/>
                  <a:ea typeface="Cambria Math" panose="02040503050406030204" pitchFamily="18" charset="0"/>
                </a:rPr>
                <a:t>𝛽 ̂ ]</a:t>
              </a:r>
              <a:r>
                <a:rPr lang="en-US" sz="1100" b="0" i="0">
                  <a:solidFill>
                    <a:schemeClr val="tx1"/>
                  </a:solidFill>
                  <a:latin typeface="Cambria Math" panose="02040503050406030204" pitchFamily="18" charset="0"/>
                </a:rPr>
                <a:t>𝐷=𝐷𝑋^∗ 𝑉𝑎𝑟[</a:t>
              </a:r>
              <a:r>
                <a:rPr lang="en-US" sz="1100" b="0" i="0">
                  <a:solidFill>
                    <a:schemeClr val="tx1"/>
                  </a:solidFill>
                  <a:latin typeface="Cambria Math" panose="02040503050406030204" pitchFamily="18" charset="0"/>
                  <a:ea typeface="Cambria Math" panose="02040503050406030204" pitchFamily="18" charset="0"/>
                </a:rPr>
                <a:t>𝛽 ̂ ] (</a:t>
              </a:r>
              <a:r>
                <a:rPr lang="en-US" sz="1100" b="0" i="0">
                  <a:solidFill>
                    <a:schemeClr val="tx1"/>
                  </a:solidFill>
                  <a:latin typeface="Cambria Math" panose="02040503050406030204" pitchFamily="18" charset="0"/>
                </a:rPr>
                <a:t>𝑋^∗ )</a:t>
              </a:r>
              <a:r>
                <a:rPr lang="en-US" sz="1100" b="0" i="0">
                  <a:solidFill>
                    <a:schemeClr val="tx1"/>
                  </a:solidFill>
                  <a:latin typeface="Cambria Math" panose="02040503050406030204" pitchFamily="18" charset="0"/>
                  <a:ea typeface="Cambria Math" panose="02040503050406030204" pitchFamily="18" charset="0"/>
                </a:rPr>
                <a:t>^𝑇 </a:t>
              </a:r>
              <a:r>
                <a:rPr lang="en-US" sz="1100" b="0" i="0">
                  <a:solidFill>
                    <a:schemeClr val="tx1"/>
                  </a:solidFill>
                  <a:latin typeface="Cambria Math" panose="02040503050406030204" pitchFamily="18" charset="0"/>
                </a:rPr>
                <a:t>𝐷</a:t>
              </a:r>
              <a:endParaRPr lang="en-US" sz="1100">
                <a:solidFill>
                  <a:schemeClr val="tx1"/>
                </a:solidFill>
              </a:endParaRP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95251</xdr:colOff>
      <xdr:row>14</xdr:row>
      <xdr:rowOff>50800</xdr:rowOff>
    </xdr:from>
    <xdr:to>
      <xdr:col>14</xdr:col>
      <xdr:colOff>74394</xdr:colOff>
      <xdr:row>16</xdr:row>
      <xdr:rowOff>110040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E2C9A37-394D-6647-945D-423BF1B69530}"/>
                </a:ext>
              </a:extLst>
            </xdr:cNvPr>
            <xdr:cNvSpPr txBox="1"/>
          </xdr:nvSpPr>
          <xdr:spPr>
            <a:xfrm>
              <a:off x="10369551" y="2971800"/>
              <a:ext cx="804643" cy="46564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𝑖</m:t>
                        </m:r>
                      </m:sub>
                    </m:sSub>
                    <m:r>
                      <a:rPr lang="en-US" sz="1100" b="0" i="1">
                        <a:solidFill>
                          <a:schemeClr val="tx1"/>
                        </a:solidFill>
                        <a:latin typeface="Cambria Math" panose="02040503050406030204" pitchFamily="18" charset="0"/>
                      </a:rPr>
                      <m:t>=</m:t>
                    </m:r>
                    <m:f>
                      <m:fPr>
                        <m:ctrlPr>
                          <a:rPr lang="en-US" sz="1100" b="0" i="1">
                            <a:solidFill>
                              <a:schemeClr val="tx1"/>
                            </a:solidFill>
                            <a:latin typeface="Cambria Math" panose="02040503050406030204" pitchFamily="18" charset="0"/>
                          </a:rPr>
                        </m:ctrlPr>
                      </m:fPr>
                      <m:num>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Sub>
                        <m:r>
                          <a:rPr lang="en-US" sz="1100" b="0" i="1">
                            <a:solidFill>
                              <a:schemeClr val="tx1"/>
                            </a:solidFill>
                            <a:latin typeface="Cambria Math" panose="02040503050406030204" pitchFamily="18" charset="0"/>
                          </a:rPr>
                          <m:t>−</m:t>
                        </m:r>
                        <m:sSub>
                          <m:sSubPr>
                            <m:ctrlPr>
                              <a:rPr lang="en-US" sz="1100" b="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𝑌</m:t>
                                </m:r>
                              </m:e>
                            </m:acc>
                          </m:e>
                          <m:sub>
                            <m:r>
                              <a:rPr lang="en-US" sz="1100" b="0" i="1">
                                <a:solidFill>
                                  <a:schemeClr val="tx1"/>
                                </a:solidFill>
                                <a:effectLst/>
                                <a:latin typeface="Cambria Math" panose="02040503050406030204" pitchFamily="18" charset="0"/>
                                <a:ea typeface="Cambria Math" panose="02040503050406030204" pitchFamily="18" charset="0"/>
                                <a:cs typeface="+mn-cs"/>
                              </a:rPr>
                              <m:t>𝑖</m:t>
                            </m:r>
                          </m:sub>
                        </m:sSub>
                      </m:num>
                      <m:den>
                        <m:sSub>
                          <m:sSubPr>
                            <m:ctrlPr>
                              <a:rPr lang="en-US" sz="1100" b="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𝜎</m:t>
                                </m:r>
                              </m:e>
                            </m:acc>
                          </m:e>
                          <m:sub>
                            <m:r>
                              <a:rPr lang="en-US" sz="1100" b="0" i="1">
                                <a:solidFill>
                                  <a:schemeClr val="tx1"/>
                                </a:solidFill>
                                <a:effectLst/>
                                <a:latin typeface="Cambria Math" panose="02040503050406030204" pitchFamily="18" charset="0"/>
                                <a:ea typeface="+mn-ea"/>
                                <a:cs typeface="+mn-cs"/>
                              </a:rPr>
                              <m:t>𝑖</m:t>
                            </m:r>
                          </m:sub>
                        </m:sSub>
                      </m:den>
                    </m:f>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0E2C9A37-394D-6647-945D-423BF1B69530}"/>
                </a:ext>
              </a:extLst>
            </xdr:cNvPr>
            <xdr:cNvSpPr txBox="1"/>
          </xdr:nvSpPr>
          <xdr:spPr>
            <a:xfrm>
              <a:off x="10369551" y="2971800"/>
              <a:ext cx="804643" cy="46564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i="0">
                  <a:solidFill>
                    <a:schemeClr val="tx1"/>
                  </a:solidFill>
                  <a:effectLst/>
                  <a:latin typeface="Cambria Math" panose="02040503050406030204" pitchFamily="18" charset="0"/>
                  <a:ea typeface="+mn-ea"/>
                  <a:cs typeface="+mn-cs"/>
                </a:rPr>
                <a:t>𝑆</a:t>
              </a:r>
              <a:r>
                <a:rPr lang="en-US" sz="1100" b="0" i="0">
                  <a:solidFill>
                    <a:schemeClr val="tx1"/>
                  </a:solidFill>
                  <a:effectLst/>
                  <a:latin typeface="Cambria Math" panose="02040503050406030204" pitchFamily="18" charset="0"/>
                  <a:ea typeface="+mn-ea"/>
                  <a:cs typeface="+mn-cs"/>
                </a:rPr>
                <a:t>_𝑖</a:t>
              </a:r>
              <a:r>
                <a:rPr lang="en-US" sz="1100" b="0" i="0">
                  <a:solidFill>
                    <a:schemeClr val="tx1"/>
                  </a:solidFill>
                  <a:latin typeface="Cambria Math" panose="02040503050406030204" pitchFamily="18" charset="0"/>
                </a:rPr>
                <a:t>=(𝑌_𝑖−</a:t>
              </a:r>
              <a:r>
                <a:rPr lang="en-US" sz="1100" b="0" i="0">
                  <a:solidFill>
                    <a:schemeClr val="tx1"/>
                  </a:solidFill>
                  <a:effectLst/>
                  <a:latin typeface="Cambria Math" panose="02040503050406030204" pitchFamily="18" charset="0"/>
                  <a:ea typeface="Cambria Math" panose="02040503050406030204" pitchFamily="18" charset="0"/>
                  <a:cs typeface="+mn-cs"/>
                </a:rPr>
                <a:t>𝑌</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a:t>
              </a:r>
              <a:r>
                <a:rPr lang="en-US" sz="1100" b="0" i="0">
                  <a:solidFill>
                    <a:schemeClr val="tx1"/>
                  </a:solidFill>
                  <a:effectLst/>
                  <a:latin typeface="Cambria Math" panose="02040503050406030204" pitchFamily="18" charset="0"/>
                  <a:ea typeface="Cambria Math" panose="02040503050406030204" pitchFamily="18" charset="0"/>
                  <a:cs typeface="+mn-cs"/>
                </a:rPr>
                <a:t>𝑖)/𝜎</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_𝑖 </a:t>
              </a:r>
              <a:endParaRPr lang="en-US" sz="1100">
                <a:solidFill>
                  <a:schemeClr val="tx1"/>
                </a:solidFill>
              </a:endParaRPr>
            </a:p>
          </xdr:txBody>
        </xdr:sp>
      </mc:Fallback>
    </mc:AlternateContent>
    <xdr:clientData/>
  </xdr:twoCellAnchor>
  <xdr:twoCellAnchor>
    <xdr:from>
      <xdr:col>17</xdr:col>
      <xdr:colOff>266700</xdr:colOff>
      <xdr:row>5</xdr:row>
      <xdr:rowOff>74083</xdr:rowOff>
    </xdr:from>
    <xdr:to>
      <xdr:col>18</xdr:col>
      <xdr:colOff>615951</xdr:colOff>
      <xdr:row>6</xdr:row>
      <xdr:rowOff>163138</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A8F957C-4191-DC40-A981-EFDD52912456}"/>
                </a:ext>
              </a:extLst>
            </xdr:cNvPr>
            <xdr:cNvSpPr txBox="1"/>
          </xdr:nvSpPr>
          <xdr:spPr>
            <a:xfrm>
              <a:off x="13843000" y="1128183"/>
              <a:ext cx="1174751" cy="31765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argPr>
                              <m:argSz m:val="-1"/>
                            </m:argPr>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argPr>
                          <m:argSz m:val="-1"/>
                        </m:argPr>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9A8F957C-4191-DC40-A981-EFDD52912456}"/>
                </a:ext>
              </a:extLst>
            </xdr:cNvPr>
            <xdr:cNvSpPr txBox="1"/>
          </xdr:nvSpPr>
          <xdr:spPr>
            <a:xfrm>
              <a:off x="13843000" y="1128183"/>
              <a:ext cx="1174751" cy="31765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E[𝑌_(𝑘,𝑗) ]=𝛼_</a:t>
              </a:r>
              <a:r>
                <a:rPr lang="en-US" sz="1100" b="0" i="0">
                  <a:solidFill>
                    <a:schemeClr val="tx1"/>
                  </a:solidFill>
                  <a:effectLst/>
                  <a:latin typeface="Cambria Math" panose="02040503050406030204" pitchFamily="18" charset="0"/>
                  <a:ea typeface="+mn-ea"/>
                  <a:cs typeface="+mn-cs"/>
                </a:rPr>
                <a:t>𝑘</a:t>
              </a:r>
              <a:r>
                <a:rPr lang="en-PH" sz="1100" i="0">
                  <a:solidFill>
                    <a:schemeClr val="tx1"/>
                  </a:solidFill>
                  <a:effectLst/>
                  <a:latin typeface="Cambria Math" panose="02040503050406030204" pitchFamily="18" charset="0"/>
                  <a:ea typeface="+mn-ea"/>
                  <a:cs typeface="+mn-cs"/>
                </a:rPr>
                <a:t>×𝛽_𝑗</a:t>
              </a:r>
              <a:endParaRPr lang="en-PH" sz="1100">
                <a:solidFill>
                  <a:schemeClr val="tx1"/>
                </a:solidFill>
                <a:effectLst/>
                <a:latin typeface="+mn-lt"/>
                <a:ea typeface="+mn-ea"/>
                <a:cs typeface="+mn-cs"/>
              </a:endParaRPr>
            </a:p>
          </xdr:txBody>
        </xdr:sp>
      </mc:Fallback>
    </mc:AlternateContent>
    <xdr:clientData/>
  </xdr:twoCellAnchor>
  <xdr:twoCellAnchor>
    <xdr:from>
      <xdr:col>12</xdr:col>
      <xdr:colOff>317499</xdr:colOff>
      <xdr:row>34</xdr:row>
      <xdr:rowOff>107949</xdr:rowOff>
    </xdr:from>
    <xdr:to>
      <xdr:col>14</xdr:col>
      <xdr:colOff>455083</xdr:colOff>
      <xdr:row>36</xdr:row>
      <xdr:rowOff>413</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78C84DA-8608-7D47-80D7-82FD8F42CFCD}"/>
                </a:ext>
              </a:extLst>
            </xdr:cNvPr>
            <xdr:cNvSpPr txBox="1"/>
          </xdr:nvSpPr>
          <xdr:spPr>
            <a:xfrm>
              <a:off x="9766299" y="7143749"/>
              <a:ext cx="1788584" cy="2988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𝑝𝑠𝑒𝑢𝑑𝑜</m:t>
                        </m:r>
                      </m:sup>
                    </m:sSubSup>
                    <m:r>
                      <a:rPr lang="en-US" sz="1100" b="0" i="1">
                        <a:solidFill>
                          <a:schemeClr val="tx1"/>
                        </a:solidFill>
                        <a:latin typeface="Cambria Math" panose="02040503050406030204" pitchFamily="18" charset="0"/>
                      </a:rPr>
                      <m:t>=</m:t>
                    </m:r>
                    <m:acc>
                      <m:accPr>
                        <m:chr m:val="̂"/>
                        <m:ctrlPr>
                          <a:rPr lang="en-US" sz="1100" b="0" i="1">
                            <a:solidFill>
                              <a:schemeClr val="tx1"/>
                            </a:solidFill>
                            <a:latin typeface="Cambria Math" panose="02040503050406030204" pitchFamily="18" charset="0"/>
                          </a:rPr>
                        </m:ctrlPr>
                      </m:acc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US" sz="1100" b="0" i="1">
                                <a:solidFill>
                                  <a:schemeClr val="tx1"/>
                                </a:solidFill>
                                <a:effectLst/>
                                <a:latin typeface="Cambria Math" panose="02040503050406030204" pitchFamily="18" charset="0"/>
                                <a:ea typeface="+mn-ea"/>
                                <a:cs typeface="+mn-cs"/>
                              </a:rPr>
                              <m:t>𝑖</m:t>
                            </m:r>
                          </m:sub>
                        </m:sSub>
                      </m:e>
                    </m:acc>
                    <m:r>
                      <a:rPr lang="en-US" sz="1100" b="0"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𝜎</m:t>
                            </m:r>
                          </m:e>
                        </m:acc>
                      </m:e>
                      <m:sub>
                        <m:r>
                          <a:rPr lang="en-US" sz="1100" b="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𝑆</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𝑝𝑠𝑒𝑢𝑑𝑜</m:t>
                        </m:r>
                      </m:sup>
                    </m:sSubSup>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B78C84DA-8608-7D47-80D7-82FD8F42CFCD}"/>
                </a:ext>
              </a:extLst>
            </xdr:cNvPr>
            <xdr:cNvSpPr txBox="1"/>
          </xdr:nvSpPr>
          <xdr:spPr>
            <a:xfrm>
              <a:off x="9766299" y="7143749"/>
              <a:ext cx="1788584" cy="2988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solidFill>
                    <a:schemeClr val="tx1"/>
                  </a:solidFill>
                  <a:latin typeface="Cambria Math" panose="02040503050406030204" pitchFamily="18" charset="0"/>
                </a:rPr>
                <a:t>𝑌_𝑖^𝑝𝑠𝑒𝑢𝑑𝑜=(</a:t>
              </a:r>
              <a:r>
                <a:rPr lang="en-PH" sz="1100" i="0">
                  <a:solidFill>
                    <a:schemeClr val="tx1"/>
                  </a:solidFill>
                  <a:effectLst/>
                  <a:latin typeface="Cambria Math" panose="02040503050406030204" pitchFamily="18" charset="0"/>
                  <a:ea typeface="+mn-ea"/>
                  <a:cs typeface="+mn-cs"/>
                </a:rPr>
                <a:t>𝑌_</a:t>
              </a:r>
              <a:r>
                <a:rPr lang="en-US" sz="1100" b="0" i="0">
                  <a:solidFill>
                    <a:schemeClr val="tx1"/>
                  </a:solidFill>
                  <a:effectLst/>
                  <a:latin typeface="Cambria Math" panose="02040503050406030204" pitchFamily="18" charset="0"/>
                  <a:ea typeface="+mn-ea"/>
                  <a:cs typeface="+mn-cs"/>
                </a:rPr>
                <a:t>𝑖 ) ̂</a:t>
              </a:r>
              <a:r>
                <a:rPr lang="en-US" sz="1100" b="0" i="0">
                  <a:solidFill>
                    <a:schemeClr val="tx1"/>
                  </a:solidFill>
                  <a:effectLst/>
                  <a:latin typeface="Cambria Math" panose="02040503050406030204" pitchFamily="18" charset="0"/>
                  <a:ea typeface="Cambria Math" panose="02040503050406030204" pitchFamily="18" charset="0"/>
                  <a:cs typeface="+mn-cs"/>
                </a:rPr>
                <a:t>+𝜎</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_𝑖</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latin typeface="Cambria Math" panose="02040503050406030204" pitchFamily="18" charset="0"/>
                </a:rPr>
                <a:t>𝑆_𝑖^𝑝𝑠𝑒𝑢𝑑𝑜</a:t>
              </a:r>
              <a:endParaRPr lang="en-US" sz="1100">
                <a:solidFill>
                  <a:schemeClr val="tx1"/>
                </a:solidFill>
              </a:endParaRPr>
            </a:p>
          </xdr:txBody>
        </xdr:sp>
      </mc:Fallback>
    </mc:AlternateContent>
    <xdr:clientData/>
  </xdr:twoCellAnchor>
  <xdr:twoCellAnchor>
    <xdr:from>
      <xdr:col>12</xdr:col>
      <xdr:colOff>294218</xdr:colOff>
      <xdr:row>53</xdr:row>
      <xdr:rowOff>120650</xdr:rowOff>
    </xdr:from>
    <xdr:to>
      <xdr:col>15</xdr:col>
      <xdr:colOff>135467</xdr:colOff>
      <xdr:row>55</xdr:row>
      <xdr:rowOff>13114</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9CD8D0B-16C5-2647-AFC0-848BAD8FE99C}"/>
                </a:ext>
              </a:extLst>
            </xdr:cNvPr>
            <xdr:cNvSpPr txBox="1"/>
          </xdr:nvSpPr>
          <xdr:spPr>
            <a:xfrm>
              <a:off x="9743018" y="11093450"/>
              <a:ext cx="2317749" cy="2988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ParaPr>
                    <m:jc m:val="centerGroup"/>
                  </m:oMathParaPr>
                  <m:oMath xmlns:m="http://schemas.openxmlformats.org/officeDocument/2006/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𝑝𝑟𝑜𝑐</m:t>
                        </m:r>
                      </m:sup>
                    </m:sSubSup>
                    <m:r>
                      <a:rPr lang="en-US" sz="1100" b="0" i="1">
                        <a:solidFill>
                          <a:schemeClr val="tx1"/>
                        </a:solidFill>
                        <a:latin typeface="Cambria Math" panose="02040503050406030204" pitchFamily="18" charset="0"/>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𝑝𝑠𝑒𝑢𝑑𝑜</m:t>
                            </m:r>
                          </m:sup>
                        </m:sSubSup>
                      </m:e>
                    </m:d>
                    <m:r>
                      <a:rPr lang="en-US" sz="1100" b="0" i="1">
                        <a:solidFill>
                          <a:schemeClr val="tx1"/>
                        </a:solidFill>
                        <a:effectLst/>
                        <a:latin typeface="Cambria Math" panose="02040503050406030204" pitchFamily="18" charset="0"/>
                        <a:ea typeface="Cambria Math" panose="02040503050406030204" pitchFamily="18" charset="0"/>
                        <a:cs typeface="+mn-cs"/>
                      </a:rPr>
                      <m:t>+</m:t>
                    </m:r>
                    <m:sSubSup>
                      <m:sSubSupPr>
                        <m:ctrlPr>
                          <a:rPr lang="en-US" sz="1100" b="0" i="1">
                            <a:solidFill>
                              <a:schemeClr val="tx1"/>
                            </a:solidFill>
                            <a:effectLst/>
                            <a:latin typeface="Cambria Math" panose="02040503050406030204" pitchFamily="18" charset="0"/>
                            <a:ea typeface="Cambria Math" panose="02040503050406030204" pitchFamily="18" charset="0"/>
                            <a:cs typeface="+mn-cs"/>
                          </a:rPr>
                        </m:ctrlPr>
                      </m:sSubSupPr>
                      <m:e>
                        <m:acc>
                          <m:accPr>
                            <m:chr m:val="̂"/>
                            <m:ctrlPr>
                              <a:rPr lang="en-PH" sz="110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𝜎</m:t>
                            </m:r>
                          </m:e>
                        </m:acc>
                      </m:e>
                      <m:sub>
                        <m:r>
                          <a:rPr lang="en-US" sz="1100" b="0" i="1">
                            <a:solidFill>
                              <a:schemeClr val="tx1"/>
                            </a:solidFill>
                            <a:effectLst/>
                            <a:latin typeface="Cambria Math" panose="02040503050406030204" pitchFamily="18" charset="0"/>
                            <a:ea typeface="Cambria Math" panose="02040503050406030204" pitchFamily="18" charset="0"/>
                            <a:cs typeface="+mn-cs"/>
                          </a:rPr>
                          <m:t>𝑖</m:t>
                        </m:r>
                      </m:sub>
                      <m:sup>
                        <m:r>
                          <a:rPr lang="en-US" sz="1100" b="0" i="1">
                            <a:solidFill>
                              <a:schemeClr val="tx1"/>
                            </a:solidFill>
                            <a:effectLst/>
                            <a:latin typeface="Cambria Math" panose="02040503050406030204" pitchFamily="18" charset="0"/>
                            <a:ea typeface="Cambria Math" panose="02040503050406030204" pitchFamily="18" charset="0"/>
                            <a:cs typeface="+mn-cs"/>
                          </a:rPr>
                          <m:t>𝑝𝑠𝑒𝑢𝑑𝑜</m:t>
                        </m:r>
                      </m:sup>
                    </m:sSubSup>
                    <m:r>
                      <a:rPr lang="en-PH" sz="1100" i="1">
                        <a:solidFill>
                          <a:schemeClr val="tx1"/>
                        </a:solidFill>
                        <a:effectLst/>
                        <a:latin typeface="Cambria Math" panose="02040503050406030204" pitchFamily="18" charset="0"/>
                        <a:ea typeface="+mn-ea"/>
                        <a:cs typeface="+mn-cs"/>
                      </a:rPr>
                      <m:t>×</m:t>
                    </m:r>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𝑆</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𝑝𝑟𝑜𝑐</m:t>
                        </m:r>
                      </m:sup>
                    </m:sSubSup>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09CD8D0B-16C5-2647-AFC0-848BAD8FE99C}"/>
                </a:ext>
              </a:extLst>
            </xdr:cNvPr>
            <xdr:cNvSpPr txBox="1"/>
          </xdr:nvSpPr>
          <xdr:spPr>
            <a:xfrm>
              <a:off x="9743018" y="11093450"/>
              <a:ext cx="2317749" cy="298864"/>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solidFill>
                    <a:schemeClr val="tx1"/>
                  </a:solidFill>
                  <a:latin typeface="Cambria Math" panose="02040503050406030204" pitchFamily="18" charset="0"/>
                </a:rPr>
                <a:t>𝑌_𝑖^𝑝𝑟𝑜𝑐=</a:t>
              </a:r>
              <a:r>
                <a:rPr lang="en-PH" sz="1100" i="0">
                  <a:solidFill>
                    <a:schemeClr val="tx1"/>
                  </a:solidFill>
                  <a:effectLst/>
                  <a:latin typeface="Cambria Math" panose="02040503050406030204" pitchFamily="18" charset="0"/>
                  <a:ea typeface="+mn-ea"/>
                  <a:cs typeface="+mn-cs"/>
                </a:rPr>
                <a:t>E[</a:t>
              </a:r>
              <a:r>
                <a:rPr lang="en-US" sz="1100" b="0" i="0">
                  <a:solidFill>
                    <a:schemeClr val="tx1"/>
                  </a:solidFill>
                  <a:latin typeface="Cambria Math" panose="02040503050406030204" pitchFamily="18" charset="0"/>
                </a:rPr>
                <a:t>𝑌_𝑖^𝑝𝑠𝑒𝑢𝑑𝑜 ]</a:t>
              </a:r>
              <a:r>
                <a:rPr lang="en-US" sz="1100" b="0" i="0">
                  <a:solidFill>
                    <a:schemeClr val="tx1"/>
                  </a:solidFill>
                  <a:effectLst/>
                  <a:latin typeface="Cambria Math" panose="02040503050406030204" pitchFamily="18" charset="0"/>
                  <a:ea typeface="Cambria Math" panose="02040503050406030204" pitchFamily="18" charset="0"/>
                  <a:cs typeface="+mn-cs"/>
                </a:rPr>
                <a:t>+𝜎</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Cambria Math" panose="02040503050406030204" pitchFamily="18" charset="0"/>
                  <a:cs typeface="+mn-cs"/>
                </a:rPr>
                <a:t>_𝑖^𝑝𝑠𝑒𝑢𝑑𝑜</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latin typeface="Cambria Math" panose="02040503050406030204" pitchFamily="18" charset="0"/>
                </a:rPr>
                <a:t>𝑆_𝑖^𝑝𝑟𝑜𝑐</a:t>
              </a:r>
              <a:endParaRPr lang="en-US" sz="1100">
                <a:solidFill>
                  <a:schemeClr val="tx1"/>
                </a:solidFill>
              </a:endParaRPr>
            </a:p>
          </xdr:txBody>
        </xdr:sp>
      </mc:Fallback>
    </mc:AlternateContent>
    <xdr:clientData/>
  </xdr:twoCellAnchor>
  <xdr:twoCellAnchor>
    <xdr:from>
      <xdr:col>15</xdr:col>
      <xdr:colOff>342900</xdr:colOff>
      <xdr:row>119</xdr:row>
      <xdr:rowOff>0</xdr:rowOff>
    </xdr:from>
    <xdr:to>
      <xdr:col>16</xdr:col>
      <xdr:colOff>246223</xdr:colOff>
      <xdr:row>121</xdr:row>
      <xdr:rowOff>44850</xdr:rowOff>
    </xdr:to>
    <mc:AlternateContent xmlns:mc="http://schemas.openxmlformats.org/markup-compatibility/2006" xmlns:a14="http://schemas.microsoft.com/office/drawing/2010/main">
      <mc:Choice Requires="a14">
        <xdr:sp macro="" textlink="">
          <xdr:nvSpPr>
            <xdr:cNvPr id="7" name="TextBox 2">
              <a:extLst>
                <a:ext uri="{FF2B5EF4-FFF2-40B4-BE49-F238E27FC236}">
                  <a16:creationId xmlns:a16="http://schemas.microsoft.com/office/drawing/2014/main" id="{8AA83957-FCDF-9D45-A146-87722C5EE96B}"/>
                </a:ext>
              </a:extLst>
            </xdr:cNvPr>
            <xdr:cNvSpPr txBox="1"/>
          </xdr:nvSpPr>
          <xdr:spPr>
            <a:xfrm>
              <a:off x="12319000" y="24142700"/>
              <a:ext cx="728823" cy="45125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ParaPr>
                    <m:jc m:val="centerGroup"/>
                  </m:oMathParaPr>
                  <m:oMath xmlns:m="http://schemas.openxmlformats.org/officeDocument/2006/math">
                    <m:r>
                      <a:rPr lang="en-PH" sz="1100" i="1">
                        <a:solidFill>
                          <a:schemeClr val="tx1"/>
                        </a:solidFill>
                        <a:effectLst/>
                        <a:latin typeface="Cambria Math" panose="02040503050406030204" pitchFamily="18" charset="0"/>
                        <a:ea typeface="+mn-ea"/>
                        <a:cs typeface="+mn-cs"/>
                      </a:rPr>
                      <m:t>𝜙</m:t>
                    </m:r>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m:t>
                                </m:r>
                              </m:e>
                              <m:sub>
                                <m:argPr>
                                  <m:argSz m:val="-1"/>
                                </m:argPr>
                                <m:r>
                                  <a:rPr lang="en-US" sz="1100" b="0" i="1">
                                    <a:solidFill>
                                      <a:schemeClr val="tx1"/>
                                    </a:solidFill>
                                    <a:effectLst/>
                                    <a:latin typeface="Cambria Math" panose="02040503050406030204" pitchFamily="18" charset="0"/>
                                    <a:ea typeface="+mn-ea"/>
                                    <a:cs typeface="+mn-cs"/>
                                  </a:rPr>
                                  <m:t>𝑤</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up>
                                <m:argPr>
                                  <m:argSz m:val="-1"/>
                                </m:argPr>
                                <m:r>
                                  <a:rPr lang="en-PH" sz="1100" i="1">
                                    <a:solidFill>
                                      <a:schemeClr val="tx1"/>
                                    </a:solidFill>
                                    <a:effectLst/>
                                    <a:latin typeface="Cambria Math" panose="02040503050406030204" pitchFamily="18" charset="0"/>
                                    <a:ea typeface="+mn-ea"/>
                                    <a:cs typeface="+mn-cs"/>
                                  </a:rPr>
                                  <m:t>2</m:t>
                                </m:r>
                              </m:sup>
                            </m:sSubSup>
                          </m:e>
                        </m:nary>
                      </m:num>
                      <m:den>
                        <m:r>
                          <a:rPr lang="en-PH" sz="1100" i="1">
                            <a:solidFill>
                              <a:schemeClr val="tx1"/>
                            </a:solidFill>
                            <a:effectLst/>
                            <a:latin typeface="Cambria Math" panose="02040503050406030204" pitchFamily="18" charset="0"/>
                            <a:ea typeface="+mn-ea"/>
                            <a:cs typeface="+mn-cs"/>
                          </a:rPr>
                          <m:t>𝑁</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𝑝</m:t>
                        </m:r>
                      </m:den>
                    </m:f>
                  </m:oMath>
                </m:oMathPara>
              </a14:m>
              <a:endParaRPr lang="en-PH" sz="1100">
                <a:solidFill>
                  <a:schemeClr val="tx1"/>
                </a:solidFill>
                <a:effectLst/>
                <a:latin typeface="+mn-lt"/>
                <a:ea typeface="+mn-ea"/>
                <a:cs typeface="+mn-cs"/>
              </a:endParaRPr>
            </a:p>
          </xdr:txBody>
        </xdr:sp>
      </mc:Choice>
      <mc:Fallback xmlns="">
        <xdr:sp macro="" textlink="">
          <xdr:nvSpPr>
            <xdr:cNvPr id="7" name="TextBox 2">
              <a:extLst>
                <a:ext uri="{FF2B5EF4-FFF2-40B4-BE49-F238E27FC236}">
                  <a16:creationId xmlns:a16="http://schemas.microsoft.com/office/drawing/2014/main" id="{8AA83957-FCDF-9D45-A146-87722C5EE96B}"/>
                </a:ext>
              </a:extLst>
            </xdr:cNvPr>
            <xdr:cNvSpPr txBox="1"/>
          </xdr:nvSpPr>
          <xdr:spPr>
            <a:xfrm>
              <a:off x="12319000" y="24142700"/>
              <a:ext cx="728823" cy="45125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𝜙=(∑1▒𝑟_(</a:t>
              </a:r>
              <a:r>
                <a:rPr lang="en-US" sz="1100" b="0" i="0">
                  <a:solidFill>
                    <a:schemeClr val="tx1"/>
                  </a:solidFill>
                  <a:effectLst/>
                  <a:latin typeface="Cambria Math" panose="02040503050406030204" pitchFamily="18" charset="0"/>
                  <a:ea typeface="+mn-ea"/>
                  <a:cs typeface="+mn-cs"/>
                </a:rPr>
                <a:t>𝑤</a:t>
              </a:r>
              <a:r>
                <a:rPr lang="en-PH" sz="1100" i="0">
                  <a:solidFill>
                    <a:schemeClr val="tx1"/>
                  </a:solidFill>
                  <a:effectLst/>
                  <a:latin typeface="Cambria Math" panose="02040503050406030204" pitchFamily="18" charset="0"/>
                  <a:ea typeface="+mn-ea"/>
                  <a:cs typeface="+mn-cs"/>
                </a:rPr>
                <a:t>,𝑑)^2 )/(𝑁−𝑝)</a:t>
              </a:r>
              <a:endParaRPr lang="en-PH" sz="1100">
                <a:solidFill>
                  <a:schemeClr val="tx1"/>
                </a:solidFill>
                <a:effectLst/>
                <a:latin typeface="+mn-lt"/>
                <a:ea typeface="+mn-ea"/>
                <a:cs typeface="+mn-cs"/>
              </a:endParaRP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oneCellAnchor>
    <xdr:from>
      <xdr:col>2</xdr:col>
      <xdr:colOff>812800</xdr:colOff>
      <xdr:row>5</xdr:row>
      <xdr:rowOff>114300</xdr:rowOff>
    </xdr:from>
    <xdr:ext cx="2354940" cy="3911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CE87D6C-DE82-3243-A3E0-2D56CD033626}"/>
                </a:ext>
              </a:extLst>
            </xdr:cNvPr>
            <xdr:cNvSpPr txBox="1"/>
          </xdr:nvSpPr>
          <xdr:spPr>
            <a:xfrm>
              <a:off x="2489200" y="1130300"/>
              <a:ext cx="2354940" cy="391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unc>
                      <m:funcPr>
                        <m:ctrlPr>
                          <a:rPr lang="en-US" sz="1200" b="0" i="1">
                            <a:latin typeface="Cambria Math" panose="02040503050406030204" pitchFamily="18" charset="0"/>
                          </a:rPr>
                        </m:ctrlPr>
                      </m:funcPr>
                      <m:fName>
                        <m:r>
                          <m:rPr>
                            <m:sty m:val="p"/>
                          </m:rPr>
                          <a:rPr lang="en-US" sz="1200" b="0" i="0">
                            <a:latin typeface="Cambria Math" panose="02040503050406030204" pitchFamily="18" charset="0"/>
                          </a:rPr>
                          <m:t>ln</m:t>
                        </m:r>
                      </m:fName>
                      <m:e>
                        <m:r>
                          <a:rPr lang="en-US" sz="1200" b="0" i="1">
                            <a:latin typeface="Cambria Math" panose="02040503050406030204" pitchFamily="18" charset="0"/>
                          </a:rPr>
                          <m:t>𝜋</m:t>
                        </m:r>
                      </m:e>
                    </m:func>
                    <m:d>
                      <m:dPr>
                        <m:ctrlPr>
                          <a:rPr lang="en-US" sz="1200" b="0" i="1">
                            <a:latin typeface="Cambria Math" panose="02040503050406030204" pitchFamily="18" charset="0"/>
                          </a:rPr>
                        </m:ctrlPr>
                      </m:dPr>
                      <m:e>
                        <m:r>
                          <a:rPr lang="en-US" sz="1200" b="0" i="1">
                            <a:latin typeface="Cambria Math" panose="02040503050406030204" pitchFamily="18" charset="0"/>
                          </a:rPr>
                          <m:t>𝑦</m:t>
                        </m:r>
                        <m:r>
                          <a:rPr lang="en-US" sz="1200" b="0" i="1">
                            <a:latin typeface="Cambria Math" panose="02040503050406030204" pitchFamily="18" charset="0"/>
                          </a:rPr>
                          <m:t>;</m:t>
                        </m:r>
                        <m:r>
                          <a:rPr lang="en-US" sz="1200" b="0" i="1">
                            <a:latin typeface="Cambria Math" panose="02040503050406030204" pitchFamily="18" charset="0"/>
                          </a:rPr>
                          <m:t>𝜃</m:t>
                        </m:r>
                        <m:r>
                          <a:rPr lang="en-US" sz="1200" b="0" i="1">
                            <a:latin typeface="Cambria Math" panose="02040503050406030204" pitchFamily="18" charset="0"/>
                          </a:rPr>
                          <m:t>, </m:t>
                        </m:r>
                        <m:r>
                          <a:rPr lang="en-US" sz="1200" b="0" i="1">
                            <a:latin typeface="Cambria Math" panose="02040503050406030204" pitchFamily="18" charset="0"/>
                          </a:rPr>
                          <m:t>𝜙</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𝑦</m:t>
                        </m:r>
                        <m:r>
                          <a:rPr lang="en-US" sz="1200" b="0" i="1">
                            <a:latin typeface="Cambria Math" panose="02040503050406030204" pitchFamily="18" charset="0"/>
                          </a:rPr>
                          <m:t>𝜃</m:t>
                        </m:r>
                        <m:r>
                          <a:rPr lang="en-US" sz="1200" b="0" i="1">
                            <a:latin typeface="Cambria Math" panose="02040503050406030204" pitchFamily="18" charset="0"/>
                          </a:rPr>
                          <m:t>−</m:t>
                        </m:r>
                        <m:r>
                          <a:rPr lang="en-US" sz="1200" b="0" i="1">
                            <a:latin typeface="Cambria Math" panose="02040503050406030204" pitchFamily="18" charset="0"/>
                          </a:rPr>
                          <m:t>𝑏</m:t>
                        </m:r>
                        <m:d>
                          <m:dPr>
                            <m:ctrlPr>
                              <a:rPr lang="en-US" sz="1200" b="0" i="1">
                                <a:latin typeface="Cambria Math" panose="02040503050406030204" pitchFamily="18" charset="0"/>
                              </a:rPr>
                            </m:ctrlPr>
                          </m:dPr>
                          <m:e>
                            <m:r>
                              <a:rPr lang="en-US" sz="1200" b="0" i="1">
                                <a:latin typeface="Cambria Math" panose="02040503050406030204" pitchFamily="18" charset="0"/>
                              </a:rPr>
                              <m:t>𝜃</m:t>
                            </m:r>
                          </m:e>
                        </m:d>
                      </m:num>
                      <m:den>
                        <m:r>
                          <a:rPr lang="en-US" sz="1200" b="0" i="1">
                            <a:latin typeface="Cambria Math" panose="02040503050406030204" pitchFamily="18" charset="0"/>
                          </a:rPr>
                          <m:t>𝑎</m:t>
                        </m:r>
                        <m:r>
                          <a:rPr lang="en-US" sz="1200" b="0" i="1">
                            <a:latin typeface="Cambria Math" panose="02040503050406030204" pitchFamily="18" charset="0"/>
                          </a:rPr>
                          <m:t>(</m:t>
                        </m:r>
                        <m:r>
                          <a:rPr lang="en-US" sz="1200" b="0" i="1">
                            <a:latin typeface="Cambria Math" panose="02040503050406030204" pitchFamily="18" charset="0"/>
                          </a:rPr>
                          <m:t>𝜙</m:t>
                        </m:r>
                        <m:r>
                          <a:rPr lang="en-US" sz="1200" b="0" i="1">
                            <a:latin typeface="Cambria Math" panose="02040503050406030204" pitchFamily="18" charset="0"/>
                          </a:rPr>
                          <m:t>)</m:t>
                        </m:r>
                      </m:den>
                    </m:f>
                    <m:r>
                      <a:rPr lang="en-US" sz="1200" b="0" i="1">
                        <a:latin typeface="Cambria Math" panose="02040503050406030204" pitchFamily="18" charset="0"/>
                      </a:rPr>
                      <m:t>+</m:t>
                    </m:r>
                    <m:r>
                      <a:rPr lang="en-US" sz="1200" b="0" i="1">
                        <a:latin typeface="Cambria Math" panose="02040503050406030204" pitchFamily="18" charset="0"/>
                      </a:rPr>
                      <m:t>𝑐</m:t>
                    </m:r>
                    <m:r>
                      <a:rPr lang="en-US" sz="1200" b="0" i="1">
                        <a:latin typeface="Cambria Math" panose="02040503050406030204" pitchFamily="18" charset="0"/>
                      </a:rPr>
                      <m:t>(</m:t>
                    </m:r>
                    <m:r>
                      <a:rPr lang="en-US" sz="1200" b="0" i="1">
                        <a:latin typeface="Cambria Math" panose="02040503050406030204" pitchFamily="18" charset="0"/>
                      </a:rPr>
                      <m:t>𝑦</m:t>
                    </m:r>
                    <m:r>
                      <a:rPr lang="en-US" sz="1200" b="0" i="1">
                        <a:latin typeface="Cambria Math" panose="02040503050406030204" pitchFamily="18" charset="0"/>
                      </a:rPr>
                      <m:t>,</m:t>
                    </m:r>
                    <m:r>
                      <a:rPr lang="en-US" sz="1200" b="0" i="1">
                        <a:latin typeface="Cambria Math" panose="02040503050406030204" pitchFamily="18" charset="0"/>
                      </a:rPr>
                      <m:t>𝜙</m:t>
                    </m:r>
                    <m:r>
                      <a:rPr lang="en-US" sz="1200" b="0" i="1">
                        <a:latin typeface="Cambria Math" panose="02040503050406030204" pitchFamily="18" charset="0"/>
                      </a:rPr>
                      <m:t>)</m:t>
                    </m:r>
                  </m:oMath>
                </m:oMathPara>
              </a14:m>
              <a:endParaRPr lang="en-US" sz="1200"/>
            </a:p>
          </xdr:txBody>
        </xdr:sp>
      </mc:Choice>
      <mc:Fallback xmlns="">
        <xdr:sp macro="" textlink="">
          <xdr:nvSpPr>
            <xdr:cNvPr id="2" name="TextBox 1">
              <a:extLst>
                <a:ext uri="{FF2B5EF4-FFF2-40B4-BE49-F238E27FC236}">
                  <a16:creationId xmlns:a16="http://schemas.microsoft.com/office/drawing/2014/main" id="{9CE87D6C-DE82-3243-A3E0-2D56CD033626}"/>
                </a:ext>
              </a:extLst>
            </xdr:cNvPr>
            <xdr:cNvSpPr txBox="1"/>
          </xdr:nvSpPr>
          <xdr:spPr>
            <a:xfrm>
              <a:off x="2489200" y="1130300"/>
              <a:ext cx="2354940" cy="391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ln⁡𝜋 (𝑦;𝜃, 𝜙)=(𝑦𝜃−𝑏(𝜃))/(𝑎(𝜙))+𝑐(𝑦,𝜙)</a:t>
              </a:r>
              <a:endParaRPr lang="en-US" sz="1200"/>
            </a:p>
          </xdr:txBody>
        </xdr:sp>
      </mc:Fallback>
    </mc:AlternateContent>
    <xdr:clientData/>
  </xdr:oneCellAnchor>
  <xdr:oneCellAnchor>
    <xdr:from>
      <xdr:col>3</xdr:col>
      <xdr:colOff>76200</xdr:colOff>
      <xdr:row>9</xdr:row>
      <xdr:rowOff>190500</xdr:rowOff>
    </xdr:from>
    <xdr:ext cx="1474250" cy="19088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12EFCA-FA69-644B-B09C-7A399963230D}"/>
                </a:ext>
              </a:extLst>
            </xdr:cNvPr>
            <xdr:cNvSpPr txBox="1"/>
          </xdr:nvSpPr>
          <xdr:spPr>
            <a:xfrm>
              <a:off x="2590800" y="2019300"/>
              <a:ext cx="1474250" cy="190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𝑉</m:t>
                    </m:r>
                    <m:d>
                      <m:dPr>
                        <m:ctrlPr>
                          <a:rPr lang="en-US" sz="1200" b="0" i="1">
                            <a:latin typeface="Cambria Math" panose="02040503050406030204" pitchFamily="18" charset="0"/>
                          </a:rPr>
                        </m:ctrlPr>
                      </m:dPr>
                      <m:e>
                        <m:r>
                          <a:rPr lang="en-US" sz="1200" b="0" i="1">
                            <a:latin typeface="Cambria Math" panose="02040503050406030204" pitchFamily="18" charset="0"/>
                          </a:rPr>
                          <m:t>𝜇</m:t>
                        </m:r>
                      </m:e>
                    </m:d>
                    <m:r>
                      <a:rPr lang="en-US" sz="1200" b="0" i="1">
                        <a:latin typeface="Cambria Math" panose="02040503050406030204" pitchFamily="18" charset="0"/>
                      </a:rPr>
                      <m:t>=</m:t>
                    </m:r>
                    <m:r>
                      <a:rPr lang="en-US" sz="1200" b="0" i="1">
                        <a:latin typeface="Cambria Math" panose="02040503050406030204" pitchFamily="18" charset="0"/>
                      </a:rPr>
                      <m:t>𝑏</m:t>
                    </m:r>
                    <m:r>
                      <a:rPr lang="en-US" sz="1200" b="0" i="1">
                        <a:latin typeface="Cambria Math" panose="02040503050406030204" pitchFamily="18" charset="0"/>
                      </a:rPr>
                      <m:t>′′(</m:t>
                    </m:r>
                    <m:sSup>
                      <m:sSupPr>
                        <m:ctrlPr>
                          <a:rPr lang="en-US" sz="1200" b="0" i="1">
                            <a:latin typeface="Cambria Math" panose="02040503050406030204" pitchFamily="18" charset="0"/>
                          </a:rPr>
                        </m:ctrlPr>
                      </m:sSupPr>
                      <m:e>
                        <m:d>
                          <m:dPr>
                            <m:ctrlPr>
                              <a:rPr lang="en-US" sz="1200" b="0" i="1">
                                <a:latin typeface="Cambria Math" panose="02040503050406030204" pitchFamily="18" charset="0"/>
                              </a:rPr>
                            </m:ctrlPr>
                          </m:dPr>
                          <m:e>
                            <m:sSup>
                              <m:sSupPr>
                                <m:ctrlPr>
                                  <a:rPr lang="en-US" sz="1200" b="0" i="1">
                                    <a:latin typeface="Cambria Math" panose="02040503050406030204" pitchFamily="18" charset="0"/>
                                  </a:rPr>
                                </m:ctrlPr>
                              </m:sSupPr>
                              <m:e>
                                <m:r>
                                  <a:rPr lang="en-US" sz="1200" b="0" i="1">
                                    <a:latin typeface="Cambria Math" panose="02040503050406030204" pitchFamily="18" charset="0"/>
                                  </a:rPr>
                                  <m:t>𝑏</m:t>
                                </m:r>
                              </m:e>
                              <m:sup>
                                <m:r>
                                  <a:rPr lang="en-US" sz="1200" b="0" i="1">
                                    <a:latin typeface="Cambria Math" panose="02040503050406030204" pitchFamily="18" charset="0"/>
                                  </a:rPr>
                                  <m:t>′</m:t>
                                </m:r>
                              </m:sup>
                            </m:sSup>
                          </m:e>
                        </m:d>
                      </m:e>
                      <m:sup>
                        <m:r>
                          <a:rPr lang="en-US" sz="1200" b="0" i="1">
                            <a:latin typeface="Cambria Math" panose="02040503050406030204" pitchFamily="18" charset="0"/>
                          </a:rPr>
                          <m:t>−1</m:t>
                        </m:r>
                      </m:sup>
                    </m:sSup>
                    <m:d>
                      <m:dPr>
                        <m:ctrlPr>
                          <a:rPr lang="en-US" sz="1200" b="0" i="1">
                            <a:latin typeface="Cambria Math" panose="02040503050406030204" pitchFamily="18" charset="0"/>
                          </a:rPr>
                        </m:ctrlPr>
                      </m:dPr>
                      <m:e>
                        <m:r>
                          <a:rPr lang="en-US" sz="1200" b="0" i="1">
                            <a:latin typeface="Cambria Math" panose="02040503050406030204" pitchFamily="18" charset="0"/>
                          </a:rPr>
                          <m:t>𝜇</m:t>
                        </m:r>
                      </m:e>
                    </m:d>
                    <m:r>
                      <a:rPr lang="en-US" sz="1200" b="0" i="1">
                        <a:latin typeface="Cambria Math" panose="02040503050406030204" pitchFamily="18" charset="0"/>
                      </a:rPr>
                      <m:t>)</m:t>
                    </m:r>
                  </m:oMath>
                </m:oMathPara>
              </a14:m>
              <a:endParaRPr lang="en-US" sz="1200"/>
            </a:p>
          </xdr:txBody>
        </xdr:sp>
      </mc:Choice>
      <mc:Fallback xmlns="">
        <xdr:sp macro="" textlink="">
          <xdr:nvSpPr>
            <xdr:cNvPr id="3" name="TextBox 2">
              <a:extLst>
                <a:ext uri="{FF2B5EF4-FFF2-40B4-BE49-F238E27FC236}">
                  <a16:creationId xmlns:a16="http://schemas.microsoft.com/office/drawing/2014/main" id="{6412EFCA-FA69-644B-B09C-7A399963230D}"/>
                </a:ext>
              </a:extLst>
            </xdr:cNvPr>
            <xdr:cNvSpPr txBox="1"/>
          </xdr:nvSpPr>
          <xdr:spPr>
            <a:xfrm>
              <a:off x="2590800" y="2019300"/>
              <a:ext cx="1474250" cy="190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200" b="0" i="0">
                  <a:latin typeface="Cambria Math" panose="02040503050406030204" pitchFamily="18" charset="0"/>
                </a:rPr>
                <a:t>𝑉(𝜇)=𝑏′′((𝑏^′ )^(−1) (𝜇))</a:t>
              </a:r>
              <a:endParaRPr lang="en-US" sz="1200"/>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pple/Dropbox/Rising%20Fellow/_Products/Exam%207/_Problem%20Pack/Support%20Excel%20Files/RF%20Shapland_3%20Sup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01B9-DB4C-CA43-A8DF-0FF007A767B5}">
  <sheetPr codeName="Sheet1">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92" customWidth="1"/>
    <col min="6" max="12" width="10.83203125" style="92" customWidth="1"/>
    <col min="13" max="13" width="10.6640625" style="92" customWidth="1"/>
    <col min="14" max="16" width="10" style="92" customWidth="1"/>
    <col min="17" max="16384" width="8.5" style="92"/>
  </cols>
  <sheetData>
    <row r="1" spans="1:13" ht="14.5" customHeight="1" x14ac:dyDescent="0.2">
      <c r="A1" s="88"/>
      <c r="B1" s="89"/>
      <c r="C1" s="89"/>
      <c r="D1" s="89"/>
      <c r="E1" s="89"/>
      <c r="F1" s="89"/>
      <c r="G1" s="89"/>
      <c r="H1" s="89"/>
      <c r="I1" s="89"/>
      <c r="J1" s="89"/>
      <c r="K1" s="89"/>
      <c r="L1" s="90" t="s">
        <v>183</v>
      </c>
      <c r="M1" s="91"/>
    </row>
    <row r="2" spans="1:13" s="94" customFormat="1" x14ac:dyDescent="0.2">
      <c r="A2" s="93"/>
      <c r="M2" s="95"/>
    </row>
    <row r="3" spans="1:13" s="94" customFormat="1" ht="16" customHeight="1" x14ac:dyDescent="0.2">
      <c r="A3" s="93"/>
      <c r="M3" s="95"/>
    </row>
    <row r="4" spans="1:13" s="94" customFormat="1" ht="16" customHeight="1" x14ac:dyDescent="0.2">
      <c r="A4" s="93"/>
      <c r="M4" s="95"/>
    </row>
    <row r="5" spans="1:13" s="94" customFormat="1" ht="16" customHeight="1" x14ac:dyDescent="0.2">
      <c r="A5" s="93"/>
      <c r="M5" s="95"/>
    </row>
    <row r="6" spans="1:13" s="94" customFormat="1" ht="16" customHeight="1" x14ac:dyDescent="0.2">
      <c r="A6" s="93"/>
      <c r="B6" s="96" t="s">
        <v>184</v>
      </c>
      <c r="M6" s="95"/>
    </row>
    <row r="7" spans="1:13" s="94" customFormat="1" ht="16" customHeight="1" x14ac:dyDescent="0.2">
      <c r="A7" s="93"/>
      <c r="M7" s="95"/>
    </row>
    <row r="8" spans="1:13" s="94" customFormat="1" ht="16" customHeight="1" x14ac:dyDescent="0.25">
      <c r="A8" s="93"/>
      <c r="B8" s="97" t="s">
        <v>185</v>
      </c>
      <c r="M8" s="95"/>
    </row>
    <row r="9" spans="1:13" s="94" customFormat="1" ht="17" customHeight="1" x14ac:dyDescent="0.2">
      <c r="A9" s="93"/>
      <c r="C9" s="397" t="s">
        <v>186</v>
      </c>
      <c r="D9" s="398"/>
      <c r="E9" s="398"/>
      <c r="F9" s="398"/>
      <c r="G9" s="398"/>
      <c r="H9" s="398"/>
      <c r="I9" s="398"/>
      <c r="J9" s="398"/>
      <c r="K9" s="398"/>
      <c r="M9" s="95"/>
    </row>
    <row r="10" spans="1:13" s="94" customFormat="1" x14ac:dyDescent="0.2">
      <c r="A10" s="93"/>
      <c r="C10" s="398"/>
      <c r="D10" s="398"/>
      <c r="E10" s="398"/>
      <c r="F10" s="398"/>
      <c r="G10" s="398"/>
      <c r="H10" s="398"/>
      <c r="I10" s="398"/>
      <c r="J10" s="398"/>
      <c r="K10" s="398"/>
      <c r="M10" s="95"/>
    </row>
    <row r="11" spans="1:13" s="94" customFormat="1" ht="16" customHeight="1" x14ac:dyDescent="0.2">
      <c r="A11" s="93"/>
      <c r="C11" s="398"/>
      <c r="D11" s="398"/>
      <c r="E11" s="398"/>
      <c r="F11" s="398"/>
      <c r="G11" s="398"/>
      <c r="H11" s="398"/>
      <c r="I11" s="398"/>
      <c r="J11" s="398"/>
      <c r="K11" s="398"/>
      <c r="M11" s="95"/>
    </row>
    <row r="12" spans="1:13" s="94" customFormat="1" ht="16" customHeight="1" x14ac:dyDescent="0.2">
      <c r="A12" s="93"/>
      <c r="C12" s="398"/>
      <c r="D12" s="398"/>
      <c r="E12" s="398"/>
      <c r="F12" s="398"/>
      <c r="G12" s="398"/>
      <c r="H12" s="398"/>
      <c r="I12" s="398"/>
      <c r="J12" s="398"/>
      <c r="K12" s="398"/>
      <c r="M12" s="95"/>
    </row>
    <row r="13" spans="1:13" s="94" customFormat="1" ht="16" customHeight="1" x14ac:dyDescent="0.2">
      <c r="A13" s="93"/>
      <c r="C13" s="398"/>
      <c r="D13" s="398"/>
      <c r="E13" s="398"/>
      <c r="F13" s="398"/>
      <c r="G13" s="398"/>
      <c r="H13" s="398"/>
      <c r="I13" s="398"/>
      <c r="J13" s="398"/>
      <c r="K13" s="398"/>
      <c r="M13" s="95"/>
    </row>
    <row r="14" spans="1:13" s="94" customFormat="1" ht="16" customHeight="1" x14ac:dyDescent="0.2">
      <c r="A14" s="93"/>
      <c r="C14" s="398"/>
      <c r="D14" s="398"/>
      <c r="E14" s="398"/>
      <c r="F14" s="398"/>
      <c r="G14" s="398"/>
      <c r="H14" s="398"/>
      <c r="I14" s="398"/>
      <c r="J14" s="398"/>
      <c r="K14" s="398"/>
      <c r="M14" s="95"/>
    </row>
    <row r="15" spans="1:13" s="94" customFormat="1" ht="16" customHeight="1" x14ac:dyDescent="0.2">
      <c r="A15" s="93"/>
      <c r="C15" s="398"/>
      <c r="D15" s="398"/>
      <c r="E15" s="398"/>
      <c r="F15" s="398"/>
      <c r="G15" s="398"/>
      <c r="H15" s="398"/>
      <c r="I15" s="398"/>
      <c r="J15" s="398"/>
      <c r="K15" s="398"/>
      <c r="M15" s="95"/>
    </row>
    <row r="16" spans="1:13" s="94" customFormat="1" ht="16" customHeight="1" x14ac:dyDescent="0.2">
      <c r="A16" s="93"/>
      <c r="C16" s="398"/>
      <c r="D16" s="398"/>
      <c r="E16" s="398"/>
      <c r="F16" s="398"/>
      <c r="G16" s="398"/>
      <c r="H16" s="398"/>
      <c r="I16" s="398"/>
      <c r="J16" s="398"/>
      <c r="K16" s="398"/>
      <c r="M16" s="95"/>
    </row>
    <row r="17" spans="1:13" s="94" customFormat="1" ht="16" customHeight="1" x14ac:dyDescent="0.2">
      <c r="A17" s="93"/>
      <c r="M17" s="95"/>
    </row>
    <row r="18" spans="1:13" s="94" customFormat="1" ht="16" customHeight="1" x14ac:dyDescent="0.25">
      <c r="A18" s="93"/>
      <c r="B18" s="97" t="s">
        <v>187</v>
      </c>
      <c r="M18" s="95"/>
    </row>
    <row r="19" spans="1:13" s="94" customFormat="1" ht="17" customHeight="1" x14ac:dyDescent="0.2">
      <c r="A19" s="93"/>
      <c r="C19" s="397" t="s">
        <v>188</v>
      </c>
      <c r="D19" s="398"/>
      <c r="E19" s="398"/>
      <c r="F19" s="398"/>
      <c r="G19" s="398"/>
      <c r="H19" s="398"/>
      <c r="I19" s="398"/>
      <c r="J19" s="398"/>
      <c r="K19" s="398"/>
      <c r="M19" s="95"/>
    </row>
    <row r="20" spans="1:13" s="94" customFormat="1" x14ac:dyDescent="0.2">
      <c r="A20" s="93"/>
      <c r="C20" s="398"/>
      <c r="D20" s="398"/>
      <c r="E20" s="398"/>
      <c r="F20" s="398"/>
      <c r="G20" s="398"/>
      <c r="H20" s="398"/>
      <c r="I20" s="398"/>
      <c r="J20" s="398"/>
      <c r="K20" s="398"/>
      <c r="M20" s="95"/>
    </row>
    <row r="21" spans="1:13" s="94" customFormat="1" x14ac:dyDescent="0.2">
      <c r="A21" s="93"/>
      <c r="C21" s="398"/>
      <c r="D21" s="398"/>
      <c r="E21" s="398"/>
      <c r="F21" s="398"/>
      <c r="G21" s="398"/>
      <c r="H21" s="398"/>
      <c r="I21" s="398"/>
      <c r="J21" s="398"/>
      <c r="K21" s="398"/>
      <c r="M21" s="95"/>
    </row>
    <row r="22" spans="1:13" s="94" customFormat="1" x14ac:dyDescent="0.2">
      <c r="A22" s="93"/>
      <c r="C22" s="398"/>
      <c r="D22" s="398"/>
      <c r="E22" s="398"/>
      <c r="F22" s="398"/>
      <c r="G22" s="398"/>
      <c r="H22" s="398"/>
      <c r="I22" s="398"/>
      <c r="J22" s="398"/>
      <c r="K22" s="398"/>
      <c r="M22" s="95"/>
    </row>
    <row r="23" spans="1:13" s="94" customFormat="1" x14ac:dyDescent="0.2">
      <c r="A23" s="93"/>
      <c r="C23" s="398"/>
      <c r="D23" s="398"/>
      <c r="E23" s="398"/>
      <c r="F23" s="398"/>
      <c r="G23" s="398"/>
      <c r="H23" s="398"/>
      <c r="I23" s="398"/>
      <c r="J23" s="398"/>
      <c r="K23" s="398"/>
      <c r="M23" s="95"/>
    </row>
    <row r="24" spans="1:13" s="94" customFormat="1" x14ac:dyDescent="0.2">
      <c r="A24" s="93"/>
      <c r="C24" s="398"/>
      <c r="D24" s="398"/>
      <c r="E24" s="398"/>
      <c r="F24" s="398"/>
      <c r="G24" s="398"/>
      <c r="H24" s="398"/>
      <c r="I24" s="398"/>
      <c r="J24" s="398"/>
      <c r="K24" s="398"/>
      <c r="M24" s="95"/>
    </row>
    <row r="25" spans="1:13" s="94" customFormat="1" x14ac:dyDescent="0.2">
      <c r="A25" s="93"/>
      <c r="C25" s="398"/>
      <c r="D25" s="398"/>
      <c r="E25" s="398"/>
      <c r="F25" s="398"/>
      <c r="G25" s="398"/>
      <c r="H25" s="398"/>
      <c r="I25" s="398"/>
      <c r="J25" s="398"/>
      <c r="K25" s="398"/>
      <c r="M25" s="95"/>
    </row>
    <row r="26" spans="1:13" s="94" customFormat="1" x14ac:dyDescent="0.2">
      <c r="A26" s="93"/>
      <c r="C26" s="398"/>
      <c r="D26" s="398"/>
      <c r="E26" s="398"/>
      <c r="F26" s="398"/>
      <c r="G26" s="398"/>
      <c r="H26" s="398"/>
      <c r="I26" s="398"/>
      <c r="J26" s="398"/>
      <c r="K26" s="398"/>
      <c r="M26" s="95"/>
    </row>
    <row r="27" spans="1:13" s="94" customFormat="1" x14ac:dyDescent="0.2">
      <c r="A27" s="93"/>
      <c r="C27" s="398"/>
      <c r="D27" s="398"/>
      <c r="E27" s="398"/>
      <c r="F27" s="398"/>
      <c r="G27" s="398"/>
      <c r="H27" s="398"/>
      <c r="I27" s="398"/>
      <c r="J27" s="398"/>
      <c r="K27" s="398"/>
      <c r="M27" s="95"/>
    </row>
    <row r="28" spans="1:13" s="94" customFormat="1" x14ac:dyDescent="0.2">
      <c r="A28" s="93"/>
      <c r="C28" s="398"/>
      <c r="D28" s="398"/>
      <c r="E28" s="398"/>
      <c r="F28" s="398"/>
      <c r="G28" s="398"/>
      <c r="H28" s="398"/>
      <c r="I28" s="398"/>
      <c r="J28" s="398"/>
      <c r="K28" s="398"/>
      <c r="M28" s="95"/>
    </row>
    <row r="29" spans="1:13" s="94" customFormat="1" x14ac:dyDescent="0.2">
      <c r="A29" s="93"/>
      <c r="C29" s="98"/>
      <c r="D29" s="98"/>
      <c r="E29" s="98"/>
      <c r="F29" s="98"/>
      <c r="G29" s="98"/>
      <c r="H29" s="98"/>
      <c r="I29" s="98"/>
      <c r="J29" s="98"/>
      <c r="K29" s="98"/>
      <c r="M29" s="95"/>
    </row>
    <row r="30" spans="1:13" s="94" customFormat="1" ht="19" x14ac:dyDescent="0.25">
      <c r="A30" s="93"/>
      <c r="C30" s="99" t="s">
        <v>189</v>
      </c>
      <c r="D30" s="98"/>
      <c r="E30" s="98"/>
      <c r="F30" s="98"/>
      <c r="G30" s="98"/>
      <c r="H30" s="98"/>
      <c r="I30" s="98"/>
      <c r="J30" s="98"/>
      <c r="K30" s="98"/>
      <c r="M30" s="95"/>
    </row>
    <row r="31" spans="1:13" s="94" customFormat="1" x14ac:dyDescent="0.2">
      <c r="A31" s="93"/>
      <c r="C31" s="397" t="s">
        <v>190</v>
      </c>
      <c r="D31" s="397"/>
      <c r="E31" s="397"/>
      <c r="F31" s="397"/>
      <c r="G31" s="397"/>
      <c r="H31" s="397"/>
      <c r="I31" s="397"/>
      <c r="J31" s="397"/>
      <c r="K31" s="397"/>
      <c r="M31" s="95"/>
    </row>
    <row r="32" spans="1:13" s="94" customFormat="1" x14ac:dyDescent="0.2">
      <c r="A32" s="93"/>
      <c r="C32" s="397"/>
      <c r="D32" s="397"/>
      <c r="E32" s="397"/>
      <c r="F32" s="397"/>
      <c r="G32" s="397"/>
      <c r="H32" s="397"/>
      <c r="I32" s="397"/>
      <c r="J32" s="397"/>
      <c r="K32" s="397"/>
      <c r="M32" s="95"/>
    </row>
    <row r="33" spans="1:13" s="94" customFormat="1" x14ac:dyDescent="0.2">
      <c r="A33" s="93"/>
      <c r="C33" s="397"/>
      <c r="D33" s="397"/>
      <c r="E33" s="397"/>
      <c r="F33" s="397"/>
      <c r="G33" s="397"/>
      <c r="H33" s="397"/>
      <c r="I33" s="397"/>
      <c r="J33" s="397"/>
      <c r="K33" s="397"/>
      <c r="M33" s="95"/>
    </row>
    <row r="34" spans="1:13" s="94" customFormat="1" x14ac:dyDescent="0.2">
      <c r="A34" s="93"/>
      <c r="C34" s="397"/>
      <c r="D34" s="397"/>
      <c r="E34" s="397"/>
      <c r="F34" s="397"/>
      <c r="G34" s="397"/>
      <c r="H34" s="397"/>
      <c r="I34" s="397"/>
      <c r="J34" s="397"/>
      <c r="K34" s="397"/>
      <c r="M34" s="95"/>
    </row>
    <row r="35" spans="1:13" s="94" customFormat="1" x14ac:dyDescent="0.2">
      <c r="A35" s="93"/>
      <c r="C35" s="397"/>
      <c r="D35" s="397"/>
      <c r="E35" s="397"/>
      <c r="F35" s="397"/>
      <c r="G35" s="397"/>
      <c r="H35" s="397"/>
      <c r="I35" s="397"/>
      <c r="J35" s="397"/>
      <c r="K35" s="397"/>
      <c r="M35" s="95"/>
    </row>
    <row r="36" spans="1:13" s="94" customFormat="1" x14ac:dyDescent="0.2">
      <c r="A36" s="93"/>
      <c r="C36" s="397"/>
      <c r="D36" s="397"/>
      <c r="E36" s="397"/>
      <c r="F36" s="397"/>
      <c r="G36" s="397"/>
      <c r="H36" s="397"/>
      <c r="I36" s="397"/>
      <c r="J36" s="397"/>
      <c r="K36" s="397"/>
      <c r="M36" s="95"/>
    </row>
    <row r="37" spans="1:13" s="94" customFormat="1" x14ac:dyDescent="0.2">
      <c r="A37" s="93"/>
      <c r="C37" s="397"/>
      <c r="D37" s="397"/>
      <c r="E37" s="397"/>
      <c r="F37" s="397"/>
      <c r="G37" s="397"/>
      <c r="H37" s="397"/>
      <c r="I37" s="397"/>
      <c r="J37" s="397"/>
      <c r="K37" s="397"/>
      <c r="M37" s="95"/>
    </row>
    <row r="38" spans="1:13" s="94" customFormat="1" x14ac:dyDescent="0.2">
      <c r="A38" s="93"/>
      <c r="C38" s="397"/>
      <c r="D38" s="397"/>
      <c r="E38" s="397"/>
      <c r="F38" s="397"/>
      <c r="G38" s="397"/>
      <c r="H38" s="397"/>
      <c r="I38" s="397"/>
      <c r="J38" s="397"/>
      <c r="K38" s="397"/>
      <c r="M38" s="95"/>
    </row>
    <row r="39" spans="1:13" s="94" customFormat="1" x14ac:dyDescent="0.2">
      <c r="A39" s="93"/>
      <c r="C39" s="397"/>
      <c r="D39" s="397"/>
      <c r="E39" s="397"/>
      <c r="F39" s="397"/>
      <c r="G39" s="397"/>
      <c r="H39" s="397"/>
      <c r="I39" s="397"/>
      <c r="J39" s="397"/>
      <c r="K39" s="397"/>
      <c r="M39" s="95"/>
    </row>
    <row r="40" spans="1:13" s="94" customFormat="1" x14ac:dyDescent="0.2">
      <c r="A40" s="93"/>
      <c r="C40" s="100"/>
      <c r="D40" s="100"/>
      <c r="E40" s="100"/>
      <c r="F40" s="100"/>
      <c r="G40" s="100"/>
      <c r="H40" s="100"/>
      <c r="I40" s="100"/>
      <c r="J40" s="100"/>
      <c r="K40" s="100"/>
      <c r="M40" s="95"/>
    </row>
    <row r="41" spans="1:13" s="94" customFormat="1" ht="21" x14ac:dyDescent="0.25">
      <c r="A41" s="93"/>
      <c r="B41" s="97" t="s">
        <v>191</v>
      </c>
      <c r="M41" s="95"/>
    </row>
    <row r="42" spans="1:13" s="94" customFormat="1" x14ac:dyDescent="0.2">
      <c r="A42" s="93"/>
      <c r="C42" s="399" t="s">
        <v>417</v>
      </c>
      <c r="D42" s="398"/>
      <c r="E42" s="398"/>
      <c r="F42" s="398"/>
      <c r="G42" s="398"/>
      <c r="H42" s="398"/>
      <c r="I42" s="398"/>
      <c r="J42" s="398"/>
      <c r="K42" s="398"/>
      <c r="M42" s="95"/>
    </row>
    <row r="43" spans="1:13" s="94" customFormat="1" x14ac:dyDescent="0.2">
      <c r="A43" s="93"/>
      <c r="C43" s="398"/>
      <c r="D43" s="398"/>
      <c r="E43" s="398"/>
      <c r="F43" s="398"/>
      <c r="G43" s="398"/>
      <c r="H43" s="398"/>
      <c r="I43" s="398"/>
      <c r="J43" s="398"/>
      <c r="K43" s="398"/>
      <c r="M43" s="95"/>
    </row>
    <row r="44" spans="1:13" s="94" customFormat="1" x14ac:dyDescent="0.2">
      <c r="A44" s="93"/>
      <c r="C44" s="398"/>
      <c r="D44" s="398"/>
      <c r="E44" s="398"/>
      <c r="F44" s="398"/>
      <c r="G44" s="398"/>
      <c r="H44" s="398"/>
      <c r="I44" s="398"/>
      <c r="J44" s="398"/>
      <c r="K44" s="398"/>
      <c r="M44" s="95"/>
    </row>
    <row r="45" spans="1:13" s="94" customFormat="1" x14ac:dyDescent="0.2">
      <c r="A45" s="93"/>
      <c r="C45" s="398"/>
      <c r="D45" s="398"/>
      <c r="E45" s="398"/>
      <c r="F45" s="398"/>
      <c r="G45" s="398"/>
      <c r="H45" s="398"/>
      <c r="I45" s="398"/>
      <c r="J45" s="398"/>
      <c r="K45" s="398"/>
      <c r="M45" s="95"/>
    </row>
    <row r="46" spans="1:13" s="94" customFormat="1" x14ac:dyDescent="0.2">
      <c r="A46" s="93"/>
      <c r="C46" s="398"/>
      <c r="D46" s="398"/>
      <c r="E46" s="398"/>
      <c r="F46" s="398"/>
      <c r="G46" s="398"/>
      <c r="H46" s="398"/>
      <c r="I46" s="398"/>
      <c r="J46" s="398"/>
      <c r="K46" s="398"/>
      <c r="M46" s="95"/>
    </row>
    <row r="47" spans="1:13" s="94" customFormat="1" x14ac:dyDescent="0.2">
      <c r="A47" s="93"/>
      <c r="C47" s="398"/>
      <c r="D47" s="398"/>
      <c r="E47" s="398"/>
      <c r="F47" s="398"/>
      <c r="G47" s="398"/>
      <c r="H47" s="398"/>
      <c r="I47" s="398"/>
      <c r="J47" s="398"/>
      <c r="K47" s="398"/>
      <c r="M47" s="95"/>
    </row>
    <row r="48" spans="1:13" s="94" customFormat="1" x14ac:dyDescent="0.2">
      <c r="A48" s="93"/>
      <c r="C48" s="398"/>
      <c r="D48" s="398"/>
      <c r="E48" s="398"/>
      <c r="F48" s="398"/>
      <c r="G48" s="398"/>
      <c r="H48" s="398"/>
      <c r="I48" s="398"/>
      <c r="J48" s="398"/>
      <c r="K48" s="398"/>
      <c r="M48" s="95"/>
    </row>
    <row r="49" spans="1:13" s="94" customFormat="1" x14ac:dyDescent="0.2">
      <c r="A49" s="93"/>
      <c r="C49" s="398"/>
      <c r="D49" s="398"/>
      <c r="E49" s="398"/>
      <c r="F49" s="398"/>
      <c r="G49" s="398"/>
      <c r="H49" s="398"/>
      <c r="I49" s="398"/>
      <c r="J49" s="398"/>
      <c r="K49" s="398"/>
      <c r="M49" s="95"/>
    </row>
    <row r="50" spans="1:13" s="94" customFormat="1" x14ac:dyDescent="0.2">
      <c r="A50" s="93"/>
      <c r="C50" s="398"/>
      <c r="D50" s="398"/>
      <c r="E50" s="398"/>
      <c r="F50" s="398"/>
      <c r="G50" s="398"/>
      <c r="H50" s="398"/>
      <c r="I50" s="398"/>
      <c r="J50" s="398"/>
      <c r="K50" s="398"/>
      <c r="M50" s="95"/>
    </row>
    <row r="51" spans="1:13" s="94" customFormat="1" x14ac:dyDescent="0.2">
      <c r="A51" s="93"/>
      <c r="C51" s="100"/>
      <c r="D51" s="100"/>
      <c r="E51" s="100"/>
      <c r="F51" s="100"/>
      <c r="G51" s="100"/>
      <c r="H51" s="100"/>
      <c r="I51" s="100"/>
      <c r="J51" s="100"/>
      <c r="K51" s="100"/>
      <c r="M51" s="95"/>
    </row>
    <row r="52" spans="1:13" ht="17" thickBot="1" x14ac:dyDescent="0.25">
      <c r="A52" s="101"/>
      <c r="B52" s="102"/>
      <c r="C52" s="102"/>
      <c r="D52" s="102"/>
      <c r="E52" s="102"/>
      <c r="F52" s="102"/>
      <c r="G52" s="102"/>
      <c r="H52" s="102"/>
      <c r="I52" s="102"/>
      <c r="J52" s="102"/>
      <c r="K52" s="102"/>
      <c r="L52" s="102"/>
      <c r="M52" s="103"/>
    </row>
  </sheetData>
  <mergeCells count="4">
    <mergeCell ref="C9:K16"/>
    <mergeCell ref="C19:K28"/>
    <mergeCell ref="C31:K39"/>
    <mergeCell ref="C42:K50"/>
  </mergeCells>
  <hyperlinks>
    <hyperlink ref="B6" r:id="rId1" xr:uid="{45D843B3-BE97-A04B-8B33-A44F0C016FB6}"/>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sheetPr codeName="Sheet2"/>
  <dimension ref="A1:T97"/>
  <sheetViews>
    <sheetView zoomScaleNormal="100" workbookViewId="0"/>
  </sheetViews>
  <sheetFormatPr baseColWidth="10" defaultColWidth="10.83203125" defaultRowHeight="16" outlineLevelCol="1" x14ac:dyDescent="0.2"/>
  <cols>
    <col min="1" max="1" width="4.6640625" style="69" customWidth="1"/>
    <col min="2" max="10" width="10.83203125" style="69" customWidth="1"/>
    <col min="11" max="11" width="11.5" style="69" bestFit="1" customWidth="1"/>
    <col min="12" max="19" width="10.83203125" style="69" hidden="1" customWidth="1" outlineLevel="1"/>
    <col min="20" max="20" width="10.83203125" style="69" collapsed="1"/>
    <col min="21" max="16384" width="10.83203125" style="69"/>
  </cols>
  <sheetData>
    <row r="1" spans="1:17" s="30" customFormat="1" ht="19" x14ac:dyDescent="0.25">
      <c r="A1" s="1" t="s">
        <v>166</v>
      </c>
      <c r="B1" s="16"/>
      <c r="C1" s="27"/>
      <c r="D1" s="27"/>
      <c r="E1" s="27"/>
      <c r="F1" s="28"/>
      <c r="G1" s="28"/>
      <c r="H1" s="28"/>
      <c r="I1" s="28"/>
      <c r="J1" s="29"/>
      <c r="K1" s="3" t="s">
        <v>146</v>
      </c>
    </row>
    <row r="2" spans="1:17" s="30" customFormat="1" x14ac:dyDescent="0.2">
      <c r="A2" s="2"/>
      <c r="B2" s="28"/>
      <c r="C2" s="28"/>
      <c r="D2" s="28"/>
      <c r="E2" s="28"/>
      <c r="F2" s="28"/>
      <c r="G2" s="28"/>
      <c r="H2" s="28"/>
      <c r="I2" s="28"/>
      <c r="J2" s="29"/>
      <c r="L2" s="8" t="s">
        <v>3</v>
      </c>
      <c r="M2" s="31"/>
    </row>
    <row r="3" spans="1:17" s="30" customFormat="1" x14ac:dyDescent="0.2">
      <c r="A3" s="2"/>
      <c r="B3" s="28" t="s">
        <v>6</v>
      </c>
      <c r="C3" s="28"/>
      <c r="D3" s="28"/>
      <c r="E3" s="28"/>
      <c r="F3" s="28"/>
      <c r="G3" s="28"/>
      <c r="H3" s="28"/>
      <c r="I3" s="28"/>
      <c r="J3" s="29"/>
      <c r="L3" s="8"/>
      <c r="M3" s="31"/>
    </row>
    <row r="4" spans="1:17" s="30" customFormat="1" x14ac:dyDescent="0.2">
      <c r="A4" s="2"/>
      <c r="B4" s="28"/>
      <c r="C4" s="28"/>
      <c r="D4" s="28"/>
      <c r="E4" s="28"/>
      <c r="F4" s="28"/>
      <c r="G4" s="28"/>
      <c r="H4" s="28"/>
      <c r="I4" s="28"/>
      <c r="J4" s="29"/>
      <c r="L4" s="8"/>
      <c r="M4" s="31"/>
    </row>
    <row r="5" spans="1:17" s="30" customFormat="1" x14ac:dyDescent="0.2">
      <c r="A5" s="2"/>
      <c r="B5" s="28"/>
      <c r="C5" s="400" t="s">
        <v>14</v>
      </c>
      <c r="D5" s="400"/>
      <c r="E5" s="400"/>
      <c r="F5" s="400"/>
      <c r="G5" s="400"/>
      <c r="H5" s="28"/>
      <c r="I5" s="28"/>
      <c r="J5" s="29"/>
      <c r="L5" s="8"/>
      <c r="M5" s="401" t="s">
        <v>74</v>
      </c>
      <c r="N5" s="401"/>
      <c r="O5" s="401"/>
      <c r="P5" s="401"/>
      <c r="Q5" s="401"/>
    </row>
    <row r="6" spans="1:17" s="30" customFormat="1" ht="34" x14ac:dyDescent="0.2">
      <c r="A6" s="2"/>
      <c r="B6" s="28"/>
      <c r="C6" s="25" t="s">
        <v>7</v>
      </c>
      <c r="D6" s="21" t="s">
        <v>8</v>
      </c>
      <c r="E6" s="21" t="s">
        <v>9</v>
      </c>
      <c r="F6" s="21" t="s">
        <v>10</v>
      </c>
      <c r="G6" s="21" t="s">
        <v>11</v>
      </c>
      <c r="H6" s="28"/>
      <c r="I6" s="28"/>
      <c r="J6" s="29"/>
      <c r="M6" s="32" t="s">
        <v>7</v>
      </c>
      <c r="N6" s="33" t="s">
        <v>8</v>
      </c>
      <c r="O6" s="33" t="s">
        <v>9</v>
      </c>
      <c r="P6" s="33" t="s">
        <v>10</v>
      </c>
      <c r="Q6" s="33" t="s">
        <v>11</v>
      </c>
    </row>
    <row r="7" spans="1:17" s="30" customFormat="1" x14ac:dyDescent="0.2">
      <c r="A7" s="2"/>
      <c r="B7" s="28"/>
      <c r="C7" s="24">
        <v>2015</v>
      </c>
      <c r="D7" s="6">
        <v>1390</v>
      </c>
      <c r="E7" s="6">
        <v>2380</v>
      </c>
      <c r="F7" s="6">
        <v>2650</v>
      </c>
      <c r="G7" s="6">
        <v>2800</v>
      </c>
      <c r="H7" s="28"/>
      <c r="I7" s="28"/>
      <c r="J7" s="29"/>
      <c r="M7" s="34">
        <v>2015</v>
      </c>
      <c r="N7" s="35">
        <f>D7</f>
        <v>1390</v>
      </c>
      <c r="O7" s="35">
        <f>E7-D7</f>
        <v>990</v>
      </c>
      <c r="P7" s="35">
        <f>F7-E7</f>
        <v>270</v>
      </c>
      <c r="Q7" s="35">
        <f>G7-F7</f>
        <v>150</v>
      </c>
    </row>
    <row r="8" spans="1:17" s="30" customFormat="1" x14ac:dyDescent="0.2">
      <c r="A8" s="2"/>
      <c r="B8" s="28"/>
      <c r="C8" s="24">
        <v>2016</v>
      </c>
      <c r="D8" s="6">
        <v>2270</v>
      </c>
      <c r="E8" s="6">
        <v>3480</v>
      </c>
      <c r="F8" s="6">
        <v>3930</v>
      </c>
      <c r="G8" s="7"/>
      <c r="H8" s="28"/>
      <c r="I8" s="28"/>
      <c r="J8" s="29"/>
      <c r="M8" s="36">
        <v>2016</v>
      </c>
      <c r="N8" s="37">
        <f>D8</f>
        <v>2270</v>
      </c>
      <c r="O8" s="37">
        <f>E8-D8</f>
        <v>1210</v>
      </c>
      <c r="P8" s="37">
        <f>F8-E8</f>
        <v>450</v>
      </c>
      <c r="Q8" s="38"/>
    </row>
    <row r="9" spans="1:17" s="30" customFormat="1" x14ac:dyDescent="0.2">
      <c r="A9" s="2"/>
      <c r="B9" s="28"/>
      <c r="C9" s="24">
        <v>2017</v>
      </c>
      <c r="D9" s="6">
        <v>3160</v>
      </c>
      <c r="E9" s="6">
        <v>4540</v>
      </c>
      <c r="F9" s="7"/>
      <c r="G9" s="7"/>
      <c r="H9" s="28"/>
      <c r="I9" s="28"/>
      <c r="J9" s="29"/>
      <c r="M9" s="34">
        <v>2017</v>
      </c>
      <c r="N9" s="35">
        <f>D9</f>
        <v>3160</v>
      </c>
      <c r="O9" s="35">
        <f>E9-D9</f>
        <v>1380</v>
      </c>
      <c r="P9" s="38"/>
      <c r="Q9" s="38"/>
    </row>
    <row r="10" spans="1:17" s="30" customFormat="1" x14ac:dyDescent="0.2">
      <c r="A10" s="2"/>
      <c r="B10" s="28"/>
      <c r="C10" s="24">
        <v>2018</v>
      </c>
      <c r="D10" s="6">
        <v>1930</v>
      </c>
      <c r="E10" s="7"/>
      <c r="F10" s="7"/>
      <c r="G10" s="7"/>
      <c r="H10" s="28"/>
      <c r="I10" s="28"/>
      <c r="J10" s="29"/>
      <c r="M10" s="34">
        <v>2018</v>
      </c>
      <c r="N10" s="35">
        <f>D10</f>
        <v>1930</v>
      </c>
      <c r="O10" s="38"/>
      <c r="P10" s="38"/>
      <c r="Q10" s="38"/>
    </row>
    <row r="11" spans="1:17" s="30" customFormat="1" x14ac:dyDescent="0.2">
      <c r="A11" s="2"/>
      <c r="B11" s="28"/>
      <c r="C11" s="28"/>
      <c r="D11" s="28"/>
      <c r="E11" s="28"/>
      <c r="F11" s="28"/>
      <c r="G11" s="28"/>
      <c r="H11" s="28"/>
      <c r="I11" s="28"/>
      <c r="J11" s="29"/>
    </row>
    <row r="12" spans="1:17" s="30" customFormat="1" x14ac:dyDescent="0.2">
      <c r="A12" s="2"/>
      <c r="B12" s="39" t="s">
        <v>154</v>
      </c>
      <c r="C12" s="28"/>
      <c r="D12" s="28"/>
      <c r="E12" s="28"/>
      <c r="F12" s="28"/>
      <c r="G12" s="28"/>
      <c r="H12" s="28"/>
      <c r="I12" s="28"/>
      <c r="J12" s="29"/>
      <c r="M12" s="30" t="s">
        <v>80</v>
      </c>
      <c r="P12" s="30" t="s">
        <v>79</v>
      </c>
    </row>
    <row r="13" spans="1:17" s="30" customFormat="1" x14ac:dyDescent="0.2">
      <c r="A13" s="2"/>
      <c r="B13" s="39" t="s">
        <v>155</v>
      </c>
      <c r="C13" s="28"/>
      <c r="D13" s="28"/>
      <c r="E13" s="28"/>
      <c r="F13" s="28"/>
      <c r="G13" s="28"/>
      <c r="H13" s="28"/>
      <c r="I13" s="28"/>
      <c r="J13" s="29"/>
    </row>
    <row r="14" spans="1:17" s="30" customFormat="1" x14ac:dyDescent="0.2">
      <c r="A14" s="2"/>
      <c r="B14" s="28"/>
      <c r="C14" s="28"/>
      <c r="D14" s="28"/>
      <c r="E14" s="28"/>
      <c r="F14" s="28"/>
      <c r="G14" s="28"/>
      <c r="H14" s="28"/>
      <c r="I14" s="28"/>
      <c r="J14" s="29"/>
    </row>
    <row r="15" spans="1:17" s="30" customFormat="1" x14ac:dyDescent="0.2">
      <c r="A15" s="2"/>
      <c r="B15" s="28"/>
      <c r="C15" s="28"/>
      <c r="D15" s="28"/>
      <c r="E15" s="28"/>
      <c r="F15" s="28"/>
      <c r="G15" s="28"/>
      <c r="H15" s="28"/>
      <c r="I15" s="28"/>
      <c r="J15" s="29"/>
      <c r="M15" s="40" t="s">
        <v>75</v>
      </c>
      <c r="N15" s="33" t="s">
        <v>76</v>
      </c>
      <c r="P15" s="40" t="s">
        <v>77</v>
      </c>
      <c r="Q15" s="33" t="s">
        <v>78</v>
      </c>
    </row>
    <row r="16" spans="1:17" s="30" customFormat="1" x14ac:dyDescent="0.2">
      <c r="A16" s="28" t="s">
        <v>0</v>
      </c>
      <c r="B16" s="28" t="s">
        <v>12</v>
      </c>
      <c r="C16" s="28"/>
      <c r="D16" s="28"/>
      <c r="E16" s="28"/>
      <c r="F16" s="28"/>
      <c r="G16" s="28"/>
      <c r="H16" s="28"/>
      <c r="I16" s="28"/>
      <c r="J16" s="29"/>
      <c r="M16" s="34">
        <v>2015</v>
      </c>
      <c r="N16" s="35">
        <f>SUM(N7:Q7)</f>
        <v>2800</v>
      </c>
      <c r="P16" s="34">
        <v>48</v>
      </c>
      <c r="Q16" s="41">
        <f>Q7/N16</f>
        <v>5.3571428571428568E-2</v>
      </c>
    </row>
    <row r="17" spans="1:17" s="30" customFormat="1" x14ac:dyDescent="0.2">
      <c r="A17" s="2"/>
      <c r="B17" s="28"/>
      <c r="C17" s="28"/>
      <c r="D17" s="28"/>
      <c r="E17" s="28"/>
      <c r="F17" s="28"/>
      <c r="G17" s="28"/>
      <c r="H17" s="28"/>
      <c r="I17" s="28"/>
      <c r="J17" s="29"/>
      <c r="M17" s="34">
        <v>2016</v>
      </c>
      <c r="N17" s="35">
        <f>SUM(N8:Q8)/(1-Q16)</f>
        <v>4152.4528301886794</v>
      </c>
      <c r="P17" s="34">
        <v>36</v>
      </c>
      <c r="Q17" s="41">
        <f>SUM(P7:P9)/SUM($N$16:N17)</f>
        <v>0.10356057316543639</v>
      </c>
    </row>
    <row r="18" spans="1:17" s="30" customFormat="1" x14ac:dyDescent="0.2">
      <c r="A18" s="28" t="s">
        <v>1</v>
      </c>
      <c r="B18" s="28" t="s">
        <v>13</v>
      </c>
      <c r="C18" s="28"/>
      <c r="D18" s="28"/>
      <c r="E18" s="28"/>
      <c r="F18" s="28"/>
      <c r="G18" s="28"/>
      <c r="H18" s="28"/>
      <c r="I18" s="28"/>
      <c r="J18" s="29"/>
      <c r="M18" s="34">
        <v>2017</v>
      </c>
      <c r="N18" s="35">
        <f>SUM(N9:Q9)/(1-SUM($Q$16:Q17))</f>
        <v>5386.3713052997618</v>
      </c>
      <c r="P18" s="34">
        <v>24</v>
      </c>
      <c r="Q18" s="41">
        <f>SUM(O7:O9)/SUM($N$16:N18)</f>
        <v>0.29014109940211763</v>
      </c>
    </row>
    <row r="19" spans="1:17" s="30" customFormat="1" x14ac:dyDescent="0.2">
      <c r="A19" s="2"/>
      <c r="B19" s="28"/>
      <c r="C19" s="28"/>
      <c r="D19" s="28"/>
      <c r="E19" s="28"/>
      <c r="F19" s="28"/>
      <c r="G19" s="28"/>
      <c r="H19" s="28"/>
      <c r="I19" s="28"/>
      <c r="J19" s="29"/>
      <c r="M19" s="34">
        <v>2018</v>
      </c>
      <c r="N19" s="35">
        <f>SUM(N10:Q10)/(1-SUM($Q$16:Q18))</f>
        <v>3491.7786776382241</v>
      </c>
      <c r="P19" s="34">
        <v>12</v>
      </c>
      <c r="Q19" s="41">
        <f>SUM(N7:N10)/SUM($N$16:N19)</f>
        <v>0.55272689886101745</v>
      </c>
    </row>
    <row r="20" spans="1:17" s="30" customFormat="1" ht="17" thickBot="1" x14ac:dyDescent="0.25">
      <c r="A20" s="2"/>
      <c r="B20" s="28"/>
      <c r="C20" s="28"/>
      <c r="D20" s="28"/>
      <c r="E20" s="28"/>
      <c r="F20" s="28"/>
      <c r="G20" s="28"/>
      <c r="H20" s="28"/>
      <c r="I20" s="28"/>
      <c r="J20" s="29"/>
    </row>
    <row r="21" spans="1:17" s="30" customFormat="1" ht="17" thickBot="1" x14ac:dyDescent="0.25">
      <c r="A21" s="402" t="s">
        <v>145</v>
      </c>
      <c r="B21" s="403"/>
      <c r="C21" s="403"/>
      <c r="D21" s="403"/>
      <c r="E21" s="403"/>
      <c r="F21" s="403"/>
      <c r="G21" s="403"/>
      <c r="H21" s="403"/>
      <c r="I21" s="403"/>
      <c r="J21" s="404"/>
    </row>
    <row r="22" spans="1:17" s="30" customFormat="1" x14ac:dyDescent="0.2">
      <c r="L22" s="8" t="s">
        <v>4</v>
      </c>
      <c r="N22" s="31"/>
    </row>
    <row r="23" spans="1:17" s="30" customFormat="1" ht="19" x14ac:dyDescent="0.25">
      <c r="A23" s="3"/>
      <c r="M23" s="30" t="s">
        <v>81</v>
      </c>
    </row>
    <row r="24" spans="1:17" s="30" customFormat="1" ht="17" thickBot="1" x14ac:dyDescent="0.25"/>
    <row r="25" spans="1:17" s="30" customFormat="1" ht="17" thickBot="1" x14ac:dyDescent="0.25">
      <c r="M25" s="79" t="s">
        <v>82</v>
      </c>
      <c r="N25" s="80"/>
      <c r="O25" s="81">
        <f>N19*Q18+N18*Q17+N17*Q16</f>
        <v>1793.3770342462092</v>
      </c>
      <c r="P25" s="10" t="s">
        <v>83</v>
      </c>
    </row>
    <row r="26" spans="1:17" s="30" customFormat="1" x14ac:dyDescent="0.2"/>
    <row r="27" spans="1:17" s="30" customFormat="1" x14ac:dyDescent="0.2"/>
    <row r="28" spans="1:17" s="30" customFormat="1" x14ac:dyDescent="0.2"/>
    <row r="29" spans="1:17" s="30" customFormat="1" ht="19" x14ac:dyDescent="0.25">
      <c r="L29" s="3" t="s">
        <v>180</v>
      </c>
    </row>
    <row r="30" spans="1:17" x14ac:dyDescent="0.2">
      <c r="L30" s="69" t="s">
        <v>177</v>
      </c>
    </row>
    <row r="54" spans="1:13" x14ac:dyDescent="0.2">
      <c r="A54" s="4"/>
      <c r="C54" s="70"/>
    </row>
    <row r="57" spans="1:13" x14ac:dyDescent="0.2">
      <c r="M57" s="70"/>
    </row>
    <row r="67" spans="13:13" x14ac:dyDescent="0.2">
      <c r="M67" s="70"/>
    </row>
    <row r="77" spans="13:13" x14ac:dyDescent="0.2">
      <c r="M77" s="70"/>
    </row>
    <row r="87" spans="13:13" x14ac:dyDescent="0.2">
      <c r="M87" s="70"/>
    </row>
    <row r="97" spans="13:13" x14ac:dyDescent="0.2">
      <c r="M97" s="70"/>
    </row>
  </sheetData>
  <mergeCells count="3">
    <mergeCell ref="C5:G5"/>
    <mergeCell ref="M5:Q5"/>
    <mergeCell ref="A21:J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sheetPr codeName="Sheet3"/>
  <dimension ref="A1:BM211"/>
  <sheetViews>
    <sheetView zoomScaleNormal="100" workbookViewId="0"/>
  </sheetViews>
  <sheetFormatPr baseColWidth="10" defaultColWidth="10.83203125" defaultRowHeight="16" outlineLevelCol="1" x14ac:dyDescent="0.2"/>
  <cols>
    <col min="1" max="1" width="4.6640625" style="30" customWidth="1"/>
    <col min="2" max="10" width="10.83203125" style="30" customWidth="1"/>
    <col min="11" max="11" width="11.5" style="30" bestFit="1" customWidth="1"/>
    <col min="12" max="12" width="10.83203125" style="30" hidden="1" customWidth="1" outlineLevel="1"/>
    <col min="13" max="13" width="12.1640625" style="30" hidden="1" customWidth="1" outlineLevel="1"/>
    <col min="14" max="23" width="10.83203125" style="30" hidden="1" customWidth="1" outlineLevel="1"/>
    <col min="24" max="24" width="14.1640625" style="30" hidden="1" customWidth="1" outlineLevel="1"/>
    <col min="25" max="25" width="10.83203125" style="30" collapsed="1"/>
    <col min="26" max="16384" width="10.83203125" style="30"/>
  </cols>
  <sheetData>
    <row r="1" spans="1:23" ht="19" x14ac:dyDescent="0.25">
      <c r="A1" s="1" t="s">
        <v>167</v>
      </c>
      <c r="B1" s="16"/>
      <c r="C1" s="27"/>
      <c r="D1" s="27"/>
      <c r="E1" s="27"/>
      <c r="F1" s="28"/>
      <c r="G1" s="28"/>
      <c r="H1" s="28"/>
      <c r="I1" s="28"/>
      <c r="J1" s="29"/>
      <c r="K1" s="3" t="s">
        <v>146</v>
      </c>
    </row>
    <row r="2" spans="1:23" x14ac:dyDescent="0.2">
      <c r="A2" s="2"/>
      <c r="B2" s="28"/>
      <c r="C2" s="28"/>
      <c r="D2" s="28"/>
      <c r="E2" s="28"/>
      <c r="F2" s="28"/>
      <c r="G2" s="28"/>
      <c r="H2" s="28"/>
      <c r="I2" s="28"/>
      <c r="J2" s="29"/>
      <c r="L2" s="8" t="s">
        <v>3</v>
      </c>
      <c r="N2" s="31"/>
    </row>
    <row r="3" spans="1:23" x14ac:dyDescent="0.2">
      <c r="A3" s="2"/>
      <c r="B3" s="28" t="s">
        <v>6</v>
      </c>
      <c r="C3" s="28"/>
      <c r="D3" s="28"/>
      <c r="E3" s="28"/>
      <c r="F3" s="28"/>
      <c r="G3" s="28"/>
      <c r="H3" s="28"/>
      <c r="I3" s="28"/>
      <c r="J3" s="29"/>
      <c r="M3" s="8" t="s">
        <v>108</v>
      </c>
    </row>
    <row r="4" spans="1:23" x14ac:dyDescent="0.2">
      <c r="A4" s="2"/>
      <c r="B4" s="28"/>
      <c r="C4" s="28"/>
      <c r="D4" s="28"/>
      <c r="E4" s="28"/>
      <c r="F4" s="28"/>
      <c r="G4" s="28"/>
      <c r="H4" s="28"/>
      <c r="I4" s="28"/>
      <c r="J4" s="29"/>
      <c r="M4" s="12"/>
      <c r="N4" s="26">
        <v>12</v>
      </c>
      <c r="O4" s="26">
        <v>24</v>
      </c>
      <c r="P4" s="26">
        <v>36</v>
      </c>
      <c r="W4" s="5"/>
    </row>
    <row r="5" spans="1:23" x14ac:dyDescent="0.2">
      <c r="A5" s="2"/>
      <c r="B5" s="28"/>
      <c r="C5" s="400" t="s">
        <v>15</v>
      </c>
      <c r="D5" s="400"/>
      <c r="E5" s="400"/>
      <c r="F5" s="400"/>
      <c r="G5" s="400"/>
      <c r="H5" s="28"/>
      <c r="I5" s="28"/>
      <c r="J5" s="29"/>
      <c r="M5" s="11">
        <v>2015</v>
      </c>
      <c r="N5" s="13">
        <f>E7/D7-1</f>
        <v>1.631346578366446</v>
      </c>
      <c r="O5" s="13">
        <f>F7/E7-1</f>
        <v>0.39312080536912752</v>
      </c>
      <c r="P5" s="13">
        <f>G7/F7-1</f>
        <v>0.1901722269059376</v>
      </c>
      <c r="W5" s="5"/>
    </row>
    <row r="6" spans="1:23" ht="34" x14ac:dyDescent="0.2">
      <c r="A6" s="2"/>
      <c r="B6" s="28"/>
      <c r="C6" s="23" t="s">
        <v>7</v>
      </c>
      <c r="D6" s="21" t="s">
        <v>8</v>
      </c>
      <c r="E6" s="21" t="s">
        <v>9</v>
      </c>
      <c r="F6" s="21" t="s">
        <v>10</v>
      </c>
      <c r="G6" s="21" t="s">
        <v>11</v>
      </c>
      <c r="H6" s="28"/>
      <c r="I6" s="28"/>
      <c r="J6" s="29"/>
      <c r="M6" s="11">
        <v>2016</v>
      </c>
      <c r="N6" s="13">
        <f>E8/D8-1</f>
        <v>1.532690695725063</v>
      </c>
      <c r="O6" s="13">
        <f>F8/E8-1</f>
        <v>0.4231342048651332</v>
      </c>
      <c r="P6" s="13"/>
      <c r="W6" s="5"/>
    </row>
    <row r="7" spans="1:23" x14ac:dyDescent="0.2">
      <c r="A7" s="2"/>
      <c r="B7" s="28"/>
      <c r="C7" s="24">
        <v>2015</v>
      </c>
      <c r="D7" s="6">
        <v>22650</v>
      </c>
      <c r="E7" s="6">
        <v>59600</v>
      </c>
      <c r="F7" s="6">
        <v>83030</v>
      </c>
      <c r="G7" s="6">
        <v>98820</v>
      </c>
      <c r="H7" s="28"/>
      <c r="I7" s="28"/>
      <c r="J7" s="29"/>
      <c r="M7" s="11">
        <v>2017</v>
      </c>
      <c r="N7" s="13">
        <f>E9/D9-1</f>
        <v>1.762934362934363</v>
      </c>
      <c r="O7" s="13"/>
      <c r="P7" s="13"/>
      <c r="W7" s="5"/>
    </row>
    <row r="8" spans="1:23" x14ac:dyDescent="0.2">
      <c r="A8" s="2"/>
      <c r="B8" s="28"/>
      <c r="C8" s="24">
        <v>2016</v>
      </c>
      <c r="D8" s="6">
        <v>23860</v>
      </c>
      <c r="E8" s="6">
        <v>60430</v>
      </c>
      <c r="F8" s="6">
        <v>86000</v>
      </c>
      <c r="G8" s="7"/>
      <c r="H8" s="28"/>
      <c r="I8" s="28"/>
      <c r="J8" s="29"/>
      <c r="W8" s="5"/>
    </row>
    <row r="9" spans="1:23" x14ac:dyDescent="0.2">
      <c r="A9" s="2"/>
      <c r="B9" s="28"/>
      <c r="C9" s="24">
        <v>2017</v>
      </c>
      <c r="D9" s="6">
        <v>25900</v>
      </c>
      <c r="E9" s="6">
        <v>71560</v>
      </c>
      <c r="F9" s="7"/>
      <c r="G9" s="7"/>
      <c r="H9" s="28"/>
      <c r="I9" s="28"/>
      <c r="J9" s="29"/>
      <c r="W9" s="5"/>
    </row>
    <row r="10" spans="1:23" x14ac:dyDescent="0.2">
      <c r="A10" s="2"/>
      <c r="B10" s="28"/>
      <c r="C10" s="24">
        <v>2018</v>
      </c>
      <c r="D10" s="6">
        <v>23560</v>
      </c>
      <c r="E10" s="7"/>
      <c r="F10" s="7"/>
      <c r="G10" s="7"/>
      <c r="H10" s="28"/>
      <c r="I10" s="28"/>
      <c r="J10" s="29"/>
      <c r="M10" s="52">
        <f>N5</f>
        <v>1.631346578366446</v>
      </c>
      <c r="O10" s="53">
        <f>D7</f>
        <v>22650</v>
      </c>
      <c r="R10" s="54">
        <v>1</v>
      </c>
      <c r="S10" s="55">
        <v>0</v>
      </c>
      <c r="T10" s="56">
        <v>0</v>
      </c>
      <c r="W10" s="5"/>
    </row>
    <row r="11" spans="1:23" x14ac:dyDescent="0.2">
      <c r="A11" s="2"/>
      <c r="B11" s="28"/>
      <c r="C11" s="28"/>
      <c r="D11" s="28"/>
      <c r="E11" s="28"/>
      <c r="F11" s="28"/>
      <c r="G11" s="28"/>
      <c r="H11" s="28"/>
      <c r="I11" s="28"/>
      <c r="J11" s="29"/>
      <c r="M11" s="57">
        <f>O5</f>
        <v>0.39312080536912752</v>
      </c>
      <c r="O11" s="58">
        <f>E7</f>
        <v>59600</v>
      </c>
      <c r="R11" s="59">
        <v>0</v>
      </c>
      <c r="S11" s="38">
        <v>1</v>
      </c>
      <c r="T11" s="34">
        <v>0</v>
      </c>
      <c r="V11" s="60" t="s">
        <v>113</v>
      </c>
      <c r="W11" s="5"/>
    </row>
    <row r="12" spans="1:23" x14ac:dyDescent="0.2">
      <c r="A12" s="2"/>
      <c r="B12" s="39" t="s">
        <v>154</v>
      </c>
      <c r="C12" s="28"/>
      <c r="D12" s="28"/>
      <c r="E12" s="28"/>
      <c r="F12" s="28"/>
      <c r="G12" s="28"/>
      <c r="H12" s="28"/>
      <c r="I12" s="28"/>
      <c r="J12" s="29"/>
      <c r="L12" s="14" t="s">
        <v>109</v>
      </c>
      <c r="M12" s="57">
        <f>P5</f>
        <v>0.1901722269059376</v>
      </c>
      <c r="N12" s="14" t="s">
        <v>110</v>
      </c>
      <c r="O12" s="58">
        <f>F7</f>
        <v>83030</v>
      </c>
      <c r="Q12" s="14" t="s">
        <v>111</v>
      </c>
      <c r="R12" s="59">
        <v>0</v>
      </c>
      <c r="S12" s="38">
        <v>0</v>
      </c>
      <c r="T12" s="34">
        <v>1</v>
      </c>
      <c r="U12" s="14" t="s">
        <v>112</v>
      </c>
      <c r="V12" s="61" t="s">
        <v>114</v>
      </c>
      <c r="W12" s="5"/>
    </row>
    <row r="13" spans="1:23" x14ac:dyDescent="0.2">
      <c r="A13" s="2"/>
      <c r="B13" s="28"/>
      <c r="C13" s="28"/>
      <c r="D13" s="28"/>
      <c r="E13" s="28"/>
      <c r="F13" s="28"/>
      <c r="G13" s="28"/>
      <c r="H13" s="28"/>
      <c r="I13" s="28"/>
      <c r="J13" s="29"/>
      <c r="M13" s="57">
        <f>N6</f>
        <v>1.532690695725063</v>
      </c>
      <c r="O13" s="58">
        <f>D8</f>
        <v>23860</v>
      </c>
      <c r="R13" s="59">
        <v>1</v>
      </c>
      <c r="S13" s="38">
        <v>0</v>
      </c>
      <c r="T13" s="34">
        <v>0</v>
      </c>
      <c r="V13" s="62" t="s">
        <v>115</v>
      </c>
      <c r="W13" s="5"/>
    </row>
    <row r="14" spans="1:23" x14ac:dyDescent="0.2">
      <c r="A14" s="2"/>
      <c r="B14" s="28"/>
      <c r="C14" s="28"/>
      <c r="D14" s="28"/>
      <c r="E14" s="28"/>
      <c r="F14" s="28"/>
      <c r="G14" s="28"/>
      <c r="H14" s="28"/>
      <c r="I14" s="28"/>
      <c r="J14" s="29"/>
      <c r="M14" s="57">
        <f>O6</f>
        <v>0.4231342048651332</v>
      </c>
      <c r="O14" s="58">
        <f>E8</f>
        <v>60430</v>
      </c>
      <c r="R14" s="59">
        <v>0</v>
      </c>
      <c r="S14" s="38">
        <v>1</v>
      </c>
      <c r="T14" s="34">
        <v>0</v>
      </c>
      <c r="W14" s="5"/>
    </row>
    <row r="15" spans="1:23" x14ac:dyDescent="0.2">
      <c r="A15" s="28" t="s">
        <v>0</v>
      </c>
      <c r="B15" s="28" t="s">
        <v>16</v>
      </c>
      <c r="C15" s="28"/>
      <c r="D15" s="28"/>
      <c r="E15" s="28"/>
      <c r="F15" s="28"/>
      <c r="G15" s="28"/>
      <c r="H15" s="28"/>
      <c r="I15" s="28"/>
      <c r="J15" s="29"/>
      <c r="M15" s="63">
        <f>N7</f>
        <v>1.762934362934363</v>
      </c>
      <c r="O15" s="64">
        <f>D9</f>
        <v>25900</v>
      </c>
      <c r="R15" s="65">
        <v>1</v>
      </c>
      <c r="S15" s="33">
        <v>0</v>
      </c>
      <c r="T15" s="40">
        <v>0</v>
      </c>
      <c r="W15" s="5"/>
    </row>
    <row r="16" spans="1:23" x14ac:dyDescent="0.2">
      <c r="A16" s="2"/>
      <c r="B16" s="28"/>
      <c r="C16" s="28"/>
      <c r="D16" s="28"/>
      <c r="E16" s="28"/>
      <c r="F16" s="28"/>
      <c r="G16" s="28"/>
      <c r="H16" s="28"/>
      <c r="I16" s="28"/>
      <c r="J16" s="29"/>
      <c r="W16" s="5"/>
    </row>
    <row r="17" spans="1:24" x14ac:dyDescent="0.2">
      <c r="A17" s="28" t="s">
        <v>1</v>
      </c>
      <c r="B17" s="28" t="s">
        <v>17</v>
      </c>
      <c r="C17" s="28"/>
      <c r="D17" s="28"/>
      <c r="E17" s="28"/>
      <c r="F17" s="28"/>
      <c r="G17" s="28"/>
      <c r="H17" s="28"/>
      <c r="I17" s="28"/>
      <c r="J17" s="29"/>
      <c r="M17" s="30" t="s">
        <v>116</v>
      </c>
      <c r="O17" s="30" t="s">
        <v>119</v>
      </c>
      <c r="W17" s="5"/>
    </row>
    <row r="18" spans="1:24" x14ac:dyDescent="0.2">
      <c r="A18" s="2"/>
      <c r="B18" s="28"/>
      <c r="C18" s="28"/>
      <c r="D18" s="28"/>
      <c r="E18" s="28"/>
      <c r="F18" s="28"/>
      <c r="G18" s="28"/>
      <c r="H18" s="28"/>
      <c r="I18" s="28"/>
      <c r="J18" s="29"/>
      <c r="M18" s="30" t="s">
        <v>117</v>
      </c>
      <c r="W18" s="5"/>
    </row>
    <row r="19" spans="1:24" x14ac:dyDescent="0.2">
      <c r="A19" s="28" t="s">
        <v>2</v>
      </c>
      <c r="B19" s="28" t="s">
        <v>18</v>
      </c>
      <c r="C19" s="28"/>
      <c r="D19" s="28"/>
      <c r="E19" s="28"/>
      <c r="F19" s="28"/>
      <c r="G19" s="28"/>
      <c r="H19" s="28"/>
      <c r="I19" s="28"/>
      <c r="J19" s="29"/>
      <c r="W19" s="5"/>
    </row>
    <row r="20" spans="1:24" x14ac:dyDescent="0.2">
      <c r="A20" s="2"/>
      <c r="B20" s="28"/>
      <c r="C20" s="28"/>
      <c r="D20" s="28"/>
      <c r="E20" s="28"/>
      <c r="F20" s="28"/>
      <c r="G20" s="28"/>
      <c r="H20" s="28"/>
      <c r="I20" s="28"/>
      <c r="J20" s="29"/>
      <c r="M20" s="30" t="s">
        <v>118</v>
      </c>
      <c r="W20" s="5"/>
    </row>
    <row r="21" spans="1:24" ht="17" thickBot="1" x14ac:dyDescent="0.25">
      <c r="A21" s="2"/>
      <c r="B21" s="28"/>
      <c r="C21" s="28"/>
      <c r="D21" s="28"/>
      <c r="E21" s="28"/>
      <c r="F21" s="28"/>
      <c r="G21" s="28"/>
      <c r="H21" s="28"/>
      <c r="I21" s="28"/>
      <c r="J21" s="29"/>
      <c r="W21" s="5"/>
    </row>
    <row r="22" spans="1:24" ht="17" thickBot="1" x14ac:dyDescent="0.25">
      <c r="A22" s="402" t="s">
        <v>145</v>
      </c>
      <c r="B22" s="403"/>
      <c r="C22" s="403"/>
      <c r="D22" s="403"/>
      <c r="E22" s="403"/>
      <c r="F22" s="403"/>
      <c r="G22" s="403"/>
      <c r="H22" s="403"/>
      <c r="I22" s="403"/>
      <c r="J22" s="404"/>
      <c r="L22" s="8" t="s">
        <v>4</v>
      </c>
      <c r="N22" s="31"/>
    </row>
    <row r="24" spans="1:24" ht="19" x14ac:dyDescent="0.25">
      <c r="A24" s="3"/>
      <c r="M24" s="53">
        <f>D7</f>
        <v>22650</v>
      </c>
      <c r="O24" s="66">
        <v>1</v>
      </c>
      <c r="P24" s="55">
        <v>0</v>
      </c>
      <c r="Q24" s="55">
        <v>0</v>
      </c>
      <c r="R24" s="55">
        <v>0</v>
      </c>
      <c r="S24" s="55">
        <v>1</v>
      </c>
      <c r="T24" s="55">
        <v>0</v>
      </c>
      <c r="U24" s="55">
        <v>0</v>
      </c>
      <c r="V24" s="56">
        <v>0</v>
      </c>
      <c r="X24" s="60" t="s">
        <v>120</v>
      </c>
    </row>
    <row r="25" spans="1:24" x14ac:dyDescent="0.2">
      <c r="M25" s="58">
        <f>E7-D7</f>
        <v>36950</v>
      </c>
      <c r="O25" s="67">
        <v>1</v>
      </c>
      <c r="P25" s="38">
        <v>0</v>
      </c>
      <c r="Q25" s="38">
        <v>0</v>
      </c>
      <c r="R25" s="38">
        <v>0</v>
      </c>
      <c r="S25" s="38">
        <v>0</v>
      </c>
      <c r="T25" s="38">
        <v>1</v>
      </c>
      <c r="U25" s="38">
        <v>0</v>
      </c>
      <c r="V25" s="34">
        <v>0</v>
      </c>
      <c r="X25" s="61" t="s">
        <v>122</v>
      </c>
    </row>
    <row r="26" spans="1:24" x14ac:dyDescent="0.2">
      <c r="M26" s="58">
        <f>F7-E7</f>
        <v>23430</v>
      </c>
      <c r="O26" s="67">
        <v>1</v>
      </c>
      <c r="P26" s="38">
        <v>0</v>
      </c>
      <c r="Q26" s="38">
        <v>0</v>
      </c>
      <c r="R26" s="38">
        <v>0</v>
      </c>
      <c r="S26" s="38">
        <v>0</v>
      </c>
      <c r="T26" s="38">
        <v>0</v>
      </c>
      <c r="U26" s="38">
        <v>1</v>
      </c>
      <c r="V26" s="34">
        <v>0</v>
      </c>
      <c r="X26" s="61" t="s">
        <v>123</v>
      </c>
    </row>
    <row r="27" spans="1:24" x14ac:dyDescent="0.2">
      <c r="M27" s="58">
        <f>G7-F7</f>
        <v>15790</v>
      </c>
      <c r="O27" s="67">
        <v>1</v>
      </c>
      <c r="P27" s="38">
        <v>0</v>
      </c>
      <c r="Q27" s="38">
        <v>0</v>
      </c>
      <c r="R27" s="38">
        <v>0</v>
      </c>
      <c r="S27" s="38">
        <v>0</v>
      </c>
      <c r="T27" s="38">
        <v>0</v>
      </c>
      <c r="U27" s="38">
        <v>0</v>
      </c>
      <c r="V27" s="34">
        <v>1</v>
      </c>
      <c r="W27" s="14" t="s">
        <v>112</v>
      </c>
      <c r="X27" s="61" t="s">
        <v>124</v>
      </c>
    </row>
    <row r="28" spans="1:24" x14ac:dyDescent="0.2">
      <c r="L28" s="14" t="s">
        <v>109</v>
      </c>
      <c r="M28" s="58">
        <f>D8</f>
        <v>23860</v>
      </c>
      <c r="N28" s="14" t="s">
        <v>111</v>
      </c>
      <c r="O28" s="67">
        <v>0</v>
      </c>
      <c r="P28" s="38">
        <v>1</v>
      </c>
      <c r="Q28" s="38">
        <v>0</v>
      </c>
      <c r="R28" s="38">
        <v>0</v>
      </c>
      <c r="S28" s="38">
        <v>1</v>
      </c>
      <c r="T28" s="38">
        <v>0</v>
      </c>
      <c r="U28" s="38">
        <v>0</v>
      </c>
      <c r="V28" s="34">
        <v>0</v>
      </c>
      <c r="X28" s="61" t="s">
        <v>121</v>
      </c>
    </row>
    <row r="29" spans="1:24" x14ac:dyDescent="0.2">
      <c r="M29" s="58">
        <f>E8-D8</f>
        <v>36570</v>
      </c>
      <c r="O29" s="67">
        <v>0</v>
      </c>
      <c r="P29" s="38">
        <v>1</v>
      </c>
      <c r="Q29" s="38">
        <v>0</v>
      </c>
      <c r="R29" s="38">
        <v>0</v>
      </c>
      <c r="S29" s="38">
        <v>0</v>
      </c>
      <c r="T29" s="38">
        <v>1</v>
      </c>
      <c r="U29" s="38">
        <v>0</v>
      </c>
      <c r="V29" s="34">
        <v>0</v>
      </c>
      <c r="X29" s="61" t="s">
        <v>125</v>
      </c>
    </row>
    <row r="30" spans="1:24" x14ac:dyDescent="0.2">
      <c r="M30" s="58">
        <f>F8-E8</f>
        <v>25570</v>
      </c>
      <c r="O30" s="67">
        <v>0</v>
      </c>
      <c r="P30" s="38">
        <v>1</v>
      </c>
      <c r="Q30" s="38">
        <v>0</v>
      </c>
      <c r="R30" s="38">
        <v>0</v>
      </c>
      <c r="S30" s="38">
        <v>0</v>
      </c>
      <c r="T30" s="38">
        <v>0</v>
      </c>
      <c r="U30" s="38">
        <v>1</v>
      </c>
      <c r="V30" s="34">
        <v>0</v>
      </c>
      <c r="X30" s="61" t="s">
        <v>126</v>
      </c>
    </row>
    <row r="31" spans="1:24" x14ac:dyDescent="0.2">
      <c r="M31" s="58">
        <f>D9</f>
        <v>25900</v>
      </c>
      <c r="O31" s="67">
        <v>0</v>
      </c>
      <c r="P31" s="38">
        <v>0</v>
      </c>
      <c r="Q31" s="38">
        <v>1</v>
      </c>
      <c r="R31" s="38">
        <v>0</v>
      </c>
      <c r="S31" s="38">
        <v>1</v>
      </c>
      <c r="T31" s="38">
        <v>0</v>
      </c>
      <c r="U31" s="38">
        <v>0</v>
      </c>
      <c r="V31" s="34">
        <v>0</v>
      </c>
      <c r="X31" s="62" t="s">
        <v>127</v>
      </c>
    </row>
    <row r="32" spans="1:24" x14ac:dyDescent="0.2">
      <c r="M32" s="58">
        <f>E9-D9</f>
        <v>45660</v>
      </c>
      <c r="O32" s="67">
        <v>0</v>
      </c>
      <c r="P32" s="38">
        <v>0</v>
      </c>
      <c r="Q32" s="38">
        <v>1</v>
      </c>
      <c r="R32" s="38">
        <v>0</v>
      </c>
      <c r="S32" s="38">
        <v>0</v>
      </c>
      <c r="T32" s="38">
        <v>1</v>
      </c>
      <c r="U32" s="38">
        <v>0</v>
      </c>
      <c r="V32" s="34">
        <v>0</v>
      </c>
    </row>
    <row r="33" spans="12:25" x14ac:dyDescent="0.2">
      <c r="M33" s="64">
        <f>D10</f>
        <v>23560</v>
      </c>
      <c r="O33" s="68">
        <v>0</v>
      </c>
      <c r="P33" s="33">
        <v>0</v>
      </c>
      <c r="Q33" s="33">
        <v>0</v>
      </c>
      <c r="R33" s="33">
        <v>1</v>
      </c>
      <c r="S33" s="33">
        <v>1</v>
      </c>
      <c r="T33" s="33">
        <v>0</v>
      </c>
      <c r="U33" s="33">
        <v>0</v>
      </c>
      <c r="V33" s="40">
        <v>0</v>
      </c>
    </row>
    <row r="36" spans="12:25" x14ac:dyDescent="0.2">
      <c r="M36" s="30" t="s">
        <v>128</v>
      </c>
    </row>
    <row r="37" spans="12:25" x14ac:dyDescent="0.2">
      <c r="M37" s="30" t="s">
        <v>129</v>
      </c>
    </row>
    <row r="39" spans="12:25" x14ac:dyDescent="0.2">
      <c r="M39" s="30" t="s">
        <v>130</v>
      </c>
    </row>
    <row r="42" spans="12:25" x14ac:dyDescent="0.2">
      <c r="L42" s="8" t="s">
        <v>5</v>
      </c>
      <c r="N42" s="31"/>
    </row>
    <row r="43" spans="12:25" x14ac:dyDescent="0.2">
      <c r="M43" s="8" t="s">
        <v>106</v>
      </c>
      <c r="X43" s="31"/>
    </row>
    <row r="44" spans="12:25" x14ac:dyDescent="0.2">
      <c r="M44" s="43" t="s">
        <v>152</v>
      </c>
      <c r="W44" s="5"/>
      <c r="X44" s="5"/>
      <c r="Y44" s="5"/>
    </row>
    <row r="45" spans="12:25" x14ac:dyDescent="0.2">
      <c r="W45" s="5"/>
      <c r="X45" s="5"/>
      <c r="Y45" s="5"/>
    </row>
    <row r="46" spans="12:25" x14ac:dyDescent="0.2">
      <c r="M46" s="8" t="s">
        <v>107</v>
      </c>
      <c r="W46" s="5"/>
      <c r="X46" s="5"/>
      <c r="Y46" s="5"/>
    </row>
    <row r="47" spans="12:25" x14ac:dyDescent="0.2">
      <c r="M47" s="43" t="s">
        <v>153</v>
      </c>
      <c r="W47" s="5"/>
      <c r="X47" s="5"/>
      <c r="Y47" s="5"/>
    </row>
    <row r="49" spans="12:12" ht="19" x14ac:dyDescent="0.25">
      <c r="L49" s="3" t="s">
        <v>180</v>
      </c>
    </row>
    <row r="50" spans="12:12" x14ac:dyDescent="0.2">
      <c r="L50" s="69" t="s">
        <v>178</v>
      </c>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31"/>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M89" s="31"/>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M99" s="31"/>
    </row>
    <row r="100" spans="1:65" x14ac:dyDescent="0.2">
      <c r="L100" s="5"/>
      <c r="M100" s="5"/>
      <c r="N100" s="5"/>
    </row>
    <row r="101" spans="1:65" x14ac:dyDescent="0.2">
      <c r="L101" s="5"/>
      <c r="M101" s="5"/>
      <c r="N101" s="5"/>
    </row>
    <row r="102" spans="1:65" x14ac:dyDescent="0.2">
      <c r="L102" s="5"/>
      <c r="M102" s="5"/>
      <c r="N102" s="5"/>
    </row>
    <row r="103" spans="1:65" x14ac:dyDescent="0.2">
      <c r="L103" s="5"/>
      <c r="M103" s="5"/>
      <c r="N103" s="5"/>
    </row>
    <row r="104" spans="1:65" x14ac:dyDescent="0.2">
      <c r="L104" s="5"/>
      <c r="M104" s="5"/>
      <c r="N104" s="5"/>
    </row>
    <row r="105" spans="1:65" x14ac:dyDescent="0.2">
      <c r="L105" s="5"/>
      <c r="M105" s="5"/>
      <c r="N105" s="5"/>
    </row>
    <row r="106" spans="1:65" x14ac:dyDescent="0.2">
      <c r="L106" s="5"/>
      <c r="M106" s="5"/>
      <c r="N106" s="5"/>
    </row>
    <row r="107" spans="1:65" x14ac:dyDescent="0.2">
      <c r="A107" s="5"/>
      <c r="B107" s="5"/>
      <c r="C107" s="5"/>
      <c r="D107" s="5"/>
      <c r="E107" s="5"/>
      <c r="F107" s="5"/>
      <c r="G107" s="5"/>
      <c r="H107" s="5"/>
      <c r="I107" s="5"/>
      <c r="J107" s="5"/>
      <c r="L107" s="5"/>
      <c r="M107" s="5"/>
      <c r="N107" s="5"/>
    </row>
    <row r="108" spans="1:65" x14ac:dyDescent="0.2">
      <c r="A108" s="5"/>
      <c r="B108" s="5"/>
      <c r="C108" s="5"/>
      <c r="D108" s="5"/>
      <c r="E108" s="5"/>
      <c r="F108" s="5"/>
      <c r="G108" s="5"/>
      <c r="H108" s="5"/>
      <c r="I108" s="5"/>
      <c r="J108" s="5"/>
      <c r="L108" s="5"/>
      <c r="M108" s="5"/>
      <c r="N108" s="5"/>
    </row>
    <row r="109" spans="1:65" x14ac:dyDescent="0.2">
      <c r="A109" s="5"/>
      <c r="B109" s="5"/>
      <c r="C109" s="5"/>
      <c r="D109" s="5"/>
      <c r="E109" s="5"/>
      <c r="F109" s="5"/>
      <c r="G109" s="5"/>
      <c r="H109" s="5"/>
      <c r="I109" s="5"/>
      <c r="J109" s="5"/>
      <c r="M109" s="31"/>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row r="209" spans="11:65" x14ac:dyDescent="0.2">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row>
    <row r="210" spans="11:65" x14ac:dyDescent="0.2">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1:65" x14ac:dyDescent="0.2">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sheetData>
  <mergeCells count="2">
    <mergeCell ref="C5:G5"/>
    <mergeCell ref="A22:J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sheetPr codeName="Sheet4"/>
  <dimension ref="A1:BL199"/>
  <sheetViews>
    <sheetView zoomScaleNormal="100" workbookViewId="0"/>
  </sheetViews>
  <sheetFormatPr baseColWidth="10" defaultColWidth="10.83203125" defaultRowHeight="16" outlineLevelCol="1" x14ac:dyDescent="0.2"/>
  <cols>
    <col min="1" max="1" width="4.6640625" style="44" customWidth="1"/>
    <col min="2" max="3" width="11.83203125" style="44" customWidth="1"/>
    <col min="4" max="10" width="10.83203125" style="44" customWidth="1"/>
    <col min="11" max="11" width="11.5" style="44" bestFit="1" customWidth="1"/>
    <col min="12" max="19" width="10.83203125" style="44" hidden="1" customWidth="1" outlineLevel="1"/>
    <col min="20" max="20" width="10.83203125" style="44" collapsed="1"/>
    <col min="21" max="16384" width="10.83203125" style="44"/>
  </cols>
  <sheetData>
    <row r="1" spans="1:17" ht="19" x14ac:dyDescent="0.25">
      <c r="A1" s="1" t="s">
        <v>168</v>
      </c>
      <c r="B1" s="16"/>
      <c r="C1" s="27"/>
      <c r="D1" s="27"/>
      <c r="E1" s="27"/>
      <c r="F1" s="49"/>
      <c r="G1" s="49"/>
      <c r="H1" s="49"/>
      <c r="I1" s="49"/>
      <c r="J1" s="50"/>
      <c r="K1" s="18" t="s">
        <v>146</v>
      </c>
    </row>
    <row r="2" spans="1:17" x14ac:dyDescent="0.2">
      <c r="A2" s="20"/>
      <c r="B2" s="49"/>
      <c r="C2" s="49"/>
      <c r="D2" s="49"/>
      <c r="E2" s="49"/>
      <c r="F2" s="49"/>
      <c r="G2" s="49"/>
      <c r="H2" s="49"/>
      <c r="I2" s="49"/>
      <c r="J2" s="50"/>
      <c r="L2" s="17" t="s">
        <v>3</v>
      </c>
      <c r="N2" s="45"/>
      <c r="P2" s="389" t="s">
        <v>87</v>
      </c>
      <c r="Q2" s="389"/>
    </row>
    <row r="3" spans="1:17" x14ac:dyDescent="0.2">
      <c r="A3" s="20"/>
      <c r="B3" s="49" t="s">
        <v>19</v>
      </c>
      <c r="C3" s="49"/>
      <c r="D3" s="49"/>
      <c r="E3" s="49"/>
      <c r="F3" s="49"/>
      <c r="G3" s="49"/>
      <c r="H3" s="49"/>
      <c r="I3" s="49"/>
      <c r="J3" s="50"/>
      <c r="M3" s="457" t="s">
        <v>84</v>
      </c>
      <c r="N3" s="458" t="s">
        <v>85</v>
      </c>
      <c r="O3" s="457" t="s">
        <v>86</v>
      </c>
      <c r="P3" s="458" t="s">
        <v>85</v>
      </c>
      <c r="Q3" s="458" t="s">
        <v>86</v>
      </c>
    </row>
    <row r="4" spans="1:17" x14ac:dyDescent="0.2">
      <c r="A4" s="20"/>
      <c r="B4" s="49" t="s">
        <v>20</v>
      </c>
      <c r="C4" s="49"/>
      <c r="D4" s="49"/>
      <c r="E4" s="49"/>
      <c r="F4" s="49"/>
      <c r="G4" s="49"/>
      <c r="H4" s="49"/>
      <c r="I4" s="49"/>
      <c r="J4" s="50"/>
      <c r="M4" s="459">
        <v>1</v>
      </c>
      <c r="N4" s="460">
        <f t="shared" ref="N4:O8" si="0">EXP(G19)</f>
        <v>23458.777244879475</v>
      </c>
      <c r="O4" s="461">
        <f t="shared" si="0"/>
        <v>1</v>
      </c>
      <c r="P4" s="460">
        <f>N4*$O$9</f>
        <v>105686.63315085466</v>
      </c>
      <c r="Q4" s="462">
        <f>O4/$O$9</f>
        <v>0.22196541365259462</v>
      </c>
    </row>
    <row r="5" spans="1:17" x14ac:dyDescent="0.2">
      <c r="A5" s="20"/>
      <c r="B5" s="49"/>
      <c r="C5" s="49"/>
      <c r="D5" s="49"/>
      <c r="E5" s="49"/>
      <c r="F5" s="49"/>
      <c r="G5" s="49"/>
      <c r="H5" s="49"/>
      <c r="I5" s="49"/>
      <c r="J5" s="50"/>
      <c r="M5" s="463">
        <v>2</v>
      </c>
      <c r="N5" s="464">
        <f t="shared" si="0"/>
        <v>23388.506372157066</v>
      </c>
      <c r="O5" s="465">
        <f t="shared" si="0"/>
        <v>1.6112334440542406</v>
      </c>
      <c r="P5" s="464">
        <f>N5*$O$9</f>
        <v>105370.0483660179</v>
      </c>
      <c r="Q5" s="466">
        <f>O5/$O$9</f>
        <v>0.35763809790039419</v>
      </c>
    </row>
    <row r="6" spans="1:17" x14ac:dyDescent="0.2">
      <c r="A6" s="20"/>
      <c r="B6" s="49"/>
      <c r="C6" s="390" t="s">
        <v>15</v>
      </c>
      <c r="D6" s="390"/>
      <c r="E6" s="390"/>
      <c r="F6" s="390"/>
      <c r="G6" s="390"/>
      <c r="H6" s="390"/>
      <c r="I6" s="49"/>
      <c r="J6" s="50"/>
      <c r="M6" s="463">
        <v>3</v>
      </c>
      <c r="N6" s="464">
        <f t="shared" si="0"/>
        <v>26502.649815153389</v>
      </c>
      <c r="O6" s="465">
        <f t="shared" si="0"/>
        <v>0.99401796405393528</v>
      </c>
      <c r="P6" s="464">
        <f>N6*$O$9</f>
        <v>119399.90730552985</v>
      </c>
      <c r="Q6" s="466">
        <f>O6/$O$9</f>
        <v>0.22063760856934167</v>
      </c>
    </row>
    <row r="7" spans="1:17" ht="34" x14ac:dyDescent="0.2">
      <c r="A7" s="20"/>
      <c r="B7" s="49"/>
      <c r="C7" s="23" t="s">
        <v>21</v>
      </c>
      <c r="D7" s="22">
        <v>1</v>
      </c>
      <c r="E7" s="22">
        <v>2</v>
      </c>
      <c r="F7" s="22">
        <v>3</v>
      </c>
      <c r="G7" s="22">
        <v>4</v>
      </c>
      <c r="H7" s="22">
        <v>5</v>
      </c>
      <c r="I7" s="49"/>
      <c r="J7" s="50"/>
      <c r="M7" s="463">
        <v>4</v>
      </c>
      <c r="N7" s="464">
        <f t="shared" si="0"/>
        <v>22606.663795359749</v>
      </c>
      <c r="O7" s="465">
        <f t="shared" si="0"/>
        <v>0.61201407400134988</v>
      </c>
      <c r="P7" s="464">
        <f>N7*$O$9</f>
        <v>101847.6861928687</v>
      </c>
      <c r="Q7" s="466">
        <f>O7/$O$9</f>
        <v>0.1358459570969193</v>
      </c>
    </row>
    <row r="8" spans="1:17" x14ac:dyDescent="0.2">
      <c r="A8" s="20"/>
      <c r="B8" s="49"/>
      <c r="C8" s="24">
        <v>1</v>
      </c>
      <c r="D8" s="6">
        <v>22660</v>
      </c>
      <c r="E8" s="6">
        <v>59650</v>
      </c>
      <c r="F8" s="6">
        <v>83010</v>
      </c>
      <c r="G8" s="6">
        <v>98890</v>
      </c>
      <c r="H8" s="6">
        <v>105640</v>
      </c>
      <c r="I8" s="49"/>
      <c r="J8" s="50"/>
      <c r="M8" s="467">
        <v>5</v>
      </c>
      <c r="N8" s="468">
        <f t="shared" si="0"/>
        <v>27092.169045537168</v>
      </c>
      <c r="O8" s="469">
        <f t="shared" si="0"/>
        <v>0.28794090813077022</v>
      </c>
      <c r="P8" s="468">
        <f>N8*$O$9</f>
        <v>122055.8131094244</v>
      </c>
      <c r="Q8" s="470">
        <f>O8/$O$9</f>
        <v>6.3912922780750156E-2</v>
      </c>
    </row>
    <row r="9" spans="1:17" x14ac:dyDescent="0.2">
      <c r="A9" s="20"/>
      <c r="B9" s="49"/>
      <c r="C9" s="24">
        <v>2</v>
      </c>
      <c r="D9" s="6">
        <v>23980</v>
      </c>
      <c r="E9" s="6">
        <v>60390</v>
      </c>
      <c r="F9" s="6">
        <v>85880</v>
      </c>
      <c r="G9" s="6">
        <v>98670</v>
      </c>
      <c r="H9" s="7"/>
      <c r="I9" s="49"/>
      <c r="J9" s="50"/>
      <c r="M9" s="11"/>
      <c r="N9" s="9"/>
      <c r="O9" s="82">
        <f>SUM(O4:O8)</f>
        <v>4.5052063902402963</v>
      </c>
      <c r="P9" s="9"/>
      <c r="Q9" s="13">
        <f>SUM(Q4:Q8)</f>
        <v>0.99999999999999989</v>
      </c>
    </row>
    <row r="10" spans="1:17" x14ac:dyDescent="0.2">
      <c r="A10" s="20"/>
      <c r="B10" s="49"/>
      <c r="C10" s="24">
        <v>3</v>
      </c>
      <c r="D10" s="6">
        <v>25900</v>
      </c>
      <c r="E10" s="6">
        <v>71480</v>
      </c>
      <c r="F10" s="6">
        <v>95550</v>
      </c>
      <c r="G10" s="7"/>
      <c r="H10" s="7"/>
      <c r="I10" s="49"/>
      <c r="J10" s="50"/>
    </row>
    <row r="11" spans="1:17" x14ac:dyDescent="0.2">
      <c r="A11" s="20"/>
      <c r="B11" s="49"/>
      <c r="C11" s="24">
        <v>4</v>
      </c>
      <c r="D11" s="6">
        <v>23430</v>
      </c>
      <c r="E11" s="6">
        <v>59050</v>
      </c>
      <c r="F11" s="7"/>
      <c r="G11" s="7"/>
      <c r="H11" s="7"/>
      <c r="I11" s="49"/>
      <c r="J11" s="50"/>
      <c r="L11" s="17" t="s">
        <v>4</v>
      </c>
      <c r="N11" s="45"/>
    </row>
    <row r="12" spans="1:17" x14ac:dyDescent="0.2">
      <c r="A12" s="20"/>
      <c r="B12" s="49"/>
      <c r="C12" s="24">
        <v>5</v>
      </c>
      <c r="D12" s="6">
        <v>27100</v>
      </c>
      <c r="E12" s="7"/>
      <c r="F12" s="7"/>
      <c r="G12" s="7"/>
      <c r="H12" s="7"/>
      <c r="I12" s="49"/>
      <c r="J12" s="50"/>
      <c r="M12" s="17" t="s">
        <v>88</v>
      </c>
    </row>
    <row r="13" spans="1:17" ht="17" thickBot="1" x14ac:dyDescent="0.25">
      <c r="A13" s="20"/>
      <c r="B13" s="49"/>
      <c r="C13" s="49"/>
      <c r="D13" s="49"/>
      <c r="E13" s="49"/>
      <c r="F13" s="49"/>
      <c r="G13" s="49"/>
      <c r="H13" s="49"/>
      <c r="I13" s="49"/>
      <c r="J13" s="50"/>
      <c r="M13" s="44" t="s">
        <v>91</v>
      </c>
      <c r="N13" s="46">
        <f>F10*(1+D21)*(1+D22)</f>
        <v>119408.580837</v>
      </c>
    </row>
    <row r="14" spans="1:17" ht="17" thickBot="1" x14ac:dyDescent="0.25">
      <c r="A14" s="20"/>
      <c r="B14" s="49" t="s">
        <v>22</v>
      </c>
      <c r="C14" s="49"/>
      <c r="D14" s="49"/>
      <c r="E14" s="49"/>
      <c r="F14" s="49"/>
      <c r="G14" s="49"/>
      <c r="H14" s="49"/>
      <c r="I14" s="49"/>
      <c r="J14" s="50"/>
      <c r="M14" s="73" t="s">
        <v>92</v>
      </c>
      <c r="N14" s="75">
        <f>N13-F10</f>
        <v>23858.580837000001</v>
      </c>
    </row>
    <row r="15" spans="1:17" x14ac:dyDescent="0.2">
      <c r="A15" s="20"/>
      <c r="B15" s="49"/>
      <c r="C15" s="49"/>
      <c r="D15" s="49"/>
      <c r="E15" s="49"/>
      <c r="F15" s="49"/>
      <c r="G15" s="49"/>
      <c r="H15" s="49"/>
      <c r="I15" s="49"/>
      <c r="J15" s="50"/>
    </row>
    <row r="16" spans="1:17" ht="17" thickBot="1" x14ac:dyDescent="0.25">
      <c r="A16" s="20"/>
      <c r="B16" s="49"/>
      <c r="C16" s="396" t="s">
        <v>24</v>
      </c>
      <c r="D16" s="396"/>
      <c r="E16" s="49"/>
      <c r="F16" s="396" t="s">
        <v>25</v>
      </c>
      <c r="G16" s="396"/>
      <c r="H16" s="396"/>
      <c r="I16" s="49"/>
      <c r="J16" s="50"/>
      <c r="M16" s="17" t="s">
        <v>89</v>
      </c>
    </row>
    <row r="17" spans="1:19" ht="17" thickBot="1" x14ac:dyDescent="0.25">
      <c r="A17" s="20"/>
      <c r="B17" s="49"/>
      <c r="C17" s="396"/>
      <c r="D17" s="396"/>
      <c r="E17" s="49"/>
      <c r="F17" s="396"/>
      <c r="G17" s="396"/>
      <c r="H17" s="396"/>
      <c r="I17" s="49"/>
      <c r="J17" s="50"/>
      <c r="M17" s="73" t="s">
        <v>92</v>
      </c>
      <c r="N17" s="75">
        <f>P6*SUM(Q7:Q8)</f>
        <v>23851.191740850201</v>
      </c>
    </row>
    <row r="18" spans="1:19" ht="20" customHeight="1" x14ac:dyDescent="0.2">
      <c r="A18" s="20"/>
      <c r="B18" s="49"/>
      <c r="C18" s="23" t="s">
        <v>23</v>
      </c>
      <c r="D18" s="22" t="s">
        <v>181</v>
      </c>
      <c r="E18" s="49"/>
      <c r="F18" s="23" t="s">
        <v>84</v>
      </c>
      <c r="G18" s="22" t="s">
        <v>26</v>
      </c>
      <c r="H18" s="22" t="s">
        <v>27</v>
      </c>
      <c r="I18" s="49"/>
      <c r="J18" s="50"/>
    </row>
    <row r="19" spans="1:19" x14ac:dyDescent="0.2">
      <c r="A19" s="20"/>
      <c r="B19" s="49"/>
      <c r="C19" s="24">
        <v>1</v>
      </c>
      <c r="D19" s="7">
        <v>1.6109</v>
      </c>
      <c r="E19" s="49"/>
      <c r="F19" s="24">
        <v>1</v>
      </c>
      <c r="G19" s="456">
        <v>10.063000000000001</v>
      </c>
      <c r="H19" s="456">
        <v>0</v>
      </c>
      <c r="I19" s="49"/>
      <c r="J19" s="50"/>
    </row>
    <row r="20" spans="1:19" x14ac:dyDescent="0.2">
      <c r="A20" s="20"/>
      <c r="B20" s="49"/>
      <c r="C20" s="24">
        <v>2</v>
      </c>
      <c r="D20" s="7">
        <v>0.38069999999999998</v>
      </c>
      <c r="E20" s="49"/>
      <c r="F20" s="24">
        <v>2</v>
      </c>
      <c r="G20" s="456">
        <v>10.06</v>
      </c>
      <c r="H20" s="456">
        <v>0.47699999999999998</v>
      </c>
      <c r="I20" s="49"/>
      <c r="J20" s="50"/>
      <c r="M20" s="17" t="s">
        <v>90</v>
      </c>
    </row>
    <row r="21" spans="1:19" x14ac:dyDescent="0.2">
      <c r="A21" s="20"/>
      <c r="B21" s="49"/>
      <c r="C21" s="24">
        <v>3</v>
      </c>
      <c r="D21" s="7">
        <v>0.16980000000000001</v>
      </c>
      <c r="E21" s="49"/>
      <c r="F21" s="24">
        <v>3</v>
      </c>
      <c r="G21" s="456">
        <v>10.185</v>
      </c>
      <c r="H21" s="456">
        <v>-6.0000000000000001E-3</v>
      </c>
      <c r="I21" s="49"/>
      <c r="J21" s="50"/>
      <c r="M21" s="44" t="s">
        <v>93</v>
      </c>
      <c r="N21" s="45">
        <f>SUM(G8:G9)/SUM(F8:F9)</f>
        <v>1.1697554621351176</v>
      </c>
    </row>
    <row r="22" spans="1:19" x14ac:dyDescent="0.2">
      <c r="A22" s="20"/>
      <c r="B22" s="49"/>
      <c r="C22" s="24">
        <v>4</v>
      </c>
      <c r="D22" s="7">
        <v>6.83E-2</v>
      </c>
      <c r="E22" s="49"/>
      <c r="F22" s="24">
        <v>4</v>
      </c>
      <c r="G22" s="456">
        <v>10.026</v>
      </c>
      <c r="H22" s="456">
        <v>-0.49099999999999999</v>
      </c>
      <c r="I22" s="49"/>
      <c r="J22" s="50"/>
      <c r="L22" s="17"/>
      <c r="M22" s="44" t="s">
        <v>94</v>
      </c>
      <c r="N22" s="45">
        <f>H8/G8</f>
        <v>1.0682576600262919</v>
      </c>
    </row>
    <row r="23" spans="1:19" ht="17" thickBot="1" x14ac:dyDescent="0.25">
      <c r="A23" s="20"/>
      <c r="B23" s="49"/>
      <c r="C23" s="49"/>
      <c r="D23" s="49"/>
      <c r="E23" s="49"/>
      <c r="F23" s="24">
        <v>5</v>
      </c>
      <c r="G23" s="456">
        <v>10.207000000000001</v>
      </c>
      <c r="H23" s="456">
        <v>-1.2450000000000001</v>
      </c>
      <c r="I23" s="49"/>
      <c r="J23" s="50"/>
    </row>
    <row r="24" spans="1:19" ht="17" thickBot="1" x14ac:dyDescent="0.25">
      <c r="A24" s="20"/>
      <c r="B24" s="49"/>
      <c r="C24" s="49"/>
      <c r="D24" s="49"/>
      <c r="E24" s="49"/>
      <c r="F24" s="49"/>
      <c r="G24" s="49"/>
      <c r="H24" s="49"/>
      <c r="I24" s="49"/>
      <c r="J24" s="50"/>
      <c r="M24" s="73" t="s">
        <v>92</v>
      </c>
      <c r="N24" s="75">
        <f>F10*(N21*N22-1)</f>
        <v>23849.302242457154</v>
      </c>
    </row>
    <row r="25" spans="1:19" x14ac:dyDescent="0.2">
      <c r="A25" s="20"/>
      <c r="B25" s="51" t="s">
        <v>156</v>
      </c>
      <c r="C25" s="49"/>
      <c r="D25" s="49"/>
      <c r="E25" s="49"/>
      <c r="F25" s="49"/>
      <c r="G25" s="49"/>
      <c r="H25" s="49"/>
      <c r="I25" s="49"/>
      <c r="J25" s="50"/>
    </row>
    <row r="26" spans="1:19" x14ac:dyDescent="0.2">
      <c r="A26" s="20"/>
      <c r="B26" s="49"/>
      <c r="C26" s="49"/>
      <c r="D26" s="49"/>
      <c r="E26" s="49"/>
      <c r="F26" s="49"/>
      <c r="G26" s="49"/>
      <c r="H26" s="49"/>
      <c r="I26" s="49"/>
      <c r="J26" s="50"/>
    </row>
    <row r="27" spans="1:19" ht="19" x14ac:dyDescent="0.25">
      <c r="A27" s="49" t="s">
        <v>0</v>
      </c>
      <c r="B27" s="49" t="s">
        <v>28</v>
      </c>
      <c r="C27" s="49"/>
      <c r="D27" s="49"/>
      <c r="E27" s="49"/>
      <c r="F27" s="49"/>
      <c r="G27" s="49"/>
      <c r="H27" s="49"/>
      <c r="I27" s="49"/>
      <c r="J27" s="50"/>
      <c r="L27" s="3" t="s">
        <v>131</v>
      </c>
    </row>
    <row r="28" spans="1:19" x14ac:dyDescent="0.2">
      <c r="A28" s="20"/>
      <c r="B28" s="49"/>
      <c r="C28" s="49"/>
      <c r="D28" s="49"/>
      <c r="E28" s="49"/>
      <c r="F28" s="49"/>
      <c r="G28" s="49"/>
      <c r="H28" s="49"/>
      <c r="I28" s="49"/>
      <c r="J28" s="50"/>
      <c r="L28" s="394" t="s">
        <v>182</v>
      </c>
      <c r="M28" s="395"/>
      <c r="N28" s="395"/>
      <c r="O28" s="395"/>
      <c r="P28" s="395"/>
      <c r="Q28" s="395"/>
      <c r="R28" s="395"/>
      <c r="S28" s="395"/>
    </row>
    <row r="29" spans="1:19" x14ac:dyDescent="0.2">
      <c r="A29" s="49" t="s">
        <v>1</v>
      </c>
      <c r="B29" s="49" t="s">
        <v>29</v>
      </c>
      <c r="C29" s="49"/>
      <c r="D29" s="49"/>
      <c r="E29" s="49"/>
      <c r="F29" s="49"/>
      <c r="G29" s="49"/>
      <c r="H29" s="49"/>
      <c r="I29" s="49"/>
      <c r="J29" s="50"/>
      <c r="L29" s="395"/>
      <c r="M29" s="395"/>
      <c r="N29" s="395"/>
      <c r="O29" s="395"/>
      <c r="P29" s="395"/>
      <c r="Q29" s="395"/>
      <c r="R29" s="395"/>
      <c r="S29" s="395"/>
    </row>
    <row r="30" spans="1:19" x14ac:dyDescent="0.2">
      <c r="A30" s="20"/>
      <c r="B30" s="49" t="s">
        <v>30</v>
      </c>
      <c r="C30" s="49"/>
      <c r="D30" s="49"/>
      <c r="E30" s="49"/>
      <c r="F30" s="49"/>
      <c r="G30" s="49"/>
      <c r="H30" s="49"/>
      <c r="I30" s="49"/>
      <c r="J30" s="50"/>
    </row>
    <row r="31" spans="1:19" x14ac:dyDescent="0.2">
      <c r="A31" s="20"/>
      <c r="B31" s="49"/>
      <c r="C31" s="49"/>
      <c r="D31" s="49"/>
      <c r="E31" s="49"/>
      <c r="F31" s="49"/>
      <c r="G31" s="49"/>
      <c r="H31" s="49"/>
      <c r="I31" s="49"/>
      <c r="J31" s="50"/>
    </row>
    <row r="32" spans="1:19" ht="20" thickBot="1" x14ac:dyDescent="0.3">
      <c r="A32" s="20"/>
      <c r="B32" s="49"/>
      <c r="C32" s="49"/>
      <c r="D32" s="49"/>
      <c r="E32" s="49"/>
      <c r="F32" s="49"/>
      <c r="G32" s="49"/>
      <c r="H32" s="49"/>
      <c r="I32" s="49"/>
      <c r="J32" s="50"/>
      <c r="L32" s="3" t="s">
        <v>180</v>
      </c>
    </row>
    <row r="33" spans="1:12" ht="17" thickBot="1" x14ac:dyDescent="0.25">
      <c r="A33" s="391" t="s">
        <v>145</v>
      </c>
      <c r="B33" s="392"/>
      <c r="C33" s="392"/>
      <c r="D33" s="392"/>
      <c r="E33" s="392"/>
      <c r="F33" s="392"/>
      <c r="G33" s="392"/>
      <c r="H33" s="392"/>
      <c r="I33" s="392"/>
      <c r="J33" s="393"/>
      <c r="L33" s="71" t="s">
        <v>179</v>
      </c>
    </row>
    <row r="35" spans="1:12" ht="19" x14ac:dyDescent="0.2">
      <c r="A35" s="18"/>
    </row>
    <row r="37" spans="1:12" x14ac:dyDescent="0.2">
      <c r="L37" s="19"/>
    </row>
    <row r="38" spans="1:12" x14ac:dyDescent="0.2">
      <c r="L38" s="19"/>
    </row>
    <row r="39" spans="1:12" x14ac:dyDescent="0.2">
      <c r="L39" s="19"/>
    </row>
    <row r="40" spans="1:12" x14ac:dyDescent="0.2">
      <c r="L40" s="19"/>
    </row>
    <row r="41" spans="1:12" x14ac:dyDescent="0.2">
      <c r="L41" s="19"/>
    </row>
    <row r="42" spans="1:12" x14ac:dyDescent="0.2">
      <c r="L42" s="19"/>
    </row>
    <row r="43" spans="1:12" x14ac:dyDescent="0.2">
      <c r="L43" s="19"/>
    </row>
    <row r="44" spans="1:12" x14ac:dyDescent="0.2">
      <c r="L44" s="19"/>
    </row>
    <row r="57" spans="12:14" x14ac:dyDescent="0.2">
      <c r="M57" s="45"/>
    </row>
    <row r="58" spans="12:14" x14ac:dyDescent="0.2">
      <c r="L58" s="19"/>
      <c r="M58" s="19"/>
      <c r="N58" s="19"/>
    </row>
    <row r="59" spans="12:14" x14ac:dyDescent="0.2">
      <c r="L59" s="19"/>
      <c r="M59" s="19"/>
      <c r="N59" s="19"/>
    </row>
    <row r="60" spans="12:14" x14ac:dyDescent="0.2">
      <c r="L60" s="19"/>
      <c r="M60" s="19"/>
      <c r="N60" s="19"/>
    </row>
    <row r="61" spans="12:14" x14ac:dyDescent="0.2">
      <c r="L61" s="19"/>
      <c r="M61" s="19"/>
      <c r="N61" s="19"/>
    </row>
    <row r="62" spans="12:14" x14ac:dyDescent="0.2">
      <c r="L62" s="19"/>
      <c r="M62" s="19"/>
      <c r="N62" s="19"/>
    </row>
    <row r="63" spans="12:14" x14ac:dyDescent="0.2">
      <c r="L63" s="19"/>
      <c r="M63" s="19"/>
      <c r="N63" s="19"/>
    </row>
    <row r="64" spans="12:14" x14ac:dyDescent="0.2">
      <c r="L64" s="19"/>
      <c r="M64" s="19"/>
      <c r="N64" s="19"/>
    </row>
    <row r="65" spans="12:14" x14ac:dyDescent="0.2">
      <c r="L65" s="19"/>
      <c r="M65" s="19"/>
      <c r="N65" s="19"/>
    </row>
    <row r="66" spans="12:14" x14ac:dyDescent="0.2">
      <c r="L66" s="19"/>
      <c r="M66" s="19"/>
      <c r="N66" s="19"/>
    </row>
    <row r="67" spans="12:14" x14ac:dyDescent="0.2">
      <c r="M67" s="45"/>
    </row>
    <row r="68" spans="12:14" x14ac:dyDescent="0.2">
      <c r="L68" s="19"/>
      <c r="M68" s="19"/>
      <c r="N68" s="19"/>
    </row>
    <row r="69" spans="12:14" x14ac:dyDescent="0.2">
      <c r="L69" s="19"/>
      <c r="M69" s="19"/>
      <c r="N69" s="19"/>
    </row>
    <row r="70" spans="12:14" x14ac:dyDescent="0.2">
      <c r="L70" s="19"/>
      <c r="M70" s="19"/>
      <c r="N70" s="19"/>
    </row>
    <row r="71" spans="12:14" x14ac:dyDescent="0.2">
      <c r="L71" s="19"/>
      <c r="M71" s="19"/>
      <c r="N71" s="19"/>
    </row>
    <row r="72" spans="12:14" x14ac:dyDescent="0.2">
      <c r="L72" s="19"/>
      <c r="M72" s="19"/>
      <c r="N72" s="19"/>
    </row>
    <row r="73" spans="12:14" x14ac:dyDescent="0.2">
      <c r="L73" s="19"/>
      <c r="M73" s="19"/>
      <c r="N73" s="19"/>
    </row>
    <row r="74" spans="12:14" x14ac:dyDescent="0.2">
      <c r="L74" s="19"/>
      <c r="M74" s="19"/>
      <c r="N74" s="19"/>
    </row>
    <row r="75" spans="12:14" x14ac:dyDescent="0.2">
      <c r="L75" s="19"/>
      <c r="M75" s="19"/>
      <c r="N75" s="19"/>
    </row>
    <row r="76" spans="12:14" x14ac:dyDescent="0.2">
      <c r="L76" s="19"/>
      <c r="M76" s="19"/>
      <c r="N76" s="19"/>
    </row>
    <row r="77" spans="12:14" x14ac:dyDescent="0.2">
      <c r="M77" s="45"/>
    </row>
    <row r="78" spans="12:14" x14ac:dyDescent="0.2">
      <c r="L78" s="19"/>
      <c r="M78" s="19"/>
      <c r="N78" s="19"/>
    </row>
    <row r="79" spans="12:14" x14ac:dyDescent="0.2">
      <c r="L79" s="19"/>
      <c r="M79" s="19"/>
      <c r="N79" s="19"/>
    </row>
    <row r="80" spans="12:14" x14ac:dyDescent="0.2">
      <c r="L80" s="19"/>
      <c r="M80" s="19"/>
      <c r="N80" s="19"/>
    </row>
    <row r="81" spans="12:14" x14ac:dyDescent="0.2">
      <c r="L81" s="19"/>
      <c r="M81" s="19"/>
      <c r="N81" s="19"/>
    </row>
    <row r="82" spans="12:14" x14ac:dyDescent="0.2">
      <c r="L82" s="19"/>
      <c r="M82" s="19"/>
      <c r="N82" s="19"/>
    </row>
    <row r="83" spans="12:14" x14ac:dyDescent="0.2">
      <c r="L83" s="19"/>
      <c r="M83" s="19"/>
      <c r="N83" s="19"/>
    </row>
    <row r="84" spans="12:14" x14ac:dyDescent="0.2">
      <c r="L84" s="19"/>
      <c r="M84" s="19"/>
      <c r="N84" s="19"/>
    </row>
    <row r="85" spans="12:14" x14ac:dyDescent="0.2">
      <c r="L85" s="19"/>
      <c r="M85" s="19"/>
      <c r="N85" s="19"/>
    </row>
    <row r="86" spans="12:14" x14ac:dyDescent="0.2">
      <c r="L86" s="19"/>
      <c r="M86" s="19"/>
      <c r="N86" s="19"/>
    </row>
    <row r="87" spans="12:14" x14ac:dyDescent="0.2">
      <c r="M87" s="45"/>
    </row>
    <row r="88" spans="12:14" x14ac:dyDescent="0.2">
      <c r="L88" s="19"/>
      <c r="M88" s="19"/>
      <c r="N88" s="19"/>
    </row>
    <row r="89" spans="12:14" x14ac:dyDescent="0.2">
      <c r="L89" s="19"/>
      <c r="M89" s="19"/>
      <c r="N89" s="19"/>
    </row>
    <row r="90" spans="12:14" x14ac:dyDescent="0.2">
      <c r="L90" s="19"/>
      <c r="M90" s="19"/>
      <c r="N90" s="19"/>
    </row>
    <row r="91" spans="12:14" x14ac:dyDescent="0.2">
      <c r="L91" s="19"/>
      <c r="M91" s="19"/>
      <c r="N91" s="19"/>
    </row>
    <row r="92" spans="12:14" x14ac:dyDescent="0.2">
      <c r="L92" s="19"/>
      <c r="M92" s="19"/>
      <c r="N92" s="19"/>
    </row>
    <row r="93" spans="12:14" x14ac:dyDescent="0.2">
      <c r="L93" s="19"/>
      <c r="M93" s="19"/>
      <c r="N93" s="19"/>
    </row>
    <row r="94" spans="12:14" x14ac:dyDescent="0.2">
      <c r="L94" s="19"/>
      <c r="M94" s="19"/>
      <c r="N94" s="19"/>
    </row>
    <row r="95" spans="12:14" x14ac:dyDescent="0.2">
      <c r="L95" s="19"/>
      <c r="M95" s="19"/>
      <c r="N95" s="19"/>
    </row>
    <row r="96" spans="12:14" x14ac:dyDescent="0.2">
      <c r="L96" s="19"/>
      <c r="M96" s="19"/>
      <c r="N96" s="19"/>
    </row>
    <row r="97" spans="1:64" x14ac:dyDescent="0.2">
      <c r="M97" s="45"/>
    </row>
    <row r="98" spans="1:64" x14ac:dyDescent="0.2">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row>
    <row r="99" spans="1:64" x14ac:dyDescent="0.2">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row>
    <row r="100" spans="1:64" x14ac:dyDescent="0.2">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row>
    <row r="101" spans="1:64" x14ac:dyDescent="0.2">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row>
    <row r="102" spans="1:64" x14ac:dyDescent="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row>
    <row r="103" spans="1:64" x14ac:dyDescent="0.2">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row>
    <row r="104" spans="1:64" x14ac:dyDescent="0.2">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row>
    <row r="105" spans="1:64" x14ac:dyDescent="0.2">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row>
    <row r="106" spans="1:64" x14ac:dyDescent="0.2">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row>
    <row r="107" spans="1:64" x14ac:dyDescent="0.2">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row>
    <row r="108" spans="1:64" x14ac:dyDescent="0.2">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row>
    <row r="109" spans="1:64"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row>
    <row r="110" spans="1:64" x14ac:dyDescent="0.2">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row>
    <row r="111" spans="1:64" x14ac:dyDescent="0.2">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row>
    <row r="112" spans="1:64" x14ac:dyDescent="0.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row>
    <row r="113" spans="1:64" x14ac:dyDescent="0.2">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row>
    <row r="114" spans="1:64" x14ac:dyDescent="0.2">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row>
    <row r="115" spans="1:64" x14ac:dyDescent="0.2">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row>
    <row r="116" spans="1:64" x14ac:dyDescent="0.2">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row>
    <row r="117" spans="1:64" x14ac:dyDescent="0.2">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row>
    <row r="118" spans="1:64" x14ac:dyDescent="0.2">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row>
    <row r="119" spans="1:64" x14ac:dyDescent="0.2">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row>
    <row r="120" spans="1:64" x14ac:dyDescent="0.2">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row>
    <row r="121" spans="1:64"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row>
    <row r="122" spans="1:64" x14ac:dyDescent="0.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row>
    <row r="123" spans="1:64"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row>
    <row r="124" spans="1:64" x14ac:dyDescent="0.2">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row>
    <row r="125" spans="1:64" x14ac:dyDescent="0.2">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row>
    <row r="126" spans="1:64" x14ac:dyDescent="0.2">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row>
    <row r="127" spans="1:64" x14ac:dyDescent="0.2">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row>
    <row r="128" spans="1:64" x14ac:dyDescent="0.2">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row>
    <row r="129" spans="1:64" x14ac:dyDescent="0.2">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row>
    <row r="130" spans="1:64" x14ac:dyDescent="0.2">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row>
    <row r="131" spans="1:64" x14ac:dyDescent="0.2">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row>
    <row r="132" spans="1:64" x14ac:dyDescent="0.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row>
    <row r="133" spans="1:64" x14ac:dyDescent="0.2">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row>
    <row r="134" spans="1:64" x14ac:dyDescent="0.2">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row>
    <row r="135" spans="1:64" x14ac:dyDescent="0.2">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row>
    <row r="136" spans="1:64" x14ac:dyDescent="0.2">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row>
    <row r="137" spans="1:64" x14ac:dyDescent="0.2">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row>
    <row r="138" spans="1:64" x14ac:dyDescent="0.2">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row>
    <row r="139" spans="1:64" x14ac:dyDescent="0.2">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row>
    <row r="140" spans="1:64" x14ac:dyDescent="0.2">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row>
    <row r="141" spans="1:64" x14ac:dyDescent="0.2">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row>
    <row r="142" spans="1:64"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row>
    <row r="143" spans="1:64" x14ac:dyDescent="0.2">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row>
    <row r="144" spans="1:64" x14ac:dyDescent="0.2">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row>
    <row r="145" spans="1:64" x14ac:dyDescent="0.2">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row>
    <row r="146" spans="1:64" x14ac:dyDescent="0.2">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row>
    <row r="147" spans="1:64" x14ac:dyDescent="0.2">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row>
    <row r="148" spans="1:64" x14ac:dyDescent="0.2">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row>
    <row r="149" spans="1:64" x14ac:dyDescent="0.2">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row>
    <row r="150" spans="1:64" x14ac:dyDescent="0.2">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row>
    <row r="151" spans="1:64" x14ac:dyDescent="0.2">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row>
    <row r="152" spans="1:64" x14ac:dyDescent="0.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row>
    <row r="153" spans="1:64" x14ac:dyDescent="0.2">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row>
    <row r="154" spans="1:64"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row>
    <row r="155" spans="1:64" x14ac:dyDescent="0.2">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row>
    <row r="156" spans="1:64" x14ac:dyDescent="0.2">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row>
    <row r="157" spans="1:64" x14ac:dyDescent="0.2">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row>
    <row r="158" spans="1:64" x14ac:dyDescent="0.2">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row>
    <row r="159" spans="1:64" x14ac:dyDescent="0.2">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row>
    <row r="160" spans="1:64" x14ac:dyDescent="0.2">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row>
    <row r="161" spans="1:64" x14ac:dyDescent="0.2">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row>
    <row r="162" spans="1:64" x14ac:dyDescent="0.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row>
    <row r="163" spans="1:64" x14ac:dyDescent="0.2">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row>
    <row r="164" spans="1:64" x14ac:dyDescent="0.2">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row>
    <row r="165" spans="1:64" x14ac:dyDescent="0.2">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row>
    <row r="166" spans="1:64" x14ac:dyDescent="0.2">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row>
    <row r="167" spans="1:64" x14ac:dyDescent="0.2">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row>
    <row r="168" spans="1:64"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row>
    <row r="169" spans="1:64" x14ac:dyDescent="0.2">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row>
    <row r="170" spans="1:64" x14ac:dyDescent="0.2">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row>
    <row r="171" spans="1:64" x14ac:dyDescent="0.2">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row>
    <row r="172" spans="1:64" x14ac:dyDescent="0.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row>
    <row r="173" spans="1:64" x14ac:dyDescent="0.2">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row>
    <row r="174" spans="1:64" x14ac:dyDescent="0.2">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row>
    <row r="175" spans="1:64" x14ac:dyDescent="0.2">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row>
    <row r="176" spans="1:64" x14ac:dyDescent="0.2">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row>
    <row r="177" spans="1:64" x14ac:dyDescent="0.2">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row>
    <row r="178" spans="1:64" x14ac:dyDescent="0.2">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row>
    <row r="179" spans="1:64" x14ac:dyDescent="0.2">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row>
    <row r="180" spans="1:64" x14ac:dyDescent="0.2">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row>
    <row r="181" spans="1:64" x14ac:dyDescent="0.2">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row>
    <row r="182" spans="1:64" x14ac:dyDescent="0.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row>
    <row r="183" spans="1:64" x14ac:dyDescent="0.2">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row>
    <row r="184" spans="1:64" x14ac:dyDescent="0.2">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row>
    <row r="185" spans="1:64" x14ac:dyDescent="0.2">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row>
    <row r="186" spans="1:64" x14ac:dyDescent="0.2">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row>
    <row r="187" spans="1:64" x14ac:dyDescent="0.2">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row>
    <row r="188" spans="1:64" x14ac:dyDescent="0.2">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row>
    <row r="189" spans="1:64" x14ac:dyDescent="0.2">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row>
    <row r="190" spans="1:64" x14ac:dyDescent="0.2">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row>
    <row r="191" spans="1:64" x14ac:dyDescent="0.2">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row>
    <row r="192" spans="1:64" x14ac:dyDescent="0.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row>
    <row r="193" spans="1:64" x14ac:dyDescent="0.2">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row>
    <row r="194" spans="1:64" x14ac:dyDescent="0.2">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row>
    <row r="195" spans="1:64" x14ac:dyDescent="0.2">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row>
    <row r="196" spans="1:64" x14ac:dyDescent="0.2">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row>
    <row r="197" spans="1:64" x14ac:dyDescent="0.2">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row>
    <row r="198" spans="1:64" x14ac:dyDescent="0.2">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row>
    <row r="199" spans="1:64" x14ac:dyDescent="0.2">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row>
  </sheetData>
  <mergeCells count="6">
    <mergeCell ref="P2:Q2"/>
    <mergeCell ref="C6:H6"/>
    <mergeCell ref="A33:J33"/>
    <mergeCell ref="L28:S29"/>
    <mergeCell ref="C16:D17"/>
    <mergeCell ref="F16:H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sheetPr codeName="Sheet5"/>
  <dimension ref="A1:BM187"/>
  <sheetViews>
    <sheetView zoomScaleNormal="100" workbookViewId="0"/>
  </sheetViews>
  <sheetFormatPr baseColWidth="10" defaultColWidth="10.83203125" defaultRowHeight="16" outlineLevelCol="1" x14ac:dyDescent="0.2"/>
  <cols>
    <col min="1" max="1" width="4.6640625" style="30" customWidth="1"/>
    <col min="2" max="10" width="10.83203125" style="30" customWidth="1"/>
    <col min="11" max="11" width="11.5" style="30" bestFit="1" customWidth="1"/>
    <col min="12" max="12" width="10.83203125" style="44" hidden="1" customWidth="1" outlineLevel="1"/>
    <col min="13" max="13" width="11.83203125" style="44" hidden="1" customWidth="1" outlineLevel="1"/>
    <col min="14" max="19" width="10.83203125" style="44" hidden="1" customWidth="1" outlineLevel="1"/>
    <col min="20" max="20" width="10.83203125" style="30" collapsed="1"/>
    <col min="21" max="16384" width="10.83203125" style="30"/>
  </cols>
  <sheetData>
    <row r="1" spans="1:16" ht="19" x14ac:dyDescent="0.25">
      <c r="A1" s="1" t="s">
        <v>169</v>
      </c>
      <c r="B1" s="16"/>
      <c r="C1" s="27"/>
      <c r="D1" s="27"/>
      <c r="E1" s="27"/>
      <c r="F1" s="28"/>
      <c r="G1" s="28"/>
      <c r="H1" s="28"/>
      <c r="I1" s="28"/>
      <c r="J1" s="29"/>
      <c r="K1" s="3" t="s">
        <v>146</v>
      </c>
    </row>
    <row r="2" spans="1:16" x14ac:dyDescent="0.2">
      <c r="A2" s="2"/>
      <c r="B2" s="28"/>
      <c r="C2" s="28"/>
      <c r="D2" s="28"/>
      <c r="E2" s="28"/>
      <c r="F2" s="28"/>
      <c r="G2" s="28"/>
      <c r="H2" s="28"/>
      <c r="I2" s="28"/>
      <c r="J2" s="29"/>
      <c r="L2" s="17" t="s">
        <v>3</v>
      </c>
      <c r="N2" s="45"/>
    </row>
    <row r="3" spans="1:16" x14ac:dyDescent="0.2">
      <c r="A3" s="2"/>
      <c r="B3" s="28" t="s">
        <v>31</v>
      </c>
      <c r="C3" s="28"/>
      <c r="D3" s="28"/>
      <c r="E3" s="28"/>
      <c r="F3" s="28"/>
      <c r="G3" s="28"/>
      <c r="H3" s="28"/>
      <c r="I3" s="28"/>
      <c r="J3" s="29"/>
      <c r="M3" s="44" t="s">
        <v>95</v>
      </c>
    </row>
    <row r="4" spans="1:16" x14ac:dyDescent="0.2">
      <c r="A4" s="2"/>
      <c r="B4" s="28"/>
      <c r="C4" s="28"/>
      <c r="D4" s="28"/>
      <c r="E4" s="28"/>
      <c r="F4" s="28"/>
      <c r="G4" s="28"/>
      <c r="H4" s="28"/>
      <c r="I4" s="28"/>
      <c r="J4" s="29"/>
      <c r="M4" s="44" t="s">
        <v>96</v>
      </c>
      <c r="O4" s="46">
        <f>D9*G5</f>
        <v>48419.799999999996</v>
      </c>
    </row>
    <row r="5" spans="1:16" ht="17" thickBot="1" x14ac:dyDescent="0.25">
      <c r="A5" s="2"/>
      <c r="B5" s="28" t="s">
        <v>98</v>
      </c>
      <c r="C5" s="28"/>
      <c r="D5" s="28"/>
      <c r="E5" s="28"/>
      <c r="F5" s="28"/>
      <c r="G5" s="47">
        <v>33860</v>
      </c>
      <c r="H5" s="28"/>
      <c r="I5" s="28"/>
      <c r="J5" s="29"/>
      <c r="O5" s="46"/>
    </row>
    <row r="6" spans="1:16" ht="17" thickBot="1" x14ac:dyDescent="0.25">
      <c r="A6" s="2"/>
      <c r="B6" s="28"/>
      <c r="C6" s="28"/>
      <c r="D6" s="28"/>
      <c r="E6" s="28"/>
      <c r="F6" s="28"/>
      <c r="G6" s="28"/>
      <c r="H6" s="28"/>
      <c r="I6" s="28"/>
      <c r="J6" s="29"/>
      <c r="M6" s="73" t="s">
        <v>97</v>
      </c>
      <c r="N6" s="74"/>
      <c r="O6" s="78">
        <f>O4-G5</f>
        <v>14559.799999999996</v>
      </c>
    </row>
    <row r="7" spans="1:16" x14ac:dyDescent="0.2">
      <c r="A7" s="2"/>
      <c r="B7" s="28" t="s">
        <v>32</v>
      </c>
      <c r="C7" s="28"/>
      <c r="D7" s="28"/>
      <c r="E7" s="28"/>
      <c r="F7" s="28"/>
      <c r="G7" s="28"/>
      <c r="H7" s="28"/>
      <c r="I7" s="28"/>
      <c r="J7" s="29"/>
    </row>
    <row r="8" spans="1:16" x14ac:dyDescent="0.2">
      <c r="A8" s="2"/>
      <c r="B8" s="28"/>
      <c r="C8" s="28"/>
      <c r="D8" s="28"/>
      <c r="E8" s="28"/>
      <c r="F8" s="28"/>
      <c r="G8" s="28"/>
      <c r="H8" s="28"/>
      <c r="I8" s="28"/>
      <c r="J8" s="29"/>
      <c r="M8" s="44" t="s">
        <v>99</v>
      </c>
    </row>
    <row r="9" spans="1:16" x14ac:dyDescent="0.2">
      <c r="A9" s="2"/>
      <c r="B9" s="28"/>
      <c r="C9" s="48" t="s">
        <v>33</v>
      </c>
      <c r="D9" s="48">
        <v>1.43</v>
      </c>
      <c r="E9" s="28"/>
      <c r="F9" s="28"/>
      <c r="G9" s="28"/>
      <c r="H9" s="28"/>
      <c r="I9" s="28"/>
      <c r="J9" s="29"/>
      <c r="M9" s="44" t="s">
        <v>100</v>
      </c>
      <c r="O9" s="46">
        <f>D10*O6^1.3</f>
        <v>1291433.4661218657</v>
      </c>
    </row>
    <row r="10" spans="1:16" ht="17" thickBot="1" x14ac:dyDescent="0.25">
      <c r="A10" s="2"/>
      <c r="B10" s="28"/>
      <c r="C10" s="245" t="s">
        <v>445</v>
      </c>
      <c r="D10" s="48">
        <v>5</v>
      </c>
      <c r="E10" s="28"/>
      <c r="F10" s="28"/>
      <c r="G10" s="28"/>
      <c r="H10" s="28"/>
      <c r="I10" s="28"/>
      <c r="J10" s="29"/>
    </row>
    <row r="11" spans="1:16" ht="17" thickBot="1" x14ac:dyDescent="0.25">
      <c r="A11" s="2"/>
      <c r="B11" s="28"/>
      <c r="C11" s="28"/>
      <c r="D11" s="28"/>
      <c r="E11" s="28"/>
      <c r="F11" s="28"/>
      <c r="G11" s="28"/>
      <c r="H11" s="28"/>
      <c r="I11" s="28"/>
      <c r="J11" s="29"/>
      <c r="M11" s="73" t="s">
        <v>101</v>
      </c>
      <c r="N11" s="74"/>
      <c r="O11" s="78">
        <f>SQRT(O9)</f>
        <v>1136.4125422230545</v>
      </c>
    </row>
    <row r="12" spans="1:16" x14ac:dyDescent="0.2">
      <c r="A12" s="28" t="s">
        <v>0</v>
      </c>
      <c r="B12" s="28" t="s">
        <v>147</v>
      </c>
      <c r="C12" s="28"/>
      <c r="D12" s="28"/>
      <c r="E12" s="28"/>
      <c r="F12" s="28"/>
      <c r="G12" s="28"/>
      <c r="H12" s="28"/>
      <c r="I12" s="28"/>
      <c r="J12" s="29"/>
    </row>
    <row r="13" spans="1:16" x14ac:dyDescent="0.2">
      <c r="A13" s="2"/>
      <c r="B13" s="28" t="s">
        <v>148</v>
      </c>
      <c r="C13" s="28"/>
      <c r="D13" s="28"/>
      <c r="E13" s="28"/>
      <c r="F13" s="28"/>
      <c r="G13" s="28"/>
      <c r="H13" s="28"/>
      <c r="I13" s="28"/>
      <c r="J13" s="29"/>
    </row>
    <row r="14" spans="1:16" x14ac:dyDescent="0.2">
      <c r="A14" s="2"/>
      <c r="B14" s="28"/>
      <c r="C14" s="28"/>
      <c r="D14" s="28"/>
      <c r="E14" s="28"/>
      <c r="F14" s="28"/>
      <c r="G14" s="28"/>
      <c r="H14" s="28"/>
      <c r="I14" s="28"/>
      <c r="J14" s="29"/>
      <c r="L14" s="17" t="s">
        <v>4</v>
      </c>
      <c r="N14" s="45"/>
    </row>
    <row r="15" spans="1:16" x14ac:dyDescent="0.2">
      <c r="A15" s="28" t="s">
        <v>1</v>
      </c>
      <c r="B15" s="28" t="s">
        <v>34</v>
      </c>
      <c r="C15" s="28"/>
      <c r="D15" s="28"/>
      <c r="E15" s="28"/>
      <c r="F15" s="28"/>
      <c r="G15" s="28"/>
      <c r="H15" s="28"/>
      <c r="I15" s="28"/>
      <c r="J15" s="29"/>
      <c r="M15" s="44" t="s">
        <v>102</v>
      </c>
    </row>
    <row r="16" spans="1:16" x14ac:dyDescent="0.2">
      <c r="A16" s="2"/>
      <c r="B16" s="28"/>
      <c r="C16" s="28"/>
      <c r="D16" s="28"/>
      <c r="E16" s="28"/>
      <c r="F16" s="28"/>
      <c r="G16" s="28"/>
      <c r="H16" s="28"/>
      <c r="I16" s="28"/>
      <c r="J16" s="29"/>
      <c r="M16" s="44" t="s">
        <v>104</v>
      </c>
      <c r="P16" s="44" t="s">
        <v>105</v>
      </c>
    </row>
    <row r="17" spans="1:21" ht="17" thickBot="1" x14ac:dyDescent="0.25">
      <c r="A17" s="2"/>
      <c r="B17" s="28"/>
      <c r="C17" s="28"/>
      <c r="D17" s="28"/>
      <c r="E17" s="28"/>
      <c r="F17" s="28"/>
      <c r="G17" s="28"/>
      <c r="H17" s="28"/>
      <c r="I17" s="28"/>
      <c r="J17" s="29"/>
    </row>
    <row r="18" spans="1:21" ht="17" thickBot="1" x14ac:dyDescent="0.25">
      <c r="A18" s="402" t="s">
        <v>145</v>
      </c>
      <c r="B18" s="403"/>
      <c r="C18" s="403"/>
      <c r="D18" s="403"/>
      <c r="E18" s="403"/>
      <c r="F18" s="403"/>
      <c r="G18" s="403"/>
      <c r="H18" s="403"/>
      <c r="I18" s="403"/>
      <c r="J18" s="404"/>
      <c r="M18" s="76" t="s">
        <v>103</v>
      </c>
      <c r="N18" s="77">
        <f>O6^(1-1.3)/(1-1.3)</f>
        <v>-0.18790231142301389</v>
      </c>
    </row>
    <row r="21" spans="1:21" ht="16.25" customHeight="1" x14ac:dyDescent="0.25">
      <c r="A21" s="3"/>
      <c r="L21" s="18" t="s">
        <v>131</v>
      </c>
      <c r="T21" s="42"/>
      <c r="U21" s="42"/>
    </row>
    <row r="22" spans="1:21" x14ac:dyDescent="0.2">
      <c r="L22" s="405" t="s">
        <v>451</v>
      </c>
      <c r="M22" s="405"/>
      <c r="N22" s="405"/>
      <c r="O22" s="405"/>
      <c r="P22" s="405"/>
      <c r="Q22" s="405"/>
      <c r="R22" s="405"/>
      <c r="S22" s="405"/>
    </row>
    <row r="23" spans="1:21" x14ac:dyDescent="0.2">
      <c r="L23" s="405"/>
      <c r="M23" s="405"/>
      <c r="N23" s="405"/>
      <c r="O23" s="405"/>
      <c r="P23" s="405"/>
      <c r="Q23" s="405"/>
      <c r="R23" s="405"/>
      <c r="S23" s="405"/>
    </row>
    <row r="25" spans="1:21" ht="17" x14ac:dyDescent="0.2">
      <c r="M25" s="248" t="s">
        <v>449</v>
      </c>
      <c r="Q25" s="12" t="s">
        <v>132</v>
      </c>
      <c r="R25" s="72" t="s">
        <v>133</v>
      </c>
      <c r="S25" s="26" t="s">
        <v>141</v>
      </c>
    </row>
    <row r="26" spans="1:21" ht="17" x14ac:dyDescent="0.2">
      <c r="Q26" s="11" t="s">
        <v>134</v>
      </c>
      <c r="R26" s="9">
        <v>0</v>
      </c>
      <c r="S26" s="9" t="s">
        <v>137</v>
      </c>
    </row>
    <row r="27" spans="1:21" ht="17" x14ac:dyDescent="0.2">
      <c r="Q27" s="11" t="s">
        <v>135</v>
      </c>
      <c r="R27" s="9">
        <v>1</v>
      </c>
      <c r="S27" s="9" t="s">
        <v>138</v>
      </c>
    </row>
    <row r="28" spans="1:21" ht="17" x14ac:dyDescent="0.2">
      <c r="Q28" s="11" t="s">
        <v>136</v>
      </c>
      <c r="R28" s="9">
        <v>2</v>
      </c>
      <c r="S28" s="15" t="s">
        <v>139</v>
      </c>
    </row>
    <row r="29" spans="1:21" ht="16" customHeight="1" x14ac:dyDescent="0.2">
      <c r="M29" s="248" t="s">
        <v>450</v>
      </c>
      <c r="Q29" s="83" t="s">
        <v>175</v>
      </c>
      <c r="R29" s="9">
        <v>3</v>
      </c>
      <c r="S29" s="9" t="s">
        <v>140</v>
      </c>
    </row>
    <row r="32" spans="1:21" x14ac:dyDescent="0.2">
      <c r="L32" s="246"/>
    </row>
    <row r="33" spans="12:14" x14ac:dyDescent="0.2">
      <c r="L33" s="246"/>
    </row>
    <row r="34" spans="12:14" x14ac:dyDescent="0.2">
      <c r="L34" s="246"/>
    </row>
    <row r="36" spans="12:14" ht="16" customHeight="1" x14ac:dyDescent="0.2"/>
    <row r="47" spans="12:14" x14ac:dyDescent="0.2">
      <c r="M47" s="45"/>
    </row>
    <row r="48" spans="12:14" x14ac:dyDescent="0.2">
      <c r="L48" s="19"/>
      <c r="M48" s="19"/>
      <c r="N48" s="19"/>
    </row>
    <row r="49" spans="12:14" x14ac:dyDescent="0.2">
      <c r="L49" s="19"/>
      <c r="M49" s="19"/>
      <c r="N49" s="19"/>
    </row>
    <row r="50" spans="12:14" x14ac:dyDescent="0.2">
      <c r="L50" s="19"/>
      <c r="M50" s="19"/>
      <c r="N50" s="19"/>
    </row>
    <row r="51" spans="12:14" x14ac:dyDescent="0.2">
      <c r="L51" s="19"/>
      <c r="M51" s="19"/>
      <c r="N51" s="19"/>
    </row>
    <row r="52" spans="12:14" x14ac:dyDescent="0.2">
      <c r="L52" s="19"/>
      <c r="M52" s="19"/>
      <c r="N52" s="19"/>
    </row>
    <row r="53" spans="12:14" x14ac:dyDescent="0.2">
      <c r="L53" s="19"/>
      <c r="M53" s="19"/>
      <c r="N53" s="19"/>
    </row>
    <row r="54" spans="12:14" x14ac:dyDescent="0.2">
      <c r="L54" s="19"/>
      <c r="M54" s="19"/>
      <c r="N54" s="19"/>
    </row>
    <row r="55" spans="12:14" x14ac:dyDescent="0.2">
      <c r="M55" s="45"/>
    </row>
    <row r="56" spans="12:14" x14ac:dyDescent="0.2">
      <c r="L56" s="19"/>
      <c r="M56" s="19"/>
      <c r="N56" s="19"/>
    </row>
    <row r="57" spans="12:14" x14ac:dyDescent="0.2">
      <c r="L57" s="19"/>
      <c r="M57" s="19"/>
      <c r="N57" s="19"/>
    </row>
    <row r="58" spans="12:14" x14ac:dyDescent="0.2">
      <c r="L58" s="19"/>
      <c r="M58" s="19"/>
      <c r="N58" s="19"/>
    </row>
    <row r="59" spans="12:14" x14ac:dyDescent="0.2">
      <c r="L59" s="19"/>
      <c r="M59" s="19"/>
      <c r="N59" s="19"/>
    </row>
    <row r="60" spans="12:14" x14ac:dyDescent="0.2">
      <c r="L60" s="19"/>
      <c r="M60" s="19"/>
      <c r="N60" s="19"/>
    </row>
    <row r="61" spans="12:14" x14ac:dyDescent="0.2">
      <c r="L61" s="19"/>
      <c r="M61" s="19"/>
      <c r="N61" s="19"/>
    </row>
    <row r="62" spans="12:14" x14ac:dyDescent="0.2">
      <c r="L62" s="19"/>
      <c r="M62" s="19"/>
      <c r="N62" s="19"/>
    </row>
    <row r="63" spans="12:14" x14ac:dyDescent="0.2">
      <c r="L63" s="19"/>
      <c r="M63" s="19"/>
      <c r="N63" s="19"/>
    </row>
    <row r="64" spans="12:14" x14ac:dyDescent="0.2">
      <c r="L64" s="19"/>
      <c r="M64" s="19"/>
      <c r="N64" s="19"/>
    </row>
    <row r="65" spans="12:14" x14ac:dyDescent="0.2">
      <c r="M65" s="45"/>
    </row>
    <row r="66" spans="12:14" x14ac:dyDescent="0.2">
      <c r="L66" s="19"/>
      <c r="M66" s="19"/>
      <c r="N66" s="19"/>
    </row>
    <row r="67" spans="12:14" x14ac:dyDescent="0.2">
      <c r="L67" s="19"/>
      <c r="M67" s="19"/>
      <c r="N67" s="19"/>
    </row>
    <row r="68" spans="12:14" x14ac:dyDescent="0.2">
      <c r="L68" s="19"/>
      <c r="M68" s="19"/>
      <c r="N68" s="19"/>
    </row>
    <row r="69" spans="12:14" x14ac:dyDescent="0.2">
      <c r="L69" s="19"/>
      <c r="M69" s="19"/>
      <c r="N69" s="19"/>
    </row>
    <row r="70" spans="12:14" x14ac:dyDescent="0.2">
      <c r="L70" s="19"/>
      <c r="M70" s="19"/>
      <c r="N70" s="19"/>
    </row>
    <row r="71" spans="12:14" x14ac:dyDescent="0.2">
      <c r="L71" s="19"/>
      <c r="M71" s="19"/>
      <c r="N71" s="19"/>
    </row>
    <row r="72" spans="12:14" x14ac:dyDescent="0.2">
      <c r="L72" s="19"/>
      <c r="M72" s="19"/>
      <c r="N72" s="19"/>
    </row>
    <row r="73" spans="12:14" x14ac:dyDescent="0.2">
      <c r="L73" s="19"/>
      <c r="M73" s="19"/>
      <c r="N73" s="19"/>
    </row>
    <row r="74" spans="12:14" x14ac:dyDescent="0.2">
      <c r="L74" s="19"/>
      <c r="M74" s="19"/>
      <c r="N74" s="19"/>
    </row>
    <row r="75" spans="12:14" x14ac:dyDescent="0.2">
      <c r="M75" s="45"/>
    </row>
    <row r="76" spans="12:14" x14ac:dyDescent="0.2">
      <c r="L76" s="19"/>
      <c r="M76" s="19"/>
      <c r="N76" s="19"/>
    </row>
    <row r="77" spans="12:14" x14ac:dyDescent="0.2">
      <c r="L77" s="19"/>
      <c r="M77" s="19"/>
      <c r="N77" s="19"/>
    </row>
    <row r="78" spans="12:14" x14ac:dyDescent="0.2">
      <c r="L78" s="19"/>
      <c r="M78" s="19"/>
      <c r="N78" s="19"/>
    </row>
    <row r="79" spans="12:14" x14ac:dyDescent="0.2">
      <c r="L79" s="19"/>
      <c r="M79" s="19"/>
      <c r="N79" s="19"/>
    </row>
    <row r="80" spans="12:14" x14ac:dyDescent="0.2">
      <c r="L80" s="19"/>
      <c r="M80" s="19"/>
      <c r="N80" s="19"/>
    </row>
    <row r="81" spans="1:65" x14ac:dyDescent="0.2">
      <c r="L81" s="19"/>
      <c r="M81" s="19"/>
      <c r="N81" s="19"/>
    </row>
    <row r="82" spans="1:65" x14ac:dyDescent="0.2">
      <c r="L82" s="19"/>
      <c r="M82" s="19"/>
      <c r="N82" s="19"/>
    </row>
    <row r="83" spans="1:65" x14ac:dyDescent="0.2">
      <c r="L83" s="19"/>
      <c r="M83" s="19"/>
      <c r="N83" s="19"/>
    </row>
    <row r="84" spans="1:65" x14ac:dyDescent="0.2">
      <c r="A84" s="5"/>
      <c r="B84" s="5"/>
      <c r="C84" s="5"/>
      <c r="D84" s="5"/>
      <c r="E84" s="5"/>
      <c r="F84" s="5"/>
      <c r="G84" s="5"/>
      <c r="H84" s="5"/>
      <c r="I84" s="5"/>
      <c r="J84" s="5"/>
      <c r="L84" s="19"/>
      <c r="M84" s="19"/>
      <c r="N84" s="19"/>
    </row>
    <row r="85" spans="1:65" x14ac:dyDescent="0.2">
      <c r="A85" s="5"/>
      <c r="B85" s="5"/>
      <c r="C85" s="5"/>
      <c r="D85" s="5"/>
      <c r="E85" s="5"/>
      <c r="F85" s="5"/>
      <c r="G85" s="5"/>
      <c r="H85" s="5"/>
      <c r="I85" s="5"/>
      <c r="J85" s="5"/>
      <c r="K85" s="5"/>
      <c r="M85" s="4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19"/>
      <c r="M86" s="19"/>
      <c r="N86" s="19"/>
      <c r="O86" s="19"/>
      <c r="P86" s="19"/>
      <c r="Q86" s="19"/>
      <c r="R86" s="19"/>
      <c r="S86" s="19"/>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19"/>
      <c r="M87" s="19"/>
      <c r="N87" s="19"/>
      <c r="O87" s="19"/>
      <c r="P87" s="19"/>
      <c r="Q87" s="19"/>
      <c r="R87" s="19"/>
      <c r="S87" s="19"/>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19"/>
      <c r="M88" s="19"/>
      <c r="N88" s="19"/>
      <c r="O88" s="19"/>
      <c r="P88" s="19"/>
      <c r="Q88" s="19"/>
      <c r="R88" s="19"/>
      <c r="S88" s="19"/>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19"/>
      <c r="M89" s="19"/>
      <c r="N89" s="19"/>
      <c r="O89" s="19"/>
      <c r="P89" s="19"/>
      <c r="Q89" s="19"/>
      <c r="R89" s="19"/>
      <c r="S89" s="19"/>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19"/>
      <c r="M90" s="19"/>
      <c r="N90" s="19"/>
      <c r="O90" s="19"/>
      <c r="P90" s="19"/>
      <c r="Q90" s="19"/>
      <c r="R90" s="19"/>
      <c r="S90" s="19"/>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19"/>
      <c r="M91" s="19"/>
      <c r="N91" s="19"/>
      <c r="O91" s="19"/>
      <c r="P91" s="19"/>
      <c r="Q91" s="19"/>
      <c r="R91" s="19"/>
      <c r="S91" s="19"/>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19"/>
      <c r="M92" s="19"/>
      <c r="N92" s="19"/>
      <c r="O92" s="19"/>
      <c r="P92" s="19"/>
      <c r="Q92" s="19"/>
      <c r="R92" s="19"/>
      <c r="S92" s="19"/>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19"/>
      <c r="M93" s="19"/>
      <c r="N93" s="19"/>
      <c r="O93" s="19"/>
      <c r="P93" s="19"/>
      <c r="Q93" s="19"/>
      <c r="R93" s="19"/>
      <c r="S93" s="19"/>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19"/>
      <c r="M94" s="19"/>
      <c r="N94" s="19"/>
      <c r="O94" s="19"/>
      <c r="P94" s="19"/>
      <c r="Q94" s="19"/>
      <c r="R94" s="19"/>
      <c r="S94" s="19"/>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19"/>
      <c r="M95" s="19"/>
      <c r="N95" s="19"/>
      <c r="O95" s="19"/>
      <c r="P95" s="19"/>
      <c r="Q95" s="19"/>
      <c r="R95" s="19"/>
      <c r="S95" s="19"/>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19"/>
      <c r="M96" s="19"/>
      <c r="N96" s="19"/>
      <c r="O96" s="19"/>
      <c r="P96" s="19"/>
      <c r="Q96" s="19"/>
      <c r="R96" s="19"/>
      <c r="S96" s="19"/>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19"/>
      <c r="M97" s="19"/>
      <c r="N97" s="19"/>
      <c r="O97" s="19"/>
      <c r="P97" s="19"/>
      <c r="Q97" s="19"/>
      <c r="R97" s="19"/>
      <c r="S97" s="19"/>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19"/>
      <c r="M98" s="19"/>
      <c r="N98" s="19"/>
      <c r="O98" s="19"/>
      <c r="P98" s="19"/>
      <c r="Q98" s="19"/>
      <c r="R98" s="19"/>
      <c r="S98" s="19"/>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19"/>
      <c r="M99" s="19"/>
      <c r="N99" s="19"/>
      <c r="O99" s="19"/>
      <c r="P99" s="19"/>
      <c r="Q99" s="19"/>
      <c r="R99" s="19"/>
      <c r="S99" s="19"/>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19"/>
      <c r="M100" s="19"/>
      <c r="N100" s="19"/>
      <c r="O100" s="19"/>
      <c r="P100" s="19"/>
      <c r="Q100" s="19"/>
      <c r="R100" s="19"/>
      <c r="S100" s="19"/>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19"/>
      <c r="M101" s="19"/>
      <c r="N101" s="19"/>
      <c r="O101" s="19"/>
      <c r="P101" s="19"/>
      <c r="Q101" s="19"/>
      <c r="R101" s="19"/>
      <c r="S101" s="19"/>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19"/>
      <c r="M102" s="19"/>
      <c r="N102" s="19"/>
      <c r="O102" s="19"/>
      <c r="P102" s="19"/>
      <c r="Q102" s="19"/>
      <c r="R102" s="19"/>
      <c r="S102" s="19"/>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19"/>
      <c r="M103" s="19"/>
      <c r="N103" s="19"/>
      <c r="O103" s="19"/>
      <c r="P103" s="19"/>
      <c r="Q103" s="19"/>
      <c r="R103" s="19"/>
      <c r="S103" s="19"/>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19"/>
      <c r="M104" s="19"/>
      <c r="N104" s="19"/>
      <c r="O104" s="19"/>
      <c r="P104" s="19"/>
      <c r="Q104" s="19"/>
      <c r="R104" s="19"/>
      <c r="S104" s="19"/>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19"/>
      <c r="M105" s="19"/>
      <c r="N105" s="19"/>
      <c r="O105" s="19"/>
      <c r="P105" s="19"/>
      <c r="Q105" s="19"/>
      <c r="R105" s="19"/>
      <c r="S105" s="19"/>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19"/>
      <c r="M106" s="19"/>
      <c r="N106" s="19"/>
      <c r="O106" s="19"/>
      <c r="P106" s="19"/>
      <c r="Q106" s="19"/>
      <c r="R106" s="19"/>
      <c r="S106" s="19"/>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19"/>
      <c r="M107" s="19"/>
      <c r="N107" s="19"/>
      <c r="O107" s="19"/>
      <c r="P107" s="19"/>
      <c r="Q107" s="19"/>
      <c r="R107" s="19"/>
      <c r="S107" s="19"/>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19"/>
      <c r="M108" s="19"/>
      <c r="N108" s="19"/>
      <c r="O108" s="19"/>
      <c r="P108" s="19"/>
      <c r="Q108" s="19"/>
      <c r="R108" s="19"/>
      <c r="S108" s="19"/>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19"/>
      <c r="M109" s="19"/>
      <c r="N109" s="19"/>
      <c r="O109" s="19"/>
      <c r="P109" s="19"/>
      <c r="Q109" s="19"/>
      <c r="R109" s="19"/>
      <c r="S109" s="19"/>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19"/>
      <c r="M110" s="19"/>
      <c r="N110" s="19"/>
      <c r="O110" s="19"/>
      <c r="P110" s="19"/>
      <c r="Q110" s="19"/>
      <c r="R110" s="19"/>
      <c r="S110" s="19"/>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19"/>
      <c r="M111" s="19"/>
      <c r="N111" s="19"/>
      <c r="O111" s="19"/>
      <c r="P111" s="19"/>
      <c r="Q111" s="19"/>
      <c r="R111" s="19"/>
      <c r="S111" s="19"/>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19"/>
      <c r="M112" s="19"/>
      <c r="N112" s="19"/>
      <c r="O112" s="19"/>
      <c r="P112" s="19"/>
      <c r="Q112" s="19"/>
      <c r="R112" s="19"/>
      <c r="S112" s="19"/>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19"/>
      <c r="M113" s="19"/>
      <c r="N113" s="19"/>
      <c r="O113" s="19"/>
      <c r="P113" s="19"/>
      <c r="Q113" s="19"/>
      <c r="R113" s="19"/>
      <c r="S113" s="19"/>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19"/>
      <c r="M114" s="19"/>
      <c r="N114" s="19"/>
      <c r="O114" s="19"/>
      <c r="P114" s="19"/>
      <c r="Q114" s="19"/>
      <c r="R114" s="19"/>
      <c r="S114" s="19"/>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19"/>
      <c r="M115" s="19"/>
      <c r="N115" s="19"/>
      <c r="O115" s="19"/>
      <c r="P115" s="19"/>
      <c r="Q115" s="19"/>
      <c r="R115" s="19"/>
      <c r="S115" s="19"/>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19"/>
      <c r="M116" s="19"/>
      <c r="N116" s="19"/>
      <c r="O116" s="19"/>
      <c r="P116" s="19"/>
      <c r="Q116" s="19"/>
      <c r="R116" s="19"/>
      <c r="S116" s="19"/>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19"/>
      <c r="M117" s="19"/>
      <c r="N117" s="19"/>
      <c r="O117" s="19"/>
      <c r="P117" s="19"/>
      <c r="Q117" s="19"/>
      <c r="R117" s="19"/>
      <c r="S117" s="19"/>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19"/>
      <c r="M118" s="19"/>
      <c r="N118" s="19"/>
      <c r="O118" s="19"/>
      <c r="P118" s="19"/>
      <c r="Q118" s="19"/>
      <c r="R118" s="19"/>
      <c r="S118" s="19"/>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19"/>
      <c r="M119" s="19"/>
      <c r="N119" s="19"/>
      <c r="O119" s="19"/>
      <c r="P119" s="19"/>
      <c r="Q119" s="19"/>
      <c r="R119" s="19"/>
      <c r="S119" s="19"/>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19"/>
      <c r="M120" s="19"/>
      <c r="N120" s="19"/>
      <c r="O120" s="19"/>
      <c r="P120" s="19"/>
      <c r="Q120" s="19"/>
      <c r="R120" s="19"/>
      <c r="S120" s="19"/>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19"/>
      <c r="M121" s="19"/>
      <c r="N121" s="19"/>
      <c r="O121" s="19"/>
      <c r="P121" s="19"/>
      <c r="Q121" s="19"/>
      <c r="R121" s="19"/>
      <c r="S121" s="19"/>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19"/>
      <c r="M122" s="19"/>
      <c r="N122" s="19"/>
      <c r="O122" s="19"/>
      <c r="P122" s="19"/>
      <c r="Q122" s="19"/>
      <c r="R122" s="19"/>
      <c r="S122" s="19"/>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19"/>
      <c r="M123" s="19"/>
      <c r="N123" s="19"/>
      <c r="O123" s="19"/>
      <c r="P123" s="19"/>
      <c r="Q123" s="19"/>
      <c r="R123" s="19"/>
      <c r="S123" s="19"/>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19"/>
      <c r="M124" s="19"/>
      <c r="N124" s="19"/>
      <c r="O124" s="19"/>
      <c r="P124" s="19"/>
      <c r="Q124" s="19"/>
      <c r="R124" s="19"/>
      <c r="S124" s="19"/>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19"/>
      <c r="M125" s="19"/>
      <c r="N125" s="19"/>
      <c r="O125" s="19"/>
      <c r="P125" s="19"/>
      <c r="Q125" s="19"/>
      <c r="R125" s="19"/>
      <c r="S125" s="19"/>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19"/>
      <c r="M126" s="19"/>
      <c r="N126" s="19"/>
      <c r="O126" s="19"/>
      <c r="P126" s="19"/>
      <c r="Q126" s="19"/>
      <c r="R126" s="19"/>
      <c r="S126" s="19"/>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19"/>
      <c r="M127" s="19"/>
      <c r="N127" s="19"/>
      <c r="O127" s="19"/>
      <c r="P127" s="19"/>
      <c r="Q127" s="19"/>
      <c r="R127" s="19"/>
      <c r="S127" s="19"/>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19"/>
      <c r="M128" s="19"/>
      <c r="N128" s="19"/>
      <c r="O128" s="19"/>
      <c r="P128" s="19"/>
      <c r="Q128" s="19"/>
      <c r="R128" s="19"/>
      <c r="S128" s="19"/>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19"/>
      <c r="M129" s="19"/>
      <c r="N129" s="19"/>
      <c r="O129" s="19"/>
      <c r="P129" s="19"/>
      <c r="Q129" s="19"/>
      <c r="R129" s="19"/>
      <c r="S129" s="19"/>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19"/>
      <c r="M130" s="19"/>
      <c r="N130" s="19"/>
      <c r="O130" s="19"/>
      <c r="P130" s="19"/>
      <c r="Q130" s="19"/>
      <c r="R130" s="19"/>
      <c r="S130" s="19"/>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19"/>
      <c r="M131" s="19"/>
      <c r="N131" s="19"/>
      <c r="O131" s="19"/>
      <c r="P131" s="19"/>
      <c r="Q131" s="19"/>
      <c r="R131" s="19"/>
      <c r="S131" s="19"/>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19"/>
      <c r="M132" s="19"/>
      <c r="N132" s="19"/>
      <c r="O132" s="19"/>
      <c r="P132" s="19"/>
      <c r="Q132" s="19"/>
      <c r="R132" s="19"/>
      <c r="S132" s="19"/>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19"/>
      <c r="M133" s="19"/>
      <c r="N133" s="19"/>
      <c r="O133" s="19"/>
      <c r="P133" s="19"/>
      <c r="Q133" s="19"/>
      <c r="R133" s="19"/>
      <c r="S133" s="19"/>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19"/>
      <c r="M134" s="19"/>
      <c r="N134" s="19"/>
      <c r="O134" s="19"/>
      <c r="P134" s="19"/>
      <c r="Q134" s="19"/>
      <c r="R134" s="19"/>
      <c r="S134" s="19"/>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19"/>
      <c r="M135" s="19"/>
      <c r="N135" s="19"/>
      <c r="O135" s="19"/>
      <c r="P135" s="19"/>
      <c r="Q135" s="19"/>
      <c r="R135" s="19"/>
      <c r="S135" s="19"/>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19"/>
      <c r="M136" s="19"/>
      <c r="N136" s="19"/>
      <c r="O136" s="19"/>
      <c r="P136" s="19"/>
      <c r="Q136" s="19"/>
      <c r="R136" s="19"/>
      <c r="S136" s="19"/>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19"/>
      <c r="M137" s="19"/>
      <c r="N137" s="19"/>
      <c r="O137" s="19"/>
      <c r="P137" s="19"/>
      <c r="Q137" s="19"/>
      <c r="R137" s="19"/>
      <c r="S137" s="19"/>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19"/>
      <c r="M138" s="19"/>
      <c r="N138" s="19"/>
      <c r="O138" s="19"/>
      <c r="P138" s="19"/>
      <c r="Q138" s="19"/>
      <c r="R138" s="19"/>
      <c r="S138" s="19"/>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19"/>
      <c r="M139" s="19"/>
      <c r="N139" s="19"/>
      <c r="O139" s="19"/>
      <c r="P139" s="19"/>
      <c r="Q139" s="19"/>
      <c r="R139" s="19"/>
      <c r="S139" s="19"/>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19"/>
      <c r="M140" s="19"/>
      <c r="N140" s="19"/>
      <c r="O140" s="19"/>
      <c r="P140" s="19"/>
      <c r="Q140" s="19"/>
      <c r="R140" s="19"/>
      <c r="S140" s="19"/>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19"/>
      <c r="M141" s="19"/>
      <c r="N141" s="19"/>
      <c r="O141" s="19"/>
      <c r="P141" s="19"/>
      <c r="Q141" s="19"/>
      <c r="R141" s="19"/>
      <c r="S141" s="19"/>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19"/>
      <c r="M142" s="19"/>
      <c r="N142" s="19"/>
      <c r="O142" s="19"/>
      <c r="P142" s="19"/>
      <c r="Q142" s="19"/>
      <c r="R142" s="19"/>
      <c r="S142" s="19"/>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19"/>
      <c r="M143" s="19"/>
      <c r="N143" s="19"/>
      <c r="O143" s="19"/>
      <c r="P143" s="19"/>
      <c r="Q143" s="19"/>
      <c r="R143" s="19"/>
      <c r="S143" s="19"/>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19"/>
      <c r="M144" s="19"/>
      <c r="N144" s="19"/>
      <c r="O144" s="19"/>
      <c r="P144" s="19"/>
      <c r="Q144" s="19"/>
      <c r="R144" s="19"/>
      <c r="S144" s="19"/>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19"/>
      <c r="M145" s="19"/>
      <c r="N145" s="19"/>
      <c r="O145" s="19"/>
      <c r="P145" s="19"/>
      <c r="Q145" s="19"/>
      <c r="R145" s="19"/>
      <c r="S145" s="19"/>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19"/>
      <c r="M146" s="19"/>
      <c r="N146" s="19"/>
      <c r="O146" s="19"/>
      <c r="P146" s="19"/>
      <c r="Q146" s="19"/>
      <c r="R146" s="19"/>
      <c r="S146" s="19"/>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19"/>
      <c r="M147" s="19"/>
      <c r="N147" s="19"/>
      <c r="O147" s="19"/>
      <c r="P147" s="19"/>
      <c r="Q147" s="19"/>
      <c r="R147" s="19"/>
      <c r="S147" s="19"/>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19"/>
      <c r="M148" s="19"/>
      <c r="N148" s="19"/>
      <c r="O148" s="19"/>
      <c r="P148" s="19"/>
      <c r="Q148" s="19"/>
      <c r="R148" s="19"/>
      <c r="S148" s="19"/>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19"/>
      <c r="M149" s="19"/>
      <c r="N149" s="19"/>
      <c r="O149" s="19"/>
      <c r="P149" s="19"/>
      <c r="Q149" s="19"/>
      <c r="R149" s="19"/>
      <c r="S149" s="19"/>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19"/>
      <c r="M150" s="19"/>
      <c r="N150" s="19"/>
      <c r="O150" s="19"/>
      <c r="P150" s="19"/>
      <c r="Q150" s="19"/>
      <c r="R150" s="19"/>
      <c r="S150" s="19"/>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19"/>
      <c r="M151" s="19"/>
      <c r="N151" s="19"/>
      <c r="O151" s="19"/>
      <c r="P151" s="19"/>
      <c r="Q151" s="19"/>
      <c r="R151" s="19"/>
      <c r="S151" s="19"/>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19"/>
      <c r="M152" s="19"/>
      <c r="N152" s="19"/>
      <c r="O152" s="19"/>
      <c r="P152" s="19"/>
      <c r="Q152" s="19"/>
      <c r="R152" s="19"/>
      <c r="S152" s="19"/>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19"/>
      <c r="M153" s="19"/>
      <c r="N153" s="19"/>
      <c r="O153" s="19"/>
      <c r="P153" s="19"/>
      <c r="Q153" s="19"/>
      <c r="R153" s="19"/>
      <c r="S153" s="19"/>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19"/>
      <c r="M154" s="19"/>
      <c r="N154" s="19"/>
      <c r="O154" s="19"/>
      <c r="P154" s="19"/>
      <c r="Q154" s="19"/>
      <c r="R154" s="19"/>
      <c r="S154" s="19"/>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19"/>
      <c r="M155" s="19"/>
      <c r="N155" s="19"/>
      <c r="O155" s="19"/>
      <c r="P155" s="19"/>
      <c r="Q155" s="19"/>
      <c r="R155" s="19"/>
      <c r="S155" s="19"/>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19"/>
      <c r="M156" s="19"/>
      <c r="N156" s="19"/>
      <c r="O156" s="19"/>
      <c r="P156" s="19"/>
      <c r="Q156" s="19"/>
      <c r="R156" s="19"/>
      <c r="S156" s="19"/>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19"/>
      <c r="M157" s="19"/>
      <c r="N157" s="19"/>
      <c r="O157" s="19"/>
      <c r="P157" s="19"/>
      <c r="Q157" s="19"/>
      <c r="R157" s="19"/>
      <c r="S157" s="19"/>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19"/>
      <c r="M158" s="19"/>
      <c r="N158" s="19"/>
      <c r="O158" s="19"/>
      <c r="P158" s="19"/>
      <c r="Q158" s="19"/>
      <c r="R158" s="19"/>
      <c r="S158" s="19"/>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19"/>
      <c r="M159" s="19"/>
      <c r="N159" s="19"/>
      <c r="O159" s="19"/>
      <c r="P159" s="19"/>
      <c r="Q159" s="19"/>
      <c r="R159" s="19"/>
      <c r="S159" s="19"/>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19"/>
      <c r="M160" s="19"/>
      <c r="N160" s="19"/>
      <c r="O160" s="19"/>
      <c r="P160" s="19"/>
      <c r="Q160" s="19"/>
      <c r="R160" s="19"/>
      <c r="S160" s="19"/>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19"/>
      <c r="M161" s="19"/>
      <c r="N161" s="19"/>
      <c r="O161" s="19"/>
      <c r="P161" s="19"/>
      <c r="Q161" s="19"/>
      <c r="R161" s="19"/>
      <c r="S161" s="19"/>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19"/>
      <c r="M162" s="19"/>
      <c r="N162" s="19"/>
      <c r="O162" s="19"/>
      <c r="P162" s="19"/>
      <c r="Q162" s="19"/>
      <c r="R162" s="19"/>
      <c r="S162" s="19"/>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19"/>
      <c r="M163" s="19"/>
      <c r="N163" s="19"/>
      <c r="O163" s="19"/>
      <c r="P163" s="19"/>
      <c r="Q163" s="19"/>
      <c r="R163" s="19"/>
      <c r="S163" s="19"/>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19"/>
      <c r="M164" s="19"/>
      <c r="N164" s="19"/>
      <c r="O164" s="19"/>
      <c r="P164" s="19"/>
      <c r="Q164" s="19"/>
      <c r="R164" s="19"/>
      <c r="S164" s="19"/>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19"/>
      <c r="M165" s="19"/>
      <c r="N165" s="19"/>
      <c r="O165" s="19"/>
      <c r="P165" s="19"/>
      <c r="Q165" s="19"/>
      <c r="R165" s="19"/>
      <c r="S165" s="19"/>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19"/>
      <c r="M166" s="19"/>
      <c r="N166" s="19"/>
      <c r="O166" s="19"/>
      <c r="P166" s="19"/>
      <c r="Q166" s="19"/>
      <c r="R166" s="19"/>
      <c r="S166" s="19"/>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19"/>
      <c r="M167" s="19"/>
      <c r="N167" s="19"/>
      <c r="O167" s="19"/>
      <c r="P167" s="19"/>
      <c r="Q167" s="19"/>
      <c r="R167" s="19"/>
      <c r="S167" s="19"/>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19"/>
      <c r="M168" s="19"/>
      <c r="N168" s="19"/>
      <c r="O168" s="19"/>
      <c r="P168" s="19"/>
      <c r="Q168" s="19"/>
      <c r="R168" s="19"/>
      <c r="S168" s="19"/>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19"/>
      <c r="M169" s="19"/>
      <c r="N169" s="19"/>
      <c r="O169" s="19"/>
      <c r="P169" s="19"/>
      <c r="Q169" s="19"/>
      <c r="R169" s="19"/>
      <c r="S169" s="19"/>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19"/>
      <c r="M170" s="19"/>
      <c r="N170" s="19"/>
      <c r="O170" s="19"/>
      <c r="P170" s="19"/>
      <c r="Q170" s="19"/>
      <c r="R170" s="19"/>
      <c r="S170" s="19"/>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19"/>
      <c r="M171" s="19"/>
      <c r="N171" s="19"/>
      <c r="O171" s="19"/>
      <c r="P171" s="19"/>
      <c r="Q171" s="19"/>
      <c r="R171" s="19"/>
      <c r="S171" s="19"/>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19"/>
      <c r="M172" s="19"/>
      <c r="N172" s="19"/>
      <c r="O172" s="19"/>
      <c r="P172" s="19"/>
      <c r="Q172" s="19"/>
      <c r="R172" s="19"/>
      <c r="S172" s="19"/>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19"/>
      <c r="M173" s="19"/>
      <c r="N173" s="19"/>
      <c r="O173" s="19"/>
      <c r="P173" s="19"/>
      <c r="Q173" s="19"/>
      <c r="R173" s="19"/>
      <c r="S173" s="19"/>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19"/>
      <c r="M174" s="19"/>
      <c r="N174" s="19"/>
      <c r="O174" s="19"/>
      <c r="P174" s="19"/>
      <c r="Q174" s="19"/>
      <c r="R174" s="19"/>
      <c r="S174" s="19"/>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19"/>
      <c r="M175" s="19"/>
      <c r="N175" s="19"/>
      <c r="O175" s="19"/>
      <c r="P175" s="19"/>
      <c r="Q175" s="19"/>
      <c r="R175" s="19"/>
      <c r="S175" s="19"/>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19"/>
      <c r="M176" s="19"/>
      <c r="N176" s="19"/>
      <c r="O176" s="19"/>
      <c r="P176" s="19"/>
      <c r="Q176" s="19"/>
      <c r="R176" s="19"/>
      <c r="S176" s="19"/>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19"/>
      <c r="M177" s="19"/>
      <c r="N177" s="19"/>
      <c r="O177" s="19"/>
      <c r="P177" s="19"/>
      <c r="Q177" s="19"/>
      <c r="R177" s="19"/>
      <c r="S177" s="19"/>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19"/>
      <c r="M178" s="19"/>
      <c r="N178" s="19"/>
      <c r="O178" s="19"/>
      <c r="P178" s="19"/>
      <c r="Q178" s="19"/>
      <c r="R178" s="19"/>
      <c r="S178" s="19"/>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19"/>
      <c r="M179" s="19"/>
      <c r="N179" s="19"/>
      <c r="O179" s="19"/>
      <c r="P179" s="19"/>
      <c r="Q179" s="19"/>
      <c r="R179" s="19"/>
      <c r="S179" s="19"/>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19"/>
      <c r="M180" s="19"/>
      <c r="N180" s="19"/>
      <c r="O180" s="19"/>
      <c r="P180" s="19"/>
      <c r="Q180" s="19"/>
      <c r="R180" s="19"/>
      <c r="S180" s="19"/>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19"/>
      <c r="M181" s="19"/>
      <c r="N181" s="19"/>
      <c r="O181" s="19"/>
      <c r="P181" s="19"/>
      <c r="Q181" s="19"/>
      <c r="R181" s="19"/>
      <c r="S181" s="19"/>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19"/>
      <c r="M182" s="19"/>
      <c r="N182" s="19"/>
      <c r="O182" s="19"/>
      <c r="P182" s="19"/>
      <c r="Q182" s="19"/>
      <c r="R182" s="19"/>
      <c r="S182" s="19"/>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19"/>
      <c r="M183" s="19"/>
      <c r="N183" s="19"/>
      <c r="O183" s="19"/>
      <c r="P183" s="19"/>
      <c r="Q183" s="19"/>
      <c r="R183" s="19"/>
      <c r="S183" s="19"/>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19"/>
      <c r="M184" s="19"/>
      <c r="N184" s="19"/>
      <c r="O184" s="19"/>
      <c r="P184" s="19"/>
      <c r="Q184" s="19"/>
      <c r="R184" s="19"/>
      <c r="S184" s="19"/>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19"/>
      <c r="M185" s="19"/>
      <c r="N185" s="19"/>
      <c r="O185" s="19"/>
      <c r="P185" s="19"/>
      <c r="Q185" s="19"/>
      <c r="R185" s="19"/>
      <c r="S185" s="19"/>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K186" s="5"/>
      <c r="L186" s="19"/>
      <c r="M186" s="19"/>
      <c r="N186" s="19"/>
      <c r="O186" s="19"/>
      <c r="P186" s="19"/>
      <c r="Q186" s="19"/>
      <c r="R186" s="19"/>
      <c r="S186" s="19"/>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L187" s="19"/>
      <c r="M187" s="19"/>
      <c r="N187" s="19"/>
      <c r="O187" s="19"/>
      <c r="P187" s="19"/>
      <c r="Q187" s="19"/>
      <c r="R187" s="19"/>
      <c r="S187" s="19"/>
    </row>
  </sheetData>
  <mergeCells count="2">
    <mergeCell ref="L22:S23"/>
    <mergeCell ref="A18:J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sheetPr codeName="Sheet6"/>
  <dimension ref="A1:BM176"/>
  <sheetViews>
    <sheetView zoomScaleNormal="100" workbookViewId="0"/>
  </sheetViews>
  <sheetFormatPr baseColWidth="10" defaultColWidth="10.83203125" defaultRowHeight="16" outlineLevelCol="1" x14ac:dyDescent="0.2"/>
  <cols>
    <col min="1" max="1" width="4.6640625" style="30" customWidth="1"/>
    <col min="2" max="10" width="10.83203125" style="30" customWidth="1"/>
    <col min="11" max="11" width="11.5" style="30" bestFit="1" customWidth="1"/>
    <col min="12" max="19" width="10.83203125" style="30" hidden="1" customWidth="1" outlineLevel="1"/>
    <col min="20" max="20" width="10.83203125" style="30" collapsed="1"/>
    <col min="21" max="16384" width="10.83203125" style="30"/>
  </cols>
  <sheetData>
    <row r="1" spans="1:19" ht="19" x14ac:dyDescent="0.25">
      <c r="A1" s="1" t="s">
        <v>170</v>
      </c>
      <c r="B1" s="16"/>
      <c r="C1" s="27"/>
      <c r="D1" s="27"/>
      <c r="E1" s="27"/>
      <c r="F1" s="28"/>
      <c r="G1" s="28"/>
      <c r="H1" s="28"/>
      <c r="I1" s="28"/>
      <c r="J1" s="29"/>
      <c r="K1" s="3" t="s">
        <v>146</v>
      </c>
    </row>
    <row r="2" spans="1:19" x14ac:dyDescent="0.2">
      <c r="A2" s="2"/>
      <c r="B2" s="28"/>
      <c r="C2" s="28"/>
      <c r="D2" s="28"/>
      <c r="E2" s="28"/>
      <c r="F2" s="28"/>
      <c r="G2" s="28"/>
      <c r="H2" s="28"/>
      <c r="I2" s="28"/>
      <c r="J2" s="29"/>
      <c r="L2" s="8" t="s">
        <v>3</v>
      </c>
      <c r="N2" s="31"/>
    </row>
    <row r="3" spans="1:19" x14ac:dyDescent="0.2">
      <c r="A3" s="28" t="s">
        <v>0</v>
      </c>
      <c r="B3" s="28" t="s">
        <v>35</v>
      </c>
      <c r="C3" s="28"/>
      <c r="D3" s="28"/>
      <c r="E3" s="28"/>
      <c r="F3" s="28"/>
      <c r="G3" s="28"/>
      <c r="H3" s="28"/>
      <c r="I3" s="28"/>
      <c r="J3" s="29"/>
      <c r="M3" s="30" t="s">
        <v>38</v>
      </c>
    </row>
    <row r="4" spans="1:19" x14ac:dyDescent="0.2">
      <c r="A4" s="2"/>
      <c r="B4" s="28"/>
      <c r="C4" s="28"/>
      <c r="D4" s="28"/>
      <c r="E4" s="28"/>
      <c r="F4" s="28"/>
      <c r="G4" s="28"/>
      <c r="H4" s="28"/>
      <c r="I4" s="28"/>
      <c r="J4" s="29"/>
      <c r="M4" s="87" t="s">
        <v>157</v>
      </c>
    </row>
    <row r="5" spans="1:19" x14ac:dyDescent="0.2">
      <c r="A5" s="28" t="s">
        <v>1</v>
      </c>
      <c r="B5" s="28" t="s">
        <v>36</v>
      </c>
      <c r="C5" s="28"/>
      <c r="D5" s="28"/>
      <c r="E5" s="28"/>
      <c r="F5" s="28"/>
      <c r="G5" s="28"/>
      <c r="H5" s="28"/>
      <c r="I5" s="28"/>
      <c r="J5" s="29"/>
      <c r="M5" s="87" t="s">
        <v>158</v>
      </c>
    </row>
    <row r="6" spans="1:19" x14ac:dyDescent="0.2">
      <c r="A6" s="2"/>
      <c r="B6" s="28" t="s">
        <v>37</v>
      </c>
      <c r="C6" s="28"/>
      <c r="D6" s="28"/>
      <c r="E6" s="28"/>
      <c r="F6" s="28"/>
      <c r="G6" s="28"/>
      <c r="H6" s="28"/>
      <c r="I6" s="28"/>
      <c r="J6" s="29"/>
      <c r="M6" s="87" t="s">
        <v>159</v>
      </c>
    </row>
    <row r="7" spans="1:19" x14ac:dyDescent="0.2">
      <c r="A7" s="2"/>
      <c r="B7" s="28"/>
      <c r="C7" s="28"/>
      <c r="D7" s="28"/>
      <c r="E7" s="28"/>
      <c r="F7" s="28"/>
      <c r="G7" s="28"/>
      <c r="H7" s="28"/>
      <c r="I7" s="28"/>
      <c r="J7" s="29"/>
      <c r="M7" s="86" t="s">
        <v>39</v>
      </c>
    </row>
    <row r="8" spans="1:19" ht="17" thickBot="1" x14ac:dyDescent="0.25">
      <c r="A8" s="2"/>
      <c r="B8" s="28"/>
      <c r="C8" s="28"/>
      <c r="D8" s="28"/>
      <c r="E8" s="28"/>
      <c r="F8" s="28"/>
      <c r="G8" s="28"/>
      <c r="H8" s="28"/>
      <c r="I8" s="28"/>
      <c r="J8" s="29"/>
      <c r="M8" s="86" t="s">
        <v>40</v>
      </c>
    </row>
    <row r="9" spans="1:19" ht="17" thickBot="1" x14ac:dyDescent="0.25">
      <c r="A9" s="402" t="s">
        <v>145</v>
      </c>
      <c r="B9" s="403"/>
      <c r="C9" s="403"/>
      <c r="D9" s="403"/>
      <c r="E9" s="403"/>
      <c r="F9" s="403"/>
      <c r="G9" s="403"/>
      <c r="H9" s="403"/>
      <c r="I9" s="403"/>
      <c r="J9" s="404"/>
    </row>
    <row r="11" spans="1:19" ht="19" x14ac:dyDescent="0.25">
      <c r="A11" s="3"/>
      <c r="L11" s="8" t="s">
        <v>4</v>
      </c>
      <c r="N11" s="31"/>
    </row>
    <row r="12" spans="1:19" x14ac:dyDescent="0.2">
      <c r="M12" s="30" t="s">
        <v>41</v>
      </c>
    </row>
    <row r="13" spans="1:19" x14ac:dyDescent="0.2">
      <c r="M13" s="85" t="s">
        <v>160</v>
      </c>
      <c r="N13" s="87"/>
      <c r="O13" s="87"/>
      <c r="P13" s="87"/>
      <c r="Q13" s="87"/>
      <c r="R13" s="87"/>
      <c r="S13" s="87"/>
    </row>
    <row r="14" spans="1:19" x14ac:dyDescent="0.2">
      <c r="M14" s="406" t="s">
        <v>161</v>
      </c>
      <c r="N14" s="406"/>
      <c r="O14" s="406"/>
      <c r="P14" s="406"/>
      <c r="Q14" s="406"/>
      <c r="R14" s="406"/>
      <c r="S14" s="406"/>
    </row>
    <row r="15" spans="1:19" x14ac:dyDescent="0.2">
      <c r="L15" s="5"/>
      <c r="M15" s="406"/>
      <c r="N15" s="406"/>
      <c r="O15" s="406"/>
      <c r="P15" s="406"/>
      <c r="Q15" s="406"/>
      <c r="R15" s="406"/>
      <c r="S15" s="406"/>
    </row>
    <row r="16" spans="1:19" x14ac:dyDescent="0.2">
      <c r="L16" s="5"/>
    </row>
    <row r="17" spans="1:21" x14ac:dyDescent="0.2">
      <c r="L17" s="5"/>
      <c r="M17" s="30" t="s">
        <v>42</v>
      </c>
    </row>
    <row r="18" spans="1:21" x14ac:dyDescent="0.2">
      <c r="L18" s="5"/>
    </row>
    <row r="19" spans="1:21" ht="19" x14ac:dyDescent="0.25">
      <c r="L19" s="3" t="s">
        <v>131</v>
      </c>
    </row>
    <row r="20" spans="1:21" ht="16" customHeight="1" x14ac:dyDescent="0.2">
      <c r="L20" s="405" t="s">
        <v>452</v>
      </c>
      <c r="M20" s="407"/>
      <c r="N20" s="407"/>
      <c r="O20" s="407"/>
      <c r="P20" s="407"/>
      <c r="Q20" s="407"/>
      <c r="R20" s="407"/>
      <c r="S20" s="407"/>
      <c r="T20" s="42"/>
      <c r="U20" s="42"/>
    </row>
    <row r="21" spans="1:21" x14ac:dyDescent="0.2">
      <c r="L21" s="407"/>
      <c r="M21" s="407"/>
      <c r="N21" s="407"/>
      <c r="O21" s="407"/>
      <c r="P21" s="407"/>
      <c r="Q21" s="407"/>
      <c r="R21" s="407"/>
      <c r="S21" s="407"/>
    </row>
    <row r="22" spans="1:21" x14ac:dyDescent="0.2">
      <c r="L22" s="407"/>
      <c r="M22" s="407"/>
      <c r="N22" s="407"/>
      <c r="O22" s="407"/>
      <c r="P22" s="407"/>
      <c r="Q22" s="407"/>
      <c r="R22" s="407"/>
      <c r="S22" s="407"/>
    </row>
    <row r="23" spans="1:21" x14ac:dyDescent="0.2">
      <c r="L23" s="407"/>
      <c r="M23" s="407"/>
      <c r="N23" s="407"/>
      <c r="O23" s="407"/>
      <c r="P23" s="407"/>
      <c r="Q23" s="407"/>
      <c r="R23" s="407"/>
      <c r="S23" s="407"/>
    </row>
    <row r="24" spans="1:21" x14ac:dyDescent="0.2">
      <c r="L24" s="407"/>
      <c r="M24" s="407"/>
      <c r="N24" s="407"/>
      <c r="O24" s="407"/>
      <c r="P24" s="407"/>
      <c r="Q24" s="407"/>
      <c r="R24" s="407"/>
      <c r="S24" s="407"/>
    </row>
    <row r="25" spans="1:21" x14ac:dyDescent="0.2">
      <c r="L25" s="407"/>
      <c r="M25" s="407"/>
      <c r="N25" s="407"/>
      <c r="O25" s="407"/>
      <c r="P25" s="407"/>
      <c r="Q25" s="407"/>
      <c r="R25" s="407"/>
      <c r="S25" s="407"/>
    </row>
    <row r="32" spans="1:21" x14ac:dyDescent="0.2">
      <c r="A32" s="4"/>
      <c r="C32" s="31"/>
    </row>
    <row r="34" spans="12:14" x14ac:dyDescent="0.2">
      <c r="M34" s="31"/>
    </row>
    <row r="35" spans="12:14" x14ac:dyDescent="0.2">
      <c r="L35" s="5"/>
      <c r="M35" s="5"/>
      <c r="N35" s="5"/>
    </row>
    <row r="36" spans="12:14" x14ac:dyDescent="0.2">
      <c r="L36" s="5"/>
      <c r="M36" s="5"/>
      <c r="N36" s="5"/>
    </row>
    <row r="37" spans="12:14" x14ac:dyDescent="0.2">
      <c r="L37" s="5"/>
      <c r="M37" s="5"/>
      <c r="N37" s="5"/>
    </row>
    <row r="38" spans="12:14" x14ac:dyDescent="0.2">
      <c r="L38" s="5"/>
      <c r="M38" s="5"/>
      <c r="N38" s="5"/>
    </row>
    <row r="39" spans="12:14" x14ac:dyDescent="0.2">
      <c r="L39" s="5"/>
      <c r="M39" s="5"/>
      <c r="N39" s="5"/>
    </row>
    <row r="40" spans="12:14" x14ac:dyDescent="0.2">
      <c r="L40" s="5"/>
      <c r="M40" s="5"/>
      <c r="N40" s="5"/>
    </row>
    <row r="41" spans="12:14" x14ac:dyDescent="0.2">
      <c r="L41" s="5"/>
      <c r="M41" s="5"/>
      <c r="N41" s="5"/>
    </row>
    <row r="42" spans="12:14" x14ac:dyDescent="0.2">
      <c r="L42" s="5"/>
      <c r="M42" s="5"/>
      <c r="N42" s="5"/>
    </row>
    <row r="43" spans="12:14" x14ac:dyDescent="0.2">
      <c r="L43" s="5"/>
      <c r="M43" s="5"/>
      <c r="N43" s="5"/>
    </row>
    <row r="44" spans="12:14" x14ac:dyDescent="0.2">
      <c r="M44" s="31"/>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M54" s="31"/>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M64" s="31"/>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L69" s="5"/>
      <c r="M69" s="5"/>
      <c r="N69" s="5"/>
    </row>
    <row r="70" spans="1:65" x14ac:dyDescent="0.2">
      <c r="L70" s="5"/>
      <c r="M70" s="5"/>
      <c r="N70" s="5"/>
    </row>
    <row r="71" spans="1:65" x14ac:dyDescent="0.2">
      <c r="L71" s="5"/>
      <c r="M71" s="5"/>
      <c r="N71" s="5"/>
    </row>
    <row r="72" spans="1:65" x14ac:dyDescent="0.2">
      <c r="L72" s="5"/>
      <c r="M72" s="5"/>
      <c r="N72" s="5"/>
    </row>
    <row r="73" spans="1:65" x14ac:dyDescent="0.2">
      <c r="L73" s="5"/>
      <c r="M73" s="5"/>
      <c r="N73" s="5"/>
    </row>
    <row r="74" spans="1:65" x14ac:dyDescent="0.2">
      <c r="A74" s="5"/>
      <c r="B74" s="5"/>
      <c r="C74" s="5"/>
      <c r="D74" s="5"/>
      <c r="E74" s="5"/>
      <c r="F74" s="5"/>
      <c r="G74" s="5"/>
      <c r="H74" s="5"/>
      <c r="I74" s="5"/>
      <c r="J74" s="5"/>
      <c r="M74" s="31"/>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sheetData>
  <mergeCells count="3">
    <mergeCell ref="A9:J9"/>
    <mergeCell ref="M14:S15"/>
    <mergeCell ref="L20:S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sheetPr codeName="Sheet7"/>
  <dimension ref="A1:BM176"/>
  <sheetViews>
    <sheetView zoomScaleNormal="100" workbookViewId="0"/>
  </sheetViews>
  <sheetFormatPr baseColWidth="10" defaultColWidth="10.83203125" defaultRowHeight="16" outlineLevelCol="1" x14ac:dyDescent="0.2"/>
  <cols>
    <col min="1" max="1" width="4.6640625" style="30" customWidth="1"/>
    <col min="2" max="10" width="10.83203125" style="30" customWidth="1"/>
    <col min="11" max="11" width="11.5" style="30" bestFit="1" customWidth="1"/>
    <col min="12" max="20" width="10.83203125" style="30" hidden="1" customWidth="1" outlineLevel="1"/>
    <col min="21" max="21" width="10.83203125" style="30" collapsed="1"/>
    <col min="22" max="16384" width="10.83203125" style="30"/>
  </cols>
  <sheetData>
    <row r="1" spans="1:20" ht="19" x14ac:dyDescent="0.25">
      <c r="A1" s="1" t="s">
        <v>171</v>
      </c>
      <c r="B1" s="16"/>
      <c r="C1" s="27"/>
      <c r="D1" s="27"/>
      <c r="E1" s="27"/>
      <c r="F1" s="28"/>
      <c r="G1" s="28"/>
      <c r="H1" s="28"/>
      <c r="I1" s="28"/>
      <c r="J1" s="29"/>
      <c r="K1" s="3" t="s">
        <v>146</v>
      </c>
    </row>
    <row r="2" spans="1:20" x14ac:dyDescent="0.2">
      <c r="A2" s="2"/>
      <c r="B2" s="28"/>
      <c r="C2" s="28"/>
      <c r="D2" s="28"/>
      <c r="E2" s="28"/>
      <c r="F2" s="28"/>
      <c r="G2" s="28"/>
      <c r="H2" s="28"/>
      <c r="I2" s="28"/>
      <c r="J2" s="29"/>
      <c r="L2" s="8" t="s">
        <v>3</v>
      </c>
      <c r="N2" s="31"/>
    </row>
    <row r="3" spans="1:20" x14ac:dyDescent="0.2">
      <c r="A3" s="28" t="s">
        <v>0</v>
      </c>
      <c r="B3" s="28" t="s">
        <v>43</v>
      </c>
      <c r="C3" s="28"/>
      <c r="D3" s="28"/>
      <c r="E3" s="28"/>
      <c r="F3" s="28"/>
      <c r="G3" s="28"/>
      <c r="H3" s="28"/>
      <c r="I3" s="28"/>
      <c r="J3" s="29"/>
      <c r="M3" s="30" t="s">
        <v>46</v>
      </c>
    </row>
    <row r="4" spans="1:20" x14ac:dyDescent="0.2">
      <c r="A4" s="2"/>
      <c r="B4" s="28"/>
      <c r="C4" s="28"/>
      <c r="D4" s="28"/>
      <c r="E4" s="28"/>
      <c r="F4" s="28"/>
      <c r="G4" s="28"/>
      <c r="H4" s="28"/>
      <c r="I4" s="28"/>
      <c r="J4" s="29"/>
      <c r="M4" s="84" t="s">
        <v>40</v>
      </c>
    </row>
    <row r="5" spans="1:20" x14ac:dyDescent="0.2">
      <c r="A5" s="28" t="s">
        <v>1</v>
      </c>
      <c r="B5" s="28" t="s">
        <v>44</v>
      </c>
      <c r="C5" s="28"/>
      <c r="D5" s="28"/>
      <c r="E5" s="28"/>
      <c r="F5" s="28"/>
      <c r="G5" s="28"/>
      <c r="H5" s="28"/>
      <c r="I5" s="28"/>
      <c r="J5" s="29"/>
    </row>
    <row r="6" spans="1:20" x14ac:dyDescent="0.2">
      <c r="A6" s="2"/>
      <c r="B6" s="28" t="s">
        <v>45</v>
      </c>
      <c r="C6" s="28"/>
      <c r="D6" s="28"/>
      <c r="E6" s="28"/>
      <c r="F6" s="28"/>
      <c r="G6" s="28"/>
      <c r="H6" s="28"/>
      <c r="I6" s="28"/>
      <c r="J6" s="29"/>
      <c r="M6" s="30" t="s">
        <v>47</v>
      </c>
    </row>
    <row r="7" spans="1:20" x14ac:dyDescent="0.2">
      <c r="A7" s="2"/>
      <c r="B7" s="28"/>
      <c r="C7" s="28"/>
      <c r="D7" s="28"/>
      <c r="E7" s="28"/>
      <c r="F7" s="28"/>
      <c r="G7" s="28"/>
      <c r="H7" s="28"/>
      <c r="I7" s="28"/>
      <c r="J7" s="29"/>
      <c r="M7" s="30" t="s">
        <v>48</v>
      </c>
    </row>
    <row r="8" spans="1:20" ht="17" thickBot="1" x14ac:dyDescent="0.25">
      <c r="A8" s="2"/>
      <c r="B8" s="28"/>
      <c r="C8" s="28"/>
      <c r="D8" s="28"/>
      <c r="E8" s="28"/>
      <c r="F8" s="28"/>
      <c r="G8" s="28"/>
      <c r="H8" s="28"/>
      <c r="I8" s="28"/>
      <c r="J8" s="29"/>
      <c r="M8" s="84" t="s">
        <v>49</v>
      </c>
    </row>
    <row r="9" spans="1:20" ht="17" thickBot="1" x14ac:dyDescent="0.25">
      <c r="A9" s="402" t="s">
        <v>145</v>
      </c>
      <c r="B9" s="403"/>
      <c r="C9" s="403"/>
      <c r="D9" s="403"/>
      <c r="E9" s="403"/>
      <c r="F9" s="403"/>
      <c r="G9" s="403"/>
      <c r="H9" s="403"/>
      <c r="I9" s="403"/>
      <c r="J9" s="404"/>
    </row>
    <row r="10" spans="1:20" x14ac:dyDescent="0.2">
      <c r="L10" s="8" t="s">
        <v>4</v>
      </c>
      <c r="N10" s="31"/>
    </row>
    <row r="11" spans="1:20" ht="19" x14ac:dyDescent="0.25">
      <c r="A11" s="3"/>
      <c r="M11" s="30" t="s">
        <v>50</v>
      </c>
    </row>
    <row r="13" spans="1:20" x14ac:dyDescent="0.2">
      <c r="M13" s="30" t="s">
        <v>0</v>
      </c>
    </row>
    <row r="14" spans="1:20" x14ac:dyDescent="0.2">
      <c r="M14" s="408" t="s">
        <v>149</v>
      </c>
      <c r="N14" s="408"/>
      <c r="O14" s="408"/>
      <c r="P14" s="408"/>
      <c r="Q14" s="408"/>
      <c r="R14" s="408"/>
      <c r="S14" s="408"/>
      <c r="T14" s="408"/>
    </row>
    <row r="15" spans="1:20" x14ac:dyDescent="0.2">
      <c r="M15" s="408"/>
      <c r="N15" s="408"/>
      <c r="O15" s="408"/>
      <c r="P15" s="408"/>
      <c r="Q15" s="408"/>
      <c r="R15" s="408"/>
      <c r="S15" s="408"/>
      <c r="T15" s="408"/>
    </row>
    <row r="17" spans="1:21" x14ac:dyDescent="0.2">
      <c r="M17" s="30" t="s">
        <v>1</v>
      </c>
    </row>
    <row r="18" spans="1:21" x14ac:dyDescent="0.2">
      <c r="M18" s="408" t="s">
        <v>150</v>
      </c>
      <c r="N18" s="408"/>
      <c r="O18" s="408"/>
      <c r="P18" s="408"/>
      <c r="Q18" s="408"/>
      <c r="R18" s="408"/>
      <c r="S18" s="408"/>
      <c r="T18" s="408"/>
    </row>
    <row r="19" spans="1:21" x14ac:dyDescent="0.2">
      <c r="M19" s="408"/>
      <c r="N19" s="408"/>
      <c r="O19" s="408"/>
      <c r="P19" s="408"/>
      <c r="Q19" s="408"/>
      <c r="R19" s="408"/>
      <c r="S19" s="408"/>
      <c r="T19" s="408"/>
    </row>
    <row r="20" spans="1:21" x14ac:dyDescent="0.2">
      <c r="M20" s="408"/>
      <c r="N20" s="408"/>
      <c r="O20" s="408"/>
      <c r="P20" s="408"/>
      <c r="Q20" s="408"/>
      <c r="R20" s="408"/>
      <c r="S20" s="408"/>
      <c r="T20" s="408"/>
    </row>
    <row r="22" spans="1:21" x14ac:dyDescent="0.2">
      <c r="M22" s="30" t="s">
        <v>2</v>
      </c>
    </row>
    <row r="23" spans="1:21" x14ac:dyDescent="0.2">
      <c r="M23" s="408" t="s">
        <v>51</v>
      </c>
      <c r="N23" s="408"/>
      <c r="O23" s="408"/>
      <c r="P23" s="408"/>
      <c r="Q23" s="408"/>
      <c r="R23" s="408"/>
      <c r="S23" s="408"/>
      <c r="T23" s="408"/>
    </row>
    <row r="24" spans="1:21" x14ac:dyDescent="0.2">
      <c r="M24" s="408"/>
      <c r="N24" s="408"/>
      <c r="O24" s="408"/>
      <c r="P24" s="408"/>
      <c r="Q24" s="408"/>
      <c r="R24" s="408"/>
      <c r="S24" s="408"/>
      <c r="T24" s="408"/>
    </row>
    <row r="26" spans="1:21" x14ac:dyDescent="0.2">
      <c r="M26" s="408" t="s">
        <v>151</v>
      </c>
      <c r="N26" s="408"/>
      <c r="O26" s="408"/>
      <c r="P26" s="408"/>
      <c r="Q26" s="408"/>
      <c r="R26" s="408"/>
      <c r="S26" s="408"/>
      <c r="T26" s="408"/>
    </row>
    <row r="27" spans="1:21" x14ac:dyDescent="0.2">
      <c r="M27" s="408"/>
      <c r="N27" s="408"/>
      <c r="O27" s="408"/>
      <c r="P27" s="408"/>
      <c r="Q27" s="408"/>
      <c r="R27" s="408"/>
      <c r="S27" s="408"/>
      <c r="T27" s="408"/>
    </row>
    <row r="28" spans="1:21" x14ac:dyDescent="0.2">
      <c r="M28" s="408"/>
      <c r="N28" s="408"/>
      <c r="O28" s="408"/>
      <c r="P28" s="408"/>
      <c r="Q28" s="408"/>
      <c r="R28" s="408"/>
      <c r="S28" s="408"/>
      <c r="T28" s="408"/>
    </row>
    <row r="29" spans="1:21" x14ac:dyDescent="0.2">
      <c r="M29" s="408"/>
      <c r="N29" s="408"/>
      <c r="O29" s="408"/>
      <c r="P29" s="408"/>
      <c r="Q29" s="408"/>
      <c r="R29" s="408"/>
      <c r="S29" s="408"/>
      <c r="T29" s="408"/>
    </row>
    <row r="31" spans="1:21" ht="19" x14ac:dyDescent="0.25">
      <c r="A31" s="4"/>
      <c r="C31" s="31"/>
      <c r="L31" s="3" t="s">
        <v>131</v>
      </c>
    </row>
    <row r="32" spans="1:21" ht="16" customHeight="1" x14ac:dyDescent="0.2">
      <c r="L32" s="407" t="s">
        <v>144</v>
      </c>
      <c r="M32" s="407"/>
      <c r="N32" s="407"/>
      <c r="O32" s="407"/>
      <c r="P32" s="407"/>
      <c r="Q32" s="407"/>
      <c r="R32" s="407"/>
      <c r="S32" s="407"/>
      <c r="T32" s="407"/>
      <c r="U32" s="42"/>
    </row>
    <row r="33" spans="12:20" x14ac:dyDescent="0.2">
      <c r="L33" s="407"/>
      <c r="M33" s="407"/>
      <c r="N33" s="407"/>
      <c r="O33" s="407"/>
      <c r="P33" s="407"/>
      <c r="Q33" s="407"/>
      <c r="R33" s="407"/>
      <c r="S33" s="407"/>
      <c r="T33" s="407"/>
    </row>
    <row r="34" spans="12:20" x14ac:dyDescent="0.2">
      <c r="L34" s="5"/>
      <c r="M34" s="31"/>
    </row>
    <row r="35" spans="12:20" x14ac:dyDescent="0.2">
      <c r="L35" s="5"/>
      <c r="M35" s="5"/>
      <c r="N35" s="5"/>
    </row>
    <row r="36" spans="12:20" x14ac:dyDescent="0.2">
      <c r="L36" s="5"/>
      <c r="M36" s="5"/>
      <c r="N36" s="5"/>
    </row>
    <row r="37" spans="12:20" x14ac:dyDescent="0.2">
      <c r="L37" s="5"/>
      <c r="M37" s="5"/>
      <c r="N37" s="5"/>
    </row>
    <row r="38" spans="12:20" x14ac:dyDescent="0.2">
      <c r="L38" s="5"/>
      <c r="M38" s="5"/>
      <c r="N38" s="5"/>
    </row>
    <row r="39" spans="12:20" x14ac:dyDescent="0.2">
      <c r="L39" s="5"/>
      <c r="M39" s="5"/>
      <c r="N39" s="5"/>
    </row>
    <row r="40" spans="12:20" x14ac:dyDescent="0.2">
      <c r="L40" s="5"/>
      <c r="M40" s="5"/>
      <c r="N40" s="5"/>
    </row>
    <row r="41" spans="12:20" x14ac:dyDescent="0.2">
      <c r="L41" s="5"/>
      <c r="M41" s="5"/>
      <c r="N41" s="5"/>
    </row>
    <row r="42" spans="12:20" x14ac:dyDescent="0.2">
      <c r="L42" s="5"/>
      <c r="M42" s="5"/>
      <c r="N42" s="5"/>
    </row>
    <row r="43" spans="12:20" x14ac:dyDescent="0.2">
      <c r="M43" s="5"/>
      <c r="N43" s="5"/>
    </row>
    <row r="44" spans="12:20" x14ac:dyDescent="0.2">
      <c r="L44" s="5"/>
      <c r="M44" s="31"/>
    </row>
    <row r="45" spans="12:20" x14ac:dyDescent="0.2">
      <c r="L45" s="5"/>
      <c r="M45" s="5"/>
      <c r="N45" s="5"/>
    </row>
    <row r="46" spans="12:20" x14ac:dyDescent="0.2">
      <c r="L46" s="5"/>
      <c r="M46" s="5"/>
      <c r="N46" s="5"/>
    </row>
    <row r="47" spans="12:20" x14ac:dyDescent="0.2">
      <c r="L47" s="5"/>
      <c r="M47" s="5"/>
      <c r="N47" s="5"/>
    </row>
    <row r="48" spans="12:20"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M53" s="5"/>
      <c r="N53" s="5"/>
    </row>
    <row r="54" spans="12:14" x14ac:dyDescent="0.2">
      <c r="L54" s="5"/>
      <c r="M54" s="31"/>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M63" s="5"/>
      <c r="N63" s="5"/>
    </row>
    <row r="64" spans="12:14" x14ac:dyDescent="0.2">
      <c r="L64" s="5"/>
      <c r="M64" s="31"/>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L69" s="5"/>
      <c r="M69" s="5"/>
      <c r="N69" s="5"/>
    </row>
    <row r="70" spans="1:65" x14ac:dyDescent="0.2">
      <c r="L70" s="5"/>
      <c r="M70" s="5"/>
      <c r="N70" s="5"/>
    </row>
    <row r="71" spans="1:65" x14ac:dyDescent="0.2">
      <c r="L71" s="5"/>
      <c r="M71" s="5"/>
      <c r="N71" s="5"/>
    </row>
    <row r="72" spans="1:65" x14ac:dyDescent="0.2">
      <c r="L72" s="5"/>
      <c r="M72" s="5"/>
      <c r="N72" s="5"/>
    </row>
    <row r="73" spans="1:65" x14ac:dyDescent="0.2">
      <c r="A73" s="5"/>
      <c r="B73" s="5"/>
      <c r="C73" s="5"/>
      <c r="D73" s="5"/>
      <c r="E73" s="5"/>
      <c r="F73" s="5"/>
      <c r="G73" s="5"/>
      <c r="H73" s="5"/>
      <c r="I73" s="5"/>
      <c r="J73" s="5"/>
      <c r="M73" s="5"/>
      <c r="N73" s="5"/>
    </row>
    <row r="74" spans="1:65" x14ac:dyDescent="0.2">
      <c r="A74" s="5"/>
      <c r="B74" s="5"/>
      <c r="C74" s="5"/>
      <c r="D74" s="5"/>
      <c r="E74" s="5"/>
      <c r="F74" s="5"/>
      <c r="G74" s="5"/>
      <c r="H74" s="5"/>
      <c r="I74" s="5"/>
      <c r="J74" s="5"/>
      <c r="K74" s="5"/>
      <c r="L74" s="5"/>
      <c r="M74" s="31"/>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M176" s="5"/>
      <c r="N176" s="5"/>
      <c r="O176" s="5"/>
      <c r="P176" s="5"/>
      <c r="Q176" s="5"/>
      <c r="R176" s="5"/>
      <c r="S176" s="5"/>
      <c r="T176" s="5"/>
    </row>
  </sheetData>
  <mergeCells count="6">
    <mergeCell ref="L32:T33"/>
    <mergeCell ref="A9:J9"/>
    <mergeCell ref="M14:T15"/>
    <mergeCell ref="M18:T20"/>
    <mergeCell ref="M23:T24"/>
    <mergeCell ref="M26:T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sheetPr codeName="Sheet8"/>
  <dimension ref="A1:BM175"/>
  <sheetViews>
    <sheetView zoomScaleNormal="100" workbookViewId="0"/>
  </sheetViews>
  <sheetFormatPr baseColWidth="10" defaultColWidth="10.83203125" defaultRowHeight="16" outlineLevelCol="1" x14ac:dyDescent="0.2"/>
  <cols>
    <col min="1" max="1" width="4.6640625" style="30" customWidth="1"/>
    <col min="2" max="10" width="10.83203125" style="30" customWidth="1"/>
    <col min="11" max="11" width="11.5" style="30" bestFit="1" customWidth="1"/>
    <col min="12" max="20" width="10.83203125" style="30" hidden="1" customWidth="1" outlineLevel="1"/>
    <col min="21" max="21" width="10.83203125" style="30" collapsed="1"/>
    <col min="22" max="16384" width="10.83203125" style="30"/>
  </cols>
  <sheetData>
    <row r="1" spans="1:20" ht="19" x14ac:dyDescent="0.25">
      <c r="A1" s="1" t="s">
        <v>172</v>
      </c>
      <c r="B1" s="16"/>
      <c r="C1" s="27"/>
      <c r="D1" s="27"/>
      <c r="E1" s="27"/>
      <c r="F1" s="28"/>
      <c r="G1" s="28"/>
      <c r="H1" s="28"/>
      <c r="I1" s="28"/>
      <c r="J1" s="29"/>
      <c r="K1" s="3" t="s">
        <v>146</v>
      </c>
    </row>
    <row r="2" spans="1:20" x14ac:dyDescent="0.2">
      <c r="A2" s="2"/>
      <c r="B2" s="28"/>
      <c r="C2" s="28"/>
      <c r="D2" s="28"/>
      <c r="E2" s="28"/>
      <c r="F2" s="28"/>
      <c r="G2" s="28"/>
      <c r="H2" s="28"/>
      <c r="I2" s="28"/>
      <c r="J2" s="29"/>
      <c r="L2" s="8" t="s">
        <v>3</v>
      </c>
    </row>
    <row r="3" spans="1:20" x14ac:dyDescent="0.2">
      <c r="A3" s="28" t="s">
        <v>0</v>
      </c>
      <c r="B3" s="28" t="s">
        <v>52</v>
      </c>
      <c r="C3" s="28"/>
      <c r="D3" s="28"/>
      <c r="E3" s="28"/>
      <c r="F3" s="28"/>
      <c r="G3" s="28"/>
      <c r="H3" s="28"/>
      <c r="I3" s="28"/>
      <c r="J3" s="29"/>
      <c r="M3" s="30" t="s">
        <v>162</v>
      </c>
    </row>
    <row r="4" spans="1:20" x14ac:dyDescent="0.2">
      <c r="A4" s="2"/>
      <c r="B4" s="28"/>
      <c r="C4" s="28"/>
      <c r="D4" s="28"/>
      <c r="E4" s="28"/>
      <c r="F4" s="28"/>
      <c r="G4" s="28"/>
      <c r="H4" s="28"/>
      <c r="I4" s="28"/>
      <c r="J4" s="29"/>
      <c r="M4" s="30" t="s">
        <v>159</v>
      </c>
    </row>
    <row r="5" spans="1:20" x14ac:dyDescent="0.2">
      <c r="A5" s="28" t="s">
        <v>1</v>
      </c>
      <c r="B5" s="28" t="s">
        <v>53</v>
      </c>
      <c r="C5" s="28"/>
      <c r="D5" s="28"/>
      <c r="E5" s="28"/>
      <c r="F5" s="28"/>
      <c r="G5" s="28"/>
      <c r="H5" s="28"/>
      <c r="I5" s="28"/>
      <c r="J5" s="29"/>
      <c r="M5" s="85" t="s">
        <v>174</v>
      </c>
    </row>
    <row r="6" spans="1:20" x14ac:dyDescent="0.2">
      <c r="A6" s="2"/>
      <c r="B6" s="28" t="s">
        <v>54</v>
      </c>
      <c r="C6" s="28"/>
      <c r="D6" s="28"/>
      <c r="E6" s="28"/>
      <c r="F6" s="28"/>
      <c r="G6" s="28"/>
      <c r="H6" s="28"/>
      <c r="I6" s="28"/>
      <c r="J6" s="29"/>
      <c r="M6" s="85" t="s">
        <v>55</v>
      </c>
    </row>
    <row r="7" spans="1:20" x14ac:dyDescent="0.2">
      <c r="A7" s="2"/>
      <c r="B7" s="28"/>
      <c r="C7" s="28"/>
      <c r="D7" s="28"/>
      <c r="E7" s="28"/>
      <c r="F7" s="28"/>
      <c r="G7" s="28"/>
      <c r="H7" s="28"/>
      <c r="I7" s="28"/>
      <c r="J7" s="29"/>
      <c r="M7" s="85" t="s">
        <v>56</v>
      </c>
    </row>
    <row r="8" spans="1:20" ht="17" thickBot="1" x14ac:dyDescent="0.25">
      <c r="A8" s="2"/>
      <c r="B8" s="28"/>
      <c r="C8" s="28"/>
      <c r="D8" s="28"/>
      <c r="E8" s="28"/>
      <c r="F8" s="28"/>
      <c r="G8" s="28"/>
      <c r="H8" s="28"/>
      <c r="I8" s="28"/>
      <c r="J8" s="29"/>
    </row>
    <row r="9" spans="1:20" ht="17" thickBot="1" x14ac:dyDescent="0.25">
      <c r="A9" s="402" t="s">
        <v>145</v>
      </c>
      <c r="B9" s="403"/>
      <c r="C9" s="403"/>
      <c r="D9" s="403"/>
      <c r="E9" s="403"/>
      <c r="F9" s="403"/>
      <c r="G9" s="403"/>
      <c r="H9" s="403"/>
      <c r="I9" s="403"/>
      <c r="J9" s="404"/>
      <c r="L9" s="8" t="s">
        <v>4</v>
      </c>
      <c r="N9" s="31"/>
    </row>
    <row r="10" spans="1:20" x14ac:dyDescent="0.2">
      <c r="M10" s="8" t="s">
        <v>57</v>
      </c>
    </row>
    <row r="11" spans="1:20" ht="19" x14ac:dyDescent="0.25">
      <c r="A11" s="3"/>
      <c r="M11" s="408" t="s">
        <v>176</v>
      </c>
      <c r="N11" s="408"/>
      <c r="O11" s="408"/>
      <c r="P11" s="408"/>
      <c r="Q11" s="408"/>
      <c r="R11" s="408"/>
      <c r="S11" s="408"/>
      <c r="T11" s="408"/>
    </row>
    <row r="12" spans="1:20" x14ac:dyDescent="0.2">
      <c r="C12" s="31"/>
      <c r="M12" s="408"/>
      <c r="N12" s="408"/>
      <c r="O12" s="408"/>
      <c r="P12" s="408"/>
      <c r="Q12" s="408"/>
      <c r="R12" s="408"/>
      <c r="S12" s="408"/>
      <c r="T12" s="408"/>
    </row>
    <row r="13" spans="1:20" x14ac:dyDescent="0.2">
      <c r="M13" s="85" t="s">
        <v>58</v>
      </c>
    </row>
    <row r="14" spans="1:20" x14ac:dyDescent="0.2">
      <c r="M14" s="85" t="s">
        <v>59</v>
      </c>
    </row>
    <row r="16" spans="1:20" x14ac:dyDescent="0.2">
      <c r="M16" s="30" t="s">
        <v>60</v>
      </c>
    </row>
    <row r="17" spans="1:20" x14ac:dyDescent="0.2">
      <c r="L17" s="5"/>
    </row>
    <row r="18" spans="1:20" x14ac:dyDescent="0.2">
      <c r="L18" s="5"/>
      <c r="M18" s="8" t="s">
        <v>61</v>
      </c>
    </row>
    <row r="19" spans="1:20" x14ac:dyDescent="0.2">
      <c r="L19" s="5"/>
      <c r="M19" s="408" t="s">
        <v>163</v>
      </c>
      <c r="N19" s="408"/>
      <c r="O19" s="408"/>
      <c r="P19" s="408"/>
      <c r="Q19" s="408"/>
      <c r="R19" s="408"/>
      <c r="S19" s="408"/>
      <c r="T19" s="408"/>
    </row>
    <row r="20" spans="1:20" x14ac:dyDescent="0.2">
      <c r="L20" s="5"/>
      <c r="M20" s="408"/>
      <c r="N20" s="408"/>
      <c r="O20" s="408"/>
      <c r="P20" s="408"/>
      <c r="Q20" s="408"/>
      <c r="R20" s="408"/>
      <c r="S20" s="408"/>
      <c r="T20" s="408"/>
    </row>
    <row r="22" spans="1:20" x14ac:dyDescent="0.2">
      <c r="M22" s="30" t="s">
        <v>62</v>
      </c>
    </row>
    <row r="23" spans="1:20" x14ac:dyDescent="0.2">
      <c r="M23" s="408" t="s">
        <v>164</v>
      </c>
      <c r="N23" s="408"/>
      <c r="O23" s="408"/>
      <c r="P23" s="408"/>
      <c r="Q23" s="408"/>
      <c r="R23" s="408"/>
      <c r="S23" s="408"/>
      <c r="T23" s="408"/>
    </row>
    <row r="24" spans="1:20" x14ac:dyDescent="0.2">
      <c r="M24" s="408"/>
      <c r="N24" s="408"/>
      <c r="O24" s="408"/>
      <c r="P24" s="408"/>
      <c r="Q24" s="408"/>
      <c r="R24" s="408"/>
      <c r="S24" s="408"/>
      <c r="T24" s="408"/>
    </row>
    <row r="26" spans="1:20" x14ac:dyDescent="0.2">
      <c r="M26" s="408" t="s">
        <v>165</v>
      </c>
      <c r="N26" s="408"/>
      <c r="O26" s="408"/>
      <c r="P26" s="408"/>
      <c r="Q26" s="408"/>
      <c r="R26" s="408"/>
      <c r="S26" s="408"/>
      <c r="T26" s="408"/>
    </row>
    <row r="27" spans="1:20" x14ac:dyDescent="0.2">
      <c r="M27" s="408"/>
      <c r="N27" s="408"/>
      <c r="O27" s="408"/>
      <c r="P27" s="408"/>
      <c r="Q27" s="408"/>
      <c r="R27" s="408"/>
      <c r="S27" s="408"/>
      <c r="T27" s="408"/>
    </row>
    <row r="31" spans="1:20" x14ac:dyDescent="0.2">
      <c r="A31" s="4"/>
    </row>
    <row r="33" spans="12:14" x14ac:dyDescent="0.2">
      <c r="M33" s="31"/>
    </row>
    <row r="34" spans="12:14" x14ac:dyDescent="0.2">
      <c r="L34" s="5"/>
      <c r="M34" s="5"/>
      <c r="N34" s="5"/>
    </row>
    <row r="35" spans="12:14" x14ac:dyDescent="0.2">
      <c r="L35" s="5"/>
      <c r="M35" s="5"/>
      <c r="N35" s="5"/>
    </row>
    <row r="36" spans="12:14" x14ac:dyDescent="0.2">
      <c r="L36" s="5"/>
      <c r="M36" s="5"/>
      <c r="N36" s="5"/>
    </row>
    <row r="37" spans="12:14" x14ac:dyDescent="0.2">
      <c r="L37" s="5"/>
      <c r="M37" s="5"/>
      <c r="N37" s="5"/>
    </row>
    <row r="38" spans="12:14" x14ac:dyDescent="0.2">
      <c r="L38" s="5"/>
      <c r="M38" s="5"/>
      <c r="N38" s="5"/>
    </row>
    <row r="39" spans="12:14" x14ac:dyDescent="0.2">
      <c r="L39" s="5"/>
      <c r="M39" s="5"/>
      <c r="N39" s="5"/>
    </row>
    <row r="40" spans="12:14" x14ac:dyDescent="0.2">
      <c r="L40" s="5"/>
      <c r="M40" s="5"/>
      <c r="N40" s="5"/>
    </row>
    <row r="41" spans="12:14" x14ac:dyDescent="0.2">
      <c r="L41" s="5"/>
      <c r="M41" s="5"/>
      <c r="N41" s="5"/>
    </row>
    <row r="42" spans="12:14" x14ac:dyDescent="0.2">
      <c r="L42" s="5"/>
      <c r="M42" s="5"/>
      <c r="N42" s="5"/>
    </row>
    <row r="43" spans="12:14" x14ac:dyDescent="0.2">
      <c r="M43" s="31"/>
    </row>
    <row r="44" spans="12:14" x14ac:dyDescent="0.2">
      <c r="L44" s="5"/>
      <c r="M44" s="5"/>
      <c r="N44" s="5"/>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M53" s="31"/>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M63" s="31"/>
    </row>
    <row r="64" spans="12:14" x14ac:dyDescent="0.2">
      <c r="L64" s="5"/>
      <c r="M64" s="5"/>
      <c r="N64" s="5"/>
    </row>
    <row r="65" spans="1:65" x14ac:dyDescent="0.2">
      <c r="L65" s="5"/>
      <c r="M65" s="5"/>
      <c r="N65" s="5"/>
    </row>
    <row r="66" spans="1:65" x14ac:dyDescent="0.2">
      <c r="L66" s="5"/>
      <c r="M66" s="5"/>
      <c r="N66" s="5"/>
    </row>
    <row r="67" spans="1:65" x14ac:dyDescent="0.2">
      <c r="L67" s="5"/>
      <c r="M67" s="5"/>
      <c r="N67" s="5"/>
    </row>
    <row r="68" spans="1:65" x14ac:dyDescent="0.2">
      <c r="L68" s="5"/>
      <c r="M68" s="5"/>
      <c r="N68" s="5"/>
    </row>
    <row r="69" spans="1:65" x14ac:dyDescent="0.2">
      <c r="L69" s="5"/>
      <c r="M69" s="5"/>
      <c r="N69" s="5"/>
    </row>
    <row r="70" spans="1:65" x14ac:dyDescent="0.2">
      <c r="L70" s="5"/>
      <c r="M70" s="5"/>
      <c r="N70" s="5"/>
    </row>
    <row r="71" spans="1:65" x14ac:dyDescent="0.2">
      <c r="L71" s="5"/>
      <c r="M71" s="5"/>
      <c r="N71" s="5"/>
    </row>
    <row r="72" spans="1:65" x14ac:dyDescent="0.2">
      <c r="L72" s="5"/>
      <c r="M72" s="5"/>
      <c r="N72" s="5"/>
    </row>
    <row r="73" spans="1:65" x14ac:dyDescent="0.2">
      <c r="A73" s="5"/>
      <c r="B73" s="5"/>
      <c r="C73" s="5"/>
      <c r="D73" s="5"/>
      <c r="E73" s="5"/>
      <c r="F73" s="5"/>
      <c r="G73" s="5"/>
      <c r="H73" s="5"/>
      <c r="I73" s="5"/>
      <c r="J73" s="5"/>
      <c r="M73" s="31"/>
    </row>
    <row r="74" spans="1:65"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sheetData>
  <mergeCells count="5">
    <mergeCell ref="A9:J9"/>
    <mergeCell ref="M11:T12"/>
    <mergeCell ref="M19:T20"/>
    <mergeCell ref="M23:T24"/>
    <mergeCell ref="M26:T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sheetPr codeName="Sheet9"/>
  <dimension ref="A1:BM187"/>
  <sheetViews>
    <sheetView zoomScaleNormal="100" workbookViewId="0">
      <selection activeCell="B1" sqref="B1"/>
    </sheetView>
  </sheetViews>
  <sheetFormatPr baseColWidth="10" defaultColWidth="10.83203125" defaultRowHeight="16" outlineLevelCol="1" x14ac:dyDescent="0.2"/>
  <cols>
    <col min="1" max="1" width="4.6640625" style="30" customWidth="1"/>
    <col min="2" max="10" width="10.83203125" style="30" customWidth="1"/>
    <col min="11" max="11" width="11.5" style="30" bestFit="1" customWidth="1"/>
    <col min="12" max="20" width="10.83203125" style="30" hidden="1" customWidth="1" outlineLevel="1"/>
    <col min="21" max="21" width="10.83203125" style="30" collapsed="1"/>
    <col min="22" max="16384" width="10.83203125" style="30"/>
  </cols>
  <sheetData>
    <row r="1" spans="1:21" ht="19" x14ac:dyDescent="0.25">
      <c r="A1" s="1" t="s">
        <v>173</v>
      </c>
      <c r="B1" s="16"/>
      <c r="C1" s="27"/>
      <c r="D1" s="27"/>
      <c r="E1" s="27"/>
      <c r="F1" s="28"/>
      <c r="G1" s="28"/>
      <c r="H1" s="28"/>
      <c r="I1" s="28"/>
      <c r="J1" s="29"/>
      <c r="K1" s="3" t="s">
        <v>146</v>
      </c>
    </row>
    <row r="2" spans="1:21" x14ac:dyDescent="0.2">
      <c r="A2" s="2"/>
      <c r="B2" s="28"/>
      <c r="C2" s="28"/>
      <c r="D2" s="28"/>
      <c r="E2" s="28"/>
      <c r="F2" s="28"/>
      <c r="G2" s="28"/>
      <c r="H2" s="28"/>
      <c r="I2" s="28"/>
      <c r="J2" s="29"/>
      <c r="L2" s="8" t="s">
        <v>3</v>
      </c>
      <c r="N2" s="31"/>
    </row>
    <row r="3" spans="1:21" ht="16" customHeight="1" x14ac:dyDescent="0.2">
      <c r="A3" s="2"/>
      <c r="B3" s="28" t="s">
        <v>63</v>
      </c>
      <c r="C3" s="28"/>
      <c r="D3" s="28"/>
      <c r="E3" s="28"/>
      <c r="F3" s="28"/>
      <c r="G3" s="28"/>
      <c r="H3" s="28"/>
      <c r="I3" s="28"/>
      <c r="J3" s="29"/>
      <c r="M3" s="409" t="s">
        <v>448</v>
      </c>
      <c r="N3" s="409"/>
      <c r="O3" s="409"/>
      <c r="P3" s="409"/>
      <c r="Q3" s="409"/>
      <c r="R3" s="409"/>
      <c r="S3" s="409"/>
      <c r="T3" s="409"/>
      <c r="U3" s="42"/>
    </row>
    <row r="4" spans="1:21" x14ac:dyDescent="0.2">
      <c r="A4" s="2"/>
      <c r="B4" s="28"/>
      <c r="C4" s="28"/>
      <c r="D4" s="28"/>
      <c r="E4" s="28"/>
      <c r="F4" s="28"/>
      <c r="G4" s="28"/>
      <c r="H4" s="28"/>
      <c r="I4" s="28"/>
      <c r="J4" s="29"/>
      <c r="M4" s="409"/>
      <c r="N4" s="409"/>
      <c r="O4" s="409"/>
      <c r="P4" s="409"/>
      <c r="Q4" s="409"/>
      <c r="R4" s="409"/>
      <c r="S4" s="409"/>
      <c r="T4" s="409"/>
    </row>
    <row r="5" spans="1:21" x14ac:dyDescent="0.2">
      <c r="A5" s="2"/>
      <c r="B5" s="28"/>
      <c r="C5" s="28"/>
      <c r="D5" s="28"/>
      <c r="E5" s="28"/>
      <c r="F5" s="28"/>
      <c r="G5" s="28"/>
      <c r="H5" s="28"/>
      <c r="I5" s="28"/>
      <c r="J5" s="29"/>
      <c r="M5" s="409"/>
      <c r="N5" s="409"/>
      <c r="O5" s="409"/>
      <c r="P5" s="409"/>
      <c r="Q5" s="409"/>
      <c r="R5" s="409"/>
      <c r="S5" s="409"/>
      <c r="T5" s="409"/>
    </row>
    <row r="6" spans="1:21" x14ac:dyDescent="0.2">
      <c r="A6" s="2"/>
      <c r="B6" s="28"/>
      <c r="C6" s="28"/>
      <c r="D6" s="28"/>
      <c r="E6" s="28"/>
      <c r="F6" s="28"/>
      <c r="G6" s="28"/>
      <c r="H6" s="28"/>
      <c r="I6" s="28"/>
      <c r="J6" s="29"/>
      <c r="M6" s="409"/>
      <c r="N6" s="409"/>
      <c r="O6" s="409"/>
      <c r="P6" s="409"/>
      <c r="Q6" s="409"/>
      <c r="R6" s="409"/>
      <c r="S6" s="409"/>
      <c r="T6" s="409"/>
    </row>
    <row r="7" spans="1:21" x14ac:dyDescent="0.2">
      <c r="A7" s="2"/>
      <c r="B7" s="28"/>
      <c r="C7" s="28"/>
      <c r="D7" s="28"/>
      <c r="E7" s="28"/>
      <c r="F7" s="28"/>
      <c r="G7" s="28"/>
      <c r="H7" s="28"/>
      <c r="I7" s="28"/>
      <c r="J7" s="29"/>
      <c r="M7" s="409"/>
      <c r="N7" s="409"/>
      <c r="O7" s="409"/>
      <c r="P7" s="409"/>
      <c r="Q7" s="409"/>
      <c r="R7" s="409"/>
      <c r="S7" s="409"/>
      <c r="T7" s="409"/>
    </row>
    <row r="8" spans="1:21" x14ac:dyDescent="0.2">
      <c r="A8" s="2"/>
      <c r="B8" s="28"/>
      <c r="C8" s="28"/>
      <c r="D8" s="28"/>
      <c r="E8" s="28"/>
      <c r="F8" s="28"/>
      <c r="G8" s="28"/>
      <c r="H8" s="28"/>
      <c r="I8" s="28"/>
      <c r="J8" s="29"/>
      <c r="M8" s="409"/>
      <c r="N8" s="409"/>
      <c r="O8" s="409"/>
      <c r="P8" s="409"/>
      <c r="Q8" s="409"/>
      <c r="R8" s="409"/>
      <c r="S8" s="409"/>
      <c r="T8" s="409"/>
    </row>
    <row r="9" spans="1:21" x14ac:dyDescent="0.2">
      <c r="A9" s="2"/>
      <c r="B9" s="28"/>
      <c r="C9" s="28"/>
      <c r="D9" s="28"/>
      <c r="E9" s="28"/>
      <c r="F9" s="28"/>
      <c r="G9" s="28"/>
      <c r="H9" s="28"/>
      <c r="I9" s="28"/>
      <c r="J9" s="29"/>
      <c r="M9" s="409"/>
      <c r="N9" s="409"/>
      <c r="O9" s="409"/>
      <c r="P9" s="409"/>
      <c r="Q9" s="409"/>
      <c r="R9" s="409"/>
      <c r="S9" s="409"/>
      <c r="T9" s="409"/>
    </row>
    <row r="10" spans="1:21" x14ac:dyDescent="0.2">
      <c r="A10" s="2"/>
      <c r="B10" s="28"/>
      <c r="C10" s="28"/>
      <c r="D10" s="28"/>
      <c r="E10" s="28"/>
      <c r="F10" s="28"/>
      <c r="G10" s="28"/>
      <c r="H10" s="28"/>
      <c r="I10" s="28"/>
      <c r="J10" s="29"/>
      <c r="M10" s="409"/>
      <c r="N10" s="409"/>
      <c r="O10" s="409"/>
      <c r="P10" s="409"/>
      <c r="Q10" s="409"/>
      <c r="R10" s="409"/>
      <c r="S10" s="409"/>
      <c r="T10" s="409"/>
    </row>
    <row r="11" spans="1:21" x14ac:dyDescent="0.2">
      <c r="A11" s="2"/>
      <c r="B11" s="28"/>
      <c r="C11" s="28"/>
      <c r="D11" s="28"/>
      <c r="E11" s="28"/>
      <c r="F11" s="28"/>
      <c r="G11" s="28"/>
      <c r="H11" s="28"/>
      <c r="I11" s="28"/>
      <c r="J11" s="29"/>
      <c r="M11" s="409"/>
      <c r="N11" s="409"/>
      <c r="O11" s="409"/>
      <c r="P11" s="409"/>
      <c r="Q11" s="409"/>
      <c r="R11" s="409"/>
      <c r="S11" s="409"/>
      <c r="T11" s="409"/>
    </row>
    <row r="12" spans="1:21" x14ac:dyDescent="0.2">
      <c r="A12" s="2"/>
      <c r="B12" s="28"/>
      <c r="C12" s="28"/>
      <c r="D12" s="28"/>
      <c r="E12" s="28"/>
      <c r="F12" s="28"/>
      <c r="G12" s="28"/>
      <c r="H12" s="28"/>
      <c r="I12" s="28"/>
      <c r="J12" s="29"/>
    </row>
    <row r="13" spans="1:21" ht="16" customHeight="1" x14ac:dyDescent="0.2">
      <c r="A13" s="2"/>
      <c r="B13" s="28"/>
      <c r="C13" s="28"/>
      <c r="D13" s="28"/>
      <c r="E13" s="28"/>
      <c r="F13" s="28"/>
      <c r="G13" s="28"/>
      <c r="H13" s="28"/>
      <c r="I13" s="28"/>
      <c r="J13" s="29"/>
      <c r="L13" s="8" t="s">
        <v>4</v>
      </c>
      <c r="N13" s="31"/>
    </row>
    <row r="14" spans="1:21" x14ac:dyDescent="0.2">
      <c r="A14" s="2"/>
      <c r="B14" s="28"/>
      <c r="C14" s="28"/>
      <c r="D14" s="28"/>
      <c r="E14" s="28"/>
      <c r="F14" s="28"/>
      <c r="G14" s="28"/>
      <c r="H14" s="28"/>
      <c r="I14" s="28"/>
      <c r="J14" s="29"/>
      <c r="M14" s="408" t="s">
        <v>69</v>
      </c>
      <c r="N14" s="408"/>
      <c r="O14" s="408"/>
      <c r="P14" s="408"/>
      <c r="Q14" s="408"/>
      <c r="R14" s="408"/>
      <c r="S14" s="408"/>
      <c r="T14" s="408"/>
      <c r="U14" s="42"/>
    </row>
    <row r="15" spans="1:21" x14ac:dyDescent="0.2">
      <c r="A15" s="2"/>
      <c r="B15" s="28"/>
      <c r="C15" s="28"/>
      <c r="D15" s="28"/>
      <c r="E15" s="28"/>
      <c r="F15" s="28"/>
      <c r="G15" s="28"/>
      <c r="H15" s="28"/>
      <c r="I15" s="28"/>
      <c r="J15" s="29"/>
      <c r="M15" s="408"/>
      <c r="N15" s="408"/>
      <c r="O15" s="408"/>
      <c r="P15" s="408"/>
      <c r="Q15" s="408"/>
      <c r="R15" s="408"/>
      <c r="S15" s="408"/>
      <c r="T15" s="408"/>
    </row>
    <row r="16" spans="1:21" x14ac:dyDescent="0.2">
      <c r="A16" s="2"/>
      <c r="B16" s="28"/>
      <c r="C16" s="28"/>
      <c r="D16" s="28"/>
      <c r="E16" s="28"/>
      <c r="F16" s="28"/>
      <c r="G16" s="28"/>
      <c r="H16" s="28"/>
      <c r="I16" s="28"/>
      <c r="J16" s="29"/>
      <c r="M16" s="408"/>
      <c r="N16" s="408"/>
      <c r="O16" s="408"/>
      <c r="P16" s="408"/>
      <c r="Q16" s="408"/>
      <c r="R16" s="408"/>
      <c r="S16" s="408"/>
      <c r="T16" s="408"/>
    </row>
    <row r="17" spans="1:21" x14ac:dyDescent="0.2">
      <c r="A17" s="2"/>
      <c r="B17" s="28"/>
      <c r="C17" s="28"/>
      <c r="D17" s="28"/>
      <c r="E17" s="28"/>
      <c r="F17" s="28"/>
      <c r="G17" s="28"/>
      <c r="H17" s="28"/>
      <c r="I17" s="28"/>
      <c r="J17" s="29"/>
      <c r="M17" s="408"/>
      <c r="N17" s="408"/>
      <c r="O17" s="408"/>
      <c r="P17" s="408"/>
      <c r="Q17" s="408"/>
      <c r="R17" s="408"/>
      <c r="S17" s="408"/>
      <c r="T17" s="408"/>
    </row>
    <row r="18" spans="1:21" x14ac:dyDescent="0.2">
      <c r="A18" s="2"/>
      <c r="B18" s="28"/>
      <c r="C18" s="28"/>
      <c r="D18" s="28"/>
      <c r="E18" s="28"/>
      <c r="F18" s="28"/>
      <c r="G18" s="28"/>
      <c r="H18" s="28"/>
      <c r="I18" s="28"/>
      <c r="J18" s="29"/>
      <c r="M18" s="408"/>
      <c r="N18" s="408"/>
      <c r="O18" s="408"/>
      <c r="P18" s="408"/>
      <c r="Q18" s="408"/>
      <c r="R18" s="408"/>
      <c r="S18" s="408"/>
      <c r="T18" s="408"/>
    </row>
    <row r="19" spans="1:21" x14ac:dyDescent="0.2">
      <c r="A19" s="2"/>
      <c r="B19" s="28"/>
      <c r="C19" s="28"/>
      <c r="D19" s="28"/>
      <c r="E19" s="28"/>
      <c r="F19" s="28"/>
      <c r="G19" s="28"/>
      <c r="H19" s="28"/>
      <c r="I19" s="28"/>
      <c r="J19" s="29"/>
      <c r="M19" s="408"/>
      <c r="N19" s="408"/>
      <c r="O19" s="408"/>
      <c r="P19" s="408"/>
      <c r="Q19" s="408"/>
      <c r="R19" s="408"/>
      <c r="S19" s="408"/>
      <c r="T19" s="408"/>
    </row>
    <row r="20" spans="1:21" x14ac:dyDescent="0.2">
      <c r="A20" s="2"/>
      <c r="B20" s="28"/>
      <c r="C20" s="28"/>
      <c r="D20" s="28"/>
      <c r="E20" s="28"/>
      <c r="F20" s="28"/>
      <c r="G20" s="28"/>
      <c r="H20" s="28"/>
      <c r="I20" s="28"/>
      <c r="J20" s="29"/>
      <c r="M20" s="408"/>
      <c r="N20" s="408"/>
      <c r="O20" s="408"/>
      <c r="P20" s="408"/>
      <c r="Q20" s="408"/>
      <c r="R20" s="408"/>
      <c r="S20" s="408"/>
      <c r="T20" s="408"/>
    </row>
    <row r="21" spans="1:21" x14ac:dyDescent="0.2">
      <c r="A21" s="2"/>
      <c r="B21" s="28"/>
      <c r="C21" s="28"/>
      <c r="D21" s="28"/>
      <c r="E21" s="28"/>
      <c r="F21" s="28"/>
      <c r="G21" s="28"/>
      <c r="H21" s="28"/>
      <c r="I21" s="28"/>
      <c r="J21" s="29"/>
      <c r="M21" s="408"/>
      <c r="N21" s="408"/>
      <c r="O21" s="408"/>
      <c r="P21" s="408"/>
      <c r="Q21" s="408"/>
      <c r="R21" s="408"/>
      <c r="S21" s="408"/>
      <c r="T21" s="408"/>
    </row>
    <row r="22" spans="1:21" x14ac:dyDescent="0.2">
      <c r="A22" s="2"/>
      <c r="B22" s="28"/>
      <c r="C22" s="400" t="s">
        <v>64</v>
      </c>
      <c r="D22" s="400"/>
      <c r="E22" s="400"/>
      <c r="F22" s="400"/>
      <c r="G22" s="400"/>
      <c r="H22" s="400"/>
      <c r="I22" s="28"/>
      <c r="J22" s="29"/>
    </row>
    <row r="23" spans="1:21" ht="17" x14ac:dyDescent="0.2">
      <c r="A23" s="2"/>
      <c r="B23" s="23" t="s">
        <v>65</v>
      </c>
      <c r="C23" s="22">
        <v>12</v>
      </c>
      <c r="D23" s="22">
        <v>24</v>
      </c>
      <c r="E23" s="22">
        <v>36</v>
      </c>
      <c r="F23" s="22">
        <v>48</v>
      </c>
      <c r="G23" s="22">
        <v>60</v>
      </c>
      <c r="H23" s="22">
        <v>72</v>
      </c>
      <c r="I23" s="22">
        <v>84</v>
      </c>
      <c r="J23" s="29"/>
      <c r="M23" s="43" t="s">
        <v>70</v>
      </c>
      <c r="O23" s="408" t="s">
        <v>72</v>
      </c>
      <c r="P23" s="408"/>
      <c r="Q23" s="408"/>
      <c r="R23" s="408"/>
      <c r="S23" s="408"/>
      <c r="T23" s="408"/>
    </row>
    <row r="24" spans="1:21" ht="17" x14ac:dyDescent="0.2">
      <c r="A24" s="2"/>
      <c r="B24" s="24" t="s">
        <v>66</v>
      </c>
      <c r="C24" s="7">
        <v>2.4300000000000002</v>
      </c>
      <c r="D24" s="7">
        <v>2.78</v>
      </c>
      <c r="E24" s="7">
        <v>1.76</v>
      </c>
      <c r="F24" s="7">
        <v>1.47</v>
      </c>
      <c r="G24" s="7">
        <v>1.78</v>
      </c>
      <c r="H24" s="7">
        <v>1.66</v>
      </c>
      <c r="I24" s="7">
        <v>1.52</v>
      </c>
      <c r="J24" s="29"/>
      <c r="O24" s="408"/>
      <c r="P24" s="408"/>
      <c r="Q24" s="408"/>
      <c r="R24" s="408"/>
      <c r="S24" s="408"/>
      <c r="T24" s="408"/>
    </row>
    <row r="25" spans="1:21" x14ac:dyDescent="0.2">
      <c r="A25" s="2"/>
      <c r="B25" s="28"/>
      <c r="C25" s="28"/>
      <c r="D25" s="28"/>
      <c r="E25" s="28"/>
      <c r="F25" s="28"/>
      <c r="G25" s="28"/>
      <c r="H25" s="28"/>
      <c r="I25" s="28"/>
      <c r="J25" s="29"/>
    </row>
    <row r="26" spans="1:21" x14ac:dyDescent="0.2">
      <c r="A26" s="2"/>
      <c r="B26" s="28"/>
      <c r="C26" s="28"/>
      <c r="D26" s="28"/>
      <c r="E26" s="28"/>
      <c r="F26" s="28"/>
      <c r="G26" s="28"/>
      <c r="H26" s="28"/>
      <c r="I26" s="28"/>
      <c r="J26" s="29"/>
      <c r="M26" s="43" t="s">
        <v>71</v>
      </c>
      <c r="N26" s="31"/>
      <c r="O26" s="30" t="s">
        <v>73</v>
      </c>
    </row>
    <row r="27" spans="1:21" x14ac:dyDescent="0.2">
      <c r="A27" s="28" t="s">
        <v>0</v>
      </c>
      <c r="B27" s="28" t="s">
        <v>67</v>
      </c>
      <c r="C27" s="28"/>
      <c r="D27" s="28"/>
      <c r="E27" s="28"/>
      <c r="F27" s="28"/>
      <c r="G27" s="28"/>
      <c r="H27" s="28"/>
      <c r="I27" s="28"/>
      <c r="J27" s="29"/>
    </row>
    <row r="28" spans="1:21" ht="16" customHeight="1" x14ac:dyDescent="0.25">
      <c r="A28" s="2"/>
      <c r="B28" s="28"/>
      <c r="C28" s="28"/>
      <c r="D28" s="28"/>
      <c r="E28" s="28"/>
      <c r="F28" s="28"/>
      <c r="G28" s="28"/>
      <c r="H28" s="28"/>
      <c r="I28" s="28"/>
      <c r="J28" s="29"/>
      <c r="L28" s="3" t="s">
        <v>131</v>
      </c>
    </row>
    <row r="29" spans="1:21" x14ac:dyDescent="0.2">
      <c r="A29" s="28" t="s">
        <v>1</v>
      </c>
      <c r="B29" s="28" t="s">
        <v>68</v>
      </c>
      <c r="C29" s="28"/>
      <c r="D29" s="28"/>
      <c r="E29" s="28"/>
      <c r="F29" s="28"/>
      <c r="G29" s="28"/>
      <c r="H29" s="28"/>
      <c r="I29" s="28"/>
      <c r="J29" s="29"/>
      <c r="L29" s="407" t="s">
        <v>142</v>
      </c>
      <c r="M29" s="407"/>
      <c r="N29" s="407"/>
      <c r="O29" s="407"/>
      <c r="P29" s="407"/>
      <c r="Q29" s="407"/>
      <c r="R29" s="407"/>
      <c r="S29" s="407"/>
      <c r="T29" s="407"/>
      <c r="U29" s="42"/>
    </row>
    <row r="30" spans="1:21" x14ac:dyDescent="0.2">
      <c r="A30" s="2"/>
      <c r="B30" s="28"/>
      <c r="C30" s="28"/>
      <c r="D30" s="28"/>
      <c r="E30" s="28"/>
      <c r="F30" s="28"/>
      <c r="G30" s="28"/>
      <c r="H30" s="28"/>
      <c r="I30" s="28"/>
      <c r="J30" s="29"/>
      <c r="L30" s="407"/>
      <c r="M30" s="407"/>
      <c r="N30" s="407"/>
      <c r="O30" s="407"/>
      <c r="P30" s="407"/>
      <c r="Q30" s="407"/>
      <c r="R30" s="407"/>
      <c r="S30" s="407"/>
      <c r="T30" s="407"/>
    </row>
    <row r="31" spans="1:21" ht="17" thickBot="1" x14ac:dyDescent="0.25">
      <c r="A31" s="2"/>
      <c r="B31" s="28"/>
      <c r="C31" s="28"/>
      <c r="D31" s="28"/>
      <c r="E31" s="28"/>
      <c r="F31" s="28"/>
      <c r="G31" s="28"/>
      <c r="H31" s="28"/>
      <c r="I31" s="28"/>
      <c r="J31" s="29"/>
      <c r="L31" s="407"/>
      <c r="M31" s="407"/>
      <c r="N31" s="407"/>
      <c r="O31" s="407"/>
      <c r="P31" s="407"/>
      <c r="Q31" s="407"/>
      <c r="R31" s="407"/>
      <c r="S31" s="407"/>
      <c r="T31" s="407"/>
    </row>
    <row r="32" spans="1:21" ht="17" thickBot="1" x14ac:dyDescent="0.25">
      <c r="A32" s="402" t="s">
        <v>145</v>
      </c>
      <c r="B32" s="403"/>
      <c r="C32" s="403"/>
      <c r="D32" s="403"/>
      <c r="E32" s="403"/>
      <c r="F32" s="403"/>
      <c r="G32" s="403"/>
      <c r="H32" s="403"/>
      <c r="I32" s="403"/>
      <c r="J32" s="404"/>
      <c r="L32" s="407"/>
      <c r="M32" s="407"/>
      <c r="N32" s="407"/>
      <c r="O32" s="407"/>
      <c r="P32" s="407"/>
      <c r="Q32" s="407"/>
      <c r="R32" s="407"/>
      <c r="S32" s="407"/>
      <c r="T32" s="407"/>
    </row>
    <row r="34" spans="1:21" ht="19" x14ac:dyDescent="0.25">
      <c r="A34" s="3"/>
    </row>
    <row r="36" spans="1:21" ht="18.5" customHeight="1" x14ac:dyDescent="0.2"/>
    <row r="37" spans="1:21" ht="15" customHeight="1" x14ac:dyDescent="0.2">
      <c r="L37" s="407" t="s">
        <v>143</v>
      </c>
      <c r="M37" s="407"/>
      <c r="N37" s="407"/>
      <c r="O37" s="407"/>
      <c r="P37" s="407"/>
      <c r="Q37" s="407"/>
      <c r="R37" s="407"/>
      <c r="S37" s="407"/>
      <c r="T37" s="407"/>
      <c r="U37" s="42"/>
    </row>
    <row r="38" spans="1:21" ht="15.5" customHeight="1" x14ac:dyDescent="0.2">
      <c r="L38" s="407"/>
      <c r="M38" s="407"/>
      <c r="N38" s="407"/>
      <c r="O38" s="407"/>
      <c r="P38" s="407"/>
      <c r="Q38" s="407"/>
      <c r="R38" s="407"/>
      <c r="S38" s="407"/>
      <c r="T38" s="407"/>
    </row>
    <row r="39" spans="1:21" x14ac:dyDescent="0.2">
      <c r="L39" s="407"/>
      <c r="M39" s="407"/>
      <c r="N39" s="407"/>
      <c r="O39" s="407"/>
      <c r="P39" s="407"/>
      <c r="Q39" s="407"/>
      <c r="R39" s="407"/>
      <c r="S39" s="407"/>
      <c r="T39" s="407"/>
    </row>
    <row r="40" spans="1:21" x14ac:dyDescent="0.2">
      <c r="L40" s="407"/>
      <c r="M40" s="407"/>
      <c r="N40" s="407"/>
      <c r="O40" s="407"/>
      <c r="P40" s="407"/>
      <c r="Q40" s="407"/>
      <c r="R40" s="407"/>
      <c r="S40" s="407"/>
      <c r="T40" s="407"/>
    </row>
    <row r="41" spans="1:21" ht="15" customHeight="1" x14ac:dyDescent="0.2">
      <c r="L41" s="407"/>
      <c r="M41" s="407"/>
      <c r="N41" s="407"/>
      <c r="O41" s="407"/>
      <c r="P41" s="407"/>
      <c r="Q41" s="407"/>
      <c r="R41" s="407"/>
      <c r="S41" s="407"/>
      <c r="T41" s="407"/>
    </row>
    <row r="42" spans="1:21" ht="15" customHeight="1" x14ac:dyDescent="0.2">
      <c r="L42" s="407"/>
      <c r="M42" s="407"/>
      <c r="N42" s="407"/>
      <c r="O42" s="407"/>
      <c r="P42" s="407"/>
      <c r="Q42" s="407"/>
      <c r="R42" s="407"/>
      <c r="S42" s="407"/>
      <c r="T42" s="407"/>
    </row>
    <row r="43" spans="1:21" x14ac:dyDescent="0.2">
      <c r="L43" s="407"/>
      <c r="M43" s="407"/>
      <c r="N43" s="407"/>
      <c r="O43" s="407"/>
      <c r="P43" s="407"/>
      <c r="Q43" s="407"/>
      <c r="R43" s="407"/>
      <c r="S43" s="407"/>
      <c r="T43" s="407"/>
    </row>
    <row r="44" spans="1:21" x14ac:dyDescent="0.2">
      <c r="L44" s="407"/>
      <c r="M44" s="407"/>
      <c r="N44" s="407"/>
      <c r="O44" s="407"/>
      <c r="P44" s="407"/>
      <c r="Q44" s="407"/>
      <c r="R44" s="407"/>
      <c r="S44" s="407"/>
      <c r="T44" s="407"/>
    </row>
    <row r="45" spans="1:21" x14ac:dyDescent="0.2">
      <c r="M45" s="31"/>
    </row>
    <row r="46" spans="1:21" x14ac:dyDescent="0.2">
      <c r="L46" s="5"/>
      <c r="M46" s="5"/>
      <c r="N46" s="5"/>
    </row>
    <row r="47" spans="1:21" x14ac:dyDescent="0.2">
      <c r="L47" s="5"/>
      <c r="M47" s="5"/>
      <c r="N47" s="5"/>
    </row>
    <row r="48" spans="1:21"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L54" s="5"/>
      <c r="M54" s="5"/>
      <c r="N54" s="5"/>
    </row>
    <row r="55" spans="12:14" x14ac:dyDescent="0.2">
      <c r="M55" s="31"/>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M65" s="31"/>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M75" s="31"/>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L82" s="5"/>
      <c r="M82" s="5"/>
      <c r="N82" s="5"/>
    </row>
    <row r="83" spans="1:65" x14ac:dyDescent="0.2">
      <c r="L83" s="5"/>
      <c r="M83" s="5"/>
      <c r="N83" s="5"/>
    </row>
    <row r="84" spans="1:65" x14ac:dyDescent="0.2">
      <c r="A84" s="5"/>
      <c r="B84" s="5"/>
      <c r="C84" s="5"/>
      <c r="D84" s="5"/>
      <c r="E84" s="5"/>
      <c r="F84" s="5"/>
      <c r="G84" s="5"/>
      <c r="H84" s="5"/>
      <c r="I84" s="5"/>
      <c r="J84" s="5"/>
      <c r="L84" s="5"/>
      <c r="M84" s="5"/>
      <c r="N84" s="5"/>
    </row>
    <row r="85" spans="1:65" x14ac:dyDescent="0.2">
      <c r="A85" s="5"/>
      <c r="B85" s="5"/>
      <c r="C85" s="5"/>
      <c r="D85" s="5"/>
      <c r="E85" s="5"/>
      <c r="F85" s="5"/>
      <c r="G85" s="5"/>
      <c r="H85" s="5"/>
      <c r="I85" s="5"/>
      <c r="J85" s="5"/>
      <c r="M85" s="31"/>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K187" s="5"/>
      <c r="L187" s="5"/>
      <c r="M187" s="5"/>
      <c r="N187" s="5"/>
      <c r="O187" s="5"/>
      <c r="P187" s="5"/>
      <c r="Q187" s="5"/>
      <c r="R187" s="5"/>
      <c r="S187" s="5"/>
      <c r="T187" s="5"/>
      <c r="U187" s="5"/>
    </row>
  </sheetData>
  <mergeCells count="7">
    <mergeCell ref="M3:T11"/>
    <mergeCell ref="L37:T44"/>
    <mergeCell ref="L29:T32"/>
    <mergeCell ref="C22:H22"/>
    <mergeCell ref="A32:J32"/>
    <mergeCell ref="M14:T21"/>
    <mergeCell ref="O23:T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69A4E-8318-CD4D-9B44-D0BE0434B971}">
  <sheetPr codeName="Sheet10"/>
  <dimension ref="A1:R46"/>
  <sheetViews>
    <sheetView zoomScaleNormal="100" workbookViewId="0"/>
  </sheetViews>
  <sheetFormatPr baseColWidth="10" defaultColWidth="11" defaultRowHeight="16" outlineLevelCol="1" x14ac:dyDescent="0.2"/>
  <cols>
    <col min="1" max="1" width="4.5" customWidth="1"/>
    <col min="2" max="10" width="10.83203125" customWidth="1"/>
    <col min="11" max="11" width="11.1640625" bestFit="1" customWidth="1"/>
    <col min="12" max="12" width="15.5" style="104" hidden="1" customWidth="1" outlineLevel="1"/>
    <col min="13" max="13" width="12.6640625" hidden="1" customWidth="1" outlineLevel="1"/>
    <col min="14" max="16" width="10.83203125" hidden="1" customWidth="1" outlineLevel="1"/>
    <col min="17" max="17" width="12" hidden="1" customWidth="1" outlineLevel="1"/>
    <col min="18" max="18" width="11" collapsed="1"/>
  </cols>
  <sheetData>
    <row r="1" spans="1:17" ht="19" x14ac:dyDescent="0.25">
      <c r="A1" s="149" t="s">
        <v>210</v>
      </c>
      <c r="B1" s="148"/>
      <c r="C1" s="147"/>
      <c r="D1" s="147"/>
      <c r="E1" s="147"/>
      <c r="F1" s="146"/>
      <c r="G1" s="146"/>
      <c r="H1" s="146"/>
      <c r="I1" s="146"/>
      <c r="J1" s="145"/>
      <c r="K1" s="105" t="s">
        <v>146</v>
      </c>
    </row>
    <row r="2" spans="1:17" x14ac:dyDescent="0.2">
      <c r="A2" s="125"/>
      <c r="B2" s="123"/>
      <c r="C2" s="123"/>
      <c r="D2" s="123"/>
      <c r="E2" s="123"/>
      <c r="F2" s="123"/>
      <c r="G2" s="123"/>
      <c r="H2" s="123"/>
      <c r="I2" s="123"/>
      <c r="J2" s="122"/>
    </row>
    <row r="3" spans="1:17" x14ac:dyDescent="0.2">
      <c r="A3" s="125"/>
      <c r="B3" s="411" t="s">
        <v>209</v>
      </c>
      <c r="C3" s="411"/>
      <c r="D3" s="411"/>
      <c r="E3" s="411"/>
      <c r="F3" s="411"/>
      <c r="G3" s="411"/>
      <c r="H3" s="411"/>
      <c r="I3" s="411"/>
      <c r="J3" s="122"/>
      <c r="L3" s="108" t="s">
        <v>208</v>
      </c>
    </row>
    <row r="4" spans="1:17" x14ac:dyDescent="0.2">
      <c r="A4" s="125"/>
      <c r="B4" s="411"/>
      <c r="C4" s="411"/>
      <c r="D4" s="411"/>
      <c r="E4" s="411"/>
      <c r="F4" s="411"/>
      <c r="G4" s="411"/>
      <c r="H4" s="411"/>
      <c r="I4" s="411"/>
      <c r="J4" s="122"/>
    </row>
    <row r="5" spans="1:17" x14ac:dyDescent="0.2">
      <c r="A5" s="125"/>
      <c r="B5" s="123"/>
      <c r="C5" s="123"/>
      <c r="D5" s="123"/>
      <c r="E5" s="123"/>
      <c r="F5" s="123"/>
      <c r="G5" s="123"/>
      <c r="H5" s="123"/>
      <c r="I5" s="123"/>
      <c r="J5" s="122"/>
      <c r="L5" s="144" t="s">
        <v>207</v>
      </c>
      <c r="M5" s="143"/>
      <c r="N5" s="104"/>
      <c r="O5" s="109"/>
    </row>
    <row r="6" spans="1:17" x14ac:dyDescent="0.2">
      <c r="A6" s="125"/>
      <c r="B6" s="123"/>
      <c r="C6" s="142" t="s">
        <v>206</v>
      </c>
      <c r="D6" s="141"/>
      <c r="E6" s="140"/>
      <c r="F6" s="123"/>
      <c r="G6" s="123"/>
      <c r="H6" s="123"/>
      <c r="I6" s="123"/>
      <c r="J6" s="122"/>
      <c r="M6" s="112"/>
      <c r="N6" s="104"/>
      <c r="O6" s="109"/>
    </row>
    <row r="7" spans="1:17" x14ac:dyDescent="0.2">
      <c r="A7" s="125"/>
      <c r="B7" s="123"/>
      <c r="C7" s="139">
        <v>1</v>
      </c>
      <c r="D7" s="126">
        <v>5.5609999999999999</v>
      </c>
      <c r="E7" s="138">
        <v>3.2309999999999999</v>
      </c>
      <c r="F7" s="123"/>
      <c r="G7" s="123"/>
      <c r="H7" s="123"/>
      <c r="I7" s="123"/>
      <c r="J7" s="122"/>
      <c r="L7" s="131" t="s">
        <v>84</v>
      </c>
      <c r="M7" s="134" t="s">
        <v>201</v>
      </c>
      <c r="N7" s="116" t="s">
        <v>200</v>
      </c>
      <c r="O7" s="109"/>
    </row>
    <row r="8" spans="1:17" x14ac:dyDescent="0.2">
      <c r="A8" s="125"/>
      <c r="B8" s="123"/>
      <c r="C8" s="139">
        <v>2</v>
      </c>
      <c r="D8" s="126">
        <v>5.7869999999999999</v>
      </c>
      <c r="E8" s="138">
        <v>3.4630000000000001</v>
      </c>
      <c r="F8" s="123"/>
      <c r="G8" s="123"/>
      <c r="H8" s="123"/>
      <c r="I8" s="123"/>
      <c r="J8" s="122"/>
      <c r="L8" s="113">
        <v>1</v>
      </c>
      <c r="M8" s="112">
        <f t="shared" ref="M8:N12" si="0">EXP(D7)</f>
        <v>260.08278911400657</v>
      </c>
      <c r="N8" s="112">
        <f t="shared" si="0"/>
        <v>25.304949271976668</v>
      </c>
      <c r="O8" s="109"/>
    </row>
    <row r="9" spans="1:17" x14ac:dyDescent="0.2">
      <c r="A9" s="125"/>
      <c r="B9" s="123"/>
      <c r="C9" s="139">
        <v>3</v>
      </c>
      <c r="D9" s="126">
        <v>6.1020000000000003</v>
      </c>
      <c r="E9" s="138">
        <v>2.9870000000000001</v>
      </c>
      <c r="F9" s="123"/>
      <c r="G9" s="123"/>
      <c r="H9" s="123"/>
      <c r="I9" s="123"/>
      <c r="J9" s="122"/>
      <c r="L9" s="113">
        <v>2</v>
      </c>
      <c r="M9" s="112">
        <f t="shared" si="0"/>
        <v>326.03345539099718</v>
      </c>
      <c r="N9" s="112">
        <f t="shared" si="0"/>
        <v>31.912570763889853</v>
      </c>
      <c r="O9" s="109"/>
    </row>
    <row r="10" spans="1:17" x14ac:dyDescent="0.2">
      <c r="A10" s="125"/>
      <c r="B10" s="123"/>
      <c r="C10" s="139">
        <v>4</v>
      </c>
      <c r="D10" s="126">
        <v>6.3150000000000004</v>
      </c>
      <c r="E10" s="138">
        <v>1.456</v>
      </c>
      <c r="F10" s="123"/>
      <c r="G10" s="123"/>
      <c r="H10" s="123"/>
      <c r="I10" s="123"/>
      <c r="J10" s="122"/>
      <c r="L10" s="113">
        <v>3</v>
      </c>
      <c r="M10" s="112">
        <f t="shared" si="0"/>
        <v>446.75037793299663</v>
      </c>
      <c r="N10" s="112">
        <f t="shared" si="0"/>
        <v>19.826114840242749</v>
      </c>
      <c r="O10" s="109"/>
    </row>
    <row r="11" spans="1:17" x14ac:dyDescent="0.2">
      <c r="A11" s="125"/>
      <c r="B11" s="123"/>
      <c r="C11" s="137">
        <v>5</v>
      </c>
      <c r="D11" s="136">
        <v>5.9870000000000001</v>
      </c>
      <c r="E11" s="135">
        <v>0</v>
      </c>
      <c r="F11" s="123"/>
      <c r="G11" s="123"/>
      <c r="H11" s="123"/>
      <c r="I11" s="123"/>
      <c r="J11" s="122"/>
      <c r="L11" s="113">
        <v>4</v>
      </c>
      <c r="M11" s="112">
        <f t="shared" si="0"/>
        <v>552.80206059156797</v>
      </c>
      <c r="N11" s="112">
        <f t="shared" si="0"/>
        <v>4.2887700920237108</v>
      </c>
      <c r="O11" s="109"/>
    </row>
    <row r="12" spans="1:17" x14ac:dyDescent="0.2">
      <c r="A12" s="125"/>
      <c r="B12" s="123"/>
      <c r="C12" s="123"/>
      <c r="D12" s="123"/>
      <c r="E12" s="123"/>
      <c r="F12" s="123"/>
      <c r="G12" s="123"/>
      <c r="H12" s="123"/>
      <c r="I12" s="123"/>
      <c r="J12" s="122"/>
      <c r="L12" s="131">
        <v>5</v>
      </c>
      <c r="M12" s="134">
        <f t="shared" si="0"/>
        <v>398.21816166705469</v>
      </c>
      <c r="N12" s="134">
        <f t="shared" si="0"/>
        <v>1</v>
      </c>
      <c r="O12" s="109"/>
    </row>
    <row r="13" spans="1:17" x14ac:dyDescent="0.2">
      <c r="A13" s="125"/>
      <c r="B13" s="133" t="s">
        <v>205</v>
      </c>
      <c r="C13" s="123"/>
      <c r="D13" s="123"/>
      <c r="E13" s="123"/>
      <c r="F13" s="123"/>
      <c r="G13" s="123"/>
      <c r="H13" s="123"/>
      <c r="I13" s="123"/>
      <c r="J13" s="122"/>
      <c r="L13" s="113" t="s">
        <v>198</v>
      </c>
      <c r="M13" s="112"/>
      <c r="N13" s="112">
        <f>SUM(N8:N12)</f>
        <v>82.332404968132977</v>
      </c>
      <c r="O13" s="109"/>
    </row>
    <row r="14" spans="1:17" ht="15.75" customHeight="1" x14ac:dyDescent="0.2">
      <c r="A14" s="125"/>
      <c r="B14" s="123"/>
      <c r="C14" s="123"/>
      <c r="D14" s="123"/>
      <c r="E14" s="123"/>
      <c r="F14" s="123"/>
      <c r="G14" s="123"/>
      <c r="H14" s="123"/>
      <c r="I14" s="123"/>
      <c r="J14" s="122"/>
      <c r="M14" s="112"/>
      <c r="N14" s="104"/>
      <c r="O14" s="109"/>
    </row>
    <row r="15" spans="1:17" ht="16" customHeight="1" x14ac:dyDescent="0.2">
      <c r="A15" s="125"/>
      <c r="B15" s="128" t="s">
        <v>0</v>
      </c>
      <c r="C15" s="123"/>
      <c r="D15" s="132"/>
      <c r="E15" s="132"/>
      <c r="F15" s="132"/>
      <c r="G15" s="132"/>
      <c r="H15" s="123"/>
      <c r="I15" s="123"/>
      <c r="J15" s="122"/>
      <c r="L15" s="410" t="s">
        <v>204</v>
      </c>
      <c r="M15" s="410"/>
      <c r="N15" s="410"/>
      <c r="O15" s="410"/>
      <c r="P15" s="410"/>
      <c r="Q15" s="410"/>
    </row>
    <row r="16" spans="1:17" x14ac:dyDescent="0.2">
      <c r="A16" s="125"/>
      <c r="B16" s="411" t="s">
        <v>203</v>
      </c>
      <c r="C16" s="411"/>
      <c r="D16" s="411"/>
      <c r="E16" s="411"/>
      <c r="F16" s="411"/>
      <c r="G16" s="411"/>
      <c r="H16" s="411"/>
      <c r="I16" s="411"/>
      <c r="J16" s="122"/>
      <c r="L16" s="410"/>
      <c r="M16" s="410"/>
      <c r="N16" s="410"/>
      <c r="O16" s="410"/>
      <c r="P16" s="410"/>
      <c r="Q16" s="410"/>
    </row>
    <row r="17" spans="1:17" x14ac:dyDescent="0.2">
      <c r="A17" s="125"/>
      <c r="B17" s="411"/>
      <c r="C17" s="411"/>
      <c r="D17" s="411"/>
      <c r="E17" s="411"/>
      <c r="F17" s="411"/>
      <c r="G17" s="411"/>
      <c r="H17" s="411"/>
      <c r="I17" s="411"/>
      <c r="J17" s="122"/>
      <c r="L17" s="410"/>
      <c r="M17" s="410"/>
      <c r="N17" s="410"/>
      <c r="O17" s="410"/>
      <c r="P17" s="410"/>
      <c r="Q17" s="410"/>
    </row>
    <row r="18" spans="1:17" x14ac:dyDescent="0.2">
      <c r="A18" s="125"/>
      <c r="B18" s="126"/>
      <c r="C18" s="123"/>
      <c r="D18" s="123"/>
      <c r="E18" s="123"/>
      <c r="F18" s="123"/>
      <c r="G18" s="123"/>
      <c r="H18" s="123"/>
      <c r="I18" s="123"/>
      <c r="J18" s="122"/>
      <c r="L18" s="410"/>
      <c r="M18" s="410"/>
      <c r="N18" s="410"/>
      <c r="O18" s="410"/>
      <c r="P18" s="410"/>
      <c r="Q18" s="410"/>
    </row>
    <row r="19" spans="1:17" x14ac:dyDescent="0.2">
      <c r="A19" s="125"/>
      <c r="B19" s="128" t="s">
        <v>1</v>
      </c>
      <c r="C19" s="123"/>
      <c r="D19" s="123"/>
      <c r="E19" s="123"/>
      <c r="F19" s="123"/>
      <c r="G19" s="123"/>
      <c r="H19" s="123"/>
      <c r="I19" s="123"/>
      <c r="J19" s="122"/>
      <c r="O19" s="109"/>
    </row>
    <row r="20" spans="1:17" ht="17" thickBot="1" x14ac:dyDescent="0.25">
      <c r="A20" s="125"/>
      <c r="B20" s="123" t="s">
        <v>202</v>
      </c>
      <c r="C20" s="123"/>
      <c r="D20" s="123"/>
      <c r="E20" s="123"/>
      <c r="F20" s="123"/>
      <c r="G20" s="123"/>
      <c r="H20" s="123"/>
      <c r="I20" s="123"/>
      <c r="J20" s="122"/>
      <c r="L20" s="131" t="s">
        <v>84</v>
      </c>
      <c r="M20" s="112" t="s">
        <v>201</v>
      </c>
      <c r="N20" s="109" t="s">
        <v>200</v>
      </c>
      <c r="O20" s="109"/>
    </row>
    <row r="21" spans="1:17" x14ac:dyDescent="0.2">
      <c r="A21" s="125"/>
      <c r="B21" s="126"/>
      <c r="C21" s="123"/>
      <c r="D21" s="123"/>
      <c r="E21" s="123"/>
      <c r="F21" s="123"/>
      <c r="G21" s="123"/>
      <c r="H21" s="123"/>
      <c r="I21" s="123"/>
      <c r="J21" s="122"/>
      <c r="L21" s="109">
        <v>1</v>
      </c>
      <c r="M21" s="130">
        <f>M8*$N$13</f>
        <v>21413.241518575916</v>
      </c>
      <c r="N21" s="129">
        <f>N8/$N$13</f>
        <v>0.30735102760293509</v>
      </c>
      <c r="O21" s="109"/>
    </row>
    <row r="22" spans="1:17" x14ac:dyDescent="0.2">
      <c r="A22" s="125"/>
      <c r="B22" s="128" t="s">
        <v>2</v>
      </c>
      <c r="C22" s="123"/>
      <c r="D22" s="123"/>
      <c r="E22" s="123"/>
      <c r="F22" s="123"/>
      <c r="G22" s="123"/>
      <c r="H22" s="123"/>
      <c r="I22" s="123"/>
      <c r="J22" s="122"/>
      <c r="L22" s="109">
        <v>2</v>
      </c>
      <c r="M22" s="121">
        <f>M9*$N$13</f>
        <v>26843.118482411297</v>
      </c>
      <c r="N22" s="120">
        <f>N9/$N$13</f>
        <v>0.38760644458572197</v>
      </c>
      <c r="O22" s="127"/>
      <c r="P22" s="110"/>
    </row>
    <row r="23" spans="1:17" x14ac:dyDescent="0.2">
      <c r="A23" s="125"/>
      <c r="B23" s="123" t="s">
        <v>199</v>
      </c>
      <c r="C23" s="126"/>
      <c r="D23" s="123"/>
      <c r="E23" s="123"/>
      <c r="F23" s="123"/>
      <c r="G23" s="123"/>
      <c r="H23" s="123"/>
      <c r="I23" s="123"/>
      <c r="J23" s="122"/>
      <c r="L23" s="109">
        <v>3</v>
      </c>
      <c r="M23" s="121">
        <f>M10*$N$13</f>
        <v>36782.033035645938</v>
      </c>
      <c r="N23" s="120">
        <f>N10/$N$13</f>
        <v>0.24080572950488341</v>
      </c>
      <c r="O23" s="109"/>
      <c r="P23" s="110"/>
    </row>
    <row r="24" spans="1:17" ht="17" thickBot="1" x14ac:dyDescent="0.25">
      <c r="A24" s="125"/>
      <c r="B24" s="124"/>
      <c r="C24" s="123"/>
      <c r="D24" s="123"/>
      <c r="E24" s="123"/>
      <c r="F24" s="123"/>
      <c r="G24" s="123"/>
      <c r="H24" s="123"/>
      <c r="I24" s="123"/>
      <c r="J24" s="122"/>
      <c r="L24" s="109">
        <v>4</v>
      </c>
      <c r="M24" s="121">
        <f>M11*$N$13</f>
        <v>45513.523119843354</v>
      </c>
      <c r="N24" s="120">
        <f>N11/$N$13</f>
        <v>5.2090912365352293E-2</v>
      </c>
      <c r="P24" s="110"/>
    </row>
    <row r="25" spans="1:17" ht="17" thickBot="1" x14ac:dyDescent="0.25">
      <c r="A25" s="119" t="s">
        <v>145</v>
      </c>
      <c r="B25" s="118"/>
      <c r="C25" s="118"/>
      <c r="D25" s="118"/>
      <c r="E25" s="118"/>
      <c r="F25" s="118"/>
      <c r="G25" s="118"/>
      <c r="H25" s="118"/>
      <c r="I25" s="118"/>
      <c r="J25" s="117"/>
      <c r="L25" s="116">
        <v>5</v>
      </c>
      <c r="M25" s="115">
        <f>M12*$N$13</f>
        <v>32786.258952037395</v>
      </c>
      <c r="N25" s="114">
        <f>N12/$N$13</f>
        <v>1.214588594110731E-2</v>
      </c>
      <c r="O25" s="109"/>
      <c r="P25" s="110"/>
    </row>
    <row r="26" spans="1:17" x14ac:dyDescent="0.2">
      <c r="L26" s="113" t="s">
        <v>198</v>
      </c>
      <c r="M26" s="112"/>
      <c r="N26" s="112">
        <f>SUM(N21:N25)</f>
        <v>1</v>
      </c>
      <c r="O26" s="109"/>
    </row>
    <row r="27" spans="1:17" x14ac:dyDescent="0.2">
      <c r="M27" s="110"/>
      <c r="N27" s="104"/>
      <c r="O27" s="109"/>
    </row>
    <row r="28" spans="1:17" x14ac:dyDescent="0.2">
      <c r="L28" s="108" t="s">
        <v>197</v>
      </c>
      <c r="M28" s="111"/>
      <c r="N28" s="104"/>
      <c r="O28" s="109"/>
    </row>
    <row r="29" spans="1:17" x14ac:dyDescent="0.2">
      <c r="M29" s="110"/>
      <c r="N29" s="104"/>
      <c r="O29" s="109"/>
    </row>
    <row r="30" spans="1:17" x14ac:dyDescent="0.2">
      <c r="L30" s="410" t="s">
        <v>196</v>
      </c>
      <c r="M30" s="410"/>
      <c r="N30" s="410"/>
      <c r="O30" s="410"/>
      <c r="P30" s="410"/>
      <c r="Q30" s="410"/>
    </row>
    <row r="31" spans="1:17" x14ac:dyDescent="0.2">
      <c r="L31" s="410"/>
      <c r="M31" s="410"/>
      <c r="N31" s="410"/>
      <c r="O31" s="410"/>
      <c r="P31" s="410"/>
      <c r="Q31" s="410"/>
    </row>
    <row r="32" spans="1:17" x14ac:dyDescent="0.2">
      <c r="L32" s="410"/>
      <c r="M32" s="410"/>
      <c r="N32" s="410"/>
      <c r="O32" s="410"/>
      <c r="P32" s="410"/>
      <c r="Q32" s="410"/>
    </row>
    <row r="33" spans="12:17" ht="17" thickBot="1" x14ac:dyDescent="0.25">
      <c r="M33" s="109"/>
      <c r="N33" s="109"/>
    </row>
    <row r="34" spans="12:17" ht="17" thickBot="1" x14ac:dyDescent="0.25">
      <c r="L34" s="107" t="s">
        <v>195</v>
      </c>
      <c r="M34" s="106">
        <f>M23*N24+M23*N25</f>
        <v>2362.7600374123222</v>
      </c>
      <c r="N34" s="109"/>
    </row>
    <row r="35" spans="12:17" x14ac:dyDescent="0.2">
      <c r="M35" s="110"/>
      <c r="N35" s="109"/>
    </row>
    <row r="36" spans="12:17" x14ac:dyDescent="0.2">
      <c r="L36" s="108" t="s">
        <v>194</v>
      </c>
      <c r="M36" s="110"/>
    </row>
    <row r="37" spans="12:17" x14ac:dyDescent="0.2">
      <c r="M37" s="109"/>
    </row>
    <row r="38" spans="12:17" x14ac:dyDescent="0.2">
      <c r="L38" s="410" t="s">
        <v>193</v>
      </c>
      <c r="M38" s="410"/>
      <c r="N38" s="410"/>
      <c r="O38" s="410"/>
      <c r="P38" s="410"/>
      <c r="Q38" s="410"/>
    </row>
    <row r="39" spans="12:17" x14ac:dyDescent="0.2">
      <c r="L39" s="410"/>
      <c r="M39" s="410"/>
      <c r="N39" s="410"/>
      <c r="O39" s="410"/>
      <c r="P39" s="410"/>
      <c r="Q39" s="410"/>
    </row>
    <row r="40" spans="12:17" ht="17" thickBot="1" x14ac:dyDescent="0.25">
      <c r="L40" s="108"/>
    </row>
    <row r="41" spans="12:17" ht="17" thickBot="1" x14ac:dyDescent="0.25">
      <c r="L41" s="107" t="s">
        <v>192</v>
      </c>
      <c r="M41" s="106">
        <f>M21</f>
        <v>21413.241518575916</v>
      </c>
    </row>
    <row r="43" spans="12:17" x14ac:dyDescent="0.2">
      <c r="L43"/>
    </row>
    <row r="44" spans="12:17" x14ac:dyDescent="0.2">
      <c r="L44"/>
    </row>
    <row r="45" spans="12:17" ht="19" x14ac:dyDescent="0.25">
      <c r="L45" s="105" t="s">
        <v>180</v>
      </c>
    </row>
    <row r="46" spans="12:17" x14ac:dyDescent="0.2">
      <c r="L46" s="104" t="s">
        <v>179</v>
      </c>
    </row>
  </sheetData>
  <mergeCells count="5">
    <mergeCell ref="L38:Q39"/>
    <mergeCell ref="L30:Q32"/>
    <mergeCell ref="L15:Q18"/>
    <mergeCell ref="B16:I17"/>
    <mergeCell ref="B3:I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C386-33AC-E546-AC45-31B42358F49D}">
  <sheetPr codeName="Sheet11"/>
  <dimension ref="A1:S48"/>
  <sheetViews>
    <sheetView zoomScaleNormal="100" workbookViewId="0"/>
  </sheetViews>
  <sheetFormatPr baseColWidth="10" defaultColWidth="11" defaultRowHeight="16" outlineLevelCol="1" x14ac:dyDescent="0.2"/>
  <cols>
    <col min="1" max="1" width="4.5" customWidth="1"/>
    <col min="2" max="10" width="10.83203125" customWidth="1"/>
    <col min="11" max="11" width="11.1640625" bestFit="1" customWidth="1"/>
    <col min="12" max="12" width="15.5" style="104" hidden="1" customWidth="1" outlineLevel="1"/>
    <col min="13" max="13" width="15.6640625" hidden="1" customWidth="1" outlineLevel="1"/>
    <col min="14" max="14" width="12.5" hidden="1" customWidth="1" outlineLevel="1"/>
    <col min="15" max="16" width="10.83203125" hidden="1" customWidth="1" outlineLevel="1"/>
    <col min="17" max="17" width="10.1640625" hidden="1" customWidth="1" outlineLevel="1"/>
    <col min="18" max="18" width="11" collapsed="1"/>
  </cols>
  <sheetData>
    <row r="1" spans="1:17" ht="19" x14ac:dyDescent="0.25">
      <c r="A1" s="149" t="s">
        <v>234</v>
      </c>
      <c r="B1" s="148"/>
      <c r="C1" s="147"/>
      <c r="D1" s="147"/>
      <c r="E1" s="147"/>
      <c r="F1" s="146"/>
      <c r="G1" s="146"/>
      <c r="H1" s="146"/>
      <c r="I1" s="146"/>
      <c r="J1" s="145"/>
      <c r="K1" s="105" t="s">
        <v>146</v>
      </c>
    </row>
    <row r="2" spans="1:17" x14ac:dyDescent="0.2">
      <c r="A2" s="125"/>
      <c r="B2" s="123"/>
      <c r="C2" s="123"/>
      <c r="D2" s="123"/>
      <c r="E2" s="123"/>
      <c r="F2" s="123"/>
      <c r="G2" s="123"/>
      <c r="H2" s="123"/>
      <c r="I2" s="123"/>
      <c r="J2" s="122"/>
    </row>
    <row r="3" spans="1:17" x14ac:dyDescent="0.2">
      <c r="A3" s="125"/>
      <c r="B3" s="412" t="s">
        <v>233</v>
      </c>
      <c r="C3" s="412"/>
      <c r="D3" s="412"/>
      <c r="E3" s="412"/>
      <c r="F3" s="412"/>
      <c r="G3" s="412"/>
      <c r="H3" s="159"/>
      <c r="I3" s="159"/>
      <c r="J3" s="122"/>
      <c r="L3" s="108" t="s">
        <v>208</v>
      </c>
    </row>
    <row r="4" spans="1:17" x14ac:dyDescent="0.2">
      <c r="A4" s="125"/>
      <c r="B4" s="412"/>
      <c r="C4" s="412"/>
      <c r="D4" s="412"/>
      <c r="E4" s="412"/>
      <c r="F4" s="412"/>
      <c r="G4" s="412"/>
      <c r="H4" s="159"/>
      <c r="I4" s="159"/>
      <c r="J4" s="122"/>
    </row>
    <row r="5" spans="1:17" x14ac:dyDescent="0.2">
      <c r="A5" s="125"/>
      <c r="B5" s="123"/>
      <c r="C5" s="123"/>
      <c r="D5" s="123"/>
      <c r="E5" s="123"/>
      <c r="F5" s="123"/>
      <c r="G5" s="123"/>
      <c r="H5" s="123"/>
      <c r="I5" s="123"/>
      <c r="J5" s="122"/>
      <c r="L5" s="410" t="s">
        <v>232</v>
      </c>
      <c r="M5" s="410"/>
      <c r="N5" s="410"/>
      <c r="O5" s="410"/>
      <c r="P5" s="410"/>
      <c r="Q5" s="410"/>
    </row>
    <row r="6" spans="1:17" x14ac:dyDescent="0.2">
      <c r="A6" s="125"/>
      <c r="B6" s="133" t="s">
        <v>231</v>
      </c>
      <c r="C6" s="123"/>
      <c r="D6" s="123"/>
      <c r="E6" s="123"/>
      <c r="F6" s="158">
        <v>400000</v>
      </c>
      <c r="G6" s="123"/>
      <c r="H6" s="123"/>
      <c r="I6" s="123"/>
      <c r="J6" s="122"/>
      <c r="L6" s="410"/>
      <c r="M6" s="410"/>
      <c r="N6" s="410"/>
      <c r="O6" s="410"/>
      <c r="P6" s="410"/>
      <c r="Q6" s="410"/>
    </row>
    <row r="7" spans="1:17" x14ac:dyDescent="0.2">
      <c r="A7" s="125"/>
      <c r="B7" s="133" t="s">
        <v>230</v>
      </c>
      <c r="C7" s="123"/>
      <c r="D7" s="123"/>
      <c r="E7" s="123"/>
      <c r="F7" s="126">
        <v>1.125</v>
      </c>
      <c r="G7" s="123"/>
      <c r="H7" s="123"/>
      <c r="I7" s="123"/>
      <c r="J7" s="122"/>
    </row>
    <row r="8" spans="1:17" x14ac:dyDescent="0.2">
      <c r="A8" s="125"/>
      <c r="B8" s="133" t="s">
        <v>229</v>
      </c>
      <c r="C8" s="123"/>
      <c r="D8" s="123"/>
      <c r="E8" s="123"/>
      <c r="F8" s="157">
        <v>2</v>
      </c>
      <c r="G8" s="123"/>
      <c r="H8" s="123"/>
      <c r="I8" s="123"/>
      <c r="J8" s="122"/>
      <c r="L8" s="108" t="s">
        <v>197</v>
      </c>
    </row>
    <row r="9" spans="1:17" x14ac:dyDescent="0.2">
      <c r="A9" s="125"/>
      <c r="B9" s="133" t="s">
        <v>205</v>
      </c>
      <c r="C9" s="123"/>
      <c r="D9" s="123"/>
      <c r="E9" s="123"/>
      <c r="F9" s="123"/>
      <c r="G9" s="123"/>
      <c r="H9" s="123"/>
      <c r="I9" s="123"/>
      <c r="J9" s="122"/>
      <c r="L9" s="108"/>
    </row>
    <row r="10" spans="1:17" x14ac:dyDescent="0.2">
      <c r="A10" s="125"/>
      <c r="B10" s="123"/>
      <c r="C10" s="123"/>
      <c r="D10" s="123"/>
      <c r="E10" s="123"/>
      <c r="F10" s="123"/>
      <c r="G10" s="123"/>
      <c r="H10" s="123"/>
      <c r="I10" s="123"/>
      <c r="J10" s="122"/>
      <c r="L10" s="104" t="s">
        <v>228</v>
      </c>
    </row>
    <row r="11" spans="1:17" x14ac:dyDescent="0.2">
      <c r="A11" s="125"/>
      <c r="B11" s="128" t="s">
        <v>0</v>
      </c>
      <c r="C11" s="123"/>
      <c r="D11" s="123"/>
      <c r="E11" s="123"/>
      <c r="F11" s="123"/>
      <c r="G11" s="123"/>
      <c r="H11" s="123"/>
      <c r="I11" s="123"/>
      <c r="J11" s="122"/>
      <c r="L11" s="104" t="s">
        <v>227</v>
      </c>
    </row>
    <row r="12" spans="1:17" x14ac:dyDescent="0.2">
      <c r="A12" s="125"/>
      <c r="B12" s="123" t="s">
        <v>226</v>
      </c>
      <c r="C12" s="123"/>
      <c r="D12" s="123"/>
      <c r="E12" s="123"/>
      <c r="F12" s="123"/>
      <c r="G12" s="123"/>
      <c r="H12" s="123"/>
      <c r="I12" s="123"/>
      <c r="J12" s="122"/>
    </row>
    <row r="13" spans="1:17" x14ac:dyDescent="0.2">
      <c r="A13" s="125"/>
      <c r="B13" s="123"/>
      <c r="C13" s="123"/>
      <c r="D13" s="123"/>
      <c r="E13" s="123"/>
      <c r="F13" s="123"/>
      <c r="G13" s="123"/>
      <c r="H13" s="123"/>
      <c r="I13" s="123"/>
      <c r="J13" s="122"/>
      <c r="L13" s="104" t="s">
        <v>225</v>
      </c>
      <c r="Q13" s="152">
        <f>F6*F7</f>
        <v>450000</v>
      </c>
    </row>
    <row r="14" spans="1:17" x14ac:dyDescent="0.2">
      <c r="A14" s="125"/>
      <c r="B14" s="128" t="s">
        <v>1</v>
      </c>
      <c r="C14" s="123"/>
      <c r="D14" s="123"/>
      <c r="E14" s="123"/>
      <c r="F14" s="123"/>
      <c r="G14" s="123"/>
      <c r="H14" s="123"/>
      <c r="I14" s="123"/>
      <c r="J14" s="122"/>
      <c r="L14" s="104" t="s">
        <v>224</v>
      </c>
      <c r="Q14" s="152">
        <f>Q13-F6</f>
        <v>50000</v>
      </c>
    </row>
    <row r="15" spans="1:17" x14ac:dyDescent="0.2">
      <c r="A15" s="125"/>
      <c r="B15" s="123" t="s">
        <v>223</v>
      </c>
      <c r="C15" s="123"/>
      <c r="D15" s="123"/>
      <c r="E15" s="123"/>
      <c r="F15" s="123"/>
      <c r="G15" s="123"/>
      <c r="H15" s="123"/>
      <c r="I15" s="123"/>
      <c r="J15" s="122"/>
    </row>
    <row r="16" spans="1:17" x14ac:dyDescent="0.2">
      <c r="A16" s="125"/>
      <c r="B16" s="123"/>
      <c r="C16" s="123"/>
      <c r="D16" s="123"/>
      <c r="E16" s="123"/>
      <c r="F16" s="123"/>
      <c r="G16" s="123"/>
      <c r="H16" s="123"/>
      <c r="I16" s="123"/>
      <c r="J16" s="122"/>
      <c r="L16" s="104" t="s">
        <v>446</v>
      </c>
    </row>
    <row r="17" spans="1:16" ht="17" thickBot="1" x14ac:dyDescent="0.25">
      <c r="A17" s="125"/>
      <c r="B17" s="128" t="s">
        <v>2</v>
      </c>
      <c r="C17" s="123"/>
      <c r="D17" s="123"/>
      <c r="E17" s="123"/>
      <c r="F17" s="123"/>
      <c r="G17" s="123"/>
      <c r="H17" s="123"/>
      <c r="I17" s="123"/>
      <c r="J17" s="122"/>
    </row>
    <row r="18" spans="1:16" ht="17" thickBot="1" x14ac:dyDescent="0.25">
      <c r="A18" s="125"/>
      <c r="B18" s="123" t="s">
        <v>222</v>
      </c>
      <c r="C18" s="123"/>
      <c r="D18" s="123"/>
      <c r="E18" s="123"/>
      <c r="F18" s="123"/>
      <c r="G18" s="123"/>
      <c r="H18" s="123"/>
      <c r="I18" s="123"/>
      <c r="J18" s="122"/>
      <c r="L18" s="156" t="s">
        <v>447</v>
      </c>
      <c r="M18" s="155">
        <f>(Q14^(1-1.48))/(1-1.48)</f>
        <v>-1.1567863638711897E-2</v>
      </c>
    </row>
    <row r="19" spans="1:16" x14ac:dyDescent="0.2">
      <c r="A19" s="125"/>
      <c r="B19" s="126"/>
      <c r="C19" s="123"/>
      <c r="D19" s="123"/>
      <c r="E19" s="123"/>
      <c r="F19" s="123"/>
      <c r="G19" s="123"/>
      <c r="H19" s="123"/>
      <c r="I19" s="123"/>
      <c r="J19" s="122"/>
    </row>
    <row r="20" spans="1:16" x14ac:dyDescent="0.2">
      <c r="A20" s="125"/>
      <c r="B20" s="128" t="s">
        <v>221</v>
      </c>
      <c r="C20" s="123"/>
      <c r="D20" s="123"/>
      <c r="E20" s="123"/>
      <c r="F20" s="123"/>
      <c r="G20" s="123"/>
      <c r="H20" s="123"/>
      <c r="I20" s="123"/>
      <c r="J20" s="122"/>
      <c r="L20" s="108" t="s">
        <v>194</v>
      </c>
    </row>
    <row r="21" spans="1:16" ht="15.75" customHeight="1" x14ac:dyDescent="0.2">
      <c r="A21" s="125"/>
      <c r="B21" s="411" t="s">
        <v>220</v>
      </c>
      <c r="C21" s="411"/>
      <c r="D21" s="411"/>
      <c r="E21" s="411"/>
      <c r="F21" s="411"/>
      <c r="G21" s="411"/>
      <c r="H21" s="411"/>
      <c r="I21" s="411"/>
      <c r="J21" s="122"/>
    </row>
    <row r="22" spans="1:16" x14ac:dyDescent="0.2">
      <c r="A22" s="125"/>
      <c r="B22" s="411"/>
      <c r="C22" s="411"/>
      <c r="D22" s="411"/>
      <c r="E22" s="411"/>
      <c r="F22" s="411"/>
      <c r="G22" s="411"/>
      <c r="H22" s="411"/>
      <c r="I22" s="411"/>
      <c r="J22" s="122"/>
      <c r="L22" s="104" t="s">
        <v>213</v>
      </c>
      <c r="M22" s="152">
        <f>F8*(Q14)^1.48</f>
        <v>18009663.654414557</v>
      </c>
      <c r="N22" t="s">
        <v>212</v>
      </c>
    </row>
    <row r="23" spans="1:16" x14ac:dyDescent="0.2">
      <c r="A23" s="125"/>
      <c r="B23" s="411"/>
      <c r="C23" s="411"/>
      <c r="D23" s="411"/>
      <c r="E23" s="411"/>
      <c r="F23" s="411"/>
      <c r="G23" s="411"/>
      <c r="H23" s="411"/>
      <c r="I23" s="411"/>
      <c r="J23" s="122"/>
    </row>
    <row r="24" spans="1:16" x14ac:dyDescent="0.2">
      <c r="A24" s="125"/>
      <c r="B24" s="126"/>
      <c r="C24" s="123"/>
      <c r="D24" s="123"/>
      <c r="E24" s="123"/>
      <c r="F24" s="123"/>
      <c r="G24" s="123"/>
      <c r="H24" s="123"/>
      <c r="I24" s="123"/>
      <c r="J24" s="122"/>
      <c r="L24" s="108" t="s">
        <v>219</v>
      </c>
    </row>
    <row r="25" spans="1:16" x14ac:dyDescent="0.2">
      <c r="A25" s="125"/>
      <c r="B25" s="128" t="s">
        <v>218</v>
      </c>
      <c r="C25" s="123"/>
      <c r="D25" s="123"/>
      <c r="E25" s="123"/>
      <c r="F25" s="123"/>
      <c r="G25" s="123"/>
      <c r="H25" s="123"/>
      <c r="I25" s="123"/>
      <c r="J25" s="122"/>
    </row>
    <row r="26" spans="1:16" ht="15.75" customHeight="1" x14ac:dyDescent="0.2">
      <c r="A26" s="125"/>
      <c r="B26" s="411" t="s">
        <v>217</v>
      </c>
      <c r="C26" s="411"/>
      <c r="D26" s="411"/>
      <c r="E26" s="411"/>
      <c r="F26" s="411"/>
      <c r="G26" s="411"/>
      <c r="H26" s="411"/>
      <c r="I26" s="411"/>
      <c r="J26" s="122"/>
      <c r="L26" s="104" t="s">
        <v>216</v>
      </c>
    </row>
    <row r="27" spans="1:16" x14ac:dyDescent="0.2">
      <c r="A27" s="125"/>
      <c r="B27" s="411"/>
      <c r="C27" s="411"/>
      <c r="D27" s="411"/>
      <c r="E27" s="411"/>
      <c r="F27" s="411"/>
      <c r="G27" s="411"/>
      <c r="H27" s="411"/>
      <c r="I27" s="411"/>
      <c r="J27" s="122"/>
    </row>
    <row r="28" spans="1:16" x14ac:dyDescent="0.2">
      <c r="A28" s="125"/>
      <c r="B28" s="132"/>
      <c r="C28" s="132"/>
      <c r="D28" s="132"/>
      <c r="E28" s="132"/>
      <c r="F28" s="132"/>
      <c r="G28" s="132"/>
      <c r="H28" s="132"/>
      <c r="I28" s="132"/>
      <c r="J28" s="122"/>
      <c r="L28" s="104" t="s">
        <v>213</v>
      </c>
      <c r="M28" s="152">
        <f>F8*(Q14)^1</f>
        <v>100000</v>
      </c>
      <c r="N28" t="s">
        <v>212</v>
      </c>
    </row>
    <row r="29" spans="1:16" ht="16" customHeight="1" thickBot="1" x14ac:dyDescent="0.25">
      <c r="A29" s="125"/>
      <c r="B29" s="123"/>
      <c r="C29" s="123"/>
      <c r="D29" s="123"/>
      <c r="E29" s="123"/>
      <c r="F29" s="123"/>
      <c r="G29" s="123"/>
      <c r="H29" s="123"/>
      <c r="I29" s="123"/>
      <c r="J29" s="122"/>
    </row>
    <row r="30" spans="1:16" ht="17" thickBot="1" x14ac:dyDescent="0.25">
      <c r="A30" s="119" t="s">
        <v>145</v>
      </c>
      <c r="B30" s="118"/>
      <c r="C30" s="154"/>
      <c r="D30" s="118"/>
      <c r="E30" s="118"/>
      <c r="F30" s="118"/>
      <c r="G30" s="118"/>
      <c r="H30" s="118"/>
      <c r="I30" s="118"/>
      <c r="J30" s="117"/>
      <c r="L30" s="108" t="s">
        <v>215</v>
      </c>
    </row>
    <row r="31" spans="1:16" x14ac:dyDescent="0.2">
      <c r="B31" s="153"/>
    </row>
    <row r="32" spans="1:16" x14ac:dyDescent="0.2">
      <c r="L32" s="104" t="s">
        <v>214</v>
      </c>
      <c r="O32" s="127"/>
      <c r="P32" s="110"/>
    </row>
    <row r="33" spans="12:19" x14ac:dyDescent="0.2">
      <c r="O33" s="109"/>
      <c r="P33" s="110"/>
    </row>
    <row r="34" spans="12:19" x14ac:dyDescent="0.2">
      <c r="L34" s="104" t="s">
        <v>213</v>
      </c>
      <c r="M34" s="152">
        <f>F8*(Q14)^2</f>
        <v>5000000000</v>
      </c>
      <c r="N34" t="s">
        <v>212</v>
      </c>
      <c r="P34" s="110"/>
    </row>
    <row r="35" spans="12:19" x14ac:dyDescent="0.2">
      <c r="M35" s="109"/>
      <c r="N35" s="109"/>
      <c r="O35" s="109"/>
      <c r="P35" s="110"/>
    </row>
    <row r="36" spans="12:19" x14ac:dyDescent="0.2">
      <c r="M36" s="109"/>
      <c r="N36" s="109"/>
      <c r="O36" s="109"/>
      <c r="P36" s="110"/>
    </row>
    <row r="37" spans="12:19" ht="19" x14ac:dyDescent="0.25">
      <c r="L37" s="105" t="s">
        <v>131</v>
      </c>
    </row>
    <row r="38" spans="12:19" ht="16" customHeight="1" x14ac:dyDescent="0.2">
      <c r="L38" s="413" t="s">
        <v>211</v>
      </c>
      <c r="M38" s="413"/>
      <c r="N38" s="413"/>
      <c r="O38" s="413"/>
      <c r="P38" s="413"/>
      <c r="Q38" s="413"/>
      <c r="R38" s="151"/>
      <c r="S38" s="151"/>
    </row>
    <row r="39" spans="12:19" x14ac:dyDescent="0.2">
      <c r="L39" s="413"/>
      <c r="M39" s="413"/>
      <c r="N39" s="413"/>
      <c r="O39" s="413"/>
      <c r="P39" s="413"/>
      <c r="Q39" s="413"/>
    </row>
    <row r="40" spans="12:19" x14ac:dyDescent="0.2">
      <c r="L40"/>
      <c r="M40" s="110"/>
      <c r="N40" s="104"/>
      <c r="O40" s="109"/>
    </row>
    <row r="41" spans="12:19" x14ac:dyDescent="0.2">
      <c r="M41" s="110"/>
      <c r="N41" s="109"/>
    </row>
    <row r="42" spans="12:19" x14ac:dyDescent="0.2">
      <c r="M42" s="110"/>
      <c r="N42" s="109"/>
    </row>
    <row r="43" spans="12:19" x14ac:dyDescent="0.2">
      <c r="M43" s="109"/>
      <c r="N43" s="109"/>
    </row>
    <row r="44" spans="12:19" x14ac:dyDescent="0.2">
      <c r="M44" s="110"/>
      <c r="N44" s="109"/>
    </row>
    <row r="45" spans="12:19" x14ac:dyDescent="0.2">
      <c r="M45" s="110"/>
      <c r="N45" s="109"/>
    </row>
    <row r="46" spans="12:19" x14ac:dyDescent="0.2">
      <c r="M46" s="110"/>
    </row>
    <row r="47" spans="12:19" x14ac:dyDescent="0.2">
      <c r="M47" s="109"/>
    </row>
    <row r="48" spans="12:19" x14ac:dyDescent="0.2">
      <c r="M48" s="150"/>
    </row>
  </sheetData>
  <mergeCells count="5">
    <mergeCell ref="L5:Q6"/>
    <mergeCell ref="B3:G4"/>
    <mergeCell ref="B26:I27"/>
    <mergeCell ref="B21:I23"/>
    <mergeCell ref="L38:Q3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88B51-3CC6-F540-9481-EB8D042248FC}">
  <sheetPr codeName="Sheet12"/>
  <dimension ref="A1:S55"/>
  <sheetViews>
    <sheetView zoomScaleNormal="100" workbookViewId="0"/>
  </sheetViews>
  <sheetFormatPr baseColWidth="10" defaultColWidth="11" defaultRowHeight="16" outlineLevelCol="1" x14ac:dyDescent="0.2"/>
  <cols>
    <col min="1" max="1" width="4.5" customWidth="1"/>
    <col min="2" max="2" width="12.1640625" customWidth="1"/>
    <col min="3" max="10" width="10.83203125" customWidth="1"/>
    <col min="11" max="11" width="10.5" customWidth="1"/>
    <col min="12" max="12" width="11.1640625" bestFit="1" customWidth="1"/>
    <col min="13" max="13" width="17.1640625" style="104" hidden="1" customWidth="1" outlineLevel="1"/>
    <col min="14" max="14" width="14" hidden="1" customWidth="1" outlineLevel="1"/>
    <col min="15" max="15" width="12.5" hidden="1" customWidth="1" outlineLevel="1"/>
    <col min="16" max="17" width="10.83203125" hidden="1" customWidth="1" outlineLevel="1"/>
    <col min="18" max="18" width="12" hidden="1" customWidth="1" outlineLevel="1"/>
    <col min="19" max="19" width="11" collapsed="1"/>
  </cols>
  <sheetData>
    <row r="1" spans="1:18" ht="19" x14ac:dyDescent="0.25">
      <c r="A1" s="149" t="s">
        <v>247</v>
      </c>
      <c r="B1" s="148"/>
      <c r="C1" s="147"/>
      <c r="D1" s="147"/>
      <c r="E1" s="147"/>
      <c r="F1" s="146"/>
      <c r="G1" s="146"/>
      <c r="H1" s="146"/>
      <c r="I1" s="146"/>
      <c r="J1" s="145"/>
      <c r="L1" s="105" t="s">
        <v>146</v>
      </c>
    </row>
    <row r="2" spans="1:18" x14ac:dyDescent="0.2">
      <c r="A2" s="125"/>
      <c r="B2" s="123"/>
      <c r="C2" s="123"/>
      <c r="D2" s="123"/>
      <c r="E2" s="123"/>
      <c r="F2" s="123"/>
      <c r="G2" s="123"/>
      <c r="H2" s="123"/>
      <c r="I2" s="123"/>
      <c r="J2" s="122"/>
    </row>
    <row r="3" spans="1:18" ht="16" customHeight="1" x14ac:dyDescent="0.2">
      <c r="A3" s="125"/>
      <c r="B3" s="411" t="s">
        <v>246</v>
      </c>
      <c r="C3" s="411"/>
      <c r="D3" s="411"/>
      <c r="E3" s="411"/>
      <c r="F3" s="411"/>
      <c r="G3" s="411"/>
      <c r="H3" s="411"/>
      <c r="I3" s="411"/>
      <c r="J3" s="122"/>
      <c r="M3" s="108" t="s">
        <v>208</v>
      </c>
    </row>
    <row r="4" spans="1:18" x14ac:dyDescent="0.2">
      <c r="A4" s="125"/>
      <c r="B4" s="411"/>
      <c r="C4" s="411"/>
      <c r="D4" s="411"/>
      <c r="E4" s="411"/>
      <c r="F4" s="411"/>
      <c r="G4" s="411"/>
      <c r="H4" s="411"/>
      <c r="I4" s="411"/>
      <c r="J4" s="122"/>
    </row>
    <row r="5" spans="1:18" ht="15.75" customHeight="1" x14ac:dyDescent="0.2">
      <c r="A5" s="125"/>
      <c r="B5" s="123"/>
      <c r="C5" s="123"/>
      <c r="D5" s="123"/>
      <c r="E5" s="123"/>
      <c r="F5" s="123"/>
      <c r="G5" s="123"/>
      <c r="H5" s="123"/>
      <c r="I5" s="123"/>
      <c r="J5" s="122"/>
      <c r="M5" s="410" t="s">
        <v>245</v>
      </c>
      <c r="N5" s="410"/>
      <c r="O5" s="410"/>
      <c r="P5" s="410"/>
      <c r="Q5" s="410"/>
      <c r="R5" s="410"/>
    </row>
    <row r="6" spans="1:18" x14ac:dyDescent="0.2">
      <c r="A6" s="125"/>
      <c r="B6" s="123"/>
      <c r="C6" s="123"/>
      <c r="D6" s="123"/>
      <c r="E6" s="123"/>
      <c r="F6" s="123"/>
      <c r="G6" s="123"/>
      <c r="H6" s="123"/>
      <c r="I6" s="123"/>
      <c r="J6" s="122"/>
      <c r="M6" s="410"/>
      <c r="N6" s="410"/>
      <c r="O6" s="410"/>
      <c r="P6" s="410"/>
      <c r="Q6" s="410"/>
      <c r="R6" s="410"/>
    </row>
    <row r="7" spans="1:18" x14ac:dyDescent="0.2">
      <c r="A7" s="125"/>
      <c r="B7" s="123"/>
      <c r="C7" s="123"/>
      <c r="D7" s="123"/>
      <c r="E7" s="123"/>
      <c r="F7" s="123"/>
      <c r="G7" s="123"/>
      <c r="H7" s="123"/>
      <c r="I7" s="123"/>
      <c r="J7" s="122"/>
    </row>
    <row r="8" spans="1:18" x14ac:dyDescent="0.2">
      <c r="A8" s="125"/>
      <c r="B8" s="123"/>
      <c r="C8" s="123"/>
      <c r="D8" s="123"/>
      <c r="E8" s="123"/>
      <c r="F8" s="123"/>
      <c r="G8" s="123"/>
      <c r="H8" s="123"/>
      <c r="I8" s="123"/>
      <c r="J8" s="122"/>
      <c r="M8" s="108" t="s">
        <v>197</v>
      </c>
    </row>
    <row r="9" spans="1:18" x14ac:dyDescent="0.2">
      <c r="A9" s="125"/>
      <c r="B9" s="123"/>
      <c r="C9" s="123"/>
      <c r="D9" s="123"/>
      <c r="E9" s="123"/>
      <c r="F9" s="123"/>
      <c r="G9" s="123"/>
      <c r="H9" s="123"/>
      <c r="I9" s="123"/>
      <c r="J9" s="122"/>
    </row>
    <row r="10" spans="1:18" ht="15.75" customHeight="1" x14ac:dyDescent="0.2">
      <c r="A10" s="125"/>
      <c r="B10" s="123"/>
      <c r="C10" s="123"/>
      <c r="D10" s="123"/>
      <c r="E10" s="123"/>
      <c r="F10" s="123"/>
      <c r="G10" s="123"/>
      <c r="H10" s="123"/>
      <c r="I10" s="123"/>
      <c r="J10" s="122"/>
      <c r="M10" s="410" t="s">
        <v>244</v>
      </c>
      <c r="N10" s="410"/>
      <c r="O10" s="410"/>
      <c r="P10" s="410"/>
      <c r="Q10" s="410"/>
      <c r="R10" s="410"/>
    </row>
    <row r="11" spans="1:18" x14ac:dyDescent="0.2">
      <c r="A11" s="125"/>
      <c r="B11" s="123"/>
      <c r="C11" s="123"/>
      <c r="D11" s="123"/>
      <c r="E11" s="123"/>
      <c r="F11" s="123"/>
      <c r="G11" s="123"/>
      <c r="H11" s="123"/>
      <c r="I11" s="123"/>
      <c r="J11" s="122"/>
      <c r="M11" s="410"/>
      <c r="N11" s="410"/>
      <c r="O11" s="410"/>
      <c r="P11" s="410"/>
      <c r="Q11" s="410"/>
      <c r="R11" s="410"/>
    </row>
    <row r="12" spans="1:18" x14ac:dyDescent="0.2">
      <c r="A12" s="125"/>
      <c r="B12" s="123"/>
      <c r="C12" s="123"/>
      <c r="D12" s="123"/>
      <c r="E12" s="123"/>
      <c r="F12" s="123"/>
      <c r="G12" s="123"/>
      <c r="H12" s="123"/>
      <c r="I12" s="123"/>
      <c r="J12" s="122"/>
    </row>
    <row r="13" spans="1:18" x14ac:dyDescent="0.2">
      <c r="A13" s="125"/>
      <c r="B13" s="123"/>
      <c r="C13" s="123"/>
      <c r="D13" s="123"/>
      <c r="E13" s="123"/>
      <c r="F13" s="123"/>
      <c r="G13" s="123"/>
      <c r="H13" s="123"/>
      <c r="I13" s="123"/>
      <c r="J13" s="122"/>
      <c r="M13" s="108" t="s">
        <v>194</v>
      </c>
    </row>
    <row r="14" spans="1:18" x14ac:dyDescent="0.2">
      <c r="A14" s="125"/>
      <c r="B14" s="123"/>
      <c r="C14" s="123"/>
      <c r="D14" s="123"/>
      <c r="E14" s="123"/>
      <c r="F14" s="123"/>
      <c r="G14" s="123"/>
      <c r="H14" s="123"/>
      <c r="I14" s="123"/>
      <c r="J14" s="122"/>
    </row>
    <row r="15" spans="1:18" ht="15.75" customHeight="1" x14ac:dyDescent="0.2">
      <c r="A15" s="125"/>
      <c r="B15" s="123"/>
      <c r="C15" s="123"/>
      <c r="D15" s="123"/>
      <c r="E15" s="123"/>
      <c r="F15" s="123"/>
      <c r="G15" s="123"/>
      <c r="H15" s="123"/>
      <c r="I15" s="123"/>
      <c r="J15" s="122"/>
      <c r="M15" s="413" t="s">
        <v>243</v>
      </c>
      <c r="N15" s="413"/>
      <c r="O15" s="413"/>
      <c r="P15" s="413"/>
      <c r="Q15" s="413"/>
      <c r="R15" s="413"/>
    </row>
    <row r="16" spans="1:18" x14ac:dyDescent="0.2">
      <c r="A16" s="125"/>
      <c r="B16" s="123"/>
      <c r="C16" s="123"/>
      <c r="D16" s="123"/>
      <c r="E16" s="123"/>
      <c r="F16" s="123"/>
      <c r="G16" s="123"/>
      <c r="H16" s="123"/>
      <c r="I16" s="123"/>
      <c r="J16" s="122"/>
      <c r="M16" s="413"/>
      <c r="N16" s="413"/>
      <c r="O16" s="413"/>
      <c r="P16" s="413"/>
      <c r="Q16" s="413"/>
      <c r="R16" s="413"/>
    </row>
    <row r="17" spans="1:18" x14ac:dyDescent="0.2">
      <c r="A17" s="125"/>
      <c r="B17" s="123"/>
      <c r="C17" s="123"/>
      <c r="D17" s="123"/>
      <c r="E17" s="123"/>
      <c r="F17" s="123"/>
      <c r="G17" s="123"/>
      <c r="H17" s="123"/>
      <c r="I17" s="123"/>
      <c r="J17" s="122"/>
      <c r="M17" s="413"/>
      <c r="N17" s="413"/>
      <c r="O17" s="413"/>
      <c r="P17" s="413"/>
      <c r="Q17" s="413"/>
      <c r="R17" s="413"/>
    </row>
    <row r="18" spans="1:18" x14ac:dyDescent="0.2">
      <c r="A18" s="125"/>
      <c r="B18" s="123"/>
      <c r="C18" s="123"/>
      <c r="D18" s="123"/>
      <c r="E18" s="123"/>
      <c r="F18" s="123"/>
      <c r="G18" s="123"/>
      <c r="H18" s="123"/>
      <c r="I18" s="123"/>
      <c r="J18" s="122"/>
      <c r="M18" s="413"/>
      <c r="N18" s="413"/>
      <c r="O18" s="413"/>
      <c r="P18" s="413"/>
      <c r="Q18" s="413"/>
      <c r="R18" s="413"/>
    </row>
    <row r="19" spans="1:18" x14ac:dyDescent="0.2">
      <c r="A19" s="125"/>
      <c r="B19" s="123"/>
      <c r="C19" s="123"/>
      <c r="D19" s="123"/>
      <c r="E19" s="123"/>
      <c r="F19" s="123"/>
      <c r="G19" s="123"/>
      <c r="H19" s="123"/>
      <c r="I19" s="123"/>
      <c r="J19" s="122"/>
      <c r="M19" s="413"/>
      <c r="N19" s="413"/>
      <c r="O19" s="413"/>
      <c r="P19" s="413"/>
      <c r="Q19" s="413"/>
      <c r="R19" s="413"/>
    </row>
    <row r="20" spans="1:18" x14ac:dyDescent="0.2">
      <c r="A20" s="125"/>
      <c r="B20" s="123"/>
      <c r="C20" s="123"/>
      <c r="D20" s="123"/>
      <c r="E20" s="123"/>
      <c r="F20" s="123"/>
      <c r="G20" s="123"/>
      <c r="H20" s="123"/>
      <c r="I20" s="123"/>
      <c r="J20" s="122"/>
      <c r="M20" s="413"/>
      <c r="N20" s="413"/>
      <c r="O20" s="413"/>
      <c r="P20" s="413"/>
      <c r="Q20" s="413"/>
      <c r="R20" s="413"/>
    </row>
    <row r="21" spans="1:18" x14ac:dyDescent="0.2">
      <c r="A21" s="125"/>
      <c r="B21" s="123"/>
      <c r="C21" s="123"/>
      <c r="D21" s="123"/>
      <c r="E21" s="123"/>
      <c r="F21" s="123"/>
      <c r="G21" s="123"/>
      <c r="H21" s="123"/>
      <c r="I21" s="123"/>
      <c r="J21" s="122"/>
      <c r="M21" s="413"/>
      <c r="N21" s="413"/>
      <c r="O21" s="413"/>
      <c r="P21" s="413"/>
      <c r="Q21" s="413"/>
      <c r="R21" s="413"/>
    </row>
    <row r="22" spans="1:18" x14ac:dyDescent="0.2">
      <c r="A22" s="125"/>
      <c r="B22" s="123"/>
      <c r="C22" s="123"/>
      <c r="D22" s="123"/>
      <c r="E22" s="123"/>
      <c r="F22" s="123"/>
      <c r="G22" s="123"/>
      <c r="H22" s="123"/>
      <c r="I22" s="123"/>
      <c r="J22" s="122"/>
      <c r="M22" s="413"/>
      <c r="N22" s="413"/>
      <c r="O22" s="413"/>
      <c r="P22" s="413"/>
      <c r="Q22" s="413"/>
      <c r="R22" s="413"/>
    </row>
    <row r="23" spans="1:18" x14ac:dyDescent="0.2">
      <c r="A23" s="125"/>
      <c r="B23" s="123"/>
      <c r="C23" s="414" t="s">
        <v>242</v>
      </c>
      <c r="D23" s="414" t="s">
        <v>241</v>
      </c>
      <c r="E23" s="123"/>
      <c r="F23" s="123"/>
      <c r="G23" s="123"/>
      <c r="H23" s="123"/>
      <c r="I23" s="123"/>
      <c r="J23" s="122"/>
      <c r="M23" s="413"/>
      <c r="N23" s="413"/>
      <c r="O23" s="413"/>
      <c r="P23" s="413"/>
      <c r="Q23" s="413"/>
      <c r="R23" s="413"/>
    </row>
    <row r="24" spans="1:18" ht="16" customHeight="1" x14ac:dyDescent="0.2">
      <c r="A24" s="125"/>
      <c r="B24" s="123"/>
      <c r="C24" s="415"/>
      <c r="D24" s="415"/>
      <c r="E24" s="123"/>
      <c r="F24" s="123"/>
      <c r="G24" s="123"/>
      <c r="H24" s="123"/>
      <c r="I24" s="123"/>
      <c r="J24" s="122"/>
      <c r="M24"/>
    </row>
    <row r="25" spans="1:18" x14ac:dyDescent="0.2">
      <c r="A25" s="125"/>
      <c r="B25" s="123"/>
      <c r="C25" s="415"/>
      <c r="D25" s="415"/>
      <c r="E25" s="123"/>
      <c r="F25" s="123"/>
      <c r="G25" s="123"/>
      <c r="H25" s="123"/>
      <c r="I25" s="123"/>
      <c r="J25" s="122"/>
      <c r="M25"/>
    </row>
    <row r="26" spans="1:18" ht="19" x14ac:dyDescent="0.25">
      <c r="A26" s="125"/>
      <c r="B26" s="123"/>
      <c r="C26" s="416"/>
      <c r="D26" s="416"/>
      <c r="E26" s="123"/>
      <c r="F26" s="123"/>
      <c r="G26" s="123"/>
      <c r="H26" s="123"/>
      <c r="I26" s="123"/>
      <c r="J26" s="122"/>
      <c r="M26" s="244" t="s">
        <v>131</v>
      </c>
    </row>
    <row r="27" spans="1:18" ht="16" customHeight="1" x14ac:dyDescent="0.2">
      <c r="A27" s="125"/>
      <c r="B27" s="123"/>
      <c r="C27" s="162" t="s">
        <v>240</v>
      </c>
      <c r="D27" s="161">
        <v>0.46</v>
      </c>
      <c r="E27" s="123"/>
      <c r="F27" s="123"/>
      <c r="G27" s="123"/>
      <c r="H27" s="123"/>
      <c r="I27" s="123"/>
      <c r="J27" s="122"/>
      <c r="M27" s="413" t="s">
        <v>444</v>
      </c>
      <c r="N27" s="413"/>
      <c r="O27" s="413"/>
      <c r="P27" s="413"/>
      <c r="Q27" s="413"/>
      <c r="R27" s="413"/>
    </row>
    <row r="28" spans="1:18" x14ac:dyDescent="0.2">
      <c r="A28" s="125"/>
      <c r="B28" s="123"/>
      <c r="C28" s="162" t="s">
        <v>239</v>
      </c>
      <c r="D28" s="161">
        <v>0.65200000000000002</v>
      </c>
      <c r="E28" s="123"/>
      <c r="F28" s="123"/>
      <c r="G28" s="123"/>
      <c r="H28" s="123"/>
      <c r="I28" s="123"/>
      <c r="J28" s="122"/>
      <c r="M28" s="413"/>
      <c r="N28" s="413"/>
      <c r="O28" s="413"/>
      <c r="P28" s="413"/>
      <c r="Q28" s="413"/>
      <c r="R28" s="413"/>
    </row>
    <row r="29" spans="1:18" x14ac:dyDescent="0.2">
      <c r="A29" s="125"/>
      <c r="B29" s="123"/>
      <c r="C29" s="162" t="s">
        <v>238</v>
      </c>
      <c r="D29" s="161">
        <v>1.06</v>
      </c>
      <c r="E29" s="123"/>
      <c r="F29" s="123"/>
      <c r="G29" s="123"/>
      <c r="H29" s="123"/>
      <c r="I29" s="123"/>
      <c r="J29" s="122"/>
      <c r="M29" s="413"/>
      <c r="N29" s="413"/>
      <c r="O29" s="413"/>
      <c r="P29" s="413"/>
      <c r="Q29" s="413"/>
      <c r="R29" s="413"/>
    </row>
    <row r="30" spans="1:18" x14ac:dyDescent="0.2">
      <c r="A30" s="125"/>
      <c r="B30" s="123"/>
      <c r="C30" s="160" t="s">
        <v>237</v>
      </c>
      <c r="D30" s="135">
        <v>1.161</v>
      </c>
      <c r="E30" s="123"/>
      <c r="F30" s="123"/>
      <c r="G30" s="123"/>
      <c r="H30" s="123"/>
      <c r="I30" s="123"/>
      <c r="J30" s="122"/>
      <c r="M30" s="413"/>
      <c r="N30" s="413"/>
      <c r="O30" s="413"/>
      <c r="P30" s="413"/>
      <c r="Q30" s="413"/>
      <c r="R30" s="413"/>
    </row>
    <row r="31" spans="1:18" x14ac:dyDescent="0.2">
      <c r="A31" s="125"/>
      <c r="B31" s="126"/>
      <c r="C31" s="126"/>
      <c r="D31" s="123"/>
      <c r="E31" s="123"/>
      <c r="F31" s="123"/>
      <c r="G31" s="123"/>
      <c r="H31" s="123"/>
      <c r="I31" s="123"/>
      <c r="J31" s="122"/>
      <c r="M31" s="413"/>
      <c r="N31" s="413"/>
      <c r="O31" s="413"/>
      <c r="P31" s="413"/>
      <c r="Q31" s="413"/>
      <c r="R31" s="413"/>
    </row>
    <row r="32" spans="1:18" x14ac:dyDescent="0.2">
      <c r="A32" s="125"/>
      <c r="B32" s="128" t="s">
        <v>0</v>
      </c>
      <c r="C32" s="123"/>
      <c r="D32" s="123"/>
      <c r="E32" s="123"/>
      <c r="F32" s="123"/>
      <c r="G32" s="123"/>
      <c r="H32" s="123"/>
      <c r="I32" s="123"/>
      <c r="J32" s="122"/>
      <c r="M32" s="413"/>
      <c r="N32" s="413"/>
      <c r="O32" s="413"/>
      <c r="P32" s="413"/>
      <c r="Q32" s="413"/>
      <c r="R32" s="413"/>
    </row>
    <row r="33" spans="1:18" x14ac:dyDescent="0.2">
      <c r="A33" s="125"/>
      <c r="B33" s="128" t="s">
        <v>236</v>
      </c>
      <c r="C33" s="128"/>
      <c r="D33" s="123"/>
      <c r="E33" s="123"/>
      <c r="F33" s="123"/>
      <c r="G33" s="123"/>
      <c r="H33" s="123"/>
      <c r="I33" s="123"/>
      <c r="J33" s="122"/>
      <c r="M33" s="413"/>
      <c r="N33" s="413"/>
      <c r="O33" s="413"/>
      <c r="P33" s="413"/>
      <c r="Q33" s="413"/>
      <c r="R33" s="413"/>
    </row>
    <row r="34" spans="1:18" x14ac:dyDescent="0.2">
      <c r="A34" s="125"/>
      <c r="B34" s="126"/>
      <c r="C34" s="126"/>
      <c r="D34" s="123"/>
      <c r="E34" s="123"/>
      <c r="F34" s="123"/>
      <c r="G34" s="123"/>
      <c r="H34" s="123"/>
      <c r="I34" s="123"/>
      <c r="J34" s="122"/>
    </row>
    <row r="35" spans="1:18" x14ac:dyDescent="0.2">
      <c r="A35" s="125"/>
      <c r="B35" s="128" t="s">
        <v>1</v>
      </c>
      <c r="C35" s="123"/>
      <c r="D35" s="123"/>
      <c r="E35" s="123"/>
      <c r="F35" s="123"/>
      <c r="G35" s="123"/>
      <c r="H35" s="123"/>
      <c r="I35" s="123"/>
      <c r="J35" s="122"/>
    </row>
    <row r="36" spans="1:18" x14ac:dyDescent="0.2">
      <c r="A36" s="125"/>
      <c r="B36" s="128" t="s">
        <v>235</v>
      </c>
      <c r="C36" s="128"/>
      <c r="D36" s="123"/>
      <c r="E36" s="123"/>
      <c r="F36" s="123"/>
      <c r="G36" s="123"/>
      <c r="H36" s="123"/>
      <c r="I36" s="123"/>
      <c r="J36" s="122"/>
      <c r="P36" s="127"/>
      <c r="Q36" s="110"/>
    </row>
    <row r="37" spans="1:18" x14ac:dyDescent="0.2">
      <c r="A37" s="125"/>
      <c r="B37" s="123"/>
      <c r="C37" s="128"/>
      <c r="D37" s="123"/>
      <c r="E37" s="123"/>
      <c r="F37" s="123"/>
      <c r="G37" s="123"/>
      <c r="H37" s="123"/>
      <c r="I37" s="123"/>
      <c r="J37" s="122"/>
      <c r="P37" s="127"/>
      <c r="Q37" s="110"/>
    </row>
    <row r="38" spans="1:18" x14ac:dyDescent="0.2">
      <c r="A38" s="125"/>
      <c r="B38" s="128" t="s">
        <v>2</v>
      </c>
      <c r="C38" s="123"/>
      <c r="D38" s="123"/>
      <c r="E38" s="123"/>
      <c r="F38" s="123"/>
      <c r="G38" s="123"/>
      <c r="H38" s="123"/>
      <c r="I38" s="123"/>
      <c r="J38" s="122"/>
      <c r="P38" s="127"/>
      <c r="Q38" s="110"/>
    </row>
    <row r="39" spans="1:18" ht="16" customHeight="1" x14ac:dyDescent="0.2">
      <c r="A39" s="125"/>
      <c r="B39" s="411" t="s">
        <v>443</v>
      </c>
      <c r="C39" s="411"/>
      <c r="D39" s="411"/>
      <c r="E39" s="411"/>
      <c r="F39" s="411"/>
      <c r="G39" s="411"/>
      <c r="H39" s="411"/>
      <c r="I39" s="411"/>
      <c r="J39" s="122"/>
      <c r="P39" s="127"/>
      <c r="Q39" s="110"/>
    </row>
    <row r="40" spans="1:18" x14ac:dyDescent="0.2">
      <c r="A40" s="125"/>
      <c r="B40" s="411"/>
      <c r="C40" s="411"/>
      <c r="D40" s="411"/>
      <c r="E40" s="411"/>
      <c r="F40" s="411"/>
      <c r="G40" s="411"/>
      <c r="H40" s="411"/>
      <c r="I40" s="411"/>
      <c r="J40" s="122"/>
      <c r="P40" s="127"/>
      <c r="Q40" s="110"/>
    </row>
    <row r="41" spans="1:18" ht="17" thickBot="1" x14ac:dyDescent="0.25">
      <c r="A41" s="125"/>
      <c r="B41" s="124"/>
      <c r="C41" s="123"/>
      <c r="D41" s="123"/>
      <c r="E41" s="123"/>
      <c r="F41" s="123"/>
      <c r="G41" s="123"/>
      <c r="H41" s="123"/>
      <c r="I41" s="123"/>
      <c r="J41" s="122"/>
      <c r="P41" s="109"/>
      <c r="Q41" s="110"/>
    </row>
    <row r="42" spans="1:18" ht="17" thickBot="1" x14ac:dyDescent="0.25">
      <c r="A42" s="119" t="s">
        <v>145</v>
      </c>
      <c r="B42" s="118"/>
      <c r="C42" s="118"/>
      <c r="D42" s="118"/>
      <c r="E42" s="118"/>
      <c r="F42" s="118"/>
      <c r="G42" s="118"/>
      <c r="H42" s="118"/>
      <c r="I42" s="118"/>
      <c r="J42" s="117"/>
      <c r="Q42" s="110"/>
    </row>
    <row r="43" spans="1:18" x14ac:dyDescent="0.2">
      <c r="N43" s="109"/>
      <c r="O43" s="109"/>
      <c r="P43" s="109"/>
      <c r="Q43" s="110"/>
    </row>
    <row r="44" spans="1:18" x14ac:dyDescent="0.2">
      <c r="N44" s="109"/>
      <c r="O44" s="109"/>
      <c r="P44" s="109"/>
    </row>
    <row r="45" spans="1:18" x14ac:dyDescent="0.2">
      <c r="N45" s="110"/>
      <c r="O45" s="104"/>
      <c r="P45" s="109"/>
    </row>
    <row r="46" spans="1:18" x14ac:dyDescent="0.2">
      <c r="N46" s="111"/>
      <c r="O46" s="104"/>
      <c r="P46" s="109"/>
    </row>
    <row r="47" spans="1:18" x14ac:dyDescent="0.2">
      <c r="N47" s="110"/>
      <c r="O47" s="104"/>
      <c r="P47" s="109"/>
    </row>
    <row r="48" spans="1:18" x14ac:dyDescent="0.2">
      <c r="N48" s="110"/>
      <c r="O48" s="109"/>
    </row>
    <row r="49" spans="14:15" x14ac:dyDescent="0.2">
      <c r="N49" s="110"/>
      <c r="O49" s="109"/>
    </row>
    <row r="50" spans="14:15" x14ac:dyDescent="0.2">
      <c r="N50" s="109"/>
      <c r="O50" s="109"/>
    </row>
    <row r="51" spans="14:15" x14ac:dyDescent="0.2">
      <c r="N51" s="110"/>
      <c r="O51" s="109"/>
    </row>
    <row r="52" spans="14:15" x14ac:dyDescent="0.2">
      <c r="N52" s="110"/>
      <c r="O52" s="109"/>
    </row>
    <row r="53" spans="14:15" x14ac:dyDescent="0.2">
      <c r="N53" s="110"/>
    </row>
    <row r="54" spans="14:15" x14ac:dyDescent="0.2">
      <c r="N54" s="109"/>
    </row>
    <row r="55" spans="14:15" x14ac:dyDescent="0.2">
      <c r="N55" s="150"/>
    </row>
  </sheetData>
  <mergeCells count="8">
    <mergeCell ref="B39:I40"/>
    <mergeCell ref="B3:I4"/>
    <mergeCell ref="M15:R23"/>
    <mergeCell ref="M10:R11"/>
    <mergeCell ref="M5:R6"/>
    <mergeCell ref="C23:C26"/>
    <mergeCell ref="D23:D26"/>
    <mergeCell ref="M27:R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76711-AAD6-364A-A5BC-0D8117EA8F28}">
  <sheetPr codeName="Sheet13"/>
  <dimension ref="A1:Z119"/>
  <sheetViews>
    <sheetView zoomScaleNormal="100" workbookViewId="0"/>
  </sheetViews>
  <sheetFormatPr baseColWidth="10" defaultColWidth="11" defaultRowHeight="16" outlineLevelCol="1" x14ac:dyDescent="0.2"/>
  <cols>
    <col min="1" max="1" width="4.5" customWidth="1"/>
    <col min="2" max="10" width="10.83203125" customWidth="1"/>
    <col min="11" max="11" width="10.5" customWidth="1"/>
    <col min="12" max="12" width="11.1640625" bestFit="1" customWidth="1"/>
    <col min="13" max="13" width="10.83203125" style="104" hidden="1" customWidth="1" outlineLevel="1"/>
    <col min="14" max="21" width="10.83203125" hidden="1" customWidth="1" outlineLevel="1"/>
    <col min="22" max="25" width="11" hidden="1" customWidth="1" outlineLevel="1"/>
    <col min="26" max="26" width="11" collapsed="1"/>
  </cols>
  <sheetData>
    <row r="1" spans="1:17" ht="19" x14ac:dyDescent="0.25">
      <c r="A1" s="149" t="s">
        <v>298</v>
      </c>
      <c r="B1" s="148"/>
      <c r="C1" s="147"/>
      <c r="D1" s="147"/>
      <c r="E1" s="147"/>
      <c r="F1" s="146"/>
      <c r="G1" s="146"/>
      <c r="H1" s="146"/>
      <c r="I1" s="146"/>
      <c r="J1" s="145"/>
      <c r="L1" s="105" t="s">
        <v>146</v>
      </c>
    </row>
    <row r="2" spans="1:17" x14ac:dyDescent="0.2">
      <c r="A2" s="125"/>
      <c r="B2" s="123"/>
      <c r="C2" s="123"/>
      <c r="D2" s="123"/>
      <c r="E2" s="123"/>
      <c r="F2" s="123"/>
      <c r="G2" s="123"/>
      <c r="H2" s="123"/>
      <c r="I2" s="123"/>
      <c r="J2" s="122"/>
    </row>
    <row r="3" spans="1:17" x14ac:dyDescent="0.2">
      <c r="A3" s="125"/>
      <c r="B3" s="123" t="s">
        <v>297</v>
      </c>
      <c r="C3" s="123"/>
      <c r="D3" s="123"/>
      <c r="E3" s="123"/>
      <c r="F3" s="123"/>
      <c r="G3" s="123"/>
      <c r="H3" s="123"/>
      <c r="I3" s="123"/>
      <c r="J3" s="122"/>
      <c r="M3" s="108" t="s">
        <v>208</v>
      </c>
    </row>
    <row r="4" spans="1:17" x14ac:dyDescent="0.2">
      <c r="A4" s="125"/>
      <c r="B4" s="123"/>
      <c r="C4" s="123"/>
      <c r="D4" s="123"/>
      <c r="E4" s="123"/>
      <c r="F4" s="123"/>
      <c r="G4" s="123"/>
      <c r="H4" s="123"/>
      <c r="I4" s="123"/>
      <c r="J4" s="122"/>
    </row>
    <row r="5" spans="1:17" x14ac:dyDescent="0.2">
      <c r="A5" s="125"/>
      <c r="B5" s="123"/>
      <c r="C5" s="420" t="s">
        <v>75</v>
      </c>
      <c r="D5" s="417" t="s">
        <v>296</v>
      </c>
      <c r="E5" s="418"/>
      <c r="F5" s="418"/>
      <c r="G5" s="418"/>
      <c r="H5" s="419"/>
      <c r="I5" s="126"/>
      <c r="J5" s="122"/>
      <c r="M5" s="104" t="s">
        <v>295</v>
      </c>
      <c r="N5" s="183"/>
      <c r="O5" s="104"/>
      <c r="P5" s="109"/>
    </row>
    <row r="6" spans="1:17" x14ac:dyDescent="0.2">
      <c r="A6" s="125"/>
      <c r="B6" s="123"/>
      <c r="C6" s="421"/>
      <c r="D6" s="193" t="s">
        <v>294</v>
      </c>
      <c r="E6" s="193" t="s">
        <v>293</v>
      </c>
      <c r="F6" s="193" t="s">
        <v>292</v>
      </c>
      <c r="G6" s="193" t="s">
        <v>291</v>
      </c>
      <c r="H6" s="192" t="s">
        <v>290</v>
      </c>
      <c r="I6" s="126"/>
      <c r="J6" s="122"/>
      <c r="N6" s="179"/>
      <c r="O6" s="180"/>
      <c r="P6" s="179"/>
    </row>
    <row r="7" spans="1:17" x14ac:dyDescent="0.2">
      <c r="A7" s="125"/>
      <c r="B7" s="123"/>
      <c r="C7" s="139">
        <v>2013</v>
      </c>
      <c r="D7" s="188">
        <v>3500</v>
      </c>
      <c r="E7" s="188">
        <v>6000</v>
      </c>
      <c r="F7" s="188">
        <v>6500</v>
      </c>
      <c r="G7" s="188">
        <v>7000</v>
      </c>
      <c r="H7" s="191">
        <v>7050</v>
      </c>
      <c r="I7" s="188"/>
      <c r="J7" s="122"/>
      <c r="M7" s="104" t="s">
        <v>289</v>
      </c>
      <c r="N7" s="179"/>
      <c r="O7" s="180"/>
      <c r="P7" s="179"/>
    </row>
    <row r="8" spans="1:17" x14ac:dyDescent="0.2">
      <c r="A8" s="125"/>
      <c r="B8" s="123"/>
      <c r="C8" s="139">
        <v>2014</v>
      </c>
      <c r="D8" s="188">
        <v>4000</v>
      </c>
      <c r="E8" s="188">
        <v>7000</v>
      </c>
      <c r="F8" s="188">
        <v>7900</v>
      </c>
      <c r="G8" s="188">
        <v>8000</v>
      </c>
      <c r="H8" s="191"/>
      <c r="I8" s="188"/>
      <c r="J8" s="122"/>
      <c r="N8" s="179"/>
      <c r="O8" s="180"/>
      <c r="P8" s="179"/>
    </row>
    <row r="9" spans="1:17" x14ac:dyDescent="0.2">
      <c r="A9" s="125"/>
      <c r="B9" s="123"/>
      <c r="C9" s="139">
        <v>2015</v>
      </c>
      <c r="D9" s="188">
        <v>2800</v>
      </c>
      <c r="E9" s="188">
        <v>5000</v>
      </c>
      <c r="F9" s="188">
        <v>5900</v>
      </c>
      <c r="G9" s="188"/>
      <c r="H9" s="191"/>
      <c r="I9" s="188"/>
      <c r="J9" s="122"/>
      <c r="M9" s="131" t="s">
        <v>75</v>
      </c>
      <c r="N9" s="182" t="s">
        <v>288</v>
      </c>
      <c r="O9" s="182" t="s">
        <v>287</v>
      </c>
      <c r="P9" s="182" t="s">
        <v>286</v>
      </c>
      <c r="Q9" s="181" t="s">
        <v>285</v>
      </c>
    </row>
    <row r="10" spans="1:17" x14ac:dyDescent="0.2">
      <c r="A10" s="125"/>
      <c r="B10" s="123"/>
      <c r="C10" s="139">
        <v>2016</v>
      </c>
      <c r="D10" s="188">
        <v>3200</v>
      </c>
      <c r="E10" s="188">
        <v>5500</v>
      </c>
      <c r="F10" s="188"/>
      <c r="G10" s="188"/>
      <c r="H10" s="191"/>
      <c r="I10" s="188"/>
      <c r="J10" s="122"/>
      <c r="M10" s="113">
        <v>2013</v>
      </c>
      <c r="N10" s="112">
        <f>E7/D7</f>
        <v>1.7142857142857142</v>
      </c>
      <c r="O10" s="112">
        <f>F7/E7</f>
        <v>1.0833333333333333</v>
      </c>
      <c r="P10" s="112">
        <f>G7/F7</f>
        <v>1.0769230769230769</v>
      </c>
      <c r="Q10" s="112">
        <f>H7/G7</f>
        <v>1.0071428571428571</v>
      </c>
    </row>
    <row r="11" spans="1:17" x14ac:dyDescent="0.2">
      <c r="A11" s="125"/>
      <c r="B11" s="123"/>
      <c r="C11" s="137">
        <v>2017</v>
      </c>
      <c r="D11" s="190">
        <v>3900</v>
      </c>
      <c r="E11" s="190"/>
      <c r="F11" s="190"/>
      <c r="G11" s="190"/>
      <c r="H11" s="189"/>
      <c r="I11" s="188"/>
      <c r="J11" s="122"/>
      <c r="M11" s="113">
        <v>2014</v>
      </c>
      <c r="N11" s="112">
        <f>E8/D8</f>
        <v>1.75</v>
      </c>
      <c r="O11" s="112">
        <f>F8/E8</f>
        <v>1.1285714285714286</v>
      </c>
      <c r="P11" s="112">
        <f>G8/F8</f>
        <v>1.0126582278481013</v>
      </c>
      <c r="Q11" s="112"/>
    </row>
    <row r="12" spans="1:17" x14ac:dyDescent="0.2">
      <c r="A12" s="125"/>
      <c r="B12" s="123"/>
      <c r="C12" s="123"/>
      <c r="D12" s="123"/>
      <c r="E12" s="123"/>
      <c r="F12" s="123"/>
      <c r="G12" s="123"/>
      <c r="H12" s="123"/>
      <c r="I12" s="123"/>
      <c r="J12" s="122"/>
      <c r="M12" s="113">
        <v>2015</v>
      </c>
      <c r="N12" s="112">
        <f>E9/D9</f>
        <v>1.7857142857142858</v>
      </c>
      <c r="O12" s="112">
        <f>F9/E9</f>
        <v>1.18</v>
      </c>
      <c r="P12" s="112"/>
      <c r="Q12" s="112"/>
    </row>
    <row r="13" spans="1:17" x14ac:dyDescent="0.2">
      <c r="A13" s="125"/>
      <c r="B13" s="128" t="s">
        <v>0</v>
      </c>
      <c r="C13" s="123"/>
      <c r="D13" s="123"/>
      <c r="E13" s="123"/>
      <c r="F13" s="123"/>
      <c r="G13" s="123"/>
      <c r="H13" s="123"/>
      <c r="I13" s="123"/>
      <c r="J13" s="122"/>
      <c r="M13" s="113">
        <v>2016</v>
      </c>
      <c r="N13" s="112">
        <f>E10/D10</f>
        <v>1.71875</v>
      </c>
      <c r="O13" s="112"/>
      <c r="P13" s="112"/>
      <c r="Q13" s="112"/>
    </row>
    <row r="14" spans="1:17" x14ac:dyDescent="0.2">
      <c r="A14" s="125"/>
      <c r="B14" s="123" t="s">
        <v>284</v>
      </c>
      <c r="C14" s="123"/>
      <c r="D14" s="123"/>
      <c r="E14" s="123"/>
      <c r="F14" s="123"/>
      <c r="G14" s="123"/>
      <c r="H14" s="123"/>
      <c r="I14" s="123"/>
      <c r="J14" s="122"/>
      <c r="N14" s="179"/>
      <c r="O14" s="180"/>
      <c r="P14" s="179"/>
    </row>
    <row r="15" spans="1:17" x14ac:dyDescent="0.2">
      <c r="A15" s="125"/>
      <c r="B15" s="126"/>
      <c r="C15" s="123"/>
      <c r="D15" s="123"/>
      <c r="E15" s="123"/>
      <c r="F15" s="123"/>
      <c r="G15" s="123"/>
      <c r="H15" s="123"/>
      <c r="I15" s="123"/>
      <c r="J15" s="122"/>
      <c r="M15" s="104" t="s">
        <v>273</v>
      </c>
      <c r="N15" s="179"/>
      <c r="O15" s="180"/>
      <c r="P15" s="179"/>
    </row>
    <row r="16" spans="1:17" x14ac:dyDescent="0.2">
      <c r="A16" s="125"/>
      <c r="B16" s="128" t="s">
        <v>1</v>
      </c>
      <c r="C16" s="123"/>
      <c r="D16" s="123"/>
      <c r="E16" s="123"/>
      <c r="F16" s="123"/>
      <c r="G16" s="123"/>
      <c r="H16" s="123"/>
      <c r="I16" s="123"/>
      <c r="J16" s="122"/>
      <c r="N16" s="179"/>
      <c r="O16" s="180"/>
      <c r="P16" s="179"/>
    </row>
    <row r="17" spans="1:18" x14ac:dyDescent="0.2">
      <c r="A17" s="125"/>
      <c r="B17" s="123" t="s">
        <v>283</v>
      </c>
      <c r="C17" s="123"/>
      <c r="D17" s="123"/>
      <c r="E17" s="123"/>
      <c r="F17" s="123"/>
      <c r="G17" s="123"/>
      <c r="H17" s="123"/>
      <c r="I17" s="123"/>
      <c r="J17" s="122"/>
      <c r="M17" s="109" t="s">
        <v>272</v>
      </c>
      <c r="O17" s="424" t="s">
        <v>271</v>
      </c>
      <c r="P17" s="424"/>
      <c r="Q17" s="424"/>
      <c r="R17" s="424"/>
    </row>
    <row r="18" spans="1:18" x14ac:dyDescent="0.2">
      <c r="A18" s="125"/>
      <c r="B18" s="126"/>
      <c r="C18" s="123"/>
      <c r="D18" s="123"/>
      <c r="E18" s="123"/>
      <c r="F18" s="123"/>
      <c r="G18" s="123"/>
      <c r="H18" s="123"/>
      <c r="I18" s="123"/>
      <c r="J18" s="122"/>
      <c r="M18" s="187">
        <f>N10-1</f>
        <v>0.71428571428571419</v>
      </c>
      <c r="O18" s="172">
        <v>1</v>
      </c>
      <c r="P18" s="171">
        <v>0</v>
      </c>
      <c r="Q18" s="171">
        <v>0</v>
      </c>
      <c r="R18" s="170">
        <v>0</v>
      </c>
    </row>
    <row r="19" spans="1:18" x14ac:dyDescent="0.2">
      <c r="A19" s="125"/>
      <c r="B19" s="128" t="s">
        <v>2</v>
      </c>
      <c r="C19" s="123"/>
      <c r="D19" s="123"/>
      <c r="E19" s="123"/>
      <c r="F19" s="123"/>
      <c r="G19" s="123"/>
      <c r="H19" s="123"/>
      <c r="I19" s="123"/>
      <c r="J19" s="122"/>
      <c r="M19" s="185">
        <f>O10-1</f>
        <v>8.3333333333333259E-2</v>
      </c>
      <c r="O19" s="168">
        <v>0</v>
      </c>
      <c r="P19" s="109">
        <v>1</v>
      </c>
      <c r="Q19" s="109">
        <v>0</v>
      </c>
      <c r="R19" s="113">
        <v>0</v>
      </c>
    </row>
    <row r="20" spans="1:18" x14ac:dyDescent="0.2">
      <c r="A20" s="125"/>
      <c r="B20" s="123" t="s">
        <v>282</v>
      </c>
      <c r="C20" s="123"/>
      <c r="D20" s="123"/>
      <c r="E20" s="123"/>
      <c r="F20" s="123"/>
      <c r="G20" s="123"/>
      <c r="H20" s="123"/>
      <c r="I20" s="123"/>
      <c r="J20" s="122"/>
      <c r="M20" s="185">
        <f>P10-1</f>
        <v>7.6923076923076872E-2</v>
      </c>
      <c r="O20" s="168">
        <v>0</v>
      </c>
      <c r="P20" s="109">
        <v>0</v>
      </c>
      <c r="Q20" s="109">
        <v>1</v>
      </c>
      <c r="R20" s="113">
        <v>0</v>
      </c>
    </row>
    <row r="21" spans="1:18" ht="17" thickBot="1" x14ac:dyDescent="0.25">
      <c r="A21" s="125"/>
      <c r="B21" s="123"/>
      <c r="C21" s="128"/>
      <c r="D21" s="123"/>
      <c r="E21" s="123"/>
      <c r="F21" s="123"/>
      <c r="G21" s="123"/>
      <c r="H21" s="123"/>
      <c r="I21" s="123"/>
      <c r="J21" s="122"/>
      <c r="M21" s="185">
        <f>Q10-1</f>
        <v>7.1428571428571175E-3</v>
      </c>
      <c r="O21" s="168">
        <v>0</v>
      </c>
      <c r="P21" s="109">
        <v>0</v>
      </c>
      <c r="Q21" s="110">
        <v>0</v>
      </c>
      <c r="R21" s="113">
        <v>1</v>
      </c>
    </row>
    <row r="22" spans="1:18" ht="17" thickBot="1" x14ac:dyDescent="0.25">
      <c r="A22" s="119" t="s">
        <v>145</v>
      </c>
      <c r="B22" s="186"/>
      <c r="C22" s="118"/>
      <c r="D22" s="118"/>
      <c r="E22" s="118"/>
      <c r="F22" s="118"/>
      <c r="G22" s="118"/>
      <c r="H22" s="118"/>
      <c r="I22" s="118"/>
      <c r="J22" s="117"/>
      <c r="M22" s="185">
        <f>N11-1</f>
        <v>0.75</v>
      </c>
      <c r="O22" s="168">
        <v>1</v>
      </c>
      <c r="P22" s="109">
        <v>0</v>
      </c>
      <c r="Q22" s="110">
        <v>0</v>
      </c>
      <c r="R22" s="113">
        <v>0</v>
      </c>
    </row>
    <row r="23" spans="1:18" x14ac:dyDescent="0.2">
      <c r="M23" s="185">
        <f>O11-1</f>
        <v>0.12857142857142856</v>
      </c>
      <c r="O23" s="168">
        <v>0</v>
      </c>
      <c r="P23" s="109">
        <v>1</v>
      </c>
      <c r="Q23" s="110">
        <v>0</v>
      </c>
      <c r="R23" s="113">
        <v>0</v>
      </c>
    </row>
    <row r="24" spans="1:18" x14ac:dyDescent="0.2">
      <c r="M24" s="185">
        <f>P11-1</f>
        <v>1.2658227848101333E-2</v>
      </c>
      <c r="O24" s="168">
        <v>0</v>
      </c>
      <c r="P24" s="109">
        <v>0</v>
      </c>
      <c r="Q24" s="110">
        <v>1</v>
      </c>
      <c r="R24" s="113">
        <v>0</v>
      </c>
    </row>
    <row r="25" spans="1:18" x14ac:dyDescent="0.2">
      <c r="M25" s="185">
        <f>N12-1</f>
        <v>0.78571428571428581</v>
      </c>
      <c r="O25" s="168">
        <v>1</v>
      </c>
      <c r="P25" s="109">
        <v>0</v>
      </c>
      <c r="Q25" s="110">
        <v>0</v>
      </c>
      <c r="R25" s="113">
        <v>0</v>
      </c>
    </row>
    <row r="26" spans="1:18" x14ac:dyDescent="0.2">
      <c r="M26" s="185">
        <f>O12-1</f>
        <v>0.17999999999999994</v>
      </c>
      <c r="O26" s="168">
        <v>0</v>
      </c>
      <c r="P26" s="109">
        <v>1</v>
      </c>
      <c r="Q26" s="110">
        <v>0</v>
      </c>
      <c r="R26" s="113">
        <v>0</v>
      </c>
    </row>
    <row r="27" spans="1:18" x14ac:dyDescent="0.2">
      <c r="M27" s="184">
        <f>N13-1</f>
        <v>0.71875</v>
      </c>
      <c r="O27" s="166">
        <v>1</v>
      </c>
      <c r="P27" s="116">
        <v>0</v>
      </c>
      <c r="Q27" s="174">
        <v>0</v>
      </c>
      <c r="R27" s="131">
        <v>0</v>
      </c>
    </row>
    <row r="28" spans="1:18" x14ac:dyDescent="0.2">
      <c r="N28" s="110"/>
      <c r="O28" s="104"/>
      <c r="P28" s="109"/>
    </row>
    <row r="29" spans="1:18" x14ac:dyDescent="0.2">
      <c r="M29" s="109" t="s">
        <v>78</v>
      </c>
      <c r="N29" s="110"/>
      <c r="O29" s="109" t="s">
        <v>281</v>
      </c>
    </row>
    <row r="30" spans="1:18" x14ac:dyDescent="0.2">
      <c r="M30" s="173" t="s">
        <v>280</v>
      </c>
      <c r="N30" s="110"/>
      <c r="O30" s="165">
        <f>D7</f>
        <v>3500</v>
      </c>
    </row>
    <row r="31" spans="1:18" x14ac:dyDescent="0.2">
      <c r="M31" s="169" t="s">
        <v>279</v>
      </c>
      <c r="N31" s="109"/>
      <c r="O31" s="164">
        <f>E7</f>
        <v>6000</v>
      </c>
    </row>
    <row r="32" spans="1:18" x14ac:dyDescent="0.2">
      <c r="M32" s="169" t="s">
        <v>278</v>
      </c>
      <c r="N32" s="110"/>
      <c r="O32" s="164">
        <f>F7</f>
        <v>6500</v>
      </c>
    </row>
    <row r="33" spans="13:18" x14ac:dyDescent="0.2">
      <c r="M33" s="167" t="s">
        <v>277</v>
      </c>
      <c r="N33" s="110"/>
      <c r="O33" s="164">
        <f>G7</f>
        <v>7000</v>
      </c>
    </row>
    <row r="34" spans="13:18" x14ac:dyDescent="0.2">
      <c r="N34" s="110"/>
      <c r="O34" s="164">
        <f>D8</f>
        <v>4000</v>
      </c>
    </row>
    <row r="35" spans="13:18" x14ac:dyDescent="0.2">
      <c r="N35" s="109"/>
      <c r="O35" s="164">
        <f>E8</f>
        <v>7000</v>
      </c>
    </row>
    <row r="36" spans="13:18" x14ac:dyDescent="0.2">
      <c r="N36" s="150"/>
      <c r="O36" s="164">
        <f>F8</f>
        <v>7900</v>
      </c>
    </row>
    <row r="37" spans="13:18" x14ac:dyDescent="0.2">
      <c r="O37" s="164">
        <f>D9</f>
        <v>2800</v>
      </c>
    </row>
    <row r="38" spans="13:18" x14ac:dyDescent="0.2">
      <c r="O38" s="164">
        <f>E9</f>
        <v>5000</v>
      </c>
    </row>
    <row r="39" spans="13:18" x14ac:dyDescent="0.2">
      <c r="O39" s="163">
        <f>D10</f>
        <v>3200</v>
      </c>
    </row>
    <row r="41" spans="13:18" x14ac:dyDescent="0.2">
      <c r="M41" s="410" t="s">
        <v>276</v>
      </c>
      <c r="N41" s="410"/>
      <c r="O41" s="410"/>
      <c r="P41" s="410"/>
      <c r="Q41" s="410"/>
      <c r="R41" s="410"/>
    </row>
    <row r="42" spans="13:18" x14ac:dyDescent="0.2">
      <c r="M42" s="410"/>
      <c r="N42" s="410"/>
      <c r="O42" s="410"/>
      <c r="P42" s="410"/>
      <c r="Q42" s="410"/>
      <c r="R42" s="410"/>
    </row>
    <row r="44" spans="13:18" x14ac:dyDescent="0.2">
      <c r="M44" s="108" t="s">
        <v>197</v>
      </c>
    </row>
    <row r="46" spans="13:18" x14ac:dyDescent="0.2">
      <c r="M46" s="104" t="s">
        <v>275</v>
      </c>
      <c r="N46" s="183"/>
      <c r="O46" s="104"/>
      <c r="P46" s="109"/>
    </row>
    <row r="47" spans="13:18" x14ac:dyDescent="0.2">
      <c r="N47" s="179"/>
      <c r="O47" s="180"/>
      <c r="P47" s="179"/>
    </row>
    <row r="48" spans="13:18" x14ac:dyDescent="0.2">
      <c r="M48" s="104" t="s">
        <v>274</v>
      </c>
      <c r="N48" s="179"/>
      <c r="O48" s="180"/>
      <c r="P48" s="179"/>
    </row>
    <row r="49" spans="13:24" x14ac:dyDescent="0.2">
      <c r="N49" s="179"/>
      <c r="O49" s="180"/>
      <c r="P49" s="179"/>
    </row>
    <row r="50" spans="13:24" x14ac:dyDescent="0.2">
      <c r="M50" s="131" t="s">
        <v>75</v>
      </c>
      <c r="N50" s="182">
        <v>12</v>
      </c>
      <c r="O50" s="182">
        <v>24</v>
      </c>
      <c r="P50" s="182">
        <v>36</v>
      </c>
      <c r="Q50" s="181">
        <v>48</v>
      </c>
      <c r="R50" s="116">
        <v>60</v>
      </c>
    </row>
    <row r="51" spans="13:24" x14ac:dyDescent="0.2">
      <c r="M51" s="113">
        <v>2013</v>
      </c>
      <c r="N51" s="179">
        <f>D7</f>
        <v>3500</v>
      </c>
      <c r="O51" s="179">
        <f>E7-D7</f>
        <v>2500</v>
      </c>
      <c r="P51" s="179">
        <f>F7-E7</f>
        <v>500</v>
      </c>
      <c r="Q51" s="179">
        <f>G7-F7</f>
        <v>500</v>
      </c>
      <c r="R51" s="179">
        <f>H7-G7</f>
        <v>50</v>
      </c>
    </row>
    <row r="52" spans="13:24" x14ac:dyDescent="0.2">
      <c r="M52" s="113">
        <v>2014</v>
      </c>
      <c r="N52" s="179">
        <f>D8</f>
        <v>4000</v>
      </c>
      <c r="O52" s="179">
        <f>E8-D8</f>
        <v>3000</v>
      </c>
      <c r="P52" s="179">
        <f>F8-E8</f>
        <v>900</v>
      </c>
      <c r="Q52" s="179">
        <f>G8-F8</f>
        <v>100</v>
      </c>
      <c r="R52" s="179"/>
    </row>
    <row r="53" spans="13:24" x14ac:dyDescent="0.2">
      <c r="M53" s="113">
        <v>2015</v>
      </c>
      <c r="N53" s="179">
        <f>D9</f>
        <v>2800</v>
      </c>
      <c r="O53" s="179">
        <f>E9-D9</f>
        <v>2200</v>
      </c>
      <c r="P53" s="179">
        <f>F9-E9</f>
        <v>900</v>
      </c>
      <c r="Q53" s="179"/>
      <c r="R53" s="179"/>
    </row>
    <row r="54" spans="13:24" x14ac:dyDescent="0.2">
      <c r="M54" s="113">
        <v>2016</v>
      </c>
      <c r="N54" s="179">
        <f>D10</f>
        <v>3200</v>
      </c>
      <c r="O54" s="179">
        <f>E10-D10</f>
        <v>2300</v>
      </c>
      <c r="P54" s="179"/>
      <c r="Q54" s="179"/>
      <c r="R54" s="179"/>
    </row>
    <row r="55" spans="13:24" x14ac:dyDescent="0.2">
      <c r="M55" s="113">
        <v>2017</v>
      </c>
      <c r="N55" s="179">
        <f>D11</f>
        <v>3900</v>
      </c>
      <c r="O55" s="179"/>
      <c r="P55" s="179"/>
      <c r="Q55" s="109"/>
      <c r="R55" s="109"/>
    </row>
    <row r="57" spans="13:24" x14ac:dyDescent="0.2">
      <c r="M57" s="104" t="s">
        <v>273</v>
      </c>
      <c r="N57" s="179"/>
      <c r="O57" s="180"/>
      <c r="P57" s="179"/>
    </row>
    <row r="58" spans="13:24" x14ac:dyDescent="0.2">
      <c r="N58" s="179"/>
      <c r="O58" s="180"/>
      <c r="P58" s="179"/>
    </row>
    <row r="59" spans="13:24" x14ac:dyDescent="0.2">
      <c r="M59" s="109" t="s">
        <v>272</v>
      </c>
      <c r="O59" s="422" t="s">
        <v>271</v>
      </c>
      <c r="P59" s="422"/>
      <c r="Q59" s="422"/>
      <c r="R59" s="422"/>
      <c r="S59" s="422"/>
      <c r="T59" s="422"/>
      <c r="U59" s="422"/>
      <c r="V59" s="422"/>
      <c r="W59" s="422"/>
      <c r="X59" s="422"/>
    </row>
    <row r="60" spans="13:24" x14ac:dyDescent="0.2">
      <c r="M60" s="178">
        <f>N51</f>
        <v>3500</v>
      </c>
      <c r="O60" s="172">
        <v>1</v>
      </c>
      <c r="P60" s="171">
        <v>0</v>
      </c>
      <c r="Q60" s="171">
        <v>0</v>
      </c>
      <c r="R60" s="171">
        <v>0</v>
      </c>
      <c r="S60" s="171">
        <v>0</v>
      </c>
      <c r="T60" s="171">
        <v>1</v>
      </c>
      <c r="U60" s="171">
        <v>0</v>
      </c>
      <c r="V60" s="171">
        <v>0</v>
      </c>
      <c r="W60" s="171">
        <v>0</v>
      </c>
      <c r="X60" s="170">
        <v>0</v>
      </c>
    </row>
    <row r="61" spans="13:24" x14ac:dyDescent="0.2">
      <c r="M61" s="176">
        <f>O51</f>
        <v>2500</v>
      </c>
      <c r="O61" s="168">
        <v>1</v>
      </c>
      <c r="P61" s="109">
        <v>0</v>
      </c>
      <c r="Q61" s="109">
        <v>0</v>
      </c>
      <c r="R61" s="109">
        <v>0</v>
      </c>
      <c r="S61" s="109">
        <v>0</v>
      </c>
      <c r="T61" s="109">
        <v>0</v>
      </c>
      <c r="U61" s="109">
        <v>1</v>
      </c>
      <c r="V61" s="109">
        <v>0</v>
      </c>
      <c r="W61" s="109">
        <v>0</v>
      </c>
      <c r="X61" s="113">
        <v>0</v>
      </c>
    </row>
    <row r="62" spans="13:24" x14ac:dyDescent="0.2">
      <c r="M62" s="176">
        <f>P51</f>
        <v>500</v>
      </c>
      <c r="O62" s="168">
        <v>1</v>
      </c>
      <c r="P62" s="109">
        <v>0</v>
      </c>
      <c r="Q62" s="109">
        <v>0</v>
      </c>
      <c r="R62" s="109">
        <v>0</v>
      </c>
      <c r="S62" s="109">
        <v>0</v>
      </c>
      <c r="T62" s="109">
        <v>0</v>
      </c>
      <c r="U62" s="109">
        <v>0</v>
      </c>
      <c r="V62" s="109">
        <v>1</v>
      </c>
      <c r="W62" s="109">
        <v>0</v>
      </c>
      <c r="X62" s="113">
        <v>0</v>
      </c>
    </row>
    <row r="63" spans="13:24" x14ac:dyDescent="0.2">
      <c r="M63" s="176">
        <f>Q51</f>
        <v>500</v>
      </c>
      <c r="O63" s="168">
        <v>1</v>
      </c>
      <c r="P63" s="109">
        <v>0</v>
      </c>
      <c r="Q63" s="110">
        <v>0</v>
      </c>
      <c r="R63" s="109">
        <v>0</v>
      </c>
      <c r="S63" s="109">
        <v>0</v>
      </c>
      <c r="T63" s="109">
        <v>0</v>
      </c>
      <c r="U63" s="109">
        <v>0</v>
      </c>
      <c r="V63" s="109">
        <v>0</v>
      </c>
      <c r="W63" s="109">
        <v>1</v>
      </c>
      <c r="X63" s="113">
        <v>0</v>
      </c>
    </row>
    <row r="64" spans="13:24" x14ac:dyDescent="0.2">
      <c r="M64" s="176">
        <f>R51</f>
        <v>50</v>
      </c>
      <c r="O64" s="168">
        <v>1</v>
      </c>
      <c r="P64" s="109">
        <v>0</v>
      </c>
      <c r="Q64" s="110">
        <v>0</v>
      </c>
      <c r="R64" s="109">
        <v>0</v>
      </c>
      <c r="S64" s="109">
        <v>0</v>
      </c>
      <c r="T64" s="109">
        <v>0</v>
      </c>
      <c r="U64" s="109">
        <v>0</v>
      </c>
      <c r="V64" s="109">
        <v>0</v>
      </c>
      <c r="W64" s="109">
        <v>0</v>
      </c>
      <c r="X64" s="113">
        <v>1</v>
      </c>
    </row>
    <row r="65" spans="13:24" x14ac:dyDescent="0.2">
      <c r="M65" s="176">
        <f>N52</f>
        <v>4000</v>
      </c>
      <c r="O65" s="168">
        <v>0</v>
      </c>
      <c r="P65" s="109">
        <v>1</v>
      </c>
      <c r="Q65" s="110">
        <v>0</v>
      </c>
      <c r="R65" s="109">
        <v>0</v>
      </c>
      <c r="S65" s="109">
        <v>0</v>
      </c>
      <c r="T65" s="109">
        <v>1</v>
      </c>
      <c r="U65" s="109">
        <v>0</v>
      </c>
      <c r="V65" s="109">
        <v>0</v>
      </c>
      <c r="W65" s="109">
        <v>0</v>
      </c>
      <c r="X65" s="113">
        <v>0</v>
      </c>
    </row>
    <row r="66" spans="13:24" x14ac:dyDescent="0.2">
      <c r="M66" s="176">
        <f>O52</f>
        <v>3000</v>
      </c>
      <c r="O66" s="168">
        <v>0</v>
      </c>
      <c r="P66" s="109">
        <v>1</v>
      </c>
      <c r="Q66" s="110">
        <v>0</v>
      </c>
      <c r="R66" s="109">
        <v>0</v>
      </c>
      <c r="S66" s="109">
        <v>0</v>
      </c>
      <c r="T66" s="109">
        <v>0</v>
      </c>
      <c r="U66" s="109">
        <v>1</v>
      </c>
      <c r="V66" s="109">
        <v>0</v>
      </c>
      <c r="W66" s="109">
        <v>0</v>
      </c>
      <c r="X66" s="113">
        <v>0</v>
      </c>
    </row>
    <row r="67" spans="13:24" x14ac:dyDescent="0.2">
      <c r="M67" s="176">
        <f>P52</f>
        <v>900</v>
      </c>
      <c r="O67" s="168">
        <v>0</v>
      </c>
      <c r="P67" s="109">
        <v>1</v>
      </c>
      <c r="Q67" s="110">
        <v>0</v>
      </c>
      <c r="R67" s="109">
        <v>0</v>
      </c>
      <c r="S67" s="109">
        <v>0</v>
      </c>
      <c r="T67" s="109">
        <v>0</v>
      </c>
      <c r="U67" s="109">
        <v>0</v>
      </c>
      <c r="V67" s="109">
        <v>1</v>
      </c>
      <c r="W67" s="109">
        <v>0</v>
      </c>
      <c r="X67" s="113">
        <v>0</v>
      </c>
    </row>
    <row r="68" spans="13:24" x14ac:dyDescent="0.2">
      <c r="M68" s="176">
        <f>Q52</f>
        <v>100</v>
      </c>
      <c r="O68" s="168">
        <v>0</v>
      </c>
      <c r="P68" s="109">
        <v>1</v>
      </c>
      <c r="Q68" s="110">
        <v>0</v>
      </c>
      <c r="R68" s="109">
        <v>0</v>
      </c>
      <c r="S68" s="109">
        <v>0</v>
      </c>
      <c r="T68" s="109">
        <v>0</v>
      </c>
      <c r="U68" s="109">
        <v>0</v>
      </c>
      <c r="V68" s="109">
        <v>0</v>
      </c>
      <c r="W68" s="109">
        <v>1</v>
      </c>
      <c r="X68" s="113">
        <v>0</v>
      </c>
    </row>
    <row r="69" spans="13:24" x14ac:dyDescent="0.2">
      <c r="M69" s="177">
        <f>N53</f>
        <v>2800</v>
      </c>
      <c r="O69" s="168">
        <v>0</v>
      </c>
      <c r="P69" s="109">
        <v>0</v>
      </c>
      <c r="Q69" s="110">
        <v>1</v>
      </c>
      <c r="R69" s="109">
        <v>0</v>
      </c>
      <c r="S69" s="109">
        <v>0</v>
      </c>
      <c r="T69" s="109">
        <v>1</v>
      </c>
      <c r="U69" s="109">
        <v>0</v>
      </c>
      <c r="V69" s="109">
        <v>0</v>
      </c>
      <c r="W69" s="109">
        <v>0</v>
      </c>
      <c r="X69" s="113">
        <v>0</v>
      </c>
    </row>
    <row r="70" spans="13:24" x14ac:dyDescent="0.2">
      <c r="M70" s="176">
        <f>O53</f>
        <v>2200</v>
      </c>
      <c r="N70" s="110"/>
      <c r="O70" s="168">
        <v>0</v>
      </c>
      <c r="P70" s="109">
        <v>0</v>
      </c>
      <c r="Q70" s="110">
        <v>1</v>
      </c>
      <c r="R70" s="109">
        <v>0</v>
      </c>
      <c r="S70" s="109">
        <v>0</v>
      </c>
      <c r="T70" s="109">
        <v>0</v>
      </c>
      <c r="U70" s="109">
        <v>1</v>
      </c>
      <c r="V70" s="109">
        <v>0</v>
      </c>
      <c r="W70" s="109">
        <v>0</v>
      </c>
      <c r="X70" s="113">
        <v>0</v>
      </c>
    </row>
    <row r="71" spans="13:24" x14ac:dyDescent="0.2">
      <c r="M71" s="176">
        <f>P53</f>
        <v>900</v>
      </c>
      <c r="N71" s="110"/>
      <c r="O71" s="168">
        <v>0</v>
      </c>
      <c r="P71" s="109">
        <v>0</v>
      </c>
      <c r="Q71" s="110">
        <v>1</v>
      </c>
      <c r="R71" s="109">
        <v>0</v>
      </c>
      <c r="S71" s="109">
        <v>0</v>
      </c>
      <c r="T71" s="109">
        <v>0</v>
      </c>
      <c r="U71" s="109">
        <v>0</v>
      </c>
      <c r="V71" s="109">
        <v>1</v>
      </c>
      <c r="W71" s="109">
        <v>0</v>
      </c>
      <c r="X71" s="113">
        <v>0</v>
      </c>
    </row>
    <row r="72" spans="13:24" x14ac:dyDescent="0.2">
      <c r="M72" s="176">
        <f>N54</f>
        <v>3200</v>
      </c>
      <c r="N72" s="110"/>
      <c r="O72" s="168">
        <v>0</v>
      </c>
      <c r="P72" s="109">
        <v>0</v>
      </c>
      <c r="Q72" s="110">
        <v>0</v>
      </c>
      <c r="R72" s="109">
        <v>1</v>
      </c>
      <c r="S72" s="109">
        <v>0</v>
      </c>
      <c r="T72" s="109">
        <v>1</v>
      </c>
      <c r="U72" s="109">
        <v>0</v>
      </c>
      <c r="V72" s="109">
        <v>0</v>
      </c>
      <c r="W72" s="109">
        <v>0</v>
      </c>
      <c r="X72" s="113">
        <v>0</v>
      </c>
    </row>
    <row r="73" spans="13:24" x14ac:dyDescent="0.2">
      <c r="M73" s="176">
        <f>O54</f>
        <v>2300</v>
      </c>
      <c r="N73" s="109"/>
      <c r="O73" s="168">
        <v>0</v>
      </c>
      <c r="P73" s="109">
        <v>0</v>
      </c>
      <c r="Q73" s="110">
        <v>0</v>
      </c>
      <c r="R73" s="109">
        <v>1</v>
      </c>
      <c r="S73" s="109">
        <v>0</v>
      </c>
      <c r="T73" s="109">
        <v>0</v>
      </c>
      <c r="U73" s="109">
        <v>1</v>
      </c>
      <c r="V73" s="109">
        <v>0</v>
      </c>
      <c r="W73" s="109">
        <v>0</v>
      </c>
      <c r="X73" s="113">
        <v>0</v>
      </c>
    </row>
    <row r="74" spans="13:24" x14ac:dyDescent="0.2">
      <c r="M74" s="175">
        <f>N55</f>
        <v>3900</v>
      </c>
      <c r="N74" s="110"/>
      <c r="O74" s="166">
        <v>0</v>
      </c>
      <c r="P74" s="116">
        <v>0</v>
      </c>
      <c r="Q74" s="174">
        <v>0</v>
      </c>
      <c r="R74" s="116">
        <v>0</v>
      </c>
      <c r="S74" s="116">
        <v>1</v>
      </c>
      <c r="T74" s="116">
        <v>1</v>
      </c>
      <c r="U74" s="116">
        <v>0</v>
      </c>
      <c r="V74" s="116">
        <v>0</v>
      </c>
      <c r="W74" s="116">
        <v>0</v>
      </c>
      <c r="X74" s="131">
        <v>0</v>
      </c>
    </row>
    <row r="75" spans="13:24" x14ac:dyDescent="0.2">
      <c r="M75" s="109"/>
      <c r="N75" s="110"/>
    </row>
    <row r="76" spans="13:24" x14ac:dyDescent="0.2">
      <c r="M76" s="109" t="s">
        <v>78</v>
      </c>
      <c r="N76" s="110"/>
    </row>
    <row r="77" spans="13:24" x14ac:dyDescent="0.2">
      <c r="M77" s="165" t="s">
        <v>257</v>
      </c>
      <c r="N77" s="109"/>
      <c r="O77" s="410" t="s">
        <v>270</v>
      </c>
      <c r="P77" s="410"/>
      <c r="Q77" s="410"/>
      <c r="R77" s="410"/>
      <c r="S77" s="410"/>
      <c r="T77" s="410"/>
    </row>
    <row r="78" spans="13:24" x14ac:dyDescent="0.2">
      <c r="M78" s="164" t="s">
        <v>256</v>
      </c>
      <c r="N78" s="150"/>
      <c r="O78" s="410"/>
      <c r="P78" s="410"/>
      <c r="Q78" s="410"/>
      <c r="R78" s="410"/>
      <c r="S78" s="410"/>
      <c r="T78" s="410"/>
    </row>
    <row r="79" spans="13:24" x14ac:dyDescent="0.2">
      <c r="M79" s="164" t="s">
        <v>255</v>
      </c>
    </row>
    <row r="80" spans="13:24" x14ac:dyDescent="0.2">
      <c r="M80" s="164" t="s">
        <v>254</v>
      </c>
    </row>
    <row r="81" spans="13:24" x14ac:dyDescent="0.2">
      <c r="M81" s="164" t="s">
        <v>253</v>
      </c>
    </row>
    <row r="82" spans="13:24" x14ac:dyDescent="0.2">
      <c r="M82" s="164" t="s">
        <v>252</v>
      </c>
    </row>
    <row r="83" spans="13:24" x14ac:dyDescent="0.2">
      <c r="M83" s="164" t="s">
        <v>251</v>
      </c>
    </row>
    <row r="84" spans="13:24" x14ac:dyDescent="0.2">
      <c r="M84" s="164" t="s">
        <v>250</v>
      </c>
    </row>
    <row r="85" spans="13:24" x14ac:dyDescent="0.2">
      <c r="M85" s="164" t="s">
        <v>249</v>
      </c>
    </row>
    <row r="86" spans="13:24" x14ac:dyDescent="0.2">
      <c r="M86" s="163" t="s">
        <v>248</v>
      </c>
    </row>
    <row r="88" spans="13:24" x14ac:dyDescent="0.2">
      <c r="M88" s="108" t="s">
        <v>194</v>
      </c>
    </row>
    <row r="90" spans="13:24" x14ac:dyDescent="0.2">
      <c r="M90" s="109" t="s">
        <v>269</v>
      </c>
      <c r="O90" s="423" t="s">
        <v>268</v>
      </c>
      <c r="P90" s="423"/>
      <c r="Q90" s="423"/>
      <c r="R90" s="423"/>
      <c r="S90" s="423"/>
      <c r="T90" s="423"/>
      <c r="U90" s="423"/>
      <c r="V90" s="423"/>
      <c r="W90" s="423"/>
      <c r="X90" s="423"/>
    </row>
    <row r="91" spans="13:24" x14ac:dyDescent="0.2">
      <c r="M91" s="173" t="s">
        <v>267</v>
      </c>
      <c r="O91" s="172">
        <v>0</v>
      </c>
      <c r="P91" s="171">
        <v>1</v>
      </c>
      <c r="Q91" s="171">
        <v>0</v>
      </c>
      <c r="R91" s="171">
        <v>0</v>
      </c>
      <c r="S91" s="171">
        <v>0</v>
      </c>
      <c r="T91" s="171">
        <v>0</v>
      </c>
      <c r="U91" s="171">
        <v>0</v>
      </c>
      <c r="V91" s="171">
        <v>0</v>
      </c>
      <c r="W91" s="171">
        <v>0</v>
      </c>
      <c r="X91" s="170">
        <v>1</v>
      </c>
    </row>
    <row r="92" spans="13:24" x14ac:dyDescent="0.2">
      <c r="M92" s="169" t="s">
        <v>266</v>
      </c>
      <c r="O92" s="168">
        <v>0</v>
      </c>
      <c r="P92" s="109">
        <v>0</v>
      </c>
      <c r="Q92" s="109">
        <v>1</v>
      </c>
      <c r="R92" s="109">
        <v>0</v>
      </c>
      <c r="S92" s="109">
        <v>0</v>
      </c>
      <c r="T92" s="109">
        <v>0</v>
      </c>
      <c r="U92" s="109">
        <v>0</v>
      </c>
      <c r="V92" s="109">
        <v>0</v>
      </c>
      <c r="W92" s="109">
        <v>1</v>
      </c>
      <c r="X92" s="113">
        <v>0</v>
      </c>
    </row>
    <row r="93" spans="13:24" x14ac:dyDescent="0.2">
      <c r="M93" s="169" t="s">
        <v>265</v>
      </c>
      <c r="O93" s="168">
        <v>0</v>
      </c>
      <c r="P93" s="109">
        <v>0</v>
      </c>
      <c r="Q93" s="109">
        <v>1</v>
      </c>
      <c r="R93" s="109">
        <v>0</v>
      </c>
      <c r="S93" s="109">
        <v>0</v>
      </c>
      <c r="T93" s="109">
        <v>0</v>
      </c>
      <c r="U93" s="109">
        <v>0</v>
      </c>
      <c r="V93" s="109">
        <v>0</v>
      </c>
      <c r="W93" s="109">
        <v>0</v>
      </c>
      <c r="X93" s="113">
        <v>1</v>
      </c>
    </row>
    <row r="94" spans="13:24" x14ac:dyDescent="0.2">
      <c r="M94" s="169" t="s">
        <v>264</v>
      </c>
      <c r="O94" s="168">
        <v>0</v>
      </c>
      <c r="P94" s="109">
        <v>0</v>
      </c>
      <c r="Q94" s="109">
        <v>0</v>
      </c>
      <c r="R94" s="109">
        <v>1</v>
      </c>
      <c r="S94" s="109">
        <v>0</v>
      </c>
      <c r="T94" s="109">
        <v>0</v>
      </c>
      <c r="U94" s="109">
        <v>0</v>
      </c>
      <c r="V94" s="109">
        <v>1</v>
      </c>
      <c r="W94" s="109">
        <v>0</v>
      </c>
      <c r="X94" s="113">
        <v>0</v>
      </c>
    </row>
    <row r="95" spans="13:24" x14ac:dyDescent="0.2">
      <c r="M95" s="169" t="s">
        <v>263</v>
      </c>
      <c r="O95" s="168">
        <v>0</v>
      </c>
      <c r="P95" s="109">
        <v>0</v>
      </c>
      <c r="Q95" s="109">
        <v>0</v>
      </c>
      <c r="R95" s="109">
        <v>1</v>
      </c>
      <c r="S95" s="109">
        <v>0</v>
      </c>
      <c r="T95" s="109">
        <v>0</v>
      </c>
      <c r="U95" s="109">
        <v>0</v>
      </c>
      <c r="V95" s="109">
        <v>0</v>
      </c>
      <c r="W95" s="109">
        <v>1</v>
      </c>
      <c r="X95" s="113">
        <v>0</v>
      </c>
    </row>
    <row r="96" spans="13:24" x14ac:dyDescent="0.2">
      <c r="M96" s="169" t="s">
        <v>262</v>
      </c>
      <c r="O96" s="168">
        <v>0</v>
      </c>
      <c r="P96" s="109">
        <v>0</v>
      </c>
      <c r="Q96" s="109">
        <v>0</v>
      </c>
      <c r="R96" s="109">
        <v>1</v>
      </c>
      <c r="S96" s="109">
        <v>0</v>
      </c>
      <c r="T96" s="109">
        <v>0</v>
      </c>
      <c r="U96" s="109">
        <v>0</v>
      </c>
      <c r="V96" s="109">
        <v>0</v>
      </c>
      <c r="W96" s="109">
        <v>0</v>
      </c>
      <c r="X96" s="113">
        <v>1</v>
      </c>
    </row>
    <row r="97" spans="13:24" x14ac:dyDescent="0.2">
      <c r="M97" s="169" t="s">
        <v>261</v>
      </c>
      <c r="O97" s="168">
        <v>0</v>
      </c>
      <c r="P97" s="109">
        <v>0</v>
      </c>
      <c r="Q97" s="109">
        <v>0</v>
      </c>
      <c r="R97" s="109">
        <v>0</v>
      </c>
      <c r="S97" s="109">
        <v>1</v>
      </c>
      <c r="T97" s="109">
        <v>0</v>
      </c>
      <c r="U97" s="109">
        <v>1</v>
      </c>
      <c r="V97" s="109">
        <v>0</v>
      </c>
      <c r="W97" s="109">
        <v>0</v>
      </c>
      <c r="X97" s="113">
        <v>0</v>
      </c>
    </row>
    <row r="98" spans="13:24" x14ac:dyDescent="0.2">
      <c r="M98" s="169" t="s">
        <v>260</v>
      </c>
      <c r="O98" s="168">
        <v>0</v>
      </c>
      <c r="P98" s="109">
        <v>0</v>
      </c>
      <c r="Q98" s="109">
        <v>0</v>
      </c>
      <c r="R98" s="109">
        <v>0</v>
      </c>
      <c r="S98" s="109">
        <v>1</v>
      </c>
      <c r="T98" s="109">
        <v>0</v>
      </c>
      <c r="U98" s="109">
        <v>0</v>
      </c>
      <c r="V98" s="109">
        <v>1</v>
      </c>
      <c r="W98" s="109">
        <v>0</v>
      </c>
      <c r="X98" s="113">
        <v>0</v>
      </c>
    </row>
    <row r="99" spans="13:24" x14ac:dyDescent="0.2">
      <c r="M99" s="169" t="s">
        <v>259</v>
      </c>
      <c r="O99" s="168">
        <v>0</v>
      </c>
      <c r="P99" s="109">
        <v>0</v>
      </c>
      <c r="Q99" s="109">
        <v>0</v>
      </c>
      <c r="R99" s="109">
        <v>0</v>
      </c>
      <c r="S99" s="109">
        <v>1</v>
      </c>
      <c r="T99" s="109">
        <v>0</v>
      </c>
      <c r="U99" s="109">
        <v>0</v>
      </c>
      <c r="V99" s="109">
        <v>0</v>
      </c>
      <c r="W99" s="109">
        <v>1</v>
      </c>
      <c r="X99" s="113">
        <v>0</v>
      </c>
    </row>
    <row r="100" spans="13:24" x14ac:dyDescent="0.2">
      <c r="M100" s="167" t="s">
        <v>258</v>
      </c>
      <c r="O100" s="166">
        <v>0</v>
      </c>
      <c r="P100" s="116">
        <v>0</v>
      </c>
      <c r="Q100" s="116">
        <v>0</v>
      </c>
      <c r="R100" s="116">
        <v>0</v>
      </c>
      <c r="S100" s="116">
        <v>1</v>
      </c>
      <c r="T100" s="116">
        <v>0</v>
      </c>
      <c r="U100" s="116">
        <v>0</v>
      </c>
      <c r="V100" s="116">
        <v>0</v>
      </c>
      <c r="W100" s="116">
        <v>0</v>
      </c>
      <c r="X100" s="131">
        <v>1</v>
      </c>
    </row>
    <row r="102" spans="13:24" x14ac:dyDescent="0.2">
      <c r="M102" s="109" t="s">
        <v>78</v>
      </c>
    </row>
    <row r="103" spans="13:24" x14ac:dyDescent="0.2">
      <c r="M103" s="165" t="s">
        <v>257</v>
      </c>
    </row>
    <row r="104" spans="13:24" x14ac:dyDescent="0.2">
      <c r="M104" s="164" t="s">
        <v>256</v>
      </c>
    </row>
    <row r="105" spans="13:24" x14ac:dyDescent="0.2">
      <c r="M105" s="164" t="s">
        <v>255</v>
      </c>
    </row>
    <row r="106" spans="13:24" x14ac:dyDescent="0.2">
      <c r="M106" s="164" t="s">
        <v>254</v>
      </c>
    </row>
    <row r="107" spans="13:24" x14ac:dyDescent="0.2">
      <c r="M107" s="164" t="s">
        <v>253</v>
      </c>
    </row>
    <row r="108" spans="13:24" x14ac:dyDescent="0.2">
      <c r="M108" s="164" t="s">
        <v>252</v>
      </c>
    </row>
    <row r="109" spans="13:24" x14ac:dyDescent="0.2">
      <c r="M109" s="164" t="s">
        <v>251</v>
      </c>
    </row>
    <row r="110" spans="13:24" x14ac:dyDescent="0.2">
      <c r="M110" s="164" t="s">
        <v>250</v>
      </c>
    </row>
    <row r="111" spans="13:24" x14ac:dyDescent="0.2">
      <c r="M111" s="164" t="s">
        <v>249</v>
      </c>
    </row>
    <row r="112" spans="13:24" x14ac:dyDescent="0.2">
      <c r="M112" s="163" t="s">
        <v>248</v>
      </c>
    </row>
    <row r="114" spans="13:13" ht="19" x14ac:dyDescent="0.25">
      <c r="M114" s="105" t="s">
        <v>131</v>
      </c>
    </row>
    <row r="115" spans="13:13" x14ac:dyDescent="0.2">
      <c r="M115"/>
    </row>
    <row r="116" spans="13:13" x14ac:dyDescent="0.2">
      <c r="M116"/>
    </row>
    <row r="117" spans="13:13" x14ac:dyDescent="0.2">
      <c r="M117"/>
    </row>
    <row r="118" spans="13:13" x14ac:dyDescent="0.2">
      <c r="M118"/>
    </row>
    <row r="119" spans="13:13" ht="19" x14ac:dyDescent="0.25">
      <c r="M119" s="105" t="s">
        <v>180</v>
      </c>
    </row>
  </sheetData>
  <mergeCells count="7">
    <mergeCell ref="D5:H5"/>
    <mergeCell ref="C5:C6"/>
    <mergeCell ref="O59:X59"/>
    <mergeCell ref="O90:X90"/>
    <mergeCell ref="O17:R17"/>
    <mergeCell ref="M41:R42"/>
    <mergeCell ref="O77:T7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1237-64C7-7F42-AFFE-3C7C74FFAB9F}">
  <sheetPr codeName="Sheet14"/>
  <dimension ref="A1:V48"/>
  <sheetViews>
    <sheetView zoomScaleNormal="100" workbookViewId="0"/>
  </sheetViews>
  <sheetFormatPr baseColWidth="10" defaultColWidth="11" defaultRowHeight="16" outlineLevelCol="1" x14ac:dyDescent="0.2"/>
  <cols>
    <col min="1" max="1" width="4.5" customWidth="1"/>
    <col min="2" max="10" width="10.83203125" customWidth="1"/>
    <col min="11" max="11" width="11.5" bestFit="1" customWidth="1"/>
    <col min="12" max="12" width="17.1640625" style="104" hidden="1" customWidth="1" outlineLevel="1"/>
    <col min="13" max="13" width="12.6640625" hidden="1" customWidth="1" outlineLevel="1"/>
    <col min="14" max="17" width="10.83203125" hidden="1" customWidth="1" outlineLevel="1"/>
    <col min="18" max="18" width="12" hidden="1" customWidth="1" outlineLevel="1"/>
    <col min="19" max="19" width="11" collapsed="1"/>
  </cols>
  <sheetData>
    <row r="1" spans="1:22" ht="19" x14ac:dyDescent="0.25">
      <c r="A1" s="149" t="s">
        <v>418</v>
      </c>
      <c r="B1" s="148"/>
      <c r="C1" s="147"/>
      <c r="D1" s="147"/>
      <c r="E1" s="147"/>
      <c r="F1" s="146"/>
      <c r="G1" s="146"/>
      <c r="H1" s="146"/>
      <c r="I1" s="146"/>
      <c r="J1" s="145"/>
      <c r="K1" s="105" t="s">
        <v>146</v>
      </c>
    </row>
    <row r="2" spans="1:22" x14ac:dyDescent="0.2">
      <c r="A2" s="125"/>
      <c r="B2" s="123"/>
      <c r="C2" s="123"/>
      <c r="D2" s="123"/>
      <c r="E2" s="123"/>
      <c r="F2" s="123"/>
      <c r="G2" s="123"/>
      <c r="H2" s="123"/>
      <c r="I2" s="123"/>
      <c r="J2" s="122"/>
    </row>
    <row r="3" spans="1:22" x14ac:dyDescent="0.2">
      <c r="A3" s="125"/>
      <c r="B3" s="123" t="s">
        <v>419</v>
      </c>
      <c r="C3" s="123"/>
      <c r="D3" s="123"/>
      <c r="E3" s="123"/>
      <c r="F3" s="123"/>
      <c r="G3" s="123"/>
      <c r="H3" s="123"/>
      <c r="I3" s="123"/>
      <c r="J3" s="122"/>
      <c r="L3" s="108" t="s">
        <v>208</v>
      </c>
    </row>
    <row r="4" spans="1:22" x14ac:dyDescent="0.2">
      <c r="A4" s="125"/>
      <c r="B4" s="123"/>
      <c r="C4" s="123"/>
      <c r="D4" s="123"/>
      <c r="E4" s="123"/>
      <c r="F4" s="123"/>
      <c r="G4" s="123"/>
      <c r="H4" s="123"/>
      <c r="I4" s="123"/>
      <c r="J4" s="122"/>
    </row>
    <row r="5" spans="1:22" x14ac:dyDescent="0.2">
      <c r="A5" s="125"/>
      <c r="B5" s="230"/>
      <c r="C5" s="417" t="s">
        <v>420</v>
      </c>
      <c r="D5" s="418"/>
      <c r="E5" s="418"/>
      <c r="F5" s="418"/>
      <c r="G5" s="419"/>
      <c r="H5" s="123"/>
      <c r="I5" s="123"/>
      <c r="J5" s="122"/>
      <c r="L5" s="231" t="s">
        <v>80</v>
      </c>
      <c r="M5" s="231"/>
      <c r="N5" s="231"/>
      <c r="O5" s="231" t="s">
        <v>79</v>
      </c>
      <c r="P5" s="231"/>
      <c r="Q5" s="231"/>
    </row>
    <row r="6" spans="1:22" x14ac:dyDescent="0.2">
      <c r="A6" s="125"/>
      <c r="B6" s="229" t="s">
        <v>75</v>
      </c>
      <c r="C6" s="229" t="s">
        <v>294</v>
      </c>
      <c r="D6" s="193" t="s">
        <v>293</v>
      </c>
      <c r="E6" s="193" t="s">
        <v>292</v>
      </c>
      <c r="F6" s="193" t="s">
        <v>291</v>
      </c>
      <c r="G6" s="192" t="s">
        <v>290</v>
      </c>
      <c r="H6" s="123"/>
      <c r="I6" s="123"/>
      <c r="J6" s="122"/>
      <c r="L6" s="231"/>
      <c r="M6" s="231"/>
      <c r="N6" s="231"/>
      <c r="O6" s="231"/>
      <c r="P6" s="231"/>
      <c r="Q6" s="231"/>
    </row>
    <row r="7" spans="1:22" x14ac:dyDescent="0.2">
      <c r="A7" s="125"/>
      <c r="B7" s="194">
        <v>2013</v>
      </c>
      <c r="C7" s="232">
        <v>3500</v>
      </c>
      <c r="D7" s="188">
        <v>3000</v>
      </c>
      <c r="E7" s="188">
        <v>700</v>
      </c>
      <c r="F7" s="188">
        <v>300</v>
      </c>
      <c r="G7" s="191">
        <v>50</v>
      </c>
      <c r="H7" s="123"/>
      <c r="I7" s="123"/>
      <c r="J7" s="122"/>
      <c r="L7" s="231"/>
      <c r="M7" s="231"/>
      <c r="N7" s="231"/>
      <c r="O7" s="231"/>
      <c r="P7" s="231"/>
      <c r="Q7" s="231"/>
    </row>
    <row r="8" spans="1:22" x14ac:dyDescent="0.2">
      <c r="A8" s="125"/>
      <c r="B8" s="139">
        <v>2014</v>
      </c>
      <c r="C8" s="232">
        <v>4000</v>
      </c>
      <c r="D8" s="188">
        <v>3000</v>
      </c>
      <c r="E8" s="188">
        <v>700</v>
      </c>
      <c r="F8" s="188">
        <v>150</v>
      </c>
      <c r="G8" s="191"/>
      <c r="H8" s="123"/>
      <c r="I8" s="123"/>
      <c r="J8" s="122"/>
      <c r="L8" s="233" t="s">
        <v>75</v>
      </c>
      <c r="M8" s="234" t="s">
        <v>76</v>
      </c>
      <c r="N8" s="231"/>
      <c r="O8" s="233" t="s">
        <v>77</v>
      </c>
      <c r="P8" s="234" t="s">
        <v>78</v>
      </c>
      <c r="Q8" s="235"/>
      <c r="V8" s="231"/>
    </row>
    <row r="9" spans="1:22" x14ac:dyDescent="0.2">
      <c r="A9" s="125"/>
      <c r="B9" s="139">
        <v>2015</v>
      </c>
      <c r="C9" s="232">
        <v>2800</v>
      </c>
      <c r="D9" s="188">
        <v>2100</v>
      </c>
      <c r="E9" s="188">
        <v>900</v>
      </c>
      <c r="F9" s="188"/>
      <c r="G9" s="191"/>
      <c r="H9" s="123"/>
      <c r="I9" s="123"/>
      <c r="J9" s="122"/>
      <c r="L9" s="236">
        <f>B7</f>
        <v>2013</v>
      </c>
      <c r="M9" s="237">
        <f>SUM(C7:G7)</f>
        <v>7550</v>
      </c>
      <c r="N9" s="231"/>
      <c r="O9" s="236">
        <v>60</v>
      </c>
      <c r="P9" s="238">
        <f>G7/M9</f>
        <v>6.6225165562913907E-3</v>
      </c>
      <c r="Q9" s="238"/>
      <c r="V9" s="231"/>
    </row>
    <row r="10" spans="1:22" x14ac:dyDescent="0.2">
      <c r="A10" s="125"/>
      <c r="B10" s="139">
        <v>2016</v>
      </c>
      <c r="C10" s="232">
        <v>3200</v>
      </c>
      <c r="D10" s="188">
        <v>2300</v>
      </c>
      <c r="E10" s="188"/>
      <c r="F10" s="188"/>
      <c r="G10" s="191"/>
      <c r="H10" s="123"/>
      <c r="I10" s="123"/>
      <c r="J10" s="122"/>
      <c r="L10" s="236">
        <f>B8</f>
        <v>2014</v>
      </c>
      <c r="M10" s="237">
        <f>SUM(C8:F8)/(1-P9)</f>
        <v>7902.3333333333339</v>
      </c>
      <c r="N10" s="231"/>
      <c r="O10" s="236">
        <v>48</v>
      </c>
      <c r="P10" s="238">
        <f>SUM(F7:F8)/SUM($M9:M$10)</f>
        <v>2.9121815475548461E-2</v>
      </c>
      <c r="Q10" s="238"/>
      <c r="V10" s="231"/>
    </row>
    <row r="11" spans="1:22" x14ac:dyDescent="0.2">
      <c r="A11" s="125"/>
      <c r="B11" s="137">
        <v>2017</v>
      </c>
      <c r="C11" s="239">
        <v>3900</v>
      </c>
      <c r="D11" s="190"/>
      <c r="E11" s="190"/>
      <c r="F11" s="190"/>
      <c r="G11" s="189"/>
      <c r="H11" s="123"/>
      <c r="I11" s="123"/>
      <c r="J11" s="122"/>
      <c r="L11" s="236">
        <f>B9</f>
        <v>2015</v>
      </c>
      <c r="M11" s="237">
        <f>SUM(C9:E9)/(1-SUM($P$9:P10))</f>
        <v>6015.0022371364648</v>
      </c>
      <c r="N11" s="231"/>
      <c r="O11" s="236">
        <v>36</v>
      </c>
      <c r="P11" s="238">
        <f>SUM(E7:E9)/SUM($M$9:M11)</f>
        <v>0.10713951866312892</v>
      </c>
      <c r="Q11" s="238"/>
      <c r="V11" s="231"/>
    </row>
    <row r="12" spans="1:22" x14ac:dyDescent="0.2">
      <c r="A12" s="125"/>
      <c r="B12" s="123"/>
      <c r="C12" s="123"/>
      <c r="D12" s="123"/>
      <c r="E12" s="123"/>
      <c r="F12" s="123"/>
      <c r="G12" s="123"/>
      <c r="H12" s="123"/>
      <c r="I12" s="123"/>
      <c r="J12" s="122"/>
      <c r="L12" s="236">
        <f>B10</f>
        <v>2016</v>
      </c>
      <c r="M12" s="237">
        <f>SUM(C10:D10)/(1-SUM($P$9:P11))</f>
        <v>6416.8666107382551</v>
      </c>
      <c r="N12" s="231"/>
      <c r="O12" s="236">
        <v>24</v>
      </c>
      <c r="P12" s="238">
        <f>SUM(D7:D10)/SUM($M$9:M12)</f>
        <v>0.37297104404905124</v>
      </c>
      <c r="Q12" s="238"/>
      <c r="V12" s="231"/>
    </row>
    <row r="13" spans="1:22" x14ac:dyDescent="0.2">
      <c r="A13" s="125"/>
      <c r="B13" s="133" t="s">
        <v>421</v>
      </c>
      <c r="C13" s="188">
        <v>40000</v>
      </c>
      <c r="D13" s="123"/>
      <c r="E13" s="123"/>
      <c r="F13" s="123"/>
      <c r="G13" s="123"/>
      <c r="H13" s="123"/>
      <c r="I13" s="123"/>
      <c r="J13" s="122"/>
      <c r="L13" s="236">
        <f>B11</f>
        <v>2017</v>
      </c>
      <c r="M13" s="237">
        <f>SUM(C11)/(1-SUM($P$9:P12))</f>
        <v>8055.4361856823271</v>
      </c>
      <c r="N13" s="231"/>
      <c r="O13" s="236">
        <v>12</v>
      </c>
      <c r="P13" s="238">
        <f>SUM(C7:C11)/SUM($M$9:M13)</f>
        <v>0.48414510525597998</v>
      </c>
      <c r="Q13" s="238"/>
      <c r="V13" s="231"/>
    </row>
    <row r="14" spans="1:22" x14ac:dyDescent="0.2">
      <c r="A14" s="125"/>
      <c r="B14" s="133" t="s">
        <v>422</v>
      </c>
      <c r="C14" s="123"/>
      <c r="D14" s="123"/>
      <c r="E14" s="123"/>
      <c r="F14" s="123"/>
      <c r="G14" s="123"/>
      <c r="H14" s="123"/>
      <c r="I14" s="188"/>
      <c r="J14" s="240"/>
      <c r="V14" s="231"/>
    </row>
    <row r="15" spans="1:22" x14ac:dyDescent="0.2">
      <c r="A15" s="125"/>
      <c r="B15" s="241" t="s">
        <v>423</v>
      </c>
      <c r="C15" s="123"/>
      <c r="D15" s="188">
        <v>2500000</v>
      </c>
      <c r="E15" s="123"/>
      <c r="F15" s="123"/>
      <c r="G15" s="123"/>
      <c r="H15" s="188"/>
      <c r="I15" s="188"/>
      <c r="J15" s="240"/>
      <c r="V15" s="231"/>
    </row>
    <row r="16" spans="1:22" x14ac:dyDescent="0.2">
      <c r="A16" s="125"/>
      <c r="B16" s="241"/>
      <c r="C16" s="123"/>
      <c r="D16" s="188"/>
      <c r="E16" s="123"/>
      <c r="F16" s="123"/>
      <c r="G16" s="123"/>
      <c r="H16" s="188"/>
      <c r="I16" s="188"/>
      <c r="J16" s="240"/>
      <c r="V16" s="231"/>
    </row>
    <row r="17" spans="1:22" x14ac:dyDescent="0.2">
      <c r="A17" s="125"/>
      <c r="B17" s="133" t="s">
        <v>205</v>
      </c>
      <c r="C17" s="123"/>
      <c r="D17" s="123"/>
      <c r="E17" s="123"/>
      <c r="F17" s="123"/>
      <c r="G17" s="123"/>
      <c r="H17" s="123"/>
      <c r="I17" s="123"/>
      <c r="J17" s="122"/>
      <c r="L17" s="214" t="s">
        <v>197</v>
      </c>
      <c r="O17" s="231"/>
      <c r="P17" s="231"/>
      <c r="Q17" s="231"/>
      <c r="R17" s="242"/>
      <c r="S17" s="231"/>
      <c r="T17" s="231"/>
      <c r="U17" s="231"/>
      <c r="V17" s="231"/>
    </row>
    <row r="18" spans="1:22" x14ac:dyDescent="0.2">
      <c r="A18" s="125"/>
      <c r="B18" s="123"/>
      <c r="C18" s="123"/>
      <c r="D18" s="123"/>
      <c r="E18" s="123"/>
      <c r="F18" s="123"/>
      <c r="G18" s="123"/>
      <c r="H18" s="123"/>
      <c r="I18" s="123"/>
      <c r="J18" s="122"/>
      <c r="L18"/>
      <c r="O18" s="231"/>
      <c r="P18" s="231"/>
      <c r="Q18" s="231"/>
      <c r="R18" s="242"/>
      <c r="S18" s="231"/>
      <c r="T18" s="231"/>
      <c r="U18" s="231"/>
      <c r="V18" s="231"/>
    </row>
    <row r="19" spans="1:22" x14ac:dyDescent="0.2">
      <c r="A19" s="125"/>
      <c r="B19" s="128" t="s">
        <v>0</v>
      </c>
      <c r="C19" s="123"/>
      <c r="D19" s="123"/>
      <c r="E19" s="123"/>
      <c r="F19" s="123"/>
      <c r="G19" s="123"/>
      <c r="H19" s="123"/>
      <c r="I19" s="123"/>
      <c r="J19" s="122"/>
      <c r="L19" t="s">
        <v>424</v>
      </c>
      <c r="M19" s="150">
        <f>M13*P12*1000</f>
        <v>3004444.4444444445</v>
      </c>
      <c r="N19" t="s">
        <v>425</v>
      </c>
      <c r="P19" s="110"/>
      <c r="Q19" s="110"/>
      <c r="T19" s="231"/>
      <c r="U19" s="231"/>
      <c r="V19" s="231"/>
    </row>
    <row r="20" spans="1:22" ht="17" thickBot="1" x14ac:dyDescent="0.25">
      <c r="A20" s="125"/>
      <c r="B20" s="123" t="s">
        <v>426</v>
      </c>
      <c r="C20" s="123"/>
      <c r="D20" s="123"/>
      <c r="E20" s="158"/>
      <c r="F20" s="123"/>
      <c r="G20" s="123"/>
      <c r="H20" s="123"/>
      <c r="I20" s="123"/>
      <c r="J20" s="122"/>
      <c r="L20" t="s">
        <v>427</v>
      </c>
      <c r="M20">
        <f>M19*C13</f>
        <v>120177777777.77779</v>
      </c>
      <c r="N20" t="s">
        <v>428</v>
      </c>
      <c r="P20" s="110"/>
      <c r="Q20" s="110"/>
      <c r="T20" s="231"/>
      <c r="U20" s="231"/>
      <c r="V20" s="231"/>
    </row>
    <row r="21" spans="1:22" ht="17" thickBot="1" x14ac:dyDescent="0.25">
      <c r="A21" s="125"/>
      <c r="B21" s="123"/>
      <c r="C21" s="123"/>
      <c r="D21" s="123"/>
      <c r="E21" s="158"/>
      <c r="F21" s="123"/>
      <c r="G21" s="123"/>
      <c r="H21" s="123"/>
      <c r="I21" s="123"/>
      <c r="J21" s="122"/>
      <c r="L21" s="217" t="s">
        <v>429</v>
      </c>
      <c r="M21" s="243">
        <f>SQRT(M20)/M19</f>
        <v>0.11538461538461539</v>
      </c>
      <c r="P21" s="110"/>
      <c r="Q21" s="110"/>
      <c r="T21" s="231"/>
      <c r="U21" s="231"/>
      <c r="V21" s="231"/>
    </row>
    <row r="22" spans="1:22" x14ac:dyDescent="0.2">
      <c r="A22" s="125"/>
      <c r="B22" s="128" t="s">
        <v>1</v>
      </c>
      <c r="C22" s="123"/>
      <c r="D22" s="123"/>
      <c r="E22" s="123"/>
      <c r="F22" s="123"/>
      <c r="G22" s="123"/>
      <c r="H22" s="123"/>
      <c r="I22" s="123"/>
      <c r="J22" s="122"/>
      <c r="L22"/>
      <c r="P22" s="110"/>
      <c r="Q22" s="110"/>
    </row>
    <row r="23" spans="1:22" x14ac:dyDescent="0.2">
      <c r="A23" s="125"/>
      <c r="B23" s="411" t="s">
        <v>430</v>
      </c>
      <c r="C23" s="411"/>
      <c r="D23" s="411"/>
      <c r="E23" s="411"/>
      <c r="F23" s="411"/>
      <c r="G23" s="411"/>
      <c r="H23" s="411"/>
      <c r="I23" s="411"/>
      <c r="J23" s="122"/>
      <c r="L23"/>
      <c r="P23" s="110"/>
      <c r="Q23" s="110"/>
    </row>
    <row r="24" spans="1:22" x14ac:dyDescent="0.2">
      <c r="A24" s="125"/>
      <c r="B24" s="411"/>
      <c r="C24" s="411"/>
      <c r="D24" s="411"/>
      <c r="E24" s="411"/>
      <c r="F24" s="411"/>
      <c r="G24" s="411"/>
      <c r="H24" s="411"/>
      <c r="I24" s="411"/>
      <c r="J24" s="122"/>
      <c r="L24" s="214" t="s">
        <v>194</v>
      </c>
      <c r="P24" s="110"/>
      <c r="Q24" s="110"/>
    </row>
    <row r="25" spans="1:22" ht="16" customHeight="1" x14ac:dyDescent="0.2">
      <c r="A25" s="125"/>
      <c r="B25" s="126"/>
      <c r="C25" s="123"/>
      <c r="D25" s="123"/>
      <c r="E25" s="123"/>
      <c r="F25" s="123"/>
      <c r="G25" s="123"/>
      <c r="H25" s="123"/>
      <c r="I25" s="123"/>
      <c r="J25" s="122"/>
      <c r="L25" s="214"/>
      <c r="P25" s="110"/>
      <c r="Q25" s="110"/>
    </row>
    <row r="26" spans="1:22" x14ac:dyDescent="0.2">
      <c r="A26" s="125"/>
      <c r="B26" s="128" t="s">
        <v>2</v>
      </c>
      <c r="C26" s="123"/>
      <c r="D26" s="123"/>
      <c r="E26" s="123"/>
      <c r="F26" s="123"/>
      <c r="G26" s="123"/>
      <c r="H26" s="123"/>
      <c r="I26" s="123"/>
      <c r="J26" s="122"/>
      <c r="L26"/>
      <c r="P26" s="110"/>
      <c r="Q26" s="110"/>
    </row>
    <row r="27" spans="1:22" x14ac:dyDescent="0.2">
      <c r="A27" s="125"/>
      <c r="B27" s="412" t="s">
        <v>431</v>
      </c>
      <c r="C27" s="412"/>
      <c r="D27" s="412"/>
      <c r="E27" s="412"/>
      <c r="F27" s="412"/>
      <c r="G27" s="412"/>
      <c r="H27" s="412"/>
      <c r="I27" s="412"/>
      <c r="J27" s="122"/>
      <c r="L27" t="s">
        <v>432</v>
      </c>
      <c r="M27" s="150">
        <f>M12*P13*1000</f>
        <v>3106694.5606694561</v>
      </c>
      <c r="N27" t="s">
        <v>433</v>
      </c>
      <c r="P27" s="110"/>
      <c r="Q27" s="110"/>
    </row>
    <row r="28" spans="1:22" ht="17" thickBot="1" x14ac:dyDescent="0.25">
      <c r="A28" s="125"/>
      <c r="B28" s="412"/>
      <c r="C28" s="412"/>
      <c r="D28" s="412"/>
      <c r="E28" s="412"/>
      <c r="F28" s="412"/>
      <c r="G28" s="412"/>
      <c r="H28" s="412"/>
      <c r="I28" s="412"/>
      <c r="J28" s="122"/>
      <c r="L28" t="s">
        <v>434</v>
      </c>
      <c r="M28" s="150">
        <f>C10*1000</f>
        <v>3200000</v>
      </c>
      <c r="P28" s="110"/>
      <c r="Q28" s="110"/>
    </row>
    <row r="29" spans="1:22" ht="17" customHeight="1" thickBot="1" x14ac:dyDescent="0.25">
      <c r="A29" s="125"/>
      <c r="B29" s="126"/>
      <c r="C29" s="123"/>
      <c r="D29" s="123"/>
      <c r="E29" s="123"/>
      <c r="F29" s="123"/>
      <c r="G29" s="123"/>
      <c r="H29" s="123"/>
      <c r="I29" s="123"/>
      <c r="J29" s="122"/>
      <c r="L29" s="107" t="s">
        <v>435</v>
      </c>
      <c r="M29" s="155">
        <f>(M28-M27)/(SQRT(C13*M27))</f>
        <v>0.2646839991952748</v>
      </c>
      <c r="N29" s="104" t="s">
        <v>436</v>
      </c>
      <c r="O29" s="109"/>
      <c r="P29" s="110"/>
      <c r="Q29" s="110"/>
    </row>
    <row r="30" spans="1:22" x14ac:dyDescent="0.2">
      <c r="A30" s="125"/>
      <c r="B30" s="128" t="s">
        <v>221</v>
      </c>
      <c r="C30" s="123"/>
      <c r="D30" s="123"/>
      <c r="E30" s="123"/>
      <c r="F30" s="123"/>
      <c r="G30" s="123"/>
      <c r="H30" s="123"/>
      <c r="I30" s="123"/>
      <c r="J30" s="122"/>
      <c r="M30" s="110"/>
      <c r="N30" s="109"/>
      <c r="O30" s="109"/>
      <c r="P30" s="110"/>
      <c r="Q30" s="110"/>
    </row>
    <row r="31" spans="1:22" x14ac:dyDescent="0.2">
      <c r="A31" s="125"/>
      <c r="B31" s="412" t="s">
        <v>437</v>
      </c>
      <c r="C31" s="412"/>
      <c r="D31" s="412"/>
      <c r="E31" s="412"/>
      <c r="F31" s="412"/>
      <c r="G31" s="412"/>
      <c r="H31" s="412"/>
      <c r="I31" s="412"/>
      <c r="J31" s="122"/>
      <c r="L31" s="108" t="s">
        <v>219</v>
      </c>
      <c r="M31" s="110"/>
      <c r="N31" s="109"/>
      <c r="O31" s="109"/>
      <c r="P31" s="110"/>
      <c r="Q31" s="110"/>
    </row>
    <row r="32" spans="1:22" ht="17" thickBot="1" x14ac:dyDescent="0.25">
      <c r="A32" s="125"/>
      <c r="B32" s="412"/>
      <c r="C32" s="412"/>
      <c r="D32" s="412"/>
      <c r="E32" s="412"/>
      <c r="F32" s="412"/>
      <c r="G32" s="412"/>
      <c r="H32" s="412"/>
      <c r="I32" s="412"/>
      <c r="J32" s="122"/>
      <c r="M32" s="110"/>
      <c r="N32" s="109"/>
      <c r="O32" s="109"/>
      <c r="P32" s="110"/>
      <c r="Q32" s="110"/>
    </row>
    <row r="33" spans="1:18" ht="17" thickBot="1" x14ac:dyDescent="0.25">
      <c r="A33" s="125"/>
      <c r="B33" s="126"/>
      <c r="C33" s="123"/>
      <c r="D33" s="123"/>
      <c r="E33" s="123"/>
      <c r="F33" s="123"/>
      <c r="G33" s="123"/>
      <c r="H33" s="123"/>
      <c r="I33" s="123"/>
      <c r="J33" s="122"/>
      <c r="L33" s="107" t="s">
        <v>435</v>
      </c>
      <c r="M33" s="155">
        <f>(1)*(D15/C13)^0.5</f>
        <v>7.9056941504209481</v>
      </c>
      <c r="N33" s="410" t="s">
        <v>438</v>
      </c>
      <c r="O33" s="410"/>
      <c r="P33" s="410"/>
      <c r="Q33" s="410"/>
      <c r="R33" s="410"/>
    </row>
    <row r="34" spans="1:18" x14ac:dyDescent="0.2">
      <c r="A34" s="125"/>
      <c r="B34" s="128" t="s">
        <v>218</v>
      </c>
      <c r="C34" s="123"/>
      <c r="D34" s="123"/>
      <c r="E34" s="123"/>
      <c r="F34" s="123"/>
      <c r="G34" s="123"/>
      <c r="H34" s="123"/>
      <c r="I34" s="123"/>
      <c r="J34" s="122"/>
      <c r="M34" s="110"/>
      <c r="N34" s="410"/>
      <c r="O34" s="410"/>
      <c r="P34" s="410"/>
      <c r="Q34" s="410"/>
      <c r="R34" s="410"/>
    </row>
    <row r="35" spans="1:18" x14ac:dyDescent="0.2">
      <c r="A35" s="125"/>
      <c r="B35" s="123" t="s">
        <v>439</v>
      </c>
      <c r="C35" s="123"/>
      <c r="D35" s="123"/>
      <c r="E35" s="123"/>
      <c r="F35" s="123"/>
      <c r="G35" s="123"/>
      <c r="H35" s="123"/>
      <c r="I35" s="123"/>
      <c r="J35" s="122"/>
      <c r="M35" s="109"/>
      <c r="N35" s="109"/>
      <c r="O35" s="109"/>
    </row>
    <row r="36" spans="1:18" x14ac:dyDescent="0.2">
      <c r="A36" s="125"/>
      <c r="B36" s="133" t="s">
        <v>440</v>
      </c>
      <c r="C36" s="123"/>
      <c r="D36" s="123"/>
      <c r="E36" s="123"/>
      <c r="F36" s="123"/>
      <c r="G36" s="123"/>
      <c r="H36" s="123"/>
      <c r="I36" s="123"/>
      <c r="J36" s="122"/>
      <c r="L36" s="108" t="s">
        <v>215</v>
      </c>
      <c r="M36" s="109"/>
      <c r="N36" s="109"/>
      <c r="O36" s="109"/>
    </row>
    <row r="37" spans="1:18" x14ac:dyDescent="0.2">
      <c r="A37" s="125"/>
      <c r="B37" s="133" t="s">
        <v>441</v>
      </c>
      <c r="C37" s="123"/>
      <c r="D37" s="123"/>
      <c r="E37" s="123"/>
      <c r="F37" s="123"/>
      <c r="G37" s="123"/>
      <c r="H37" s="123"/>
      <c r="I37" s="123"/>
      <c r="J37" s="122"/>
      <c r="M37" s="111"/>
      <c r="N37" s="109"/>
      <c r="O37" s="109"/>
    </row>
    <row r="38" spans="1:18" ht="17" thickBot="1" x14ac:dyDescent="0.25">
      <c r="A38" s="125"/>
      <c r="B38" s="123"/>
      <c r="C38" s="123"/>
      <c r="D38" s="123"/>
      <c r="E38" s="123"/>
      <c r="F38" s="123"/>
      <c r="G38" s="123"/>
      <c r="H38" s="123"/>
      <c r="I38" s="123"/>
      <c r="J38" s="122"/>
      <c r="L38" s="413" t="s">
        <v>442</v>
      </c>
      <c r="M38" s="413"/>
      <c r="N38" s="413"/>
      <c r="O38" s="413"/>
      <c r="P38" s="413"/>
      <c r="Q38" s="413"/>
      <c r="R38" s="413"/>
    </row>
    <row r="39" spans="1:18" ht="17" thickBot="1" x14ac:dyDescent="0.25">
      <c r="A39" s="119" t="s">
        <v>145</v>
      </c>
      <c r="B39" s="186"/>
      <c r="C39" s="118"/>
      <c r="D39" s="118"/>
      <c r="E39" s="118"/>
      <c r="F39" s="118"/>
      <c r="G39" s="118"/>
      <c r="H39" s="118"/>
      <c r="I39" s="118"/>
      <c r="J39" s="117"/>
      <c r="L39" s="413"/>
      <c r="M39" s="413"/>
      <c r="N39" s="413"/>
      <c r="O39" s="413"/>
      <c r="P39" s="413"/>
      <c r="Q39" s="413"/>
      <c r="R39" s="413"/>
    </row>
    <row r="40" spans="1:18" x14ac:dyDescent="0.2">
      <c r="L40" s="413"/>
      <c r="M40" s="413"/>
      <c r="N40" s="413"/>
      <c r="O40" s="413"/>
      <c r="P40" s="413"/>
      <c r="Q40" s="413"/>
      <c r="R40" s="413"/>
    </row>
    <row r="41" spans="1:18" x14ac:dyDescent="0.2">
      <c r="L41" s="413"/>
      <c r="M41" s="413"/>
      <c r="N41" s="413"/>
      <c r="O41" s="413"/>
      <c r="P41" s="413"/>
      <c r="Q41" s="413"/>
      <c r="R41" s="413"/>
    </row>
    <row r="42" spans="1:18" x14ac:dyDescent="0.2">
      <c r="L42" s="413"/>
      <c r="M42" s="413"/>
      <c r="N42" s="413"/>
      <c r="O42" s="413"/>
      <c r="P42" s="413"/>
      <c r="Q42" s="413"/>
      <c r="R42" s="413"/>
    </row>
    <row r="45" spans="1:18" ht="19" x14ac:dyDescent="0.25">
      <c r="L45" s="105" t="s">
        <v>180</v>
      </c>
    </row>
    <row r="46" spans="1:18" x14ac:dyDescent="0.2">
      <c r="L46" s="231" t="s">
        <v>177</v>
      </c>
    </row>
    <row r="47" spans="1:18" x14ac:dyDescent="0.2">
      <c r="L47"/>
    </row>
    <row r="48" spans="1:18" x14ac:dyDescent="0.2">
      <c r="L48"/>
    </row>
  </sheetData>
  <mergeCells count="6">
    <mergeCell ref="L38:R42"/>
    <mergeCell ref="C5:G5"/>
    <mergeCell ref="B23:I24"/>
    <mergeCell ref="B27:I28"/>
    <mergeCell ref="B31:I32"/>
    <mergeCell ref="N33:R3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10DB4-E8D3-D24B-88F6-0BF050E62E6C}">
  <dimension ref="A1:BN208"/>
  <sheetViews>
    <sheetView zoomScaleNormal="100" workbookViewId="0"/>
  </sheetViews>
  <sheetFormatPr baseColWidth="10" defaultRowHeight="16" outlineLevelCol="1" x14ac:dyDescent="0.2"/>
  <cols>
    <col min="1" max="1" width="4.83203125" style="251" customWidth="1"/>
    <col min="2" max="4" width="10.83203125" style="251" customWidth="1"/>
    <col min="5" max="5" width="11.6640625" style="251" customWidth="1"/>
    <col min="6" max="11" width="10.83203125" style="251" customWidth="1"/>
    <col min="12" max="12" width="10.83203125" style="251"/>
    <col min="13" max="19" width="10.83203125" style="251" hidden="1" customWidth="1" outlineLevel="1"/>
    <col min="20" max="20" width="10.83203125" style="251" customWidth="1" collapsed="1"/>
    <col min="21" max="16384" width="10.83203125" style="251"/>
  </cols>
  <sheetData>
    <row r="1" spans="1:20" ht="19" x14ac:dyDescent="0.25">
      <c r="A1" s="149" t="s">
        <v>496</v>
      </c>
      <c r="B1" s="249"/>
      <c r="C1" s="249"/>
      <c r="D1" s="249"/>
      <c r="E1" s="249"/>
      <c r="F1" s="249"/>
      <c r="G1" s="249"/>
      <c r="H1" s="249"/>
      <c r="I1" s="249"/>
      <c r="J1" s="249"/>
      <c r="K1" s="250"/>
      <c r="L1" s="3" t="s">
        <v>455</v>
      </c>
    </row>
    <row r="2" spans="1:20" x14ac:dyDescent="0.2">
      <c r="A2" s="252"/>
      <c r="B2" s="249"/>
      <c r="C2" s="249"/>
      <c r="D2" s="249"/>
      <c r="E2" s="249"/>
      <c r="F2" s="249"/>
      <c r="G2" s="249"/>
      <c r="H2" s="249"/>
      <c r="I2" s="249"/>
      <c r="J2" s="249"/>
      <c r="K2" s="250"/>
      <c r="M2" s="4" t="s">
        <v>3</v>
      </c>
      <c r="O2" s="253"/>
    </row>
    <row r="3" spans="1:20" x14ac:dyDescent="0.2">
      <c r="A3" s="252"/>
      <c r="B3" s="427" t="s">
        <v>484</v>
      </c>
      <c r="C3" s="427"/>
      <c r="D3" s="427"/>
      <c r="E3" s="427"/>
      <c r="F3" s="427"/>
      <c r="G3" s="427"/>
      <c r="H3" s="427"/>
      <c r="I3" s="427"/>
      <c r="J3" s="427"/>
      <c r="K3" s="250"/>
    </row>
    <row r="4" spans="1:20" ht="20" customHeight="1" x14ac:dyDescent="0.2">
      <c r="A4" s="252"/>
      <c r="B4" s="427"/>
      <c r="C4" s="427"/>
      <c r="D4" s="427"/>
      <c r="E4" s="427"/>
      <c r="F4" s="427"/>
      <c r="G4" s="427"/>
      <c r="H4" s="427"/>
      <c r="I4" s="427"/>
      <c r="J4" s="427"/>
      <c r="K4" s="250"/>
      <c r="M4" s="405" t="s">
        <v>487</v>
      </c>
      <c r="N4" s="405"/>
      <c r="O4" s="405"/>
      <c r="P4" s="405"/>
      <c r="Q4" s="405"/>
      <c r="R4" s="405"/>
      <c r="S4" s="405"/>
      <c r="T4" s="328"/>
    </row>
    <row r="5" spans="1:20" ht="19" customHeight="1" x14ac:dyDescent="0.2">
      <c r="A5" s="252"/>
      <c r="B5" s="249"/>
      <c r="C5" s="249"/>
      <c r="D5" s="249"/>
      <c r="E5" s="249"/>
      <c r="F5" s="249"/>
      <c r="G5" s="249"/>
      <c r="H5" s="249"/>
      <c r="I5" s="249"/>
      <c r="J5" s="249"/>
      <c r="K5" s="250"/>
      <c r="M5" s="405"/>
      <c r="N5" s="405"/>
      <c r="O5" s="405"/>
      <c r="P5" s="405"/>
      <c r="Q5" s="405"/>
      <c r="R5" s="405"/>
      <c r="S5" s="405"/>
      <c r="T5" s="328"/>
    </row>
    <row r="6" spans="1:20" x14ac:dyDescent="0.2">
      <c r="A6" s="252"/>
      <c r="B6" s="249"/>
      <c r="C6" s="428" t="s">
        <v>84</v>
      </c>
      <c r="D6" s="345" t="s">
        <v>483</v>
      </c>
      <c r="E6" s="346"/>
      <c r="F6" s="304"/>
      <c r="G6" s="304"/>
      <c r="H6" s="249"/>
      <c r="I6" s="249"/>
      <c r="J6" s="249"/>
      <c r="K6" s="250"/>
      <c r="M6" s="328"/>
      <c r="N6" s="328"/>
      <c r="O6" s="328"/>
      <c r="P6" s="328"/>
      <c r="Q6" s="328"/>
      <c r="R6" s="328"/>
      <c r="S6" s="328"/>
      <c r="T6" s="328"/>
    </row>
    <row r="7" spans="1:20" ht="17" thickBot="1" x14ac:dyDescent="0.25">
      <c r="A7" s="252"/>
      <c r="B7" s="249"/>
      <c r="C7" s="429"/>
      <c r="D7" s="277" t="s">
        <v>468</v>
      </c>
      <c r="E7" s="278" t="s">
        <v>482</v>
      </c>
      <c r="F7" s="304"/>
      <c r="G7" s="304"/>
      <c r="H7" s="249"/>
      <c r="I7" s="249"/>
      <c r="J7" s="249"/>
      <c r="K7" s="250"/>
    </row>
    <row r="8" spans="1:20" x14ac:dyDescent="0.2">
      <c r="A8" s="252"/>
      <c r="B8" s="249"/>
      <c r="C8" s="293">
        <v>1</v>
      </c>
      <c r="D8" s="294">
        <v>10.218</v>
      </c>
      <c r="E8" s="331">
        <v>-1.7969999999999999</v>
      </c>
      <c r="F8" s="304"/>
      <c r="G8" s="304"/>
      <c r="H8" s="249"/>
      <c r="I8" s="249"/>
      <c r="J8" s="249"/>
      <c r="K8" s="250"/>
      <c r="N8" s="308" t="s">
        <v>461</v>
      </c>
      <c r="O8" s="425"/>
      <c r="P8" s="426"/>
      <c r="Q8" s="426"/>
      <c r="R8" s="426"/>
      <c r="S8" s="309" t="s">
        <v>462</v>
      </c>
    </row>
    <row r="9" spans="1:20" ht="20" x14ac:dyDescent="0.25">
      <c r="A9" s="252"/>
      <c r="B9" s="249"/>
      <c r="C9" s="296">
        <v>2</v>
      </c>
      <c r="D9" s="297">
        <v>10.074</v>
      </c>
      <c r="E9" s="332">
        <v>-1.3680000000000001</v>
      </c>
      <c r="F9" s="304"/>
      <c r="G9" s="304"/>
      <c r="H9" s="249"/>
      <c r="I9" s="249"/>
      <c r="J9" s="249"/>
      <c r="K9" s="250"/>
      <c r="N9" s="310" t="s">
        <v>463</v>
      </c>
      <c r="O9" s="311">
        <v>1</v>
      </c>
      <c r="P9" s="312">
        <v>2</v>
      </c>
      <c r="Q9" s="312">
        <v>3</v>
      </c>
      <c r="R9" s="313">
        <v>4</v>
      </c>
      <c r="S9" s="314" t="s">
        <v>464</v>
      </c>
    </row>
    <row r="10" spans="1:20" x14ac:dyDescent="0.2">
      <c r="A10" s="252"/>
      <c r="B10" s="249"/>
      <c r="C10" s="296">
        <v>3</v>
      </c>
      <c r="D10" s="297">
        <v>10.096</v>
      </c>
      <c r="E10" s="332">
        <v>-1.246</v>
      </c>
      <c r="F10" s="304"/>
      <c r="G10" s="304"/>
      <c r="H10" s="249"/>
      <c r="I10" s="249"/>
      <c r="J10" s="249"/>
      <c r="K10" s="250"/>
      <c r="N10" s="315">
        <v>1</v>
      </c>
      <c r="O10" s="316"/>
      <c r="P10" s="316"/>
      <c r="Q10" s="316"/>
      <c r="R10" s="317"/>
      <c r="S10" s="318">
        <v>0</v>
      </c>
    </row>
    <row r="11" spans="1:20" x14ac:dyDescent="0.2">
      <c r="A11" s="252"/>
      <c r="B11" s="249"/>
      <c r="C11" s="299">
        <v>4</v>
      </c>
      <c r="D11" s="300">
        <v>10.186</v>
      </c>
      <c r="E11" s="333">
        <v>-1.2310000000000001</v>
      </c>
      <c r="F11" s="304"/>
      <c r="G11" s="304"/>
      <c r="H11" s="249"/>
      <c r="I11" s="249"/>
      <c r="J11" s="249"/>
      <c r="K11" s="250"/>
      <c r="N11" s="315">
        <v>2</v>
      </c>
      <c r="O11" s="316"/>
      <c r="P11" s="316"/>
      <c r="Q11" s="319"/>
      <c r="R11" s="316">
        <f>EXP(VLOOKUP($N11,$C$8:$G$11,2)+VLOOKUP(R$9,$C$8:$G$11,3))</f>
        <v>6925.7387218390295</v>
      </c>
      <c r="S11" s="318">
        <f>R11</f>
        <v>6925.7387218390295</v>
      </c>
    </row>
    <row r="12" spans="1:20" x14ac:dyDescent="0.2">
      <c r="A12" s="252"/>
      <c r="B12" s="302"/>
      <c r="C12" s="303"/>
      <c r="D12" s="303"/>
      <c r="E12" s="303"/>
      <c r="F12" s="304"/>
      <c r="G12" s="304"/>
      <c r="H12" s="249"/>
      <c r="I12" s="249"/>
      <c r="J12" s="249"/>
      <c r="K12" s="250"/>
      <c r="N12" s="315">
        <v>3</v>
      </c>
      <c r="O12" s="316"/>
      <c r="P12" s="319"/>
      <c r="Q12" s="316">
        <f>EXP(VLOOKUP($N12,$C$8:$G$11,2)+VLOOKUP(Q$9,$C$8:$G$11,3))</f>
        <v>6974.388970105816</v>
      </c>
      <c r="R12" s="316">
        <f>EXP(VLOOKUP($N12,$C$8:$G$11,2)+VLOOKUP(R$9,$C$8:$G$11,3))</f>
        <v>7079.7933612661873</v>
      </c>
      <c r="S12" s="318">
        <f>SUM(Q12:R12)</f>
        <v>14054.182331372003</v>
      </c>
    </row>
    <row r="13" spans="1:20" x14ac:dyDescent="0.2">
      <c r="A13" s="252"/>
      <c r="B13" s="249" t="s">
        <v>460</v>
      </c>
      <c r="C13" s="304"/>
      <c r="D13" s="305">
        <v>16.3</v>
      </c>
      <c r="E13" s="304"/>
      <c r="F13" s="304"/>
      <c r="G13" s="304"/>
      <c r="H13" s="249"/>
      <c r="I13" s="249"/>
      <c r="J13" s="249"/>
      <c r="K13" s="250"/>
      <c r="N13" s="320">
        <v>4</v>
      </c>
      <c r="O13" s="319"/>
      <c r="P13" s="317">
        <f>EXP(VLOOKUP($N13,$C$8:$G$11,2)+VLOOKUP(P$9,$C$8:$G$11,3))</f>
        <v>6754.7416235280389</v>
      </c>
      <c r="Q13" s="317">
        <f>EXP(VLOOKUP($N13,$C$8:$G$11,2)+VLOOKUP(Q$9,$C$8:$G$11,3))</f>
        <v>7631.1970556470496</v>
      </c>
      <c r="R13" s="317">
        <f>EXP(VLOOKUP($N13,$C$8:$G$11,2)+VLOOKUP(R$9,$C$8:$G$11,3))</f>
        <v>7746.5278298443327</v>
      </c>
      <c r="S13" s="321">
        <f>SUM(P13:R13)</f>
        <v>22132.466509019421</v>
      </c>
    </row>
    <row r="14" spans="1:20" ht="17" thickBot="1" x14ac:dyDescent="0.25">
      <c r="A14" s="252"/>
      <c r="B14" s="249" t="s">
        <v>485</v>
      </c>
      <c r="C14" s="304"/>
      <c r="D14" s="347">
        <v>1050000</v>
      </c>
      <c r="E14" s="348" t="s">
        <v>488</v>
      </c>
      <c r="F14" s="304"/>
      <c r="G14" s="304"/>
      <c r="H14" s="249"/>
      <c r="I14" s="249"/>
      <c r="J14" s="249"/>
      <c r="K14" s="250"/>
      <c r="N14" s="322" t="s">
        <v>198</v>
      </c>
      <c r="R14" s="323"/>
      <c r="S14" s="324">
        <f>SUM(S10:S13)</f>
        <v>43112.387562230455</v>
      </c>
    </row>
    <row r="15" spans="1:20" x14ac:dyDescent="0.2">
      <c r="A15" s="252"/>
      <c r="B15" s="249" t="s">
        <v>486</v>
      </c>
      <c r="C15" s="304"/>
      <c r="D15" s="305"/>
      <c r="E15" s="304"/>
      <c r="F15" s="304"/>
      <c r="G15" s="304"/>
      <c r="H15" s="249"/>
      <c r="I15" s="249"/>
      <c r="J15" s="249"/>
      <c r="K15" s="250"/>
    </row>
    <row r="16" spans="1:20" x14ac:dyDescent="0.2">
      <c r="A16" s="252"/>
      <c r="B16" s="249"/>
      <c r="C16" s="304"/>
      <c r="D16" s="306"/>
      <c r="E16" s="304"/>
      <c r="F16" s="249"/>
      <c r="G16" s="249"/>
      <c r="H16" s="249"/>
      <c r="I16" s="249"/>
      <c r="J16" s="249"/>
      <c r="K16" s="250"/>
      <c r="M16" s="251" t="s">
        <v>493</v>
      </c>
    </row>
    <row r="17" spans="1:19" x14ac:dyDescent="0.2">
      <c r="A17" s="252"/>
      <c r="B17" s="249"/>
      <c r="C17" s="249"/>
      <c r="D17" s="249"/>
      <c r="E17" s="249"/>
      <c r="F17" s="249"/>
      <c r="G17" s="249"/>
      <c r="H17" s="249"/>
      <c r="I17" s="249"/>
      <c r="J17" s="249"/>
      <c r="K17" s="250"/>
    </row>
    <row r="18" spans="1:19" x14ac:dyDescent="0.2">
      <c r="A18" s="252"/>
      <c r="B18" s="249" t="s">
        <v>0</v>
      </c>
      <c r="C18" s="249"/>
      <c r="D18" s="249"/>
      <c r="E18" s="249"/>
      <c r="F18" s="249"/>
      <c r="G18" s="249"/>
      <c r="H18" s="249"/>
      <c r="I18" s="249"/>
      <c r="J18" s="249"/>
      <c r="K18" s="250"/>
    </row>
    <row r="19" spans="1:19" ht="19" x14ac:dyDescent="0.2">
      <c r="A19" s="252"/>
      <c r="B19" s="427" t="s">
        <v>497</v>
      </c>
      <c r="C19" s="427"/>
      <c r="D19" s="427"/>
      <c r="E19" s="427"/>
      <c r="F19" s="427"/>
      <c r="G19" s="427"/>
      <c r="H19" s="427"/>
      <c r="I19" s="427"/>
      <c r="J19" s="427"/>
      <c r="K19" s="250"/>
      <c r="N19" s="349" t="s">
        <v>489</v>
      </c>
      <c r="Q19" s="316">
        <f>$D$13*S14</f>
        <v>702731.91726435639</v>
      </c>
    </row>
    <row r="20" spans="1:19" ht="19" x14ac:dyDescent="0.2">
      <c r="A20" s="252"/>
      <c r="B20" s="249"/>
      <c r="C20" s="249"/>
      <c r="D20" s="249"/>
      <c r="E20" s="249"/>
      <c r="F20" s="249"/>
      <c r="G20" s="249"/>
      <c r="H20" s="249"/>
      <c r="I20" s="249"/>
      <c r="J20" s="249"/>
      <c r="K20" s="250"/>
      <c r="N20" s="349" t="s">
        <v>490</v>
      </c>
      <c r="Q20" s="316">
        <f>D14</f>
        <v>1050000</v>
      </c>
    </row>
    <row r="21" spans="1:19" x14ac:dyDescent="0.2">
      <c r="A21" s="252"/>
      <c r="B21" s="249" t="s">
        <v>1</v>
      </c>
      <c r="C21" s="249"/>
      <c r="D21" s="249"/>
      <c r="E21" s="249"/>
      <c r="F21" s="249"/>
      <c r="G21" s="249"/>
      <c r="H21" s="249"/>
      <c r="I21" s="249"/>
      <c r="J21" s="249"/>
      <c r="K21" s="250"/>
    </row>
    <row r="22" spans="1:19" ht="16" customHeight="1" x14ac:dyDescent="0.2">
      <c r="A22" s="252"/>
      <c r="B22" s="356" t="s">
        <v>494</v>
      </c>
      <c r="C22" s="356"/>
      <c r="D22" s="356"/>
      <c r="E22" s="356"/>
      <c r="F22" s="356"/>
      <c r="G22" s="356"/>
      <c r="H22" s="356"/>
      <c r="I22" s="356"/>
      <c r="J22" s="356"/>
      <c r="K22" s="250"/>
    </row>
    <row r="23" spans="1:19" x14ac:dyDescent="0.2">
      <c r="A23" s="252"/>
      <c r="B23" s="249"/>
      <c r="C23" s="249"/>
      <c r="D23" s="249"/>
      <c r="E23" s="249"/>
      <c r="F23" s="249"/>
      <c r="G23" s="249"/>
      <c r="H23" s="249"/>
      <c r="I23" s="249"/>
      <c r="J23" s="249"/>
      <c r="K23" s="250"/>
    </row>
    <row r="24" spans="1:19" ht="17" thickBot="1" x14ac:dyDescent="0.25">
      <c r="A24" s="254"/>
      <c r="B24" s="255"/>
      <c r="C24" s="256"/>
      <c r="D24" s="256"/>
      <c r="E24" s="256"/>
      <c r="F24" s="255"/>
      <c r="G24" s="255"/>
      <c r="H24" s="255"/>
      <c r="I24" s="255"/>
      <c r="J24" s="255"/>
      <c r="K24" s="257"/>
    </row>
    <row r="25" spans="1:19" ht="21" thickBot="1" x14ac:dyDescent="0.3">
      <c r="A25" s="254" t="s">
        <v>145</v>
      </c>
      <c r="B25" s="255"/>
      <c r="C25" s="256"/>
      <c r="D25" s="256"/>
      <c r="E25" s="256"/>
      <c r="F25" s="255"/>
      <c r="G25" s="255"/>
      <c r="H25" s="255"/>
      <c r="I25" s="255"/>
      <c r="J25" s="255"/>
      <c r="K25" s="257"/>
      <c r="N25" s="350" t="s">
        <v>492</v>
      </c>
      <c r="O25" s="325"/>
      <c r="P25" s="325"/>
      <c r="Q25" s="351">
        <f>S14</f>
        <v>43112.387562230455</v>
      </c>
    </row>
    <row r="26" spans="1:19" ht="17" thickBot="1" x14ac:dyDescent="0.25">
      <c r="N26" s="352" t="s">
        <v>491</v>
      </c>
      <c r="O26" s="353"/>
      <c r="P26" s="353"/>
      <c r="Q26" s="354">
        <f>Q20+Q19</f>
        <v>1752731.9172643563</v>
      </c>
    </row>
    <row r="29" spans="1:19" x14ac:dyDescent="0.2">
      <c r="M29" s="4" t="s">
        <v>4</v>
      </c>
    </row>
    <row r="30" spans="1:19" ht="16" customHeight="1" x14ac:dyDescent="0.2">
      <c r="M30" s="405" t="s">
        <v>495</v>
      </c>
      <c r="N30" s="405"/>
      <c r="O30" s="405"/>
      <c r="P30" s="405"/>
      <c r="Q30" s="405"/>
      <c r="R30" s="405"/>
      <c r="S30" s="405"/>
    </row>
    <row r="31" spans="1:19" x14ac:dyDescent="0.2">
      <c r="M31" s="405"/>
      <c r="N31" s="405"/>
      <c r="O31" s="405"/>
      <c r="P31" s="405"/>
      <c r="Q31" s="405"/>
      <c r="R31" s="405"/>
      <c r="S31" s="405"/>
    </row>
    <row r="32" spans="1:19" x14ac:dyDescent="0.2">
      <c r="M32" s="405"/>
      <c r="N32" s="405"/>
      <c r="O32" s="405"/>
      <c r="P32" s="405"/>
      <c r="Q32" s="405"/>
      <c r="R32" s="405"/>
      <c r="S32" s="405"/>
    </row>
    <row r="33" spans="13:19" x14ac:dyDescent="0.2">
      <c r="M33" s="405"/>
      <c r="N33" s="405"/>
      <c r="O33" s="405"/>
      <c r="P33" s="405"/>
      <c r="Q33" s="405"/>
      <c r="R33" s="405"/>
      <c r="S33" s="405"/>
    </row>
    <row r="34" spans="13:19" x14ac:dyDescent="0.2">
      <c r="M34" s="405"/>
      <c r="N34" s="405"/>
      <c r="O34" s="405"/>
      <c r="P34" s="405"/>
      <c r="Q34" s="405"/>
      <c r="R34" s="405"/>
      <c r="S34" s="405"/>
    </row>
    <row r="35" spans="13:19" x14ac:dyDescent="0.2">
      <c r="M35" s="405"/>
      <c r="N35" s="405"/>
      <c r="O35" s="405"/>
      <c r="P35" s="405"/>
      <c r="Q35" s="405"/>
      <c r="R35" s="405"/>
      <c r="S35" s="405"/>
    </row>
    <row r="36" spans="13:19" x14ac:dyDescent="0.2">
      <c r="M36" s="405"/>
      <c r="N36" s="405"/>
      <c r="O36" s="405"/>
      <c r="P36" s="405"/>
      <c r="Q36" s="405"/>
      <c r="R36" s="405"/>
      <c r="S36" s="405"/>
    </row>
    <row r="37" spans="13:19" x14ac:dyDescent="0.2">
      <c r="M37" s="405"/>
      <c r="N37" s="405"/>
      <c r="O37" s="405"/>
      <c r="P37" s="405"/>
      <c r="Q37" s="405"/>
      <c r="R37" s="405"/>
      <c r="S37" s="405"/>
    </row>
    <row r="40" spans="13:19" ht="19" x14ac:dyDescent="0.25">
      <c r="M40" s="3" t="s">
        <v>131</v>
      </c>
    </row>
    <row r="41" spans="13:19" x14ac:dyDescent="0.2">
      <c r="M41" s="405" t="s">
        <v>498</v>
      </c>
      <c r="N41" s="405"/>
      <c r="O41" s="405"/>
      <c r="P41" s="405"/>
      <c r="Q41" s="405"/>
      <c r="R41" s="405"/>
      <c r="S41" s="405"/>
    </row>
    <row r="42" spans="13:19" x14ac:dyDescent="0.2">
      <c r="M42" s="405"/>
      <c r="N42" s="405"/>
      <c r="O42" s="405"/>
      <c r="P42" s="405"/>
      <c r="Q42" s="405"/>
      <c r="R42" s="405"/>
      <c r="S42" s="405"/>
    </row>
    <row r="43" spans="13:19" x14ac:dyDescent="0.2">
      <c r="M43" s="405"/>
      <c r="N43" s="405"/>
      <c r="O43" s="405"/>
      <c r="P43" s="405"/>
      <c r="Q43" s="405"/>
      <c r="R43" s="405"/>
      <c r="S43" s="405"/>
    </row>
    <row r="44" spans="13:19" x14ac:dyDescent="0.2">
      <c r="M44" s="405"/>
      <c r="N44" s="405"/>
      <c r="O44" s="405"/>
      <c r="P44" s="405"/>
      <c r="Q44" s="405"/>
      <c r="R44" s="405"/>
      <c r="S44" s="405"/>
    </row>
    <row r="47" spans="13:19" ht="19" x14ac:dyDescent="0.25">
      <c r="M47" s="3" t="s">
        <v>180</v>
      </c>
    </row>
    <row r="48" spans="13:19" x14ac:dyDescent="0.2">
      <c r="M48" s="251" t="s">
        <v>458</v>
      </c>
    </row>
    <row r="59" spans="14:19" x14ac:dyDescent="0.2">
      <c r="N59" s="259"/>
      <c r="O59" s="259"/>
      <c r="P59" s="259"/>
      <c r="Q59" s="259"/>
      <c r="R59" s="259"/>
      <c r="S59" s="259"/>
    </row>
    <row r="60" spans="14:19" x14ac:dyDescent="0.2">
      <c r="N60" s="259"/>
      <c r="O60" s="259"/>
      <c r="P60" s="259"/>
      <c r="Q60" s="259"/>
      <c r="R60" s="259"/>
      <c r="S60" s="259"/>
    </row>
    <row r="61" spans="14:19" x14ac:dyDescent="0.2">
      <c r="N61" s="259"/>
      <c r="O61" s="259"/>
      <c r="P61" s="259"/>
      <c r="Q61" s="259"/>
      <c r="R61" s="259"/>
      <c r="S61" s="259"/>
    </row>
    <row r="80" spans="13:15" x14ac:dyDescent="0.2">
      <c r="M80" s="5"/>
      <c r="N80" s="5"/>
      <c r="O80" s="5"/>
    </row>
    <row r="81" spans="1:66" x14ac:dyDescent="0.2">
      <c r="M81" s="5"/>
      <c r="N81" s="5"/>
      <c r="O81" s="5"/>
    </row>
    <row r="82" spans="1:66" x14ac:dyDescent="0.2">
      <c r="M82" s="5"/>
      <c r="N82" s="5"/>
      <c r="O82" s="5"/>
    </row>
    <row r="83" spans="1:66" x14ac:dyDescent="0.2">
      <c r="M83" s="5"/>
      <c r="N83" s="5"/>
      <c r="O83" s="5"/>
    </row>
    <row r="84" spans="1:66" x14ac:dyDescent="0.2">
      <c r="M84" s="5"/>
      <c r="N84" s="5"/>
      <c r="O84" s="5"/>
    </row>
    <row r="85" spans="1:66" x14ac:dyDescent="0.2">
      <c r="M85" s="5"/>
      <c r="N85" s="5"/>
      <c r="O85" s="5"/>
    </row>
    <row r="86" spans="1:66" x14ac:dyDescent="0.2">
      <c r="N86" s="253"/>
    </row>
    <row r="87" spans="1:66" x14ac:dyDescent="0.2">
      <c r="M87" s="5"/>
      <c r="N87" s="5"/>
      <c r="O87" s="5"/>
    </row>
    <row r="88" spans="1:66" x14ac:dyDescent="0.2">
      <c r="M88" s="5"/>
      <c r="N88" s="5"/>
      <c r="O88" s="5"/>
    </row>
    <row r="89" spans="1:66" x14ac:dyDescent="0.2">
      <c r="M89" s="5"/>
      <c r="N89" s="5"/>
      <c r="O89" s="5"/>
    </row>
    <row r="90" spans="1:66" x14ac:dyDescent="0.2">
      <c r="M90" s="5"/>
      <c r="N90" s="5"/>
      <c r="O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row>
    <row r="91" spans="1:66" x14ac:dyDescent="0.2">
      <c r="M91" s="5"/>
      <c r="N91" s="5"/>
      <c r="O91" s="5"/>
      <c r="T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66" x14ac:dyDescent="0.2">
      <c r="M92" s="5"/>
      <c r="N92" s="5"/>
      <c r="O92" s="5"/>
      <c r="T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66" x14ac:dyDescent="0.2">
      <c r="A93" s="5"/>
      <c r="B93" s="5"/>
      <c r="C93" s="5"/>
      <c r="D93" s="5"/>
      <c r="E93" s="5"/>
      <c r="F93" s="5"/>
      <c r="G93" s="5"/>
      <c r="H93" s="5"/>
      <c r="I93" s="5"/>
      <c r="J93" s="5"/>
      <c r="K93" s="5"/>
      <c r="M93" s="5"/>
      <c r="N93" s="5"/>
      <c r="O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66" x14ac:dyDescent="0.2">
      <c r="A94" s="5"/>
      <c r="B94" s="5"/>
      <c r="C94" s="5"/>
      <c r="D94" s="5"/>
      <c r="E94" s="5"/>
      <c r="F94" s="5"/>
      <c r="G94" s="5"/>
      <c r="H94" s="5"/>
      <c r="I94" s="5"/>
      <c r="J94" s="5"/>
      <c r="K94" s="5"/>
      <c r="M94" s="5"/>
      <c r="N94" s="5"/>
      <c r="O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66" x14ac:dyDescent="0.2">
      <c r="A95" s="5"/>
      <c r="B95" s="5"/>
      <c r="C95" s="5"/>
      <c r="D95" s="5"/>
      <c r="E95" s="5"/>
      <c r="F95" s="5"/>
      <c r="G95" s="5"/>
      <c r="H95" s="5"/>
      <c r="I95" s="5"/>
      <c r="J95" s="5"/>
      <c r="K95" s="5"/>
      <c r="L95" s="5"/>
      <c r="M95" s="5"/>
      <c r="N95" s="5"/>
      <c r="O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N96" s="253"/>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N106" s="253"/>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c r="L192" s="5"/>
      <c r="M192" s="5"/>
      <c r="N192" s="5"/>
      <c r="O192" s="5"/>
      <c r="P192" s="5"/>
      <c r="Q192" s="5"/>
      <c r="R192" s="5"/>
      <c r="S192" s="5"/>
      <c r="T192" s="5"/>
      <c r="U192" s="5"/>
    </row>
    <row r="193" spans="1:21" x14ac:dyDescent="0.2">
      <c r="A193" s="5"/>
      <c r="B193" s="5"/>
      <c r="C193" s="5"/>
      <c r="D193" s="5"/>
      <c r="E193" s="5"/>
      <c r="F193" s="5"/>
      <c r="G193" s="5"/>
      <c r="H193" s="5"/>
      <c r="I193" s="5"/>
      <c r="J193" s="5"/>
      <c r="K193" s="5"/>
      <c r="L193" s="5"/>
      <c r="M193" s="5"/>
      <c r="N193" s="5"/>
      <c r="O193" s="5"/>
      <c r="P193" s="5"/>
      <c r="Q193" s="5"/>
      <c r="R193" s="5"/>
      <c r="S193" s="5"/>
      <c r="U193" s="5"/>
    </row>
    <row r="194" spans="1:21" x14ac:dyDescent="0.2">
      <c r="A194" s="5"/>
      <c r="B194" s="5"/>
      <c r="C194" s="5"/>
      <c r="D194" s="5"/>
      <c r="E194" s="5"/>
      <c r="F194" s="5"/>
      <c r="G194" s="5"/>
      <c r="H194" s="5"/>
      <c r="I194" s="5"/>
      <c r="J194" s="5"/>
      <c r="K194" s="5"/>
      <c r="L194" s="5"/>
      <c r="M194" s="5"/>
      <c r="N194" s="5"/>
      <c r="O194" s="5"/>
      <c r="P194" s="5"/>
      <c r="Q194" s="5"/>
      <c r="R194" s="5"/>
      <c r="S194" s="5"/>
      <c r="U194" s="5"/>
    </row>
    <row r="195" spans="1:21" x14ac:dyDescent="0.2">
      <c r="L195" s="5"/>
      <c r="M195" s="5"/>
      <c r="N195" s="5"/>
      <c r="O195" s="5"/>
      <c r="P195" s="5"/>
      <c r="Q195" s="5"/>
      <c r="R195" s="5"/>
      <c r="S195" s="5"/>
    </row>
    <row r="196" spans="1:21" x14ac:dyDescent="0.2">
      <c r="L196" s="5"/>
      <c r="M196" s="5"/>
      <c r="N196" s="5"/>
      <c r="O196" s="5"/>
      <c r="P196" s="5"/>
      <c r="Q196" s="5"/>
      <c r="R196" s="5"/>
      <c r="S196" s="5"/>
    </row>
    <row r="197" spans="1:21" x14ac:dyDescent="0.2">
      <c r="M197" s="5"/>
      <c r="N197" s="5"/>
      <c r="O197" s="5"/>
      <c r="P197" s="5"/>
      <c r="Q197" s="5"/>
      <c r="R197" s="5"/>
      <c r="S197" s="5"/>
    </row>
    <row r="198" spans="1:21" x14ac:dyDescent="0.2">
      <c r="M198" s="5"/>
      <c r="N198" s="5"/>
      <c r="O198" s="5"/>
      <c r="P198" s="5"/>
      <c r="Q198" s="5"/>
      <c r="R198" s="5"/>
      <c r="S198" s="5"/>
    </row>
    <row r="199" spans="1:21" x14ac:dyDescent="0.2">
      <c r="M199" s="5"/>
      <c r="N199" s="5"/>
      <c r="O199" s="5"/>
      <c r="P199" s="5"/>
      <c r="Q199" s="5"/>
      <c r="R199" s="5"/>
      <c r="S199" s="5"/>
    </row>
    <row r="200" spans="1:21" x14ac:dyDescent="0.2">
      <c r="M200" s="5"/>
      <c r="N200" s="5"/>
      <c r="O200" s="5"/>
      <c r="P200" s="5"/>
      <c r="Q200" s="5"/>
      <c r="R200" s="5"/>
      <c r="S200" s="5"/>
    </row>
    <row r="201" spans="1:21" x14ac:dyDescent="0.2">
      <c r="M201" s="5"/>
      <c r="N201" s="5"/>
      <c r="O201" s="5"/>
      <c r="P201" s="5"/>
      <c r="Q201" s="5"/>
      <c r="R201" s="5"/>
      <c r="S201" s="5"/>
    </row>
    <row r="202" spans="1:21" x14ac:dyDescent="0.2">
      <c r="M202" s="5"/>
      <c r="N202" s="5"/>
      <c r="O202" s="5"/>
      <c r="P202" s="5"/>
      <c r="Q202" s="5"/>
      <c r="R202" s="5"/>
      <c r="S202" s="5"/>
    </row>
    <row r="203" spans="1:21" x14ac:dyDescent="0.2">
      <c r="M203" s="5"/>
      <c r="N203" s="5"/>
      <c r="O203" s="5"/>
      <c r="P203" s="5"/>
      <c r="Q203" s="5"/>
      <c r="R203" s="5"/>
      <c r="S203" s="5"/>
    </row>
    <row r="204" spans="1:21" x14ac:dyDescent="0.2">
      <c r="M204" s="5"/>
      <c r="N204" s="5"/>
      <c r="O204" s="5"/>
      <c r="P204" s="5"/>
      <c r="Q204" s="5"/>
      <c r="R204" s="5"/>
      <c r="S204" s="5"/>
    </row>
    <row r="205" spans="1:21" x14ac:dyDescent="0.2">
      <c r="M205" s="5"/>
      <c r="N205" s="5"/>
      <c r="O205" s="5"/>
      <c r="P205" s="5"/>
      <c r="Q205" s="5"/>
      <c r="R205" s="5"/>
      <c r="S205" s="5"/>
    </row>
    <row r="206" spans="1:21" x14ac:dyDescent="0.2">
      <c r="M206" s="5"/>
      <c r="N206" s="5"/>
      <c r="O206" s="5"/>
      <c r="P206" s="5"/>
      <c r="Q206" s="5"/>
      <c r="R206" s="5"/>
      <c r="S206" s="5"/>
    </row>
    <row r="207" spans="1:21" x14ac:dyDescent="0.2">
      <c r="M207" s="5"/>
      <c r="N207" s="5"/>
      <c r="O207" s="5"/>
      <c r="P207" s="5"/>
      <c r="Q207" s="5"/>
      <c r="R207" s="5"/>
      <c r="S207" s="5"/>
    </row>
    <row r="208" spans="1:21" x14ac:dyDescent="0.2">
      <c r="M208" s="5"/>
      <c r="N208" s="5"/>
      <c r="O208" s="5"/>
      <c r="P208" s="5"/>
      <c r="Q208" s="5"/>
      <c r="R208" s="5"/>
      <c r="S208" s="5"/>
    </row>
  </sheetData>
  <mergeCells count="7">
    <mergeCell ref="O8:R8"/>
    <mergeCell ref="M4:S5"/>
    <mergeCell ref="M30:S37"/>
    <mergeCell ref="M41:S44"/>
    <mergeCell ref="B3:J4"/>
    <mergeCell ref="C6:C7"/>
    <mergeCell ref="B19:J19"/>
  </mergeCells>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F8635-0460-0F4A-90B9-F8A73D0FF42C}">
  <dimension ref="A1:BO257"/>
  <sheetViews>
    <sheetView zoomScaleNormal="100" workbookViewId="0"/>
  </sheetViews>
  <sheetFormatPr baseColWidth="10" defaultRowHeight="16" outlineLevelCol="1" x14ac:dyDescent="0.2"/>
  <cols>
    <col min="1" max="1" width="4.83203125" style="251" customWidth="1"/>
    <col min="2" max="11" width="10.83203125" style="251" customWidth="1"/>
    <col min="12" max="12" width="10.83203125" style="251"/>
    <col min="13" max="13" width="10.83203125" style="251" hidden="1" customWidth="1" outlineLevel="1"/>
    <col min="14" max="14" width="11.5" style="251" hidden="1" customWidth="1" outlineLevel="1"/>
    <col min="15" max="20" width="10.83203125" style="251" hidden="1" customWidth="1" outlineLevel="1"/>
    <col min="21" max="21" width="10.83203125" style="251" customWidth="1" collapsed="1"/>
    <col min="22" max="16384" width="10.83203125" style="251"/>
  </cols>
  <sheetData>
    <row r="1" spans="1:20" ht="19" x14ac:dyDescent="0.25">
      <c r="A1" s="149" t="s">
        <v>499</v>
      </c>
      <c r="B1" s="249"/>
      <c r="C1" s="249"/>
      <c r="D1" s="249"/>
      <c r="E1" s="249"/>
      <c r="F1" s="249"/>
      <c r="G1" s="249"/>
      <c r="H1" s="249"/>
      <c r="I1" s="249"/>
      <c r="J1" s="249"/>
      <c r="K1" s="250"/>
      <c r="L1" s="3" t="s">
        <v>455</v>
      </c>
    </row>
    <row r="2" spans="1:20" x14ac:dyDescent="0.2">
      <c r="A2" s="252"/>
      <c r="B2" s="249"/>
      <c r="C2" s="249"/>
      <c r="D2" s="249"/>
      <c r="E2" s="249"/>
      <c r="F2" s="249"/>
      <c r="G2" s="249"/>
      <c r="H2" s="249"/>
      <c r="I2" s="249"/>
      <c r="J2" s="249"/>
      <c r="K2" s="250"/>
      <c r="M2" s="4" t="s">
        <v>3</v>
      </c>
      <c r="O2" s="253"/>
    </row>
    <row r="3" spans="1:20" ht="16" customHeight="1" x14ac:dyDescent="0.2">
      <c r="A3" s="252"/>
      <c r="B3" s="427" t="s">
        <v>572</v>
      </c>
      <c r="C3" s="427"/>
      <c r="D3" s="427"/>
      <c r="E3" s="427"/>
      <c r="F3" s="427"/>
      <c r="G3" s="427"/>
      <c r="H3" s="427"/>
      <c r="I3" s="427"/>
      <c r="J3" s="427"/>
      <c r="K3" s="250"/>
    </row>
    <row r="4" spans="1:20" x14ac:dyDescent="0.2">
      <c r="A4" s="252"/>
      <c r="B4" s="427"/>
      <c r="C4" s="427"/>
      <c r="D4" s="427"/>
      <c r="E4" s="427"/>
      <c r="F4" s="427"/>
      <c r="G4" s="427"/>
      <c r="H4" s="427"/>
      <c r="I4" s="427"/>
      <c r="J4" s="427"/>
      <c r="K4" s="250"/>
      <c r="M4" s="251" t="s">
        <v>573</v>
      </c>
    </row>
    <row r="5" spans="1:20" x14ac:dyDescent="0.2">
      <c r="A5" s="252"/>
      <c r="B5" s="249"/>
      <c r="C5" s="249"/>
      <c r="D5" s="249"/>
      <c r="E5" s="249"/>
      <c r="F5" s="249"/>
      <c r="G5" s="249"/>
      <c r="H5" s="249"/>
      <c r="I5" s="249"/>
      <c r="J5" s="249"/>
      <c r="K5" s="250"/>
    </row>
    <row r="6" spans="1:20" ht="18" x14ac:dyDescent="0.25">
      <c r="A6" s="252"/>
      <c r="B6" s="249"/>
      <c r="C6" s="430" t="s">
        <v>466</v>
      </c>
      <c r="D6" s="431"/>
      <c r="E6" s="431"/>
      <c r="F6" s="431"/>
      <c r="G6" s="432"/>
      <c r="H6" s="249"/>
      <c r="I6" s="249"/>
      <c r="J6" s="249"/>
      <c r="K6" s="250"/>
      <c r="M6" s="308" t="s">
        <v>461</v>
      </c>
      <c r="N6" s="425" t="s">
        <v>470</v>
      </c>
      <c r="O6" s="426"/>
      <c r="P6" s="426"/>
      <c r="Q6" s="426"/>
      <c r="R6" s="307"/>
    </row>
    <row r="7" spans="1:20" ht="17" x14ac:dyDescent="0.2">
      <c r="A7" s="252"/>
      <c r="B7" s="249"/>
      <c r="C7" s="279" t="s">
        <v>75</v>
      </c>
      <c r="D7" s="280" t="s">
        <v>8</v>
      </c>
      <c r="E7" s="280" t="s">
        <v>9</v>
      </c>
      <c r="F7" s="280" t="s">
        <v>10</v>
      </c>
      <c r="G7" s="281" t="s">
        <v>11</v>
      </c>
      <c r="H7" s="249"/>
      <c r="I7" s="249"/>
      <c r="J7" s="249"/>
      <c r="K7" s="250"/>
      <c r="M7" s="310" t="s">
        <v>463</v>
      </c>
      <c r="N7" s="311">
        <v>1</v>
      </c>
      <c r="O7" s="312">
        <v>2</v>
      </c>
      <c r="P7" s="312">
        <v>3</v>
      </c>
      <c r="Q7" s="313">
        <v>4</v>
      </c>
    </row>
    <row r="8" spans="1:20" x14ac:dyDescent="0.2">
      <c r="A8" s="252"/>
      <c r="B8" s="249"/>
      <c r="C8" s="282">
        <v>2020</v>
      </c>
      <c r="D8" s="283">
        <v>2640</v>
      </c>
      <c r="E8" s="283">
        <v>1040</v>
      </c>
      <c r="F8" s="283">
        <v>440</v>
      </c>
      <c r="G8" s="284">
        <v>90</v>
      </c>
      <c r="H8" s="249"/>
      <c r="I8" s="249"/>
      <c r="J8" s="249"/>
      <c r="K8" s="250"/>
      <c r="M8" s="315">
        <v>1</v>
      </c>
      <c r="N8" s="316">
        <f>$D17*E$17</f>
        <v>2677.56</v>
      </c>
      <c r="O8" s="316">
        <f>$D17*E$18</f>
        <v>1134.595</v>
      </c>
      <c r="P8" s="316">
        <f>$D17*E$19</f>
        <v>308.17200000000003</v>
      </c>
      <c r="Q8" s="316">
        <f>$D17*E$20</f>
        <v>90.093999999999994</v>
      </c>
    </row>
    <row r="9" spans="1:20" x14ac:dyDescent="0.2">
      <c r="A9" s="252"/>
      <c r="B9" s="249"/>
      <c r="C9" s="285">
        <v>2021</v>
      </c>
      <c r="D9" s="286">
        <v>3610</v>
      </c>
      <c r="E9" s="286">
        <v>1250</v>
      </c>
      <c r="F9" s="286">
        <v>250</v>
      </c>
      <c r="G9" s="287"/>
      <c r="H9" s="249"/>
      <c r="I9" s="249"/>
      <c r="J9" s="249"/>
      <c r="K9" s="250"/>
      <c r="M9" s="315">
        <v>2</v>
      </c>
      <c r="N9" s="316">
        <f>$D18*E$17</f>
        <v>3321.192</v>
      </c>
      <c r="O9" s="316">
        <f>$D18*E$18</f>
        <v>1407.3290000000002</v>
      </c>
      <c r="P9" s="316">
        <f>$D18*E$19</f>
        <v>382.25040000000001</v>
      </c>
      <c r="Q9" s="316"/>
    </row>
    <row r="10" spans="1:20" x14ac:dyDescent="0.2">
      <c r="A10" s="252"/>
      <c r="B10" s="249"/>
      <c r="C10" s="285">
        <v>2022</v>
      </c>
      <c r="D10" s="286">
        <v>3050</v>
      </c>
      <c r="E10" s="286">
        <v>1650</v>
      </c>
      <c r="F10" s="288"/>
      <c r="G10" s="287"/>
      <c r="H10" s="249"/>
      <c r="I10" s="249"/>
      <c r="J10" s="249"/>
      <c r="K10" s="250"/>
      <c r="M10" s="315">
        <v>3</v>
      </c>
      <c r="N10" s="316">
        <f>$D19*E$17</f>
        <v>3301.4760000000001</v>
      </c>
      <c r="O10" s="316">
        <f>$D19*E$18</f>
        <v>1398.9745</v>
      </c>
      <c r="P10" s="316"/>
      <c r="Q10" s="316"/>
    </row>
    <row r="11" spans="1:20" x14ac:dyDescent="0.2">
      <c r="A11" s="252"/>
      <c r="B11" s="249"/>
      <c r="C11" s="289">
        <v>2023</v>
      </c>
      <c r="D11" s="290">
        <v>3200</v>
      </c>
      <c r="E11" s="291"/>
      <c r="F11" s="291"/>
      <c r="G11" s="292"/>
      <c r="H11" s="249"/>
      <c r="I11" s="249"/>
      <c r="J11" s="249"/>
      <c r="K11" s="250"/>
      <c r="M11" s="308">
        <v>4</v>
      </c>
      <c r="N11" s="316">
        <f>$D20*E$17</f>
        <v>3199.7159999999999</v>
      </c>
      <c r="O11" s="316"/>
      <c r="P11" s="316"/>
      <c r="Q11" s="316"/>
    </row>
    <row r="12" spans="1:20" x14ac:dyDescent="0.2">
      <c r="A12" s="252"/>
      <c r="B12" s="249"/>
      <c r="C12" s="249"/>
      <c r="D12" s="249"/>
      <c r="E12" s="249"/>
      <c r="F12" s="249"/>
      <c r="G12" s="249"/>
      <c r="H12" s="249"/>
      <c r="I12" s="249"/>
      <c r="J12" s="249"/>
      <c r="K12" s="250"/>
    </row>
    <row r="13" spans="1:20" x14ac:dyDescent="0.2">
      <c r="A13" s="252"/>
      <c r="B13" s="249" t="s">
        <v>467</v>
      </c>
      <c r="C13" s="249"/>
      <c r="D13" s="249"/>
      <c r="E13" s="249"/>
      <c r="F13" s="249"/>
      <c r="G13" s="249"/>
      <c r="H13" s="249"/>
      <c r="I13" s="249"/>
      <c r="J13" s="249"/>
      <c r="K13" s="250"/>
      <c r="M13" s="405" t="s">
        <v>575</v>
      </c>
      <c r="N13" s="405"/>
      <c r="O13" s="405"/>
      <c r="P13" s="405"/>
      <c r="Q13" s="405"/>
      <c r="R13" s="405"/>
      <c r="S13" s="405"/>
      <c r="T13" s="405"/>
    </row>
    <row r="14" spans="1:20" x14ac:dyDescent="0.2">
      <c r="A14" s="252"/>
      <c r="B14" s="249"/>
      <c r="C14" s="249"/>
      <c r="D14" s="249"/>
      <c r="E14" s="249"/>
      <c r="F14" s="249"/>
      <c r="G14" s="249"/>
      <c r="H14" s="249"/>
      <c r="I14" s="249"/>
      <c r="J14" s="249"/>
      <c r="K14" s="250"/>
      <c r="M14" s="405"/>
      <c r="N14" s="405"/>
      <c r="O14" s="405"/>
      <c r="P14" s="405"/>
      <c r="Q14" s="405"/>
      <c r="R14" s="405"/>
      <c r="S14" s="405"/>
      <c r="T14" s="405"/>
    </row>
    <row r="15" spans="1:20" x14ac:dyDescent="0.2">
      <c r="A15" s="252"/>
      <c r="B15" s="249"/>
      <c r="C15" s="428" t="s">
        <v>84</v>
      </c>
      <c r="D15" s="293" t="s">
        <v>565</v>
      </c>
      <c r="E15" s="329" t="s">
        <v>566</v>
      </c>
      <c r="F15" s="304"/>
      <c r="G15" s="249"/>
      <c r="H15" s="249"/>
      <c r="I15" s="249"/>
      <c r="J15" s="249"/>
      <c r="K15" s="250"/>
      <c r="M15" s="327"/>
    </row>
    <row r="16" spans="1:20" x14ac:dyDescent="0.2">
      <c r="A16" s="252"/>
      <c r="B16" s="249"/>
      <c r="C16" s="429"/>
      <c r="D16" s="299" t="s">
        <v>459</v>
      </c>
      <c r="E16" s="330" t="s">
        <v>459</v>
      </c>
      <c r="F16" s="304"/>
      <c r="G16" s="249"/>
      <c r="H16" s="249"/>
      <c r="I16" s="249"/>
      <c r="J16" s="249"/>
      <c r="K16" s="250"/>
      <c r="M16" s="327"/>
    </row>
    <row r="17" spans="1:20" x14ac:dyDescent="0.2">
      <c r="A17" s="252"/>
      <c r="B17" s="249"/>
      <c r="C17" s="293">
        <v>1</v>
      </c>
      <c r="D17" s="369">
        <v>4210</v>
      </c>
      <c r="E17" s="295">
        <v>0.63600000000000001</v>
      </c>
      <c r="F17" s="304"/>
      <c r="G17" s="249"/>
      <c r="H17" s="249"/>
      <c r="I17" s="249"/>
      <c r="J17" s="249"/>
      <c r="K17" s="250"/>
      <c r="S17" s="251" t="s">
        <v>574</v>
      </c>
    </row>
    <row r="18" spans="1:20" ht="19" thickBot="1" x14ac:dyDescent="0.3">
      <c r="A18" s="252"/>
      <c r="B18" s="249"/>
      <c r="C18" s="296">
        <v>2</v>
      </c>
      <c r="D18" s="370">
        <v>5222</v>
      </c>
      <c r="E18" s="298">
        <v>0.26950000000000002</v>
      </c>
      <c r="F18" s="304"/>
      <c r="G18" s="249"/>
      <c r="H18" s="249"/>
      <c r="I18" s="249"/>
      <c r="J18" s="249"/>
      <c r="K18" s="250"/>
      <c r="M18" s="308" t="s">
        <v>461</v>
      </c>
      <c r="N18" s="425" t="s">
        <v>471</v>
      </c>
      <c r="O18" s="426"/>
      <c r="P18" s="426"/>
      <c r="Q18" s="426"/>
    </row>
    <row r="19" spans="1:20" x14ac:dyDescent="0.2">
      <c r="A19" s="252"/>
      <c r="B19" s="249"/>
      <c r="C19" s="296">
        <v>3</v>
      </c>
      <c r="D19" s="370">
        <v>5191</v>
      </c>
      <c r="E19" s="298">
        <v>7.3200000000000001E-2</v>
      </c>
      <c r="F19" s="304"/>
      <c r="G19" s="249"/>
      <c r="H19" s="249"/>
      <c r="I19" s="249"/>
      <c r="J19" s="249"/>
      <c r="K19" s="250"/>
      <c r="M19" s="310" t="s">
        <v>463</v>
      </c>
      <c r="N19" s="311">
        <v>1</v>
      </c>
      <c r="O19" s="312">
        <v>2</v>
      </c>
      <c r="P19" s="312">
        <v>3</v>
      </c>
      <c r="Q19" s="313">
        <v>4</v>
      </c>
      <c r="S19" s="373" t="s">
        <v>475</v>
      </c>
      <c r="T19" s="374" t="s">
        <v>476</v>
      </c>
    </row>
    <row r="20" spans="1:20" x14ac:dyDescent="0.2">
      <c r="A20" s="252"/>
      <c r="B20" s="249"/>
      <c r="C20" s="299">
        <v>4</v>
      </c>
      <c r="D20" s="371">
        <v>5031</v>
      </c>
      <c r="E20" s="301">
        <v>2.1399999999999999E-2</v>
      </c>
      <c r="F20" s="304"/>
      <c r="G20" s="249"/>
      <c r="H20" s="249"/>
      <c r="I20" s="249"/>
      <c r="J20" s="249"/>
      <c r="K20" s="250"/>
      <c r="M20" s="315">
        <v>1</v>
      </c>
      <c r="N20" s="338">
        <f t="shared" ref="N20:P21" si="0">(D8-N8)/SQRT($D$22*N8)</f>
        <v>-6.9611546759709014E-2</v>
      </c>
      <c r="O20" s="338">
        <f t="shared" si="0"/>
        <v>-0.26932275901357033</v>
      </c>
      <c r="P20" s="338">
        <f t="shared" si="0"/>
        <v>0.72017224657117362</v>
      </c>
      <c r="Q20" s="316">
        <v>0</v>
      </c>
      <c r="S20" s="375">
        <v>1</v>
      </c>
      <c r="T20" s="376">
        <f>N20</f>
        <v>-6.9611546759709014E-2</v>
      </c>
    </row>
    <row r="21" spans="1:20" x14ac:dyDescent="0.2">
      <c r="A21" s="252"/>
      <c r="B21" s="302"/>
      <c r="C21" s="303"/>
      <c r="D21" s="303"/>
      <c r="E21" s="304"/>
      <c r="F21" s="304"/>
      <c r="G21" s="249"/>
      <c r="H21" s="249"/>
      <c r="I21" s="249"/>
      <c r="J21" s="249"/>
      <c r="K21" s="250"/>
      <c r="M21" s="315">
        <v>2</v>
      </c>
      <c r="N21" s="338">
        <f t="shared" si="0"/>
        <v>0.48060416866195221</v>
      </c>
      <c r="O21" s="338">
        <f t="shared" si="0"/>
        <v>-0.40219463186881621</v>
      </c>
      <c r="P21" s="338">
        <f t="shared" si="0"/>
        <v>-0.64870661414304609</v>
      </c>
      <c r="Q21" s="316"/>
      <c r="R21" s="327"/>
      <c r="S21" s="375">
        <v>2</v>
      </c>
      <c r="T21" s="376">
        <f>O20</f>
        <v>-0.26932275901357033</v>
      </c>
    </row>
    <row r="22" spans="1:20" x14ac:dyDescent="0.2">
      <c r="A22" s="252"/>
      <c r="B22" s="249" t="s">
        <v>460</v>
      </c>
      <c r="C22" s="304"/>
      <c r="D22" s="305">
        <v>108.73</v>
      </c>
      <c r="E22" s="304"/>
      <c r="F22" s="304"/>
      <c r="G22" s="249"/>
      <c r="H22" s="249"/>
      <c r="I22" s="249"/>
      <c r="J22" s="249"/>
      <c r="K22" s="250"/>
      <c r="M22" s="315">
        <v>3</v>
      </c>
      <c r="N22" s="338">
        <f>(D10-N10)/SQRT($D$22*N10)</f>
        <v>-0.41972784113366374</v>
      </c>
      <c r="O22" s="338">
        <f>(E10-O10)/SQRT($D$22*O10)</f>
        <v>0.64363291799485089</v>
      </c>
      <c r="P22" s="316"/>
      <c r="Q22" s="316"/>
      <c r="R22" s="327"/>
      <c r="S22" s="375">
        <v>3</v>
      </c>
      <c r="T22" s="376">
        <f>P20</f>
        <v>0.72017224657117362</v>
      </c>
    </row>
    <row r="23" spans="1:20" x14ac:dyDescent="0.2">
      <c r="A23" s="252"/>
      <c r="B23" s="249"/>
      <c r="C23" s="304"/>
      <c r="D23" s="306"/>
      <c r="E23" s="304"/>
      <c r="F23" s="249" t="s">
        <v>469</v>
      </c>
      <c r="G23" s="249"/>
      <c r="H23" s="249"/>
      <c r="I23" s="249"/>
      <c r="J23" s="249"/>
      <c r="K23" s="250"/>
      <c r="M23" s="308">
        <v>4</v>
      </c>
      <c r="N23" s="316">
        <v>0</v>
      </c>
      <c r="O23" s="316"/>
      <c r="P23" s="316"/>
      <c r="Q23" s="316"/>
      <c r="S23" s="375">
        <v>4</v>
      </c>
      <c r="T23" s="376">
        <f>N21</f>
        <v>0.48060416866195221</v>
      </c>
    </row>
    <row r="24" spans="1:20" x14ac:dyDescent="0.2">
      <c r="A24" s="252"/>
      <c r="B24" s="334" t="s">
        <v>571</v>
      </c>
      <c r="C24" s="335"/>
      <c r="D24" s="336"/>
      <c r="E24" s="335"/>
      <c r="F24" s="337"/>
      <c r="G24" s="368"/>
      <c r="H24" s="337"/>
      <c r="I24" s="337"/>
      <c r="J24" s="249"/>
      <c r="K24" s="250"/>
      <c r="Q24" s="307"/>
      <c r="R24" s="307"/>
      <c r="S24" s="375">
        <v>5</v>
      </c>
      <c r="T24" s="376">
        <f>O21</f>
        <v>-0.40219463186881621</v>
      </c>
    </row>
    <row r="25" spans="1:20" x14ac:dyDescent="0.2">
      <c r="A25" s="252"/>
      <c r="B25" s="249"/>
      <c r="C25" s="304"/>
      <c r="D25" s="306"/>
      <c r="E25" s="304"/>
      <c r="F25" s="249"/>
      <c r="G25" s="249"/>
      <c r="H25" s="249"/>
      <c r="I25" s="249"/>
      <c r="J25" s="249"/>
      <c r="K25" s="250"/>
      <c r="M25" s="8" t="s">
        <v>576</v>
      </c>
      <c r="S25" s="375">
        <v>6</v>
      </c>
      <c r="T25" s="376">
        <f>P21</f>
        <v>-0.64870661414304609</v>
      </c>
    </row>
    <row r="26" spans="1:20" x14ac:dyDescent="0.2">
      <c r="A26" s="252"/>
      <c r="B26" s="249"/>
      <c r="C26" s="249"/>
      <c r="D26" s="249"/>
      <c r="E26" s="249"/>
      <c r="F26" s="249"/>
      <c r="G26" s="249"/>
      <c r="H26" s="249"/>
      <c r="I26" s="249"/>
      <c r="J26" s="249"/>
      <c r="K26" s="250"/>
      <c r="M26" s="405" t="s">
        <v>577</v>
      </c>
      <c r="N26" s="405"/>
      <c r="O26" s="405"/>
      <c r="P26" s="405"/>
      <c r="Q26" s="405"/>
      <c r="S26" s="375">
        <v>7</v>
      </c>
      <c r="T26" s="376">
        <f>N22</f>
        <v>-0.41972784113366374</v>
      </c>
    </row>
    <row r="27" spans="1:20" ht="17" thickBot="1" x14ac:dyDescent="0.25">
      <c r="A27" s="252"/>
      <c r="B27" s="249" t="s">
        <v>0</v>
      </c>
      <c r="C27" s="249"/>
      <c r="D27" s="249"/>
      <c r="E27" s="249"/>
      <c r="F27" s="249"/>
      <c r="G27" s="249"/>
      <c r="H27" s="249"/>
      <c r="I27" s="249"/>
      <c r="J27" s="249"/>
      <c r="K27" s="250"/>
      <c r="M27" s="405"/>
      <c r="N27" s="405"/>
      <c r="O27" s="405"/>
      <c r="P27" s="405"/>
      <c r="Q27" s="405"/>
      <c r="S27" s="377">
        <v>8</v>
      </c>
      <c r="T27" s="378">
        <f>O22</f>
        <v>0.64363291799485089</v>
      </c>
    </row>
    <row r="28" spans="1:20" x14ac:dyDescent="0.2">
      <c r="A28" s="252"/>
      <c r="B28" s="249" t="s">
        <v>570</v>
      </c>
      <c r="C28" s="249"/>
      <c r="D28" s="249"/>
      <c r="E28" s="249"/>
      <c r="F28" s="249"/>
      <c r="G28" s="249"/>
      <c r="H28" s="249"/>
      <c r="I28" s="249"/>
      <c r="J28" s="249"/>
      <c r="K28" s="250"/>
      <c r="M28" s="405"/>
      <c r="N28" s="405"/>
      <c r="O28" s="405"/>
      <c r="P28" s="405"/>
      <c r="Q28" s="405"/>
    </row>
    <row r="29" spans="1:20" x14ac:dyDescent="0.2">
      <c r="A29" s="252"/>
      <c r="B29" s="249"/>
      <c r="C29" s="249"/>
      <c r="D29" s="249"/>
      <c r="E29" s="249"/>
      <c r="F29" s="249"/>
      <c r="G29" s="249"/>
      <c r="H29" s="249"/>
      <c r="I29" s="249"/>
      <c r="J29" s="249"/>
      <c r="K29" s="250"/>
    </row>
    <row r="30" spans="1:20" x14ac:dyDescent="0.2">
      <c r="A30" s="252"/>
      <c r="B30" s="249" t="s">
        <v>1</v>
      </c>
      <c r="C30" s="249"/>
      <c r="D30" s="249"/>
      <c r="E30" s="249"/>
      <c r="F30" s="249"/>
      <c r="G30" s="249"/>
      <c r="H30" s="249"/>
      <c r="I30" s="249"/>
      <c r="J30" s="249"/>
      <c r="K30" s="250"/>
      <c r="M30" s="4" t="s">
        <v>4</v>
      </c>
    </row>
    <row r="31" spans="1:20" x14ac:dyDescent="0.2">
      <c r="A31" s="252"/>
      <c r="B31" s="427" t="s">
        <v>582</v>
      </c>
      <c r="C31" s="427"/>
      <c r="D31" s="427"/>
      <c r="E31" s="427"/>
      <c r="F31" s="427"/>
      <c r="G31" s="427"/>
      <c r="H31" s="427"/>
      <c r="I31" s="427"/>
      <c r="J31" s="427"/>
      <c r="K31" s="250"/>
    </row>
    <row r="32" spans="1:20" ht="16" customHeight="1" x14ac:dyDescent="0.2">
      <c r="A32" s="252"/>
      <c r="B32" s="427"/>
      <c r="C32" s="427"/>
      <c r="D32" s="427"/>
      <c r="E32" s="427"/>
      <c r="F32" s="427"/>
      <c r="G32" s="427"/>
      <c r="H32" s="427"/>
      <c r="I32" s="427"/>
      <c r="J32" s="427"/>
      <c r="K32" s="250"/>
      <c r="M32" s="405" t="s">
        <v>568</v>
      </c>
      <c r="N32" s="405"/>
      <c r="O32" s="405"/>
      <c r="P32" s="405"/>
      <c r="Q32" s="405"/>
      <c r="R32" s="405"/>
      <c r="S32" s="405"/>
      <c r="T32" s="405"/>
    </row>
    <row r="33" spans="1:20" x14ac:dyDescent="0.2">
      <c r="A33" s="252"/>
      <c r="B33" s="276"/>
      <c r="C33" s="276"/>
      <c r="D33" s="276"/>
      <c r="E33" s="276"/>
      <c r="F33" s="276"/>
      <c r="G33" s="276"/>
      <c r="H33" s="276"/>
      <c r="I33" s="276"/>
      <c r="J33" s="276"/>
      <c r="K33" s="250"/>
      <c r="M33" s="405"/>
      <c r="N33" s="405"/>
      <c r="O33" s="405"/>
      <c r="P33" s="405"/>
      <c r="Q33" s="405"/>
      <c r="R33" s="405"/>
      <c r="S33" s="405"/>
      <c r="T33" s="405"/>
    </row>
    <row r="34" spans="1:20" x14ac:dyDescent="0.2">
      <c r="A34" s="252"/>
      <c r="B34" s="249" t="s">
        <v>2</v>
      </c>
      <c r="C34" s="249"/>
      <c r="D34" s="249"/>
      <c r="E34" s="249"/>
      <c r="F34" s="249"/>
      <c r="G34" s="249"/>
      <c r="H34" s="249"/>
      <c r="I34" s="249"/>
      <c r="J34" s="249"/>
      <c r="K34" s="250"/>
      <c r="M34" s="405"/>
      <c r="N34" s="405"/>
      <c r="O34" s="405"/>
      <c r="P34" s="405"/>
      <c r="Q34" s="405"/>
      <c r="R34" s="405"/>
      <c r="S34" s="405"/>
      <c r="T34" s="405"/>
    </row>
    <row r="35" spans="1:20" ht="16" customHeight="1" x14ac:dyDescent="0.2">
      <c r="A35" s="252"/>
      <c r="B35" s="355" t="s">
        <v>581</v>
      </c>
      <c r="C35" s="355"/>
      <c r="D35" s="355"/>
      <c r="E35" s="355"/>
      <c r="F35" s="355"/>
      <c r="G35" s="355"/>
      <c r="H35" s="355"/>
      <c r="I35" s="355"/>
      <c r="J35" s="355"/>
      <c r="K35" s="250"/>
      <c r="T35" s="8"/>
    </row>
    <row r="36" spans="1:20" ht="16" customHeight="1" thickBot="1" x14ac:dyDescent="0.25">
      <c r="A36" s="254"/>
      <c r="B36" s="255"/>
      <c r="C36" s="256"/>
      <c r="D36" s="256"/>
      <c r="E36" s="256"/>
      <c r="F36" s="255"/>
      <c r="G36" s="255"/>
      <c r="H36" s="255"/>
      <c r="I36" s="255"/>
      <c r="J36" s="255"/>
      <c r="K36" s="257"/>
      <c r="Q36" s="307"/>
      <c r="R36" s="307"/>
    </row>
    <row r="37" spans="1:20" ht="17" thickBot="1" x14ac:dyDescent="0.25">
      <c r="A37" s="254" t="s">
        <v>145</v>
      </c>
      <c r="B37" s="255"/>
      <c r="C37" s="256"/>
      <c r="D37" s="256"/>
      <c r="E37" s="256"/>
      <c r="F37" s="255"/>
      <c r="G37" s="255"/>
      <c r="H37" s="255"/>
      <c r="I37" s="255"/>
      <c r="J37" s="255"/>
      <c r="K37" s="257"/>
    </row>
    <row r="38" spans="1:20" x14ac:dyDescent="0.2">
      <c r="M38" s="339" t="s">
        <v>472</v>
      </c>
    </row>
    <row r="39" spans="1:20" x14ac:dyDescent="0.2">
      <c r="M39" s="251" t="s">
        <v>567</v>
      </c>
    </row>
    <row r="40" spans="1:20" x14ac:dyDescent="0.2">
      <c r="M40" s="251" t="s">
        <v>473</v>
      </c>
    </row>
    <row r="42" spans="1:20" ht="20" x14ac:dyDescent="0.25">
      <c r="N42" s="308" t="s">
        <v>461</v>
      </c>
      <c r="O42" s="425" t="s">
        <v>474</v>
      </c>
      <c r="P42" s="426"/>
      <c r="Q42" s="426"/>
      <c r="R42" s="426"/>
    </row>
    <row r="43" spans="1:20" x14ac:dyDescent="0.2">
      <c r="N43" s="310" t="s">
        <v>463</v>
      </c>
      <c r="O43" s="311">
        <v>1</v>
      </c>
      <c r="P43" s="312">
        <v>2</v>
      </c>
      <c r="Q43" s="312">
        <v>3</v>
      </c>
      <c r="R43" s="313">
        <v>4</v>
      </c>
    </row>
    <row r="44" spans="1:20" x14ac:dyDescent="0.2">
      <c r="N44" s="315">
        <v>1</v>
      </c>
      <c r="O44" s="316">
        <f ca="1">N8+SQRT($D$22*N8)*VLOOKUP(RANDBETWEEN(1,8),$S$20:$T$27,2,FALSE)</f>
        <v>2327.5401891872998</v>
      </c>
      <c r="P44" s="316">
        <f ca="1">O8+SQRT($D$22*O8)*VLOOKUP(RANDBETWEEN(1,8),$S$20:$T$27,2,FALSE)</f>
        <v>906.74792762625566</v>
      </c>
      <c r="Q44" s="316">
        <f ca="1">P8+SQRT($D$22*P8)*VLOOKUP(RANDBETWEEN(1,8),$S$20:$T$27,2,FALSE)</f>
        <v>234.5500100074124</v>
      </c>
      <c r="R44" s="317">
        <f ca="1">Q8+SQRT($D$22*Q8)*VLOOKUP(RANDBETWEEN(1,8),$S$20:$T$27,2,FALSE)</f>
        <v>63.437956806760454</v>
      </c>
    </row>
    <row r="45" spans="1:20" x14ac:dyDescent="0.2">
      <c r="N45" s="315">
        <v>2</v>
      </c>
      <c r="O45" s="316">
        <f ca="1">N9+SQRT($D$22*N9)*VLOOKUP(RANDBETWEEN(1,8),$S$20:$T$27,2,FALSE)</f>
        <v>3610</v>
      </c>
      <c r="P45" s="316">
        <f ca="1">O9+SQRT($D$22*O9)*VLOOKUP(RANDBETWEEN(1,8),$S$20:$T$27,2,FALSE)</f>
        <v>1595.3299509328288</v>
      </c>
      <c r="Q45" s="319">
        <f ca="1">P9+SQRT($D$22*P9)*VLOOKUP(RANDBETWEEN(1,8),$S$20:$T$27,2,FALSE)</f>
        <v>296.6814021343128</v>
      </c>
      <c r="R45" s="372">
        <f ca="1">SUM(O45:Q45)*(Q50-1)</f>
        <v>100.62053800303933</v>
      </c>
    </row>
    <row r="46" spans="1:20" x14ac:dyDescent="0.2">
      <c r="N46" s="315">
        <v>3</v>
      </c>
      <c r="O46" s="316">
        <f ca="1">N10+SQRT($D$22*N10)*VLOOKUP(RANDBETWEEN(1,8),$S$20:$T$27,2,FALSE)</f>
        <v>3259.7688945440868</v>
      </c>
      <c r="P46" s="319">
        <f ca="1">O10+SQRT($D$22*O10)*VLOOKUP(RANDBETWEEN(1,8),$S$20:$T$27,2,FALSE)</f>
        <v>1242.1131808544289</v>
      </c>
      <c r="Q46" s="372">
        <f ca="1">SUM(O46:P46)*(P50-1)</f>
        <v>283.37078206763988</v>
      </c>
      <c r="R46" s="372">
        <f ca="1">SUM(O46:Q46)*(Q50-1)</f>
        <v>87.512490633159572</v>
      </c>
    </row>
    <row r="47" spans="1:20" x14ac:dyDescent="0.2">
      <c r="N47" s="308">
        <v>4</v>
      </c>
      <c r="O47" s="344">
        <f ca="1">N11+SQRT($D$22*N11)*VLOOKUP(RANDBETWEEN(1,8),$S$20:$T$27,2,FALSE)</f>
        <v>3483.1930756751194</v>
      </c>
      <c r="P47" s="372">
        <f ca="1">O47*(O50-1)</f>
        <v>1417.9952259321865</v>
      </c>
      <c r="Q47" s="372">
        <f ca="1">SUM(O47:P47)*(P50-1)</f>
        <v>308.50509605236289</v>
      </c>
      <c r="R47" s="372">
        <f ca="1">SUM(O47:Q47)*(Q50-1)</f>
        <v>95.274640284262048</v>
      </c>
      <c r="S47" s="251" t="s">
        <v>579</v>
      </c>
    </row>
    <row r="49" spans="13:20" x14ac:dyDescent="0.2">
      <c r="N49" s="320"/>
      <c r="O49" s="340" t="s">
        <v>477</v>
      </c>
      <c r="P49" s="341" t="s">
        <v>478</v>
      </c>
      <c r="Q49" s="341" t="s">
        <v>479</v>
      </c>
    </row>
    <row r="50" spans="13:20" x14ac:dyDescent="0.2">
      <c r="N50" s="308" t="s">
        <v>480</v>
      </c>
      <c r="O50" s="342">
        <f ca="1">SUM(O44:P46)/SUM(O44:O46)</f>
        <v>1.4070963610472118</v>
      </c>
      <c r="P50" s="342">
        <f ca="1">SUM(O44:Q45)/SUM(O44:P45)</f>
        <v>1.0629449588686872</v>
      </c>
      <c r="Q50" s="342">
        <f ca="1">SUM(O44:R44)/SUM(O44:Q44)</f>
        <v>1.018287955357807</v>
      </c>
      <c r="R50" s="251" t="s">
        <v>580</v>
      </c>
    </row>
    <row r="52" spans="13:20" x14ac:dyDescent="0.2">
      <c r="M52" s="405" t="s">
        <v>578</v>
      </c>
      <c r="N52" s="405"/>
      <c r="O52" s="405"/>
      <c r="P52" s="405"/>
      <c r="Q52" s="405"/>
      <c r="R52" s="405"/>
      <c r="S52" s="405"/>
      <c r="T52" s="405"/>
    </row>
    <row r="53" spans="13:20" x14ac:dyDescent="0.2">
      <c r="M53" s="405"/>
      <c r="N53" s="405"/>
      <c r="O53" s="405"/>
      <c r="P53" s="405"/>
      <c r="Q53" s="405"/>
      <c r="R53" s="405"/>
      <c r="S53" s="405"/>
      <c r="T53" s="405"/>
    </row>
    <row r="55" spans="13:20" x14ac:dyDescent="0.2">
      <c r="Q55" s="307"/>
      <c r="R55" s="307"/>
    </row>
    <row r="58" spans="13:20" ht="20" x14ac:dyDescent="0.25">
      <c r="N58" s="308" t="s">
        <v>461</v>
      </c>
      <c r="O58" s="425" t="s">
        <v>481</v>
      </c>
      <c r="P58" s="426"/>
      <c r="Q58" s="426"/>
      <c r="R58" s="426"/>
    </row>
    <row r="59" spans="13:20" x14ac:dyDescent="0.2">
      <c r="N59" s="310" t="s">
        <v>463</v>
      </c>
      <c r="O59" s="311">
        <v>1</v>
      </c>
      <c r="P59" s="312">
        <v>2</v>
      </c>
      <c r="Q59" s="312">
        <v>3</v>
      </c>
      <c r="R59" s="313">
        <v>4</v>
      </c>
    </row>
    <row r="60" spans="13:20" x14ac:dyDescent="0.2">
      <c r="N60" s="315">
        <v>1</v>
      </c>
      <c r="O60" s="316"/>
      <c r="P60" s="316"/>
      <c r="Q60" s="316"/>
      <c r="R60" s="317"/>
    </row>
    <row r="61" spans="13:20" x14ac:dyDescent="0.2">
      <c r="N61" s="315">
        <v>2</v>
      </c>
      <c r="O61" s="316"/>
      <c r="P61" s="316"/>
      <c r="Q61" s="319"/>
      <c r="R61" s="316">
        <f ca="1">R45+SQRT($D$22*R45)*VLOOKUP(RANDBETWEEN(1,8),$S$20:$T$27,2,FALSE)</f>
        <v>56.718388020702221</v>
      </c>
    </row>
    <row r="62" spans="13:20" x14ac:dyDescent="0.2">
      <c r="N62" s="315">
        <v>3</v>
      </c>
      <c r="O62" s="316"/>
      <c r="P62" s="319"/>
      <c r="Q62" s="316">
        <f ca="1">Q46+SQRT($D$22*Q46)*VLOOKUP(RANDBETWEEN(1,8),$S$20:$T$27,2,FALSE)</f>
        <v>236.09646286930081</v>
      </c>
      <c r="R62" s="316">
        <f ca="1">R46+SQRT($D$22*R46)*VLOOKUP(RANDBETWEEN(1,8),$S$20:$T$27,2,FALSE)</f>
        <v>48.279990415182553</v>
      </c>
    </row>
    <row r="63" spans="13:20" x14ac:dyDescent="0.2">
      <c r="N63" s="308">
        <v>4</v>
      </c>
      <c r="O63" s="344"/>
      <c r="P63" s="316">
        <f ca="1">P47+SQRT($D$22*P47)*VLOOKUP(RANDBETWEEN(1,8),$S$20:$T$27,2,FALSE)</f>
        <v>1700.7750755693753</v>
      </c>
      <c r="Q63" s="316">
        <f ca="1">Q47+SQRT($D$22*Q47)*VLOOKUP(RANDBETWEEN(1,8),$S$20:$T$27,2,FALSE)</f>
        <v>295.75577231703232</v>
      </c>
      <c r="R63" s="316">
        <f ca="1">R47+SQRT($D$22*R47)*VLOOKUP(RANDBETWEEN(1,8),$S$20:$T$27,2,FALSE)</f>
        <v>88.189562268910194</v>
      </c>
    </row>
    <row r="64" spans="13:20" ht="17" thickBot="1" x14ac:dyDescent="0.25"/>
    <row r="65" spans="13:20" ht="17" thickBot="1" x14ac:dyDescent="0.25">
      <c r="O65" s="433" t="s">
        <v>569</v>
      </c>
      <c r="P65" s="434"/>
      <c r="Q65" s="434"/>
      <c r="R65" s="343">
        <f ca="1">SUM(R61:R63,Q62:Q63,P63)</f>
        <v>2425.8152514605035</v>
      </c>
    </row>
    <row r="68" spans="13:20" x14ac:dyDescent="0.2">
      <c r="M68" s="4" t="s">
        <v>5</v>
      </c>
    </row>
    <row r="69" spans="13:20" x14ac:dyDescent="0.2">
      <c r="M69" s="405" t="s">
        <v>583</v>
      </c>
      <c r="N69" s="405"/>
      <c r="O69" s="405"/>
      <c r="P69" s="405"/>
      <c r="Q69" s="405"/>
      <c r="R69" s="405"/>
      <c r="S69" s="405"/>
      <c r="T69" s="405"/>
    </row>
    <row r="70" spans="13:20" x14ac:dyDescent="0.2">
      <c r="M70" s="405"/>
      <c r="N70" s="405"/>
      <c r="O70" s="405"/>
      <c r="P70" s="405"/>
      <c r="Q70" s="405"/>
      <c r="R70" s="405"/>
      <c r="S70" s="405"/>
      <c r="T70" s="405"/>
    </row>
    <row r="71" spans="13:20" x14ac:dyDescent="0.2">
      <c r="M71" s="405"/>
      <c r="N71" s="405"/>
      <c r="O71" s="405"/>
      <c r="P71" s="405"/>
      <c r="Q71" s="405"/>
      <c r="R71" s="405"/>
      <c r="S71" s="405"/>
      <c r="T71" s="405"/>
    </row>
    <row r="72" spans="13:20" ht="17" thickBot="1" x14ac:dyDescent="0.25"/>
    <row r="73" spans="13:20" x14ac:dyDescent="0.2">
      <c r="M73" s="308"/>
      <c r="N73" s="307" t="s">
        <v>587</v>
      </c>
      <c r="P73" s="380" t="s">
        <v>588</v>
      </c>
      <c r="Q73" s="381" t="s">
        <v>585</v>
      </c>
    </row>
    <row r="74" spans="13:20" x14ac:dyDescent="0.2">
      <c r="M74" s="320" t="s">
        <v>584</v>
      </c>
      <c r="N74" s="313" t="s">
        <v>586</v>
      </c>
      <c r="P74" s="382" t="s">
        <v>589</v>
      </c>
      <c r="Q74" s="383" t="s">
        <v>459</v>
      </c>
    </row>
    <row r="75" spans="13:20" x14ac:dyDescent="0.2">
      <c r="M75" s="308">
        <v>1</v>
      </c>
      <c r="N75" s="316">
        <v>2403.66680000419</v>
      </c>
      <c r="P75" s="384">
        <v>0.05</v>
      </c>
      <c r="Q75" s="385">
        <v>1806.5108439542091</v>
      </c>
    </row>
    <row r="76" spans="13:20" x14ac:dyDescent="0.2">
      <c r="M76" s="308">
        <v>2</v>
      </c>
      <c r="N76" s="316">
        <v>2596.8812159206946</v>
      </c>
      <c r="P76" s="384">
        <v>0.1</v>
      </c>
      <c r="Q76" s="385">
        <v>1960.1329019513491</v>
      </c>
    </row>
    <row r="77" spans="13:20" x14ac:dyDescent="0.2">
      <c r="M77" s="308">
        <v>3</v>
      </c>
      <c r="N77" s="316">
        <v>2280.0208657567359</v>
      </c>
      <c r="P77" s="384">
        <v>0.15</v>
      </c>
      <c r="Q77" s="385">
        <v>2238.8299856035592</v>
      </c>
    </row>
    <row r="78" spans="13:20" x14ac:dyDescent="0.2">
      <c r="M78" s="308">
        <v>4</v>
      </c>
      <c r="N78" s="316">
        <v>2544.4171232815947</v>
      </c>
      <c r="P78" s="384">
        <v>0.2</v>
      </c>
      <c r="Q78" s="385">
        <v>2280.0208657567359</v>
      </c>
    </row>
    <row r="79" spans="13:20" x14ac:dyDescent="0.2">
      <c r="M79" s="308">
        <v>5</v>
      </c>
      <c r="N79" s="316">
        <v>3005.1508244866745</v>
      </c>
      <c r="P79" s="384">
        <v>0.25</v>
      </c>
      <c r="Q79" s="385">
        <v>2326.0875327999438</v>
      </c>
    </row>
    <row r="80" spans="13:20" x14ac:dyDescent="0.2">
      <c r="M80" s="308">
        <v>6</v>
      </c>
      <c r="N80" s="316">
        <v>2694.5938122855596</v>
      </c>
      <c r="P80" s="384">
        <v>0.3</v>
      </c>
      <c r="Q80" s="385">
        <v>2390.4962668401922</v>
      </c>
    </row>
    <row r="81" spans="12:67" x14ac:dyDescent="0.2">
      <c r="M81" s="308">
        <v>7</v>
      </c>
      <c r="N81" s="316">
        <v>2690.7534763659032</v>
      </c>
      <c r="P81" s="384">
        <v>0.35</v>
      </c>
      <c r="Q81" s="385">
        <v>2403.66680000419</v>
      </c>
    </row>
    <row r="82" spans="12:67" x14ac:dyDescent="0.2">
      <c r="M82" s="308">
        <v>8</v>
      </c>
      <c r="N82" s="316">
        <v>2661.0260878920894</v>
      </c>
      <c r="P82" s="384">
        <v>0.4</v>
      </c>
      <c r="Q82" s="385">
        <v>2544.4171232815947</v>
      </c>
    </row>
    <row r="83" spans="12:67" x14ac:dyDescent="0.2">
      <c r="M83" s="308">
        <v>9</v>
      </c>
      <c r="N83" s="316">
        <v>2545.9332406485819</v>
      </c>
      <c r="P83" s="384">
        <v>0.45</v>
      </c>
      <c r="Q83" s="385">
        <v>2545.9332406485819</v>
      </c>
    </row>
    <row r="84" spans="12:67" x14ac:dyDescent="0.2">
      <c r="L84" s="5"/>
      <c r="M84" s="308">
        <v>10</v>
      </c>
      <c r="N84" s="316">
        <v>2650.0638266252708</v>
      </c>
      <c r="P84" s="384">
        <v>0.5</v>
      </c>
      <c r="Q84" s="385">
        <v>2569.9472922766035</v>
      </c>
    </row>
    <row r="85" spans="12:67" x14ac:dyDescent="0.2">
      <c r="L85" s="5"/>
      <c r="M85" s="308">
        <v>11</v>
      </c>
      <c r="N85" s="316">
        <v>1806.5108439542091</v>
      </c>
      <c r="P85" s="384">
        <v>0.55000000000000004</v>
      </c>
      <c r="Q85" s="385">
        <v>2596.8812159206946</v>
      </c>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spans="12:67" x14ac:dyDescent="0.2">
      <c r="L86" s="5"/>
      <c r="M86" s="308">
        <v>12</v>
      </c>
      <c r="N86" s="316">
        <v>1960.1329019513491</v>
      </c>
      <c r="P86" s="384">
        <v>0.6</v>
      </c>
      <c r="Q86" s="385">
        <v>2603.0841980163036</v>
      </c>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spans="12:67" x14ac:dyDescent="0.2">
      <c r="L87" s="5"/>
      <c r="M87" s="308">
        <v>13</v>
      </c>
      <c r="N87" s="316">
        <v>2828.7436314814468</v>
      </c>
      <c r="P87" s="384">
        <v>0.65</v>
      </c>
      <c r="Q87" s="385">
        <v>2650.0638266252708</v>
      </c>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spans="12:67" x14ac:dyDescent="0.2">
      <c r="L88" s="5"/>
      <c r="M88" s="308">
        <v>14</v>
      </c>
      <c r="N88" s="316">
        <v>2678.1555562320718</v>
      </c>
      <c r="P88" s="384">
        <v>0.7</v>
      </c>
      <c r="Q88" s="385">
        <v>2661.0260878920894</v>
      </c>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spans="12:67" x14ac:dyDescent="0.2">
      <c r="L89" s="5"/>
      <c r="M89" s="308">
        <v>15</v>
      </c>
      <c r="N89" s="316">
        <v>2603.0841980163036</v>
      </c>
      <c r="P89" s="384">
        <v>0.75</v>
      </c>
      <c r="Q89" s="385">
        <v>2678.1555562320718</v>
      </c>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spans="12:67" x14ac:dyDescent="0.2">
      <c r="L90" s="5"/>
      <c r="M90" s="308">
        <v>16</v>
      </c>
      <c r="N90" s="316">
        <v>2569.9472922766035</v>
      </c>
      <c r="P90" s="384">
        <v>0.8</v>
      </c>
      <c r="Q90" s="385">
        <v>2690.7534763659032</v>
      </c>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spans="12:67" x14ac:dyDescent="0.2">
      <c r="L91" s="5"/>
      <c r="M91" s="308">
        <v>17</v>
      </c>
      <c r="N91" s="316">
        <v>2809.0197499746573</v>
      </c>
      <c r="P91" s="384">
        <v>0.85</v>
      </c>
      <c r="Q91" s="385">
        <v>2694.5938122855596</v>
      </c>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spans="12:67" x14ac:dyDescent="0.2">
      <c r="L92" s="5"/>
      <c r="M92" s="308">
        <v>18</v>
      </c>
      <c r="N92" s="316">
        <v>2390.4962668401922</v>
      </c>
      <c r="P92" s="384">
        <v>0.9</v>
      </c>
      <c r="Q92" s="385">
        <v>2809.0197499746573</v>
      </c>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spans="12:67" x14ac:dyDescent="0.2">
      <c r="L93" s="5"/>
      <c r="M93" s="308">
        <v>19</v>
      </c>
      <c r="N93" s="316">
        <v>2238.8299856035592</v>
      </c>
      <c r="P93" s="384">
        <v>0.95</v>
      </c>
      <c r="Q93" s="385">
        <v>2828.7436314814468</v>
      </c>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spans="12:67" ht="17" thickBot="1" x14ac:dyDescent="0.25">
      <c r="L94" s="5"/>
      <c r="M94" s="308">
        <v>20</v>
      </c>
      <c r="N94" s="316">
        <v>2326.0875327999438</v>
      </c>
      <c r="P94" s="386">
        <v>1</v>
      </c>
      <c r="Q94" s="354">
        <v>3005.1508244866745</v>
      </c>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spans="12:67" x14ac:dyDescent="0.2">
      <c r="L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spans="12:67" x14ac:dyDescent="0.2">
      <c r="L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spans="1:67" ht="19" x14ac:dyDescent="0.25">
      <c r="L97" s="5"/>
      <c r="M97" s="3" t="s">
        <v>131</v>
      </c>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spans="1:67" ht="16" customHeight="1" x14ac:dyDescent="0.2">
      <c r="L98" s="5"/>
      <c r="M98" s="405" t="s">
        <v>599</v>
      </c>
      <c r="N98" s="405"/>
      <c r="O98" s="405"/>
      <c r="P98" s="405"/>
      <c r="Q98" s="405"/>
      <c r="R98" s="405"/>
      <c r="S98" s="405"/>
      <c r="T98" s="40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spans="1:67" x14ac:dyDescent="0.2">
      <c r="A99" s="5"/>
      <c r="B99" s="5"/>
      <c r="C99" s="5"/>
      <c r="D99" s="5"/>
      <c r="E99" s="5"/>
      <c r="F99" s="5"/>
      <c r="G99" s="5"/>
      <c r="H99" s="5"/>
      <c r="I99" s="5"/>
      <c r="J99" s="5"/>
      <c r="K99" s="5"/>
      <c r="L99" s="5"/>
      <c r="M99" s="405"/>
      <c r="N99" s="405"/>
      <c r="O99" s="405"/>
      <c r="P99" s="405"/>
      <c r="Q99" s="405"/>
      <c r="R99" s="405"/>
      <c r="S99" s="405"/>
      <c r="T99" s="40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spans="1:67" x14ac:dyDescent="0.2">
      <c r="A100" s="5"/>
      <c r="B100" s="5"/>
      <c r="C100" s="5"/>
      <c r="D100" s="5"/>
      <c r="E100" s="5"/>
      <c r="F100" s="5"/>
      <c r="G100" s="5"/>
      <c r="H100" s="5"/>
      <c r="I100" s="5"/>
      <c r="J100" s="5"/>
      <c r="K100" s="5"/>
      <c r="L100" s="5"/>
      <c r="M100" s="405"/>
      <c r="N100" s="405"/>
      <c r="O100" s="405"/>
      <c r="P100" s="405"/>
      <c r="Q100" s="405"/>
      <c r="R100" s="405"/>
      <c r="S100" s="405"/>
      <c r="T100" s="40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spans="1:67" x14ac:dyDescent="0.2">
      <c r="A101" s="5"/>
      <c r="B101" s="5"/>
      <c r="C101" s="5"/>
      <c r="D101" s="5"/>
      <c r="E101" s="5"/>
      <c r="F101" s="5"/>
      <c r="G101" s="5"/>
      <c r="H101" s="5"/>
      <c r="I101" s="5"/>
      <c r="J101" s="5"/>
      <c r="K101" s="5"/>
      <c r="L101" s="5"/>
      <c r="M101" s="405"/>
      <c r="N101" s="405"/>
      <c r="O101" s="405"/>
      <c r="P101" s="405"/>
      <c r="Q101" s="405"/>
      <c r="R101" s="405"/>
      <c r="S101" s="405"/>
      <c r="T101" s="40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spans="1:67" x14ac:dyDescent="0.2">
      <c r="A102" s="5"/>
      <c r="B102" s="5"/>
      <c r="C102" s="5"/>
      <c r="D102" s="5"/>
      <c r="E102" s="5"/>
      <c r="F102" s="5"/>
      <c r="G102" s="5"/>
      <c r="H102" s="5"/>
      <c r="I102" s="5"/>
      <c r="J102" s="5"/>
      <c r="K102" s="5"/>
      <c r="L102" s="5"/>
      <c r="M102" s="405"/>
      <c r="N102" s="405"/>
      <c r="O102" s="405"/>
      <c r="P102" s="405"/>
      <c r="Q102" s="405"/>
      <c r="R102" s="405"/>
      <c r="S102" s="405"/>
      <c r="T102" s="40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spans="1:67" x14ac:dyDescent="0.2">
      <c r="A103" s="5"/>
      <c r="B103" s="5"/>
      <c r="C103" s="5"/>
      <c r="D103" s="5"/>
      <c r="E103" s="5"/>
      <c r="F103" s="5"/>
      <c r="G103" s="5"/>
      <c r="H103" s="5"/>
      <c r="I103" s="5"/>
      <c r="J103" s="5"/>
      <c r="K103" s="5"/>
      <c r="L103" s="5"/>
      <c r="M103" s="405"/>
      <c r="N103" s="405"/>
      <c r="O103" s="405"/>
      <c r="P103" s="405"/>
      <c r="Q103" s="405"/>
      <c r="R103" s="405"/>
      <c r="S103" s="405"/>
      <c r="T103" s="40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spans="1:67" x14ac:dyDescent="0.2">
      <c r="A104" s="5"/>
      <c r="B104" s="5"/>
      <c r="C104" s="5"/>
      <c r="D104" s="5"/>
      <c r="E104" s="5"/>
      <c r="F104" s="5"/>
      <c r="G104" s="5"/>
      <c r="H104" s="5"/>
      <c r="I104" s="5"/>
      <c r="J104" s="5"/>
      <c r="K104" s="5"/>
      <c r="L104" s="5"/>
      <c r="M104" s="405"/>
      <c r="N104" s="405"/>
      <c r="O104" s="405"/>
      <c r="P104" s="405"/>
      <c r="Q104" s="405"/>
      <c r="R104" s="405"/>
      <c r="S104" s="405"/>
      <c r="T104" s="40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spans="1:67" x14ac:dyDescent="0.2">
      <c r="A105" s="5"/>
      <c r="B105" s="5"/>
      <c r="C105" s="5"/>
      <c r="D105" s="5"/>
      <c r="E105" s="5"/>
      <c r="F105" s="5"/>
      <c r="G105" s="5"/>
      <c r="H105" s="5"/>
      <c r="I105" s="5"/>
      <c r="J105" s="5"/>
      <c r="K105" s="5"/>
      <c r="L105" s="5"/>
      <c r="M105" s="405"/>
      <c r="N105" s="405"/>
      <c r="O105" s="405"/>
      <c r="P105" s="405"/>
      <c r="Q105" s="405"/>
      <c r="R105" s="405"/>
      <c r="S105" s="405"/>
      <c r="T105" s="40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spans="1:67" x14ac:dyDescent="0.2">
      <c r="A106" s="5"/>
      <c r="B106" s="5"/>
      <c r="C106" s="5"/>
      <c r="D106" s="5"/>
      <c r="E106" s="5"/>
      <c r="F106" s="5"/>
      <c r="G106" s="5"/>
      <c r="H106" s="5"/>
      <c r="I106" s="5"/>
      <c r="J106" s="5"/>
      <c r="K106" s="5"/>
      <c r="L106" s="5"/>
      <c r="M106" s="247"/>
      <c r="N106" s="247"/>
      <c r="O106" s="247"/>
      <c r="P106" s="247"/>
      <c r="Q106" s="247"/>
      <c r="R106" s="247"/>
      <c r="S106" s="247"/>
      <c r="T106" s="247"/>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spans="1:67" x14ac:dyDescent="0.2">
      <c r="A107" s="5"/>
      <c r="B107" s="5"/>
      <c r="C107" s="5"/>
      <c r="D107" s="5"/>
      <c r="E107" s="5"/>
      <c r="F107" s="5"/>
      <c r="G107" s="5"/>
      <c r="H107" s="5"/>
      <c r="I107" s="5"/>
      <c r="J107" s="5"/>
      <c r="K107" s="5"/>
      <c r="L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spans="1:67" ht="19" x14ac:dyDescent="0.25">
      <c r="A108" s="5"/>
      <c r="B108" s="5"/>
      <c r="C108" s="5"/>
      <c r="D108" s="5"/>
      <c r="E108" s="5"/>
      <c r="F108" s="5"/>
      <c r="G108" s="5"/>
      <c r="H108" s="5"/>
      <c r="I108" s="5"/>
      <c r="J108" s="5"/>
      <c r="K108" s="5"/>
      <c r="L108" s="5"/>
      <c r="M108" s="326" t="s">
        <v>594</v>
      </c>
      <c r="N108" s="259"/>
      <c r="O108" s="259"/>
      <c r="P108" s="259"/>
      <c r="Q108" s="259"/>
      <c r="R108" s="259"/>
      <c r="S108" s="259"/>
      <c r="T108" s="259"/>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spans="1:67" x14ac:dyDescent="0.2">
      <c r="A109" s="5"/>
      <c r="B109" s="5"/>
      <c r="C109" s="5"/>
      <c r="D109" s="5"/>
      <c r="E109" s="5"/>
      <c r="F109" s="5"/>
      <c r="G109" s="5"/>
      <c r="H109" s="5"/>
      <c r="I109" s="5"/>
      <c r="J109" s="5"/>
      <c r="K109" s="5"/>
      <c r="L109" s="5"/>
      <c r="M109" s="251" t="s">
        <v>595</v>
      </c>
      <c r="N109" s="259"/>
      <c r="O109" s="259"/>
      <c r="P109" s="259"/>
      <c r="Q109" s="259"/>
      <c r="R109" s="259"/>
      <c r="S109" s="259"/>
      <c r="T109" s="259"/>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spans="1:67" x14ac:dyDescent="0.2">
      <c r="A110" s="5"/>
      <c r="B110" s="5"/>
      <c r="C110" s="5"/>
      <c r="D110" s="5"/>
      <c r="E110" s="5"/>
      <c r="F110" s="5"/>
      <c r="G110" s="5"/>
      <c r="H110" s="5"/>
      <c r="I110" s="5"/>
      <c r="J110" s="5"/>
      <c r="K110" s="5"/>
      <c r="L110" s="5"/>
      <c r="M110" s="388" t="s">
        <v>598</v>
      </c>
      <c r="N110" s="259"/>
      <c r="O110" s="259"/>
      <c r="P110" s="259"/>
      <c r="Q110" s="259"/>
      <c r="R110" s="259"/>
      <c r="S110" s="259"/>
      <c r="T110" s="259"/>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spans="1:67" x14ac:dyDescent="0.2">
      <c r="A111" s="5"/>
      <c r="B111" s="5"/>
      <c r="C111" s="5"/>
      <c r="D111" s="5"/>
      <c r="E111" s="5"/>
      <c r="F111" s="5"/>
      <c r="G111" s="5"/>
      <c r="H111" s="5"/>
      <c r="I111" s="5"/>
      <c r="J111" s="5"/>
      <c r="K111" s="5"/>
      <c r="L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spans="1:67" x14ac:dyDescent="0.2">
      <c r="A112" s="5"/>
      <c r="B112" s="5"/>
      <c r="C112" s="5"/>
      <c r="D112" s="5"/>
      <c r="E112" s="5"/>
      <c r="F112" s="5"/>
      <c r="G112" s="5"/>
      <c r="H112" s="5"/>
      <c r="I112" s="5"/>
      <c r="J112" s="5"/>
      <c r="K112" s="5"/>
      <c r="L112" s="5"/>
      <c r="M112" s="308" t="s">
        <v>461</v>
      </c>
      <c r="N112" s="425" t="s">
        <v>597</v>
      </c>
      <c r="O112" s="426"/>
      <c r="P112" s="426"/>
      <c r="Q112" s="426"/>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spans="1:67" x14ac:dyDescent="0.2">
      <c r="A113" s="5"/>
      <c r="B113" s="5"/>
      <c r="C113" s="5"/>
      <c r="D113" s="5"/>
      <c r="E113" s="5"/>
      <c r="F113" s="5"/>
      <c r="G113" s="5"/>
      <c r="H113" s="5"/>
      <c r="I113" s="5"/>
      <c r="J113" s="5"/>
      <c r="K113" s="5"/>
      <c r="L113" s="5"/>
      <c r="M113" s="310" t="s">
        <v>463</v>
      </c>
      <c r="N113" s="311">
        <v>1</v>
      </c>
      <c r="O113" s="312">
        <v>2</v>
      </c>
      <c r="P113" s="312">
        <v>3</v>
      </c>
      <c r="Q113" s="313">
        <v>4</v>
      </c>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spans="1:67" x14ac:dyDescent="0.2">
      <c r="A114" s="5"/>
      <c r="B114" s="5"/>
      <c r="C114" s="5"/>
      <c r="D114" s="5"/>
      <c r="E114" s="5"/>
      <c r="F114" s="5"/>
      <c r="G114" s="5"/>
      <c r="H114" s="5"/>
      <c r="I114" s="5"/>
      <c r="J114" s="5"/>
      <c r="K114" s="5"/>
      <c r="L114" s="5"/>
      <c r="M114" s="315">
        <v>1</v>
      </c>
      <c r="N114" s="338">
        <f>(D8-N8)/SQRT(N8)</f>
        <v>-0.72586520373896724</v>
      </c>
      <c r="O114" s="338">
        <f>(E8-O8)/SQRT(O8)</f>
        <v>-2.8083274750055729</v>
      </c>
      <c r="P114" s="338">
        <f>(F8-P8)/SQRT(P8)</f>
        <v>7.5095009207165022</v>
      </c>
      <c r="Q114" s="338">
        <v>0</v>
      </c>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spans="1:67" x14ac:dyDescent="0.2">
      <c r="A115" s="5"/>
      <c r="B115" s="5"/>
      <c r="C115" s="5"/>
      <c r="D115" s="5"/>
      <c r="E115" s="5"/>
      <c r="F115" s="5"/>
      <c r="G115" s="5"/>
      <c r="H115" s="5"/>
      <c r="I115" s="5"/>
      <c r="J115" s="5"/>
      <c r="K115" s="5"/>
      <c r="L115" s="5"/>
      <c r="M115" s="315">
        <v>2</v>
      </c>
      <c r="N115" s="338">
        <f t="shared" ref="N115:P115" si="1">(D9-N9)/SQRT(N9)</f>
        <v>5.0114364504470483</v>
      </c>
      <c r="O115" s="338">
        <f t="shared" si="1"/>
        <v>-4.1938313684066975</v>
      </c>
      <c r="P115" s="338">
        <f t="shared" si="1"/>
        <v>-6.7643024837123455</v>
      </c>
      <c r="Q115" s="316"/>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spans="1:67" x14ac:dyDescent="0.2">
      <c r="A116" s="5"/>
      <c r="B116" s="5"/>
      <c r="C116" s="5"/>
      <c r="D116" s="5"/>
      <c r="E116" s="5"/>
      <c r="F116" s="5"/>
      <c r="G116" s="5"/>
      <c r="H116" s="5"/>
      <c r="I116" s="5"/>
      <c r="J116" s="5"/>
      <c r="K116" s="5"/>
      <c r="L116" s="5"/>
      <c r="M116" s="315">
        <v>3</v>
      </c>
      <c r="N116" s="338">
        <f t="shared" ref="N116:O116" si="2">(D10-N10)/SQRT(N10)</f>
        <v>-4.3766565907675465</v>
      </c>
      <c r="O116" s="338">
        <f t="shared" si="2"/>
        <v>6.7113971876839162</v>
      </c>
      <c r="P116" s="316"/>
      <c r="Q116" s="316"/>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spans="1:67" x14ac:dyDescent="0.2">
      <c r="A117" s="5"/>
      <c r="B117" s="5"/>
      <c r="C117" s="5"/>
      <c r="D117" s="5"/>
      <c r="E117" s="5"/>
      <c r="F117" s="5"/>
      <c r="G117" s="5"/>
      <c r="H117" s="5"/>
      <c r="I117" s="5"/>
      <c r="J117" s="5"/>
      <c r="K117" s="5"/>
      <c r="L117" s="5"/>
      <c r="M117" s="308">
        <v>4</v>
      </c>
      <c r="N117" s="338">
        <v>0</v>
      </c>
      <c r="O117" s="316"/>
      <c r="P117" s="316"/>
      <c r="Q117" s="316"/>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spans="1:67" x14ac:dyDescent="0.2">
      <c r="A118" s="5"/>
      <c r="B118" s="5"/>
      <c r="C118" s="5"/>
      <c r="D118" s="5"/>
      <c r="E118" s="5"/>
      <c r="F118" s="5"/>
      <c r="G118" s="5"/>
      <c r="H118" s="5"/>
      <c r="I118" s="5"/>
      <c r="J118" s="5"/>
      <c r="K118" s="5"/>
      <c r="L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spans="1:67" x14ac:dyDescent="0.2">
      <c r="A119" s="5"/>
      <c r="B119" s="5"/>
      <c r="C119" s="5"/>
      <c r="D119" s="5"/>
      <c r="E119" s="5"/>
      <c r="F119" s="5"/>
      <c r="G119" s="5"/>
      <c r="H119" s="5"/>
      <c r="I119" s="5"/>
      <c r="J119" s="5"/>
      <c r="K119" s="5"/>
      <c r="L119" s="5"/>
      <c r="M119" s="251" t="s">
        <v>590</v>
      </c>
      <c r="O119" s="387">
        <f>SUMSQ(N114:Q117)</f>
        <v>217.46266763813108</v>
      </c>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spans="1:67" x14ac:dyDescent="0.2">
      <c r="A120" s="5"/>
      <c r="B120" s="5"/>
      <c r="C120" s="5"/>
      <c r="D120" s="5"/>
      <c r="E120" s="5"/>
      <c r="F120" s="5"/>
      <c r="G120" s="5"/>
      <c r="H120" s="5"/>
      <c r="I120" s="5"/>
      <c r="J120" s="5"/>
      <c r="K120" s="5"/>
      <c r="L120" s="5"/>
      <c r="M120" s="251" t="s">
        <v>596</v>
      </c>
      <c r="O120" s="251">
        <f>COUNT(D8:G11)</f>
        <v>10</v>
      </c>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spans="1:67" x14ac:dyDescent="0.2">
      <c r="A121" s="5"/>
      <c r="B121" s="5"/>
      <c r="C121" s="5"/>
      <c r="D121" s="5"/>
      <c r="E121" s="5"/>
      <c r="F121" s="5"/>
      <c r="G121" s="5"/>
      <c r="H121" s="5"/>
      <c r="I121" s="5"/>
      <c r="J121" s="5"/>
      <c r="K121" s="5"/>
      <c r="L121" s="5"/>
      <c r="M121" s="251" t="s">
        <v>591</v>
      </c>
      <c r="O121" s="251">
        <f>COUNT(D17:E20)</f>
        <v>8</v>
      </c>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spans="1:67" x14ac:dyDescent="0.2">
      <c r="A122" s="5"/>
      <c r="B122" s="5"/>
      <c r="C122" s="5"/>
      <c r="D122" s="5"/>
      <c r="E122" s="5"/>
      <c r="F122" s="5"/>
      <c r="G122" s="5"/>
      <c r="H122" s="5"/>
      <c r="I122" s="5"/>
      <c r="J122" s="5"/>
      <c r="K122" s="5"/>
      <c r="L122" s="5"/>
      <c r="M122" s="379" t="s">
        <v>592</v>
      </c>
      <c r="N122" s="379"/>
      <c r="O122" s="379">
        <f>O120-O121</f>
        <v>2</v>
      </c>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spans="1:67" x14ac:dyDescent="0.2">
      <c r="A123" s="5"/>
      <c r="B123" s="5"/>
      <c r="C123" s="5"/>
      <c r="D123" s="5"/>
      <c r="E123" s="5"/>
      <c r="F123" s="5"/>
      <c r="G123" s="5"/>
      <c r="H123" s="5"/>
      <c r="I123" s="5"/>
      <c r="J123" s="5"/>
      <c r="K123" s="5"/>
      <c r="L123" s="5"/>
      <c r="M123" s="251" t="s">
        <v>593</v>
      </c>
      <c r="O123" s="387">
        <f>O119/O122</f>
        <v>108.73133381906554</v>
      </c>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spans="1:67" x14ac:dyDescent="0.2">
      <c r="A124" s="5"/>
      <c r="B124" s="5"/>
      <c r="C124" s="5"/>
      <c r="D124" s="5"/>
      <c r="E124" s="5"/>
      <c r="F124" s="5"/>
      <c r="G124" s="5"/>
      <c r="H124" s="5"/>
      <c r="I124" s="5"/>
      <c r="J124" s="5"/>
      <c r="K124" s="5"/>
      <c r="L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spans="1:67" x14ac:dyDescent="0.2">
      <c r="A125" s="5"/>
      <c r="B125" s="5"/>
      <c r="C125" s="5"/>
      <c r="D125" s="5"/>
      <c r="E125" s="5"/>
      <c r="F125" s="5"/>
      <c r="G125" s="5"/>
      <c r="H125" s="5"/>
      <c r="I125" s="5"/>
      <c r="J125" s="5"/>
      <c r="K125" s="5"/>
      <c r="L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spans="1:67" ht="19" x14ac:dyDescent="0.25">
      <c r="A126" s="5"/>
      <c r="B126" s="5"/>
      <c r="C126" s="5"/>
      <c r="D126" s="5"/>
      <c r="E126" s="5"/>
      <c r="F126" s="5"/>
      <c r="G126" s="5"/>
      <c r="H126" s="5"/>
      <c r="I126" s="5"/>
      <c r="J126" s="5"/>
      <c r="K126" s="5"/>
      <c r="L126" s="5"/>
      <c r="M126" s="3" t="s">
        <v>180</v>
      </c>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spans="1:67" x14ac:dyDescent="0.2">
      <c r="A127" s="5"/>
      <c r="B127" s="5"/>
      <c r="C127" s="5"/>
      <c r="D127" s="5"/>
      <c r="E127" s="5"/>
      <c r="F127" s="5"/>
      <c r="G127" s="5"/>
      <c r="H127" s="5"/>
      <c r="I127" s="5"/>
      <c r="J127" s="5"/>
      <c r="K127" s="5"/>
      <c r="L127" s="5"/>
      <c r="M127" s="251" t="s">
        <v>465</v>
      </c>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spans="1:67" x14ac:dyDescent="0.2">
      <c r="A128" s="5"/>
      <c r="B128" s="5"/>
      <c r="C128" s="5"/>
      <c r="D128" s="5"/>
      <c r="E128" s="5"/>
      <c r="F128" s="5"/>
      <c r="G128" s="5"/>
      <c r="H128" s="5"/>
      <c r="I128" s="5"/>
      <c r="J128" s="5"/>
      <c r="K128" s="5"/>
      <c r="L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spans="1:67" x14ac:dyDescent="0.2">
      <c r="A129" s="5"/>
      <c r="B129" s="5"/>
      <c r="C129" s="5"/>
      <c r="D129" s="5"/>
      <c r="E129" s="5"/>
      <c r="F129" s="5"/>
      <c r="G129" s="5"/>
      <c r="H129" s="5"/>
      <c r="I129" s="5"/>
      <c r="J129" s="5"/>
      <c r="K129" s="5"/>
      <c r="L129" s="5"/>
      <c r="M129" s="5"/>
      <c r="N129" s="5"/>
      <c r="O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spans="1:67" x14ac:dyDescent="0.2">
      <c r="A130" s="5"/>
      <c r="B130" s="5"/>
      <c r="C130" s="5"/>
      <c r="D130" s="5"/>
      <c r="E130" s="5"/>
      <c r="F130" s="5"/>
      <c r="G130" s="5"/>
      <c r="H130" s="5"/>
      <c r="I130" s="5"/>
      <c r="J130" s="5"/>
      <c r="K130" s="5"/>
      <c r="L130" s="5"/>
      <c r="M130" s="5"/>
      <c r="N130" s="5"/>
      <c r="O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spans="1:67" x14ac:dyDescent="0.2">
      <c r="A131" s="5"/>
      <c r="B131" s="5"/>
      <c r="C131" s="5"/>
      <c r="D131" s="5"/>
      <c r="E131" s="5"/>
      <c r="F131" s="5"/>
      <c r="G131" s="5"/>
      <c r="H131" s="5"/>
      <c r="I131" s="5"/>
      <c r="J131" s="5"/>
      <c r="K131" s="5"/>
      <c r="L131" s="5"/>
      <c r="N131" s="5"/>
      <c r="O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spans="1:67" x14ac:dyDescent="0.2">
      <c r="A132" s="5"/>
      <c r="B132" s="5"/>
      <c r="C132" s="5"/>
      <c r="D132" s="5"/>
      <c r="E132" s="5"/>
      <c r="F132" s="5"/>
      <c r="G132" s="5"/>
      <c r="H132" s="5"/>
      <c r="I132" s="5"/>
      <c r="J132" s="5"/>
      <c r="K132" s="5"/>
      <c r="L132" s="5"/>
      <c r="N132" s="5"/>
      <c r="O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spans="1:67" x14ac:dyDescent="0.2">
      <c r="A133" s="5"/>
      <c r="B133" s="5"/>
      <c r="C133" s="5"/>
      <c r="D133" s="5"/>
      <c r="E133" s="5"/>
      <c r="F133" s="5"/>
      <c r="G133" s="5"/>
      <c r="H133" s="5"/>
      <c r="I133" s="5"/>
      <c r="J133" s="5"/>
      <c r="K133" s="5"/>
      <c r="L133" s="5"/>
      <c r="M133" s="5"/>
      <c r="N133" s="5"/>
      <c r="O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spans="1:67" x14ac:dyDescent="0.2">
      <c r="A134" s="5"/>
      <c r="B134" s="5"/>
      <c r="C134" s="5"/>
      <c r="D134" s="5"/>
      <c r="E134" s="5"/>
      <c r="F134" s="5"/>
      <c r="G134" s="5"/>
      <c r="H134" s="5"/>
      <c r="I134" s="5"/>
      <c r="J134" s="5"/>
      <c r="K134" s="5"/>
      <c r="L134" s="5"/>
      <c r="M134" s="5"/>
      <c r="N134" s="5"/>
      <c r="O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spans="1:67" x14ac:dyDescent="0.2">
      <c r="A135" s="5"/>
      <c r="B135" s="5"/>
      <c r="C135" s="5"/>
      <c r="D135" s="5"/>
      <c r="E135" s="5"/>
      <c r="F135" s="5"/>
      <c r="G135" s="5"/>
      <c r="H135" s="5"/>
      <c r="I135" s="5"/>
      <c r="J135" s="5"/>
      <c r="K135" s="5"/>
      <c r="L135" s="5"/>
      <c r="N135" s="253"/>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spans="1:67" x14ac:dyDescent="0.2">
      <c r="A136" s="5"/>
      <c r="B136" s="5"/>
      <c r="C136" s="5"/>
      <c r="D136" s="5"/>
      <c r="E136" s="5"/>
      <c r="F136" s="5"/>
      <c r="G136" s="5"/>
      <c r="H136" s="5"/>
      <c r="I136" s="5"/>
      <c r="J136" s="5"/>
      <c r="K136" s="5"/>
      <c r="L136" s="5"/>
      <c r="M136" s="5"/>
      <c r="N136" s="5"/>
      <c r="O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spans="1:67" x14ac:dyDescent="0.2">
      <c r="A137" s="5"/>
      <c r="B137" s="5"/>
      <c r="C137" s="5"/>
      <c r="D137" s="5"/>
      <c r="E137" s="5"/>
      <c r="F137" s="5"/>
      <c r="G137" s="5"/>
      <c r="H137" s="5"/>
      <c r="I137" s="5"/>
      <c r="J137" s="5"/>
      <c r="K137" s="5"/>
      <c r="L137" s="5"/>
      <c r="M137" s="5"/>
      <c r="N137" s="5"/>
      <c r="O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spans="1:67" x14ac:dyDescent="0.2">
      <c r="A138" s="5"/>
      <c r="B138" s="5"/>
      <c r="C138" s="5"/>
      <c r="D138" s="5"/>
      <c r="E138" s="5"/>
      <c r="F138" s="5"/>
      <c r="G138" s="5"/>
      <c r="H138" s="5"/>
      <c r="I138" s="5"/>
      <c r="J138" s="5"/>
      <c r="K138" s="5"/>
      <c r="L138" s="5"/>
      <c r="M138" s="5"/>
      <c r="N138" s="5"/>
      <c r="O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spans="1:67" x14ac:dyDescent="0.2">
      <c r="A139" s="5"/>
      <c r="B139" s="5"/>
      <c r="C139" s="5"/>
      <c r="D139" s="5"/>
      <c r="E139" s="5"/>
      <c r="F139" s="5"/>
      <c r="G139" s="5"/>
      <c r="H139" s="5"/>
      <c r="I139" s="5"/>
      <c r="J139" s="5"/>
      <c r="K139" s="5"/>
      <c r="L139" s="5"/>
      <c r="M139" s="5"/>
      <c r="N139" s="5"/>
      <c r="O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spans="1:67" x14ac:dyDescent="0.2">
      <c r="A140" s="5"/>
      <c r="B140" s="5"/>
      <c r="C140" s="5"/>
      <c r="D140" s="5"/>
      <c r="E140" s="5"/>
      <c r="F140" s="5"/>
      <c r="G140" s="5"/>
      <c r="H140" s="5"/>
      <c r="I140" s="5"/>
      <c r="J140" s="5"/>
      <c r="K140" s="5"/>
      <c r="L140" s="5"/>
      <c r="M140" s="5"/>
      <c r="N140" s="5"/>
      <c r="O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spans="1:67" x14ac:dyDescent="0.2">
      <c r="A141" s="5"/>
      <c r="B141" s="5"/>
      <c r="C141" s="5"/>
      <c r="D141" s="5"/>
      <c r="E141" s="5"/>
      <c r="F141" s="5"/>
      <c r="G141" s="5"/>
      <c r="H141" s="5"/>
      <c r="I141" s="5"/>
      <c r="J141" s="5"/>
      <c r="K141" s="5"/>
      <c r="L141" s="5"/>
      <c r="M141" s="5"/>
      <c r="N141" s="5"/>
      <c r="O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spans="1:67" x14ac:dyDescent="0.2">
      <c r="A142" s="5"/>
      <c r="B142" s="5"/>
      <c r="C142" s="5"/>
      <c r="D142" s="5"/>
      <c r="E142" s="5"/>
      <c r="F142" s="5"/>
      <c r="G142" s="5"/>
      <c r="H142" s="5"/>
      <c r="I142" s="5"/>
      <c r="J142" s="5"/>
      <c r="K142" s="5"/>
      <c r="L142" s="5"/>
      <c r="M142" s="5"/>
      <c r="N142" s="5"/>
      <c r="O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spans="1:67" x14ac:dyDescent="0.2">
      <c r="A143" s="5"/>
      <c r="B143" s="5"/>
      <c r="C143" s="5"/>
      <c r="D143" s="5"/>
      <c r="E143" s="5"/>
      <c r="F143" s="5"/>
      <c r="G143" s="5"/>
      <c r="H143" s="5"/>
      <c r="I143" s="5"/>
      <c r="J143" s="5"/>
      <c r="K143" s="5"/>
      <c r="L143" s="5"/>
      <c r="M143" s="5"/>
      <c r="N143" s="5"/>
      <c r="O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spans="1:67" x14ac:dyDescent="0.2">
      <c r="A144" s="5"/>
      <c r="B144" s="5"/>
      <c r="C144" s="5"/>
      <c r="D144" s="5"/>
      <c r="E144" s="5"/>
      <c r="F144" s="5"/>
      <c r="G144" s="5"/>
      <c r="H144" s="5"/>
      <c r="I144" s="5"/>
      <c r="J144" s="5"/>
      <c r="K144" s="5"/>
      <c r="L144" s="5"/>
      <c r="M144" s="5"/>
      <c r="N144" s="5"/>
      <c r="O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spans="1:67" x14ac:dyDescent="0.2">
      <c r="A145" s="5"/>
      <c r="B145" s="5"/>
      <c r="C145" s="5"/>
      <c r="D145" s="5"/>
      <c r="E145" s="5"/>
      <c r="F145" s="5"/>
      <c r="G145" s="5"/>
      <c r="H145" s="5"/>
      <c r="I145" s="5"/>
      <c r="J145" s="5"/>
      <c r="K145" s="5"/>
      <c r="L145" s="5"/>
      <c r="N145" s="253"/>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spans="1:67" x14ac:dyDescent="0.2">
      <c r="A146" s="5"/>
      <c r="B146" s="5"/>
      <c r="C146" s="5"/>
      <c r="D146" s="5"/>
      <c r="E146" s="5"/>
      <c r="F146" s="5"/>
      <c r="G146" s="5"/>
      <c r="H146" s="5"/>
      <c r="I146" s="5"/>
      <c r="J146" s="5"/>
      <c r="K146" s="5"/>
      <c r="L146" s="5"/>
      <c r="M146" s="5"/>
      <c r="N146" s="5"/>
      <c r="O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spans="1:67" x14ac:dyDescent="0.2">
      <c r="A147" s="5"/>
      <c r="B147" s="5"/>
      <c r="C147" s="5"/>
      <c r="D147" s="5"/>
      <c r="E147" s="5"/>
      <c r="F147" s="5"/>
      <c r="G147" s="5"/>
      <c r="H147" s="5"/>
      <c r="I147" s="5"/>
      <c r="J147" s="5"/>
      <c r="K147" s="5"/>
      <c r="L147" s="5"/>
      <c r="M147" s="5"/>
      <c r="N147" s="5"/>
      <c r="O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spans="1:67" x14ac:dyDescent="0.2">
      <c r="A148" s="5"/>
      <c r="B148" s="5"/>
      <c r="C148" s="5"/>
      <c r="D148" s="5"/>
      <c r="E148" s="5"/>
      <c r="F148" s="5"/>
      <c r="G148" s="5"/>
      <c r="H148" s="5"/>
      <c r="I148" s="5"/>
      <c r="J148" s="5"/>
      <c r="K148" s="5"/>
      <c r="L148" s="5"/>
      <c r="M148" s="5"/>
      <c r="N148" s="5"/>
      <c r="O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spans="1:67" x14ac:dyDescent="0.2">
      <c r="A149" s="5"/>
      <c r="B149" s="5"/>
      <c r="C149" s="5"/>
      <c r="D149" s="5"/>
      <c r="E149" s="5"/>
      <c r="F149" s="5"/>
      <c r="G149" s="5"/>
      <c r="H149" s="5"/>
      <c r="I149" s="5"/>
      <c r="J149" s="5"/>
      <c r="K149" s="5"/>
      <c r="L149" s="5"/>
      <c r="M149" s="5"/>
      <c r="N149" s="5"/>
      <c r="O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spans="1:67" x14ac:dyDescent="0.2">
      <c r="A150" s="5"/>
      <c r="B150" s="5"/>
      <c r="C150" s="5"/>
      <c r="D150" s="5"/>
      <c r="E150" s="5"/>
      <c r="F150" s="5"/>
      <c r="G150" s="5"/>
      <c r="H150" s="5"/>
      <c r="I150" s="5"/>
      <c r="J150" s="5"/>
      <c r="K150" s="5"/>
      <c r="L150" s="5"/>
      <c r="M150" s="5"/>
      <c r="N150" s="5"/>
      <c r="O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spans="1:67" x14ac:dyDescent="0.2">
      <c r="A151" s="5"/>
      <c r="B151" s="5"/>
      <c r="C151" s="5"/>
      <c r="D151" s="5"/>
      <c r="E151" s="5"/>
      <c r="F151" s="5"/>
      <c r="G151" s="5"/>
      <c r="H151" s="5"/>
      <c r="I151" s="5"/>
      <c r="J151" s="5"/>
      <c r="K151" s="5"/>
      <c r="L151" s="5"/>
      <c r="M151" s="5"/>
      <c r="N151" s="5"/>
      <c r="O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spans="1:67" x14ac:dyDescent="0.2">
      <c r="A152" s="5"/>
      <c r="B152" s="5"/>
      <c r="C152" s="5"/>
      <c r="D152" s="5"/>
      <c r="E152" s="5"/>
      <c r="F152" s="5"/>
      <c r="G152" s="5"/>
      <c r="H152" s="5"/>
      <c r="I152" s="5"/>
      <c r="J152" s="5"/>
      <c r="K152" s="5"/>
      <c r="L152" s="5"/>
      <c r="M152" s="5"/>
      <c r="N152" s="5"/>
      <c r="O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spans="1:67" x14ac:dyDescent="0.2">
      <c r="A153" s="5"/>
      <c r="B153" s="5"/>
      <c r="C153" s="5"/>
      <c r="D153" s="5"/>
      <c r="E153" s="5"/>
      <c r="F153" s="5"/>
      <c r="G153" s="5"/>
      <c r="H153" s="5"/>
      <c r="I153" s="5"/>
      <c r="J153" s="5"/>
      <c r="K153" s="5"/>
      <c r="L153" s="5"/>
      <c r="M153" s="5"/>
      <c r="N153" s="5"/>
      <c r="O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spans="1:67" x14ac:dyDescent="0.2">
      <c r="A154" s="5"/>
      <c r="B154" s="5"/>
      <c r="C154" s="5"/>
      <c r="D154" s="5"/>
      <c r="E154" s="5"/>
      <c r="F154" s="5"/>
      <c r="G154" s="5"/>
      <c r="H154" s="5"/>
      <c r="I154" s="5"/>
      <c r="J154" s="5"/>
      <c r="K154" s="5"/>
      <c r="L154" s="5"/>
      <c r="M154" s="5"/>
      <c r="N154" s="5"/>
      <c r="O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spans="1:67" x14ac:dyDescent="0.2">
      <c r="A155" s="5"/>
      <c r="B155" s="5"/>
      <c r="C155" s="5"/>
      <c r="D155" s="5"/>
      <c r="E155" s="5"/>
      <c r="F155" s="5"/>
      <c r="G155" s="5"/>
      <c r="H155" s="5"/>
      <c r="I155" s="5"/>
      <c r="J155" s="5"/>
      <c r="K155" s="5"/>
      <c r="L155" s="5"/>
      <c r="N155" s="253"/>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spans="1:67"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spans="1:67"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spans="1:67"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spans="1:67"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spans="1:67"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spans="1:67"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spans="1:67"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spans="1:67"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spans="1:67"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spans="1:67"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spans="1:67"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spans="1:67"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spans="1:67"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spans="1:67"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spans="1:67"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spans="1:67"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spans="1:67"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spans="1:67"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spans="1:67"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spans="1:67"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spans="1:67"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spans="1:67"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spans="1:67"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spans="1:67"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spans="1:67"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spans="1:67"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spans="1:67"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spans="1:67"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spans="1:67"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spans="1:67"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spans="1:67"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spans="1:67"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spans="1:67" x14ac:dyDescent="0.2">
      <c r="A188" s="5"/>
      <c r="B188" s="5"/>
      <c r="C188" s="5"/>
      <c r="D188" s="5"/>
      <c r="E188" s="5"/>
      <c r="F188" s="5"/>
      <c r="G188" s="5"/>
      <c r="H188" s="5"/>
      <c r="I188" s="5"/>
      <c r="J188" s="5"/>
      <c r="K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spans="1:67" x14ac:dyDescent="0.2">
      <c r="A189" s="5"/>
      <c r="B189" s="5"/>
      <c r="C189" s="5"/>
      <c r="D189" s="5"/>
      <c r="E189" s="5"/>
      <c r="F189" s="5"/>
      <c r="G189" s="5"/>
      <c r="H189" s="5"/>
      <c r="I189" s="5"/>
      <c r="J189" s="5"/>
      <c r="K189" s="5"/>
      <c r="M189" s="5"/>
      <c r="N189" s="5"/>
      <c r="O189" s="5"/>
      <c r="P189" s="5"/>
      <c r="Q189" s="5"/>
      <c r="R189" s="5"/>
      <c r="S189" s="5"/>
      <c r="T189" s="5"/>
      <c r="U189" s="5"/>
      <c r="V189" s="5"/>
      <c r="W189" s="5"/>
      <c r="X189" s="5"/>
      <c r="Y189" s="5"/>
    </row>
    <row r="190" spans="1:67" x14ac:dyDescent="0.2">
      <c r="A190" s="5"/>
      <c r="B190" s="5"/>
      <c r="C190" s="5"/>
      <c r="D190" s="5"/>
      <c r="E190" s="5"/>
      <c r="F190" s="5"/>
      <c r="G190" s="5"/>
      <c r="H190" s="5"/>
      <c r="I190" s="5"/>
      <c r="J190" s="5"/>
      <c r="K190" s="5"/>
      <c r="M190" s="5"/>
      <c r="N190" s="5"/>
      <c r="O190" s="5"/>
      <c r="P190" s="5"/>
      <c r="Q190" s="5"/>
      <c r="R190" s="5"/>
      <c r="S190" s="5"/>
      <c r="T190" s="5"/>
      <c r="U190" s="5"/>
      <c r="V190" s="5"/>
      <c r="W190" s="5"/>
    </row>
    <row r="191" spans="1:67" x14ac:dyDescent="0.2">
      <c r="A191" s="5"/>
      <c r="B191" s="5"/>
      <c r="C191" s="5"/>
      <c r="D191" s="5"/>
      <c r="E191" s="5"/>
      <c r="F191" s="5"/>
      <c r="G191" s="5"/>
      <c r="H191" s="5"/>
      <c r="I191" s="5"/>
      <c r="J191" s="5"/>
      <c r="K191" s="5"/>
      <c r="M191" s="5"/>
      <c r="N191" s="5"/>
      <c r="O191" s="5"/>
      <c r="P191" s="5"/>
      <c r="Q191" s="5"/>
      <c r="R191" s="5"/>
      <c r="S191" s="5"/>
      <c r="T191" s="5"/>
      <c r="U191" s="5"/>
      <c r="V191" s="5"/>
    </row>
    <row r="192" spans="1:67" x14ac:dyDescent="0.2">
      <c r="A192" s="5"/>
      <c r="B192" s="5"/>
      <c r="C192" s="5"/>
      <c r="D192" s="5"/>
      <c r="E192" s="5"/>
      <c r="F192" s="5"/>
      <c r="G192" s="5"/>
      <c r="H192" s="5"/>
      <c r="I192" s="5"/>
      <c r="J192" s="5"/>
      <c r="K192" s="5"/>
      <c r="M192" s="5"/>
      <c r="N192" s="5"/>
      <c r="O192" s="5"/>
      <c r="P192" s="5"/>
      <c r="Q192" s="5"/>
      <c r="R192" s="5"/>
      <c r="S192" s="5"/>
      <c r="T192" s="5"/>
      <c r="U192" s="5"/>
    </row>
    <row r="193" spans="1:21" x14ac:dyDescent="0.2">
      <c r="A193" s="5"/>
      <c r="B193" s="5"/>
      <c r="C193" s="5"/>
      <c r="D193" s="5"/>
      <c r="E193" s="5"/>
      <c r="F193" s="5"/>
      <c r="G193" s="5"/>
      <c r="H193" s="5"/>
      <c r="I193" s="5"/>
      <c r="J193" s="5"/>
      <c r="K193" s="5"/>
      <c r="M193" s="5"/>
      <c r="N193" s="5"/>
      <c r="O193" s="5"/>
      <c r="P193" s="5"/>
      <c r="Q193" s="5"/>
      <c r="R193" s="5"/>
      <c r="S193" s="5"/>
      <c r="T193" s="5"/>
      <c r="U193" s="5"/>
    </row>
    <row r="194" spans="1:21" x14ac:dyDescent="0.2">
      <c r="A194" s="5"/>
      <c r="B194" s="5"/>
      <c r="C194" s="5"/>
      <c r="D194" s="5"/>
      <c r="E194" s="5"/>
      <c r="F194" s="5"/>
      <c r="G194" s="5"/>
      <c r="H194" s="5"/>
      <c r="I194" s="5"/>
      <c r="J194" s="5"/>
      <c r="K194" s="5"/>
      <c r="M194" s="5"/>
      <c r="N194" s="5"/>
      <c r="O194" s="5"/>
      <c r="P194" s="5"/>
      <c r="Q194" s="5"/>
      <c r="R194" s="5"/>
      <c r="S194" s="5"/>
      <c r="T194" s="5"/>
      <c r="U194" s="5"/>
    </row>
    <row r="195" spans="1:21" x14ac:dyDescent="0.2">
      <c r="A195" s="5"/>
      <c r="B195" s="5"/>
      <c r="C195" s="5"/>
      <c r="D195" s="5"/>
      <c r="E195" s="5"/>
      <c r="F195" s="5"/>
      <c r="G195" s="5"/>
      <c r="H195" s="5"/>
      <c r="I195" s="5"/>
      <c r="J195" s="5"/>
      <c r="K195" s="5"/>
      <c r="M195" s="5"/>
      <c r="N195" s="5"/>
      <c r="O195" s="5"/>
      <c r="P195" s="5"/>
      <c r="Q195" s="5"/>
      <c r="R195" s="5"/>
      <c r="S195" s="5"/>
      <c r="T195" s="5"/>
      <c r="U195" s="5"/>
    </row>
    <row r="196" spans="1:21" x14ac:dyDescent="0.2">
      <c r="A196" s="5"/>
      <c r="B196" s="5"/>
      <c r="C196" s="5"/>
      <c r="D196" s="5"/>
      <c r="E196" s="5"/>
      <c r="F196" s="5"/>
      <c r="G196" s="5"/>
      <c r="H196" s="5"/>
      <c r="I196" s="5"/>
      <c r="J196" s="5"/>
      <c r="K196" s="5"/>
      <c r="M196" s="5"/>
      <c r="N196" s="5"/>
      <c r="O196" s="5"/>
      <c r="P196" s="5"/>
      <c r="Q196" s="5"/>
      <c r="R196" s="5"/>
      <c r="S196" s="5"/>
      <c r="T196" s="5"/>
      <c r="U196" s="5"/>
    </row>
    <row r="197" spans="1:21" x14ac:dyDescent="0.2">
      <c r="A197" s="5"/>
      <c r="B197" s="5"/>
      <c r="C197" s="5"/>
      <c r="D197" s="5"/>
      <c r="E197" s="5"/>
      <c r="F197" s="5"/>
      <c r="G197" s="5"/>
      <c r="H197" s="5"/>
      <c r="I197" s="5"/>
      <c r="J197" s="5"/>
      <c r="K197" s="5"/>
      <c r="M197" s="5"/>
      <c r="N197" s="5"/>
      <c r="O197" s="5"/>
      <c r="P197" s="5"/>
      <c r="Q197" s="5"/>
      <c r="R197" s="5"/>
      <c r="S197" s="5"/>
      <c r="T197" s="5"/>
      <c r="U197" s="5"/>
    </row>
    <row r="198" spans="1:21" x14ac:dyDescent="0.2">
      <c r="A198" s="5"/>
      <c r="B198" s="5"/>
      <c r="C198" s="5"/>
      <c r="D198" s="5"/>
      <c r="E198" s="5"/>
      <c r="F198" s="5"/>
      <c r="G198" s="5"/>
      <c r="H198" s="5"/>
      <c r="I198" s="5"/>
      <c r="J198" s="5"/>
      <c r="K198" s="5"/>
      <c r="M198" s="5"/>
      <c r="N198" s="5"/>
      <c r="O198" s="5"/>
      <c r="P198" s="5"/>
      <c r="Q198" s="5"/>
      <c r="R198" s="5"/>
      <c r="S198" s="5"/>
      <c r="T198" s="5"/>
      <c r="U198" s="5"/>
    </row>
    <row r="199" spans="1:21" x14ac:dyDescent="0.2">
      <c r="A199" s="5"/>
      <c r="B199" s="5"/>
      <c r="C199" s="5"/>
      <c r="D199" s="5"/>
      <c r="E199" s="5"/>
      <c r="F199" s="5"/>
      <c r="G199" s="5"/>
      <c r="H199" s="5"/>
      <c r="I199" s="5"/>
      <c r="J199" s="5"/>
      <c r="K199" s="5"/>
      <c r="M199" s="5"/>
      <c r="N199" s="5"/>
      <c r="O199" s="5"/>
      <c r="P199" s="5"/>
      <c r="Q199" s="5"/>
      <c r="R199" s="5"/>
      <c r="S199" s="5"/>
      <c r="T199" s="5"/>
      <c r="U199" s="5"/>
    </row>
    <row r="200" spans="1:21" x14ac:dyDescent="0.2">
      <c r="A200" s="5"/>
      <c r="B200" s="5"/>
      <c r="C200" s="5"/>
      <c r="D200" s="5"/>
      <c r="E200" s="5"/>
      <c r="F200" s="5"/>
      <c r="G200" s="5"/>
      <c r="H200" s="5"/>
      <c r="I200" s="5"/>
      <c r="J200" s="5"/>
      <c r="K200" s="5"/>
      <c r="M200" s="5"/>
      <c r="N200" s="5"/>
      <c r="O200" s="5"/>
      <c r="P200" s="5"/>
      <c r="Q200" s="5"/>
      <c r="R200" s="5"/>
      <c r="S200" s="5"/>
      <c r="T200" s="5"/>
      <c r="U200" s="5"/>
    </row>
    <row r="201" spans="1:21" x14ac:dyDescent="0.2">
      <c r="A201" s="5"/>
      <c r="B201" s="5"/>
      <c r="C201" s="5"/>
      <c r="D201" s="5"/>
      <c r="E201" s="5"/>
      <c r="F201" s="5"/>
      <c r="G201" s="5"/>
      <c r="H201" s="5"/>
      <c r="I201" s="5"/>
      <c r="J201" s="5"/>
      <c r="K201" s="5"/>
      <c r="M201" s="5"/>
      <c r="N201" s="5"/>
      <c r="O201" s="5"/>
      <c r="P201" s="5"/>
      <c r="Q201" s="5"/>
      <c r="R201" s="5"/>
      <c r="S201" s="5"/>
      <c r="T201" s="5"/>
      <c r="U201" s="5"/>
    </row>
    <row r="202" spans="1:21" x14ac:dyDescent="0.2">
      <c r="A202" s="5"/>
      <c r="B202" s="5"/>
      <c r="C202" s="5"/>
      <c r="D202" s="5"/>
      <c r="E202" s="5"/>
      <c r="F202" s="5"/>
      <c r="G202" s="5"/>
      <c r="H202" s="5"/>
      <c r="I202" s="5"/>
      <c r="J202" s="5"/>
      <c r="K202" s="5"/>
      <c r="M202" s="5"/>
      <c r="N202" s="5"/>
      <c r="O202" s="5"/>
      <c r="P202" s="5"/>
      <c r="Q202" s="5"/>
      <c r="R202" s="5"/>
      <c r="S202" s="5"/>
      <c r="T202" s="5"/>
      <c r="U202" s="5"/>
    </row>
    <row r="203" spans="1:21" x14ac:dyDescent="0.2">
      <c r="M203" s="5"/>
      <c r="N203" s="5"/>
      <c r="O203" s="5"/>
      <c r="P203" s="5"/>
      <c r="Q203" s="5"/>
      <c r="R203" s="5"/>
      <c r="S203" s="5"/>
      <c r="T203" s="5"/>
      <c r="U203" s="5"/>
    </row>
    <row r="204" spans="1:21" x14ac:dyDescent="0.2">
      <c r="M204" s="5"/>
      <c r="N204" s="5"/>
      <c r="O204" s="5"/>
      <c r="P204" s="5"/>
      <c r="Q204" s="5"/>
      <c r="R204" s="5"/>
      <c r="S204" s="5"/>
      <c r="T204" s="5"/>
      <c r="U204" s="5"/>
    </row>
    <row r="205" spans="1:21" x14ac:dyDescent="0.2">
      <c r="M205" s="5"/>
      <c r="N205" s="5"/>
      <c r="O205" s="5"/>
      <c r="P205" s="5"/>
      <c r="Q205" s="5"/>
      <c r="R205" s="5"/>
      <c r="S205" s="5"/>
      <c r="T205" s="5"/>
      <c r="U205" s="5"/>
    </row>
    <row r="206" spans="1:21" x14ac:dyDescent="0.2">
      <c r="M206" s="5"/>
      <c r="N206" s="5"/>
      <c r="O206" s="5"/>
      <c r="P206" s="5"/>
      <c r="Q206" s="5"/>
      <c r="R206" s="5"/>
      <c r="S206" s="5"/>
      <c r="T206" s="5"/>
      <c r="U206" s="5"/>
    </row>
    <row r="207" spans="1:21" x14ac:dyDescent="0.2">
      <c r="M207" s="5"/>
      <c r="N207" s="5"/>
      <c r="O207" s="5"/>
      <c r="P207" s="5"/>
      <c r="Q207" s="5"/>
      <c r="R207" s="5"/>
      <c r="S207" s="5"/>
      <c r="T207" s="5"/>
      <c r="U207" s="5"/>
    </row>
    <row r="208" spans="1:21" x14ac:dyDescent="0.2">
      <c r="M208" s="5"/>
      <c r="N208" s="5"/>
      <c r="O208" s="5"/>
      <c r="P208" s="5"/>
      <c r="Q208" s="5"/>
      <c r="R208" s="5"/>
      <c r="S208" s="5"/>
      <c r="T208" s="5"/>
      <c r="U208" s="5"/>
    </row>
    <row r="209" spans="13:21" x14ac:dyDescent="0.2">
      <c r="M209" s="5"/>
      <c r="N209" s="5"/>
      <c r="O209" s="5"/>
      <c r="P209" s="5"/>
      <c r="Q209" s="5"/>
      <c r="R209" s="5"/>
      <c r="S209" s="5"/>
      <c r="T209" s="5"/>
      <c r="U209" s="5"/>
    </row>
    <row r="210" spans="13:21" x14ac:dyDescent="0.2">
      <c r="M210" s="5"/>
      <c r="N210" s="5"/>
      <c r="O210" s="5"/>
      <c r="P210" s="5"/>
      <c r="Q210" s="5"/>
      <c r="R210" s="5"/>
      <c r="S210" s="5"/>
      <c r="T210" s="5"/>
      <c r="U210" s="5"/>
    </row>
    <row r="211" spans="13:21" x14ac:dyDescent="0.2">
      <c r="M211" s="5"/>
      <c r="N211" s="5"/>
      <c r="O211" s="5"/>
      <c r="P211" s="5"/>
      <c r="Q211" s="5"/>
      <c r="R211" s="5"/>
      <c r="S211" s="5"/>
      <c r="T211" s="5"/>
      <c r="U211" s="5"/>
    </row>
    <row r="212" spans="13:21" x14ac:dyDescent="0.2">
      <c r="M212" s="5"/>
      <c r="N212" s="5"/>
      <c r="O212" s="5"/>
      <c r="P212" s="5"/>
      <c r="Q212" s="5"/>
      <c r="R212" s="5"/>
      <c r="S212" s="5"/>
      <c r="T212" s="5"/>
      <c r="U212" s="5"/>
    </row>
    <row r="213" spans="13:21" x14ac:dyDescent="0.2">
      <c r="M213" s="5"/>
      <c r="N213" s="5"/>
      <c r="O213" s="5"/>
      <c r="P213" s="5"/>
      <c r="Q213" s="5"/>
      <c r="R213" s="5"/>
      <c r="S213" s="5"/>
      <c r="T213" s="5"/>
      <c r="U213" s="5"/>
    </row>
    <row r="214" spans="13:21" x14ac:dyDescent="0.2">
      <c r="M214" s="5"/>
      <c r="N214" s="5"/>
      <c r="O214" s="5"/>
      <c r="P214" s="5"/>
      <c r="Q214" s="5"/>
      <c r="R214" s="5"/>
      <c r="S214" s="5"/>
      <c r="T214" s="5"/>
      <c r="U214" s="5"/>
    </row>
    <row r="215" spans="13:21" x14ac:dyDescent="0.2">
      <c r="M215" s="5"/>
      <c r="N215" s="5"/>
      <c r="O215" s="5"/>
      <c r="P215" s="5"/>
      <c r="Q215" s="5"/>
      <c r="R215" s="5"/>
      <c r="S215" s="5"/>
      <c r="T215" s="5"/>
      <c r="U215" s="5"/>
    </row>
    <row r="216" spans="13:21" x14ac:dyDescent="0.2">
      <c r="M216" s="5"/>
      <c r="N216" s="5"/>
      <c r="O216" s="5"/>
      <c r="P216" s="5"/>
      <c r="Q216" s="5"/>
      <c r="R216" s="5"/>
      <c r="S216" s="5"/>
      <c r="T216" s="5"/>
      <c r="U216" s="5"/>
    </row>
    <row r="217" spans="13:21" x14ac:dyDescent="0.2">
      <c r="M217" s="5"/>
      <c r="N217" s="5"/>
      <c r="O217" s="5"/>
      <c r="P217" s="5"/>
      <c r="Q217" s="5"/>
      <c r="R217" s="5"/>
      <c r="S217" s="5"/>
      <c r="T217" s="5"/>
      <c r="U217" s="5"/>
    </row>
    <row r="218" spans="13:21" x14ac:dyDescent="0.2">
      <c r="M218" s="5"/>
      <c r="N218" s="5"/>
      <c r="O218" s="5"/>
      <c r="P218" s="5"/>
      <c r="Q218" s="5"/>
      <c r="R218" s="5"/>
      <c r="S218" s="5"/>
      <c r="T218" s="5"/>
      <c r="U218" s="5"/>
    </row>
    <row r="219" spans="13:21" x14ac:dyDescent="0.2">
      <c r="M219" s="5"/>
      <c r="N219" s="5"/>
      <c r="O219" s="5"/>
      <c r="P219" s="5"/>
      <c r="Q219" s="5"/>
      <c r="R219" s="5"/>
      <c r="S219" s="5"/>
      <c r="T219" s="5"/>
      <c r="U219" s="5"/>
    </row>
    <row r="220" spans="13:21" x14ac:dyDescent="0.2">
      <c r="M220" s="5"/>
      <c r="N220" s="5"/>
      <c r="O220" s="5"/>
      <c r="P220" s="5"/>
      <c r="Q220" s="5"/>
      <c r="R220" s="5"/>
      <c r="S220" s="5"/>
      <c r="T220" s="5"/>
      <c r="U220" s="5"/>
    </row>
    <row r="221" spans="13:21" x14ac:dyDescent="0.2">
      <c r="M221" s="5"/>
      <c r="N221" s="5"/>
      <c r="O221" s="5"/>
      <c r="P221" s="5"/>
      <c r="Q221" s="5"/>
      <c r="R221" s="5"/>
      <c r="S221" s="5"/>
      <c r="T221" s="5"/>
      <c r="U221" s="5"/>
    </row>
    <row r="222" spans="13:21" x14ac:dyDescent="0.2">
      <c r="M222" s="5"/>
      <c r="N222" s="5"/>
      <c r="O222" s="5"/>
      <c r="P222" s="5"/>
      <c r="Q222" s="5"/>
      <c r="R222" s="5"/>
      <c r="S222" s="5"/>
      <c r="T222" s="5"/>
      <c r="U222" s="5"/>
    </row>
    <row r="223" spans="13:21" x14ac:dyDescent="0.2">
      <c r="M223" s="5"/>
      <c r="N223" s="5"/>
      <c r="O223" s="5"/>
      <c r="P223" s="5"/>
      <c r="Q223" s="5"/>
      <c r="R223" s="5"/>
      <c r="S223" s="5"/>
      <c r="T223" s="5"/>
      <c r="U223" s="5"/>
    </row>
    <row r="224" spans="13:21" x14ac:dyDescent="0.2">
      <c r="M224" s="5"/>
      <c r="N224" s="5"/>
      <c r="O224" s="5"/>
      <c r="P224" s="5"/>
      <c r="Q224" s="5"/>
      <c r="R224" s="5"/>
      <c r="S224" s="5"/>
      <c r="T224" s="5"/>
      <c r="U224" s="5"/>
    </row>
    <row r="225" spans="13:21" x14ac:dyDescent="0.2">
      <c r="M225" s="5"/>
      <c r="N225" s="5"/>
      <c r="O225" s="5"/>
      <c r="P225" s="5"/>
      <c r="Q225" s="5"/>
      <c r="R225" s="5"/>
      <c r="S225" s="5"/>
      <c r="T225" s="5"/>
      <c r="U225" s="5"/>
    </row>
    <row r="226" spans="13:21" x14ac:dyDescent="0.2">
      <c r="M226" s="5"/>
      <c r="N226" s="5"/>
      <c r="O226" s="5"/>
      <c r="P226" s="5"/>
      <c r="Q226" s="5"/>
      <c r="R226" s="5"/>
      <c r="S226" s="5"/>
      <c r="T226" s="5"/>
      <c r="U226" s="5"/>
    </row>
    <row r="227" spans="13:21" x14ac:dyDescent="0.2">
      <c r="M227" s="5"/>
      <c r="N227" s="5"/>
      <c r="O227" s="5"/>
      <c r="P227" s="5"/>
      <c r="Q227" s="5"/>
      <c r="R227" s="5"/>
      <c r="S227" s="5"/>
      <c r="T227" s="5"/>
      <c r="U227" s="5"/>
    </row>
    <row r="228" spans="13:21" x14ac:dyDescent="0.2">
      <c r="M228" s="5"/>
      <c r="N228" s="5"/>
      <c r="O228" s="5"/>
      <c r="P228" s="5"/>
      <c r="Q228" s="5"/>
      <c r="R228" s="5"/>
      <c r="S228" s="5"/>
      <c r="T228" s="5"/>
      <c r="U228" s="5"/>
    </row>
    <row r="229" spans="13:21" x14ac:dyDescent="0.2">
      <c r="M229" s="5"/>
      <c r="N229" s="5"/>
      <c r="O229" s="5"/>
      <c r="P229" s="5"/>
      <c r="Q229" s="5"/>
      <c r="R229" s="5"/>
      <c r="S229" s="5"/>
      <c r="T229" s="5"/>
      <c r="U229" s="5"/>
    </row>
    <row r="230" spans="13:21" x14ac:dyDescent="0.2">
      <c r="M230" s="5"/>
      <c r="N230" s="5"/>
      <c r="O230" s="5"/>
      <c r="P230" s="5"/>
      <c r="Q230" s="5"/>
      <c r="R230" s="5"/>
      <c r="S230" s="5"/>
      <c r="T230" s="5"/>
      <c r="U230" s="5"/>
    </row>
    <row r="231" spans="13:21" x14ac:dyDescent="0.2">
      <c r="M231" s="5"/>
      <c r="N231" s="5"/>
      <c r="O231" s="5"/>
      <c r="P231" s="5"/>
      <c r="Q231" s="5"/>
      <c r="R231" s="5"/>
      <c r="S231" s="5"/>
      <c r="T231" s="5"/>
      <c r="U231" s="5"/>
    </row>
    <row r="232" spans="13:21" x14ac:dyDescent="0.2">
      <c r="M232" s="5"/>
      <c r="N232" s="5"/>
      <c r="O232" s="5"/>
      <c r="P232" s="5"/>
      <c r="Q232" s="5"/>
      <c r="R232" s="5"/>
      <c r="S232" s="5"/>
      <c r="T232" s="5"/>
      <c r="U232" s="5"/>
    </row>
    <row r="233" spans="13:21" x14ac:dyDescent="0.2">
      <c r="M233" s="5"/>
      <c r="N233" s="5"/>
      <c r="O233" s="5"/>
      <c r="P233" s="5"/>
      <c r="Q233" s="5"/>
      <c r="R233" s="5"/>
      <c r="S233" s="5"/>
      <c r="T233" s="5"/>
      <c r="U233" s="5"/>
    </row>
    <row r="234" spans="13:21" x14ac:dyDescent="0.2">
      <c r="M234" s="5"/>
      <c r="N234" s="5"/>
      <c r="O234" s="5"/>
      <c r="P234" s="5"/>
      <c r="Q234" s="5"/>
      <c r="R234" s="5"/>
      <c r="S234" s="5"/>
      <c r="T234" s="5"/>
      <c r="U234" s="5"/>
    </row>
    <row r="235" spans="13:21" x14ac:dyDescent="0.2">
      <c r="M235" s="5"/>
      <c r="N235" s="5"/>
      <c r="O235" s="5"/>
      <c r="P235" s="5"/>
      <c r="Q235" s="5"/>
      <c r="R235" s="5"/>
      <c r="S235" s="5"/>
      <c r="T235" s="5"/>
      <c r="U235" s="5"/>
    </row>
    <row r="236" spans="13:21" x14ac:dyDescent="0.2">
      <c r="M236" s="5"/>
      <c r="N236" s="5"/>
      <c r="O236" s="5"/>
      <c r="P236" s="5"/>
      <c r="Q236" s="5"/>
      <c r="R236" s="5"/>
      <c r="S236" s="5"/>
      <c r="T236" s="5"/>
      <c r="U236" s="5"/>
    </row>
    <row r="237" spans="13:21" x14ac:dyDescent="0.2">
      <c r="M237" s="5"/>
      <c r="N237" s="5"/>
      <c r="O237" s="5"/>
      <c r="P237" s="5"/>
      <c r="Q237" s="5"/>
      <c r="R237" s="5"/>
      <c r="S237" s="5"/>
      <c r="T237" s="5"/>
      <c r="U237" s="5"/>
    </row>
    <row r="238" spans="13:21" x14ac:dyDescent="0.2">
      <c r="M238" s="5"/>
      <c r="N238" s="5"/>
      <c r="O238" s="5"/>
      <c r="P238" s="5"/>
      <c r="Q238" s="5"/>
      <c r="R238" s="5"/>
      <c r="S238" s="5"/>
      <c r="T238" s="5"/>
      <c r="U238" s="5"/>
    </row>
    <row r="239" spans="13:21" x14ac:dyDescent="0.2">
      <c r="M239" s="5"/>
      <c r="N239" s="5"/>
      <c r="O239" s="5"/>
      <c r="P239" s="5"/>
      <c r="Q239" s="5"/>
      <c r="R239" s="5"/>
      <c r="S239" s="5"/>
      <c r="T239" s="5"/>
      <c r="U239" s="5"/>
    </row>
    <row r="240" spans="13:21" x14ac:dyDescent="0.2">
      <c r="M240" s="5"/>
      <c r="N240" s="5"/>
      <c r="O240" s="5"/>
      <c r="P240" s="5"/>
      <c r="Q240" s="5"/>
      <c r="R240" s="5"/>
      <c r="S240" s="5"/>
      <c r="T240" s="5"/>
      <c r="U240" s="5"/>
    </row>
    <row r="241" spans="13:21" x14ac:dyDescent="0.2">
      <c r="M241" s="5"/>
      <c r="N241" s="5"/>
      <c r="O241" s="5"/>
      <c r="P241" s="5"/>
      <c r="Q241" s="5"/>
      <c r="R241" s="5"/>
      <c r="S241" s="5"/>
      <c r="T241" s="5"/>
      <c r="U241" s="5"/>
    </row>
    <row r="242" spans="13:21" x14ac:dyDescent="0.2">
      <c r="M242" s="5"/>
      <c r="N242" s="5"/>
      <c r="O242" s="5"/>
      <c r="P242" s="5"/>
      <c r="Q242" s="5"/>
      <c r="R242" s="5"/>
      <c r="S242" s="5"/>
      <c r="T242" s="5"/>
      <c r="U242" s="5"/>
    </row>
    <row r="243" spans="13:21" x14ac:dyDescent="0.2">
      <c r="M243" s="5"/>
      <c r="N243" s="5"/>
      <c r="O243" s="5"/>
      <c r="P243" s="5"/>
      <c r="Q243" s="5"/>
      <c r="R243" s="5"/>
      <c r="S243" s="5"/>
      <c r="T243" s="5"/>
      <c r="U243" s="5"/>
    </row>
    <row r="244" spans="13:21" x14ac:dyDescent="0.2">
      <c r="M244" s="5"/>
      <c r="N244" s="5"/>
      <c r="O244" s="5"/>
      <c r="P244" s="5"/>
      <c r="Q244" s="5"/>
      <c r="R244" s="5"/>
      <c r="S244" s="5"/>
      <c r="T244" s="5"/>
      <c r="U244" s="5"/>
    </row>
    <row r="245" spans="13:21" x14ac:dyDescent="0.2">
      <c r="M245" s="5"/>
      <c r="N245" s="5"/>
      <c r="O245" s="5"/>
      <c r="P245" s="5"/>
      <c r="Q245" s="5"/>
      <c r="R245" s="5"/>
      <c r="S245" s="5"/>
      <c r="T245" s="5"/>
      <c r="U245" s="5"/>
    </row>
    <row r="246" spans="13:21" x14ac:dyDescent="0.2">
      <c r="M246" s="5"/>
      <c r="N246" s="5"/>
      <c r="O246" s="5"/>
      <c r="P246" s="5"/>
      <c r="Q246" s="5"/>
      <c r="R246" s="5"/>
      <c r="S246" s="5"/>
      <c r="T246" s="5"/>
      <c r="U246" s="5"/>
    </row>
    <row r="247" spans="13:21" x14ac:dyDescent="0.2">
      <c r="M247" s="5"/>
      <c r="N247" s="5"/>
      <c r="O247" s="5"/>
      <c r="P247" s="5"/>
      <c r="Q247" s="5"/>
      <c r="R247" s="5"/>
      <c r="S247" s="5"/>
      <c r="T247" s="5"/>
      <c r="U247" s="5"/>
    </row>
    <row r="248" spans="13:21" x14ac:dyDescent="0.2">
      <c r="M248" s="5"/>
      <c r="N248" s="5"/>
      <c r="O248" s="5"/>
      <c r="P248" s="5"/>
      <c r="Q248" s="5"/>
      <c r="R248" s="5"/>
      <c r="S248" s="5"/>
      <c r="T248" s="5"/>
      <c r="U248" s="5"/>
    </row>
    <row r="249" spans="13:21" x14ac:dyDescent="0.2">
      <c r="M249" s="5"/>
      <c r="N249" s="5"/>
      <c r="O249" s="5"/>
      <c r="P249" s="5"/>
      <c r="Q249" s="5"/>
      <c r="R249" s="5"/>
      <c r="S249" s="5"/>
      <c r="T249" s="5"/>
      <c r="U249" s="5"/>
    </row>
    <row r="250" spans="13:21" x14ac:dyDescent="0.2">
      <c r="M250" s="5"/>
      <c r="N250" s="5"/>
      <c r="O250" s="5"/>
      <c r="P250" s="5"/>
      <c r="Q250" s="5"/>
      <c r="R250" s="5"/>
      <c r="S250" s="5"/>
      <c r="T250" s="5"/>
      <c r="U250" s="5"/>
    </row>
    <row r="251" spans="13:21" x14ac:dyDescent="0.2">
      <c r="M251" s="5"/>
      <c r="N251" s="5"/>
      <c r="O251" s="5"/>
      <c r="P251" s="5"/>
      <c r="Q251" s="5"/>
      <c r="R251" s="5"/>
      <c r="S251" s="5"/>
      <c r="T251" s="5"/>
      <c r="U251" s="5"/>
    </row>
    <row r="252" spans="13:21" x14ac:dyDescent="0.2">
      <c r="M252" s="5"/>
      <c r="N252" s="5"/>
      <c r="O252" s="5"/>
      <c r="P252" s="5"/>
      <c r="Q252" s="5"/>
      <c r="R252" s="5"/>
      <c r="S252" s="5"/>
      <c r="T252" s="5"/>
      <c r="U252" s="5"/>
    </row>
    <row r="253" spans="13:21" x14ac:dyDescent="0.2">
      <c r="M253" s="5"/>
      <c r="N253" s="5"/>
      <c r="O253" s="5"/>
      <c r="P253" s="5"/>
      <c r="Q253" s="5"/>
      <c r="R253" s="5"/>
      <c r="S253" s="5"/>
      <c r="T253" s="5"/>
      <c r="U253" s="5"/>
    </row>
    <row r="254" spans="13:21" x14ac:dyDescent="0.2">
      <c r="M254" s="5"/>
      <c r="N254" s="5"/>
      <c r="O254" s="5"/>
      <c r="P254" s="5"/>
      <c r="Q254" s="5"/>
      <c r="R254" s="5"/>
      <c r="S254" s="5"/>
      <c r="T254" s="5"/>
      <c r="U254" s="5"/>
    </row>
    <row r="255" spans="13:21" x14ac:dyDescent="0.2">
      <c r="M255" s="5"/>
      <c r="N255" s="5"/>
      <c r="O255" s="5"/>
      <c r="P255" s="5"/>
      <c r="Q255" s="5"/>
      <c r="R255" s="5"/>
      <c r="S255" s="5"/>
      <c r="T255" s="5"/>
      <c r="U255" s="5"/>
    </row>
    <row r="256" spans="13:21" x14ac:dyDescent="0.2">
      <c r="M256" s="5"/>
      <c r="N256" s="5"/>
      <c r="O256" s="5"/>
      <c r="P256" s="5"/>
      <c r="Q256" s="5"/>
      <c r="R256" s="5"/>
      <c r="S256" s="5"/>
      <c r="T256" s="5"/>
      <c r="U256" s="5"/>
    </row>
    <row r="257" spans="13:21" x14ac:dyDescent="0.2">
      <c r="M257" s="5"/>
      <c r="N257" s="5"/>
      <c r="O257" s="5"/>
      <c r="P257" s="5"/>
      <c r="Q257" s="5"/>
      <c r="R257" s="5"/>
      <c r="S257" s="5"/>
      <c r="T257" s="5"/>
      <c r="U257" s="5"/>
    </row>
  </sheetData>
  <sortState xmlns:xlrd2="http://schemas.microsoft.com/office/spreadsheetml/2017/richdata2" ref="Q75:Q94">
    <sortCondition ref="Q75:Q94"/>
  </sortState>
  <mergeCells count="16">
    <mergeCell ref="M69:T71"/>
    <mergeCell ref="N112:Q112"/>
    <mergeCell ref="M98:T105"/>
    <mergeCell ref="M32:T34"/>
    <mergeCell ref="B31:J32"/>
    <mergeCell ref="O42:R42"/>
    <mergeCell ref="M52:T53"/>
    <mergeCell ref="O58:R58"/>
    <mergeCell ref="O65:Q65"/>
    <mergeCell ref="B3:J4"/>
    <mergeCell ref="M13:T14"/>
    <mergeCell ref="M26:Q28"/>
    <mergeCell ref="C6:G6"/>
    <mergeCell ref="C15:C16"/>
    <mergeCell ref="N6:Q6"/>
    <mergeCell ref="N18:Q18"/>
  </mergeCells>
  <pageMargins left="0.7" right="0.7" top="0.75" bottom="0.75" header="0.3" footer="0.3"/>
  <pageSetup orientation="portrait" horizontalDpi="0"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C9D16-ED90-5F4C-ADB5-3A6E2AB132C5}">
  <dimension ref="A1:BL201"/>
  <sheetViews>
    <sheetView zoomScaleNormal="100" workbookViewId="0"/>
  </sheetViews>
  <sheetFormatPr baseColWidth="10" defaultColWidth="10.83203125" defaultRowHeight="16" customHeight="1" outlineLevelCol="1" x14ac:dyDescent="0.2"/>
  <cols>
    <col min="1" max="1" width="4.6640625" style="259" customWidth="1"/>
    <col min="2" max="2" width="10.83203125" style="259"/>
    <col min="3" max="3" width="10.83203125" style="259" customWidth="1"/>
    <col min="4" max="11" width="10.83203125" style="259"/>
    <col min="12" max="12" width="11.5" style="259" bestFit="1" customWidth="1"/>
    <col min="13" max="19" width="10.83203125" style="259" hidden="1" customWidth="1" outlineLevel="1"/>
    <col min="20" max="20" width="10.83203125" style="259" collapsed="1"/>
    <col min="21" max="16384" width="10.83203125" style="259"/>
  </cols>
  <sheetData>
    <row r="1" spans="1:20" ht="16" customHeight="1" x14ac:dyDescent="0.25">
      <c r="A1" s="149" t="s">
        <v>604</v>
      </c>
      <c r="B1" s="260"/>
      <c r="C1" s="260"/>
      <c r="D1" s="260"/>
      <c r="E1" s="260"/>
      <c r="F1" s="260"/>
      <c r="G1" s="260"/>
      <c r="H1" s="260"/>
      <c r="I1" s="260"/>
      <c r="J1" s="261"/>
      <c r="K1" s="262"/>
      <c r="L1" s="263" t="s">
        <v>146</v>
      </c>
    </row>
    <row r="2" spans="1:20" ht="16" customHeight="1" x14ac:dyDescent="0.2">
      <c r="A2" s="252"/>
      <c r="B2" s="249"/>
      <c r="C2" s="249"/>
      <c r="D2" s="249"/>
      <c r="E2" s="249"/>
      <c r="F2" s="249"/>
      <c r="G2" s="249"/>
      <c r="H2" s="249"/>
      <c r="I2" s="249"/>
      <c r="J2" s="264"/>
      <c r="K2" s="265"/>
      <c r="M2" s="357"/>
      <c r="N2" s="358"/>
      <c r="O2" s="358"/>
      <c r="P2" s="358"/>
      <c r="Q2" s="358"/>
      <c r="R2" s="358"/>
      <c r="S2" s="358"/>
    </row>
    <row r="3" spans="1:20" ht="16" customHeight="1" x14ac:dyDescent="0.2">
      <c r="A3" s="266"/>
      <c r="B3" s="264"/>
      <c r="C3" s="264"/>
      <c r="D3" s="264"/>
      <c r="E3" s="264"/>
      <c r="F3" s="264"/>
      <c r="G3" s="264"/>
      <c r="H3" s="264"/>
      <c r="I3" s="264"/>
      <c r="J3" s="264"/>
      <c r="K3" s="265"/>
      <c r="M3" s="363" t="s">
        <v>3</v>
      </c>
      <c r="N3"/>
      <c r="O3"/>
      <c r="P3"/>
      <c r="Q3"/>
      <c r="R3"/>
      <c r="S3" s="358"/>
    </row>
    <row r="4" spans="1:20" ht="16" customHeight="1" x14ac:dyDescent="0.2">
      <c r="A4" s="266"/>
      <c r="B4" s="249" t="s">
        <v>0</v>
      </c>
      <c r="C4" s="264"/>
      <c r="D4" s="264"/>
      <c r="E4" s="264"/>
      <c r="F4" s="264"/>
      <c r="G4" s="264"/>
      <c r="H4" s="264"/>
      <c r="I4" s="264"/>
      <c r="J4" s="264"/>
      <c r="K4" s="265"/>
      <c r="M4" s="413" t="s">
        <v>514</v>
      </c>
      <c r="N4" s="413"/>
      <c r="O4" s="413"/>
      <c r="P4" s="413"/>
      <c r="Q4" s="413"/>
      <c r="R4" s="413"/>
      <c r="S4" s="413"/>
    </row>
    <row r="5" spans="1:20" ht="16" customHeight="1" x14ac:dyDescent="0.2">
      <c r="A5" s="266"/>
      <c r="B5" s="427" t="s">
        <v>553</v>
      </c>
      <c r="C5" s="427"/>
      <c r="D5" s="427"/>
      <c r="E5" s="427"/>
      <c r="F5" s="427"/>
      <c r="G5" s="427"/>
      <c r="H5" s="427"/>
      <c r="I5" s="427"/>
      <c r="J5" s="427"/>
      <c r="K5" s="265"/>
      <c r="M5" s="413"/>
      <c r="N5" s="413"/>
      <c r="O5" s="413"/>
      <c r="P5" s="413"/>
      <c r="Q5" s="413"/>
      <c r="R5" s="413"/>
      <c r="S5" s="413"/>
    </row>
    <row r="6" spans="1:20" ht="16" customHeight="1" x14ac:dyDescent="0.2">
      <c r="A6" s="266"/>
      <c r="B6" s="427"/>
      <c r="C6" s="427"/>
      <c r="D6" s="427"/>
      <c r="E6" s="427"/>
      <c r="F6" s="427"/>
      <c r="G6" s="427"/>
      <c r="H6" s="427"/>
      <c r="I6" s="427"/>
      <c r="J6" s="427"/>
      <c r="K6" s="265"/>
      <c r="M6" s="413"/>
      <c r="N6" s="413"/>
      <c r="O6" s="413"/>
      <c r="P6" s="413"/>
      <c r="Q6" s="413"/>
      <c r="R6" s="413"/>
      <c r="S6" s="413"/>
    </row>
    <row r="7" spans="1:20" ht="16" customHeight="1" x14ac:dyDescent="0.2">
      <c r="A7" s="266"/>
      <c r="B7" s="249"/>
      <c r="C7" s="264"/>
      <c r="D7" s="264"/>
      <c r="E7" s="264"/>
      <c r="F7" s="264"/>
      <c r="G7" s="264"/>
      <c r="H7" s="264"/>
      <c r="I7" s="264"/>
      <c r="J7" s="264"/>
      <c r="K7" s="265"/>
      <c r="M7" s="413"/>
      <c r="N7" s="413"/>
      <c r="O7" s="413"/>
      <c r="P7" s="413"/>
      <c r="Q7" s="413"/>
      <c r="R7" s="413"/>
      <c r="S7" s="413"/>
    </row>
    <row r="8" spans="1:20" ht="16" customHeight="1" x14ac:dyDescent="0.2">
      <c r="A8" s="266"/>
      <c r="B8" s="249" t="s">
        <v>1</v>
      </c>
      <c r="C8" s="264"/>
      <c r="D8" s="264"/>
      <c r="E8" s="264"/>
      <c r="F8" s="264"/>
      <c r="G8" s="264"/>
      <c r="H8" s="264"/>
      <c r="I8" s="264"/>
      <c r="J8" s="264"/>
      <c r="K8" s="265"/>
      <c r="M8" s="413"/>
      <c r="N8" s="413"/>
      <c r="O8" s="413"/>
      <c r="P8" s="413"/>
      <c r="Q8" s="413"/>
      <c r="R8" s="413"/>
      <c r="S8" s="413"/>
    </row>
    <row r="9" spans="1:20" ht="16" customHeight="1" x14ac:dyDescent="0.2">
      <c r="A9" s="266"/>
      <c r="B9" s="427" t="s">
        <v>509</v>
      </c>
      <c r="C9" s="427"/>
      <c r="D9" s="427"/>
      <c r="E9" s="427"/>
      <c r="F9" s="427"/>
      <c r="G9" s="427"/>
      <c r="H9" s="427"/>
      <c r="I9" s="427"/>
      <c r="J9" s="427"/>
      <c r="K9" s="265"/>
      <c r="M9" s="413"/>
      <c r="N9" s="413"/>
      <c r="O9" s="413"/>
      <c r="P9" s="413"/>
      <c r="Q9" s="413"/>
      <c r="R9" s="413"/>
      <c r="S9" s="413"/>
    </row>
    <row r="10" spans="1:20" ht="16" customHeight="1" x14ac:dyDescent="0.2">
      <c r="A10" s="266"/>
      <c r="B10" s="427"/>
      <c r="C10" s="427"/>
      <c r="D10" s="427"/>
      <c r="E10" s="427"/>
      <c r="F10" s="427"/>
      <c r="G10" s="427"/>
      <c r="H10" s="427"/>
      <c r="I10" s="427"/>
      <c r="J10" s="427"/>
      <c r="K10" s="265"/>
      <c r="M10" s="413"/>
      <c r="N10" s="413"/>
      <c r="O10" s="413"/>
      <c r="P10" s="413"/>
      <c r="Q10" s="413"/>
      <c r="R10" s="413"/>
      <c r="S10" s="413"/>
    </row>
    <row r="11" spans="1:20" ht="16" customHeight="1" x14ac:dyDescent="0.2">
      <c r="A11" s="266"/>
      <c r="B11" s="264"/>
      <c r="C11" s="264"/>
      <c r="D11" s="264"/>
      <c r="E11" s="264"/>
      <c r="F11" s="264"/>
      <c r="G11" s="264"/>
      <c r="H11" s="264"/>
      <c r="I11" s="264"/>
      <c r="J11" s="264"/>
      <c r="K11" s="265"/>
      <c r="M11" s="413"/>
      <c r="N11" s="413"/>
      <c r="O11" s="413"/>
      <c r="P11" s="413"/>
      <c r="Q11" s="413"/>
      <c r="R11" s="413"/>
      <c r="S11" s="413"/>
    </row>
    <row r="12" spans="1:20" ht="16" customHeight="1" thickBot="1" x14ac:dyDescent="0.25">
      <c r="A12" s="267"/>
      <c r="B12" s="268"/>
      <c r="C12" s="268"/>
      <c r="D12" s="268"/>
      <c r="E12" s="268"/>
      <c r="F12" s="268"/>
      <c r="G12" s="268"/>
      <c r="H12" s="268"/>
      <c r="I12" s="268"/>
      <c r="J12" s="268"/>
      <c r="K12" s="269"/>
      <c r="M12" s="413"/>
      <c r="N12" s="413"/>
      <c r="O12" s="413"/>
      <c r="P12" s="413"/>
      <c r="Q12" s="413"/>
      <c r="R12" s="413"/>
      <c r="S12" s="413"/>
    </row>
    <row r="13" spans="1:20" ht="16" customHeight="1" x14ac:dyDescent="0.2">
      <c r="M13" s="413"/>
      <c r="N13" s="413"/>
      <c r="O13" s="413"/>
      <c r="P13" s="413"/>
      <c r="Q13" s="413"/>
      <c r="R13" s="413"/>
      <c r="S13" s="413"/>
    </row>
    <row r="14" spans="1:20" ht="16" customHeight="1" x14ac:dyDescent="0.25">
      <c r="A14" s="263"/>
      <c r="B14" s="259" t="s">
        <v>457</v>
      </c>
      <c r="M14" s="413"/>
      <c r="N14" s="413"/>
      <c r="O14" s="413"/>
      <c r="P14" s="413"/>
      <c r="Q14" s="413"/>
      <c r="R14" s="413"/>
      <c r="S14" s="413"/>
      <c r="T14" s="273"/>
    </row>
    <row r="15" spans="1:20" ht="16" customHeight="1" x14ac:dyDescent="0.2">
      <c r="A15" s="271"/>
      <c r="B15" s="435"/>
      <c r="C15" s="436"/>
      <c r="D15" s="436"/>
      <c r="E15" s="436"/>
      <c r="F15" s="436"/>
      <c r="G15" s="436"/>
      <c r="H15" s="436"/>
      <c r="I15" s="436"/>
      <c r="J15" s="437"/>
      <c r="M15" s="413"/>
      <c r="N15" s="413"/>
      <c r="O15" s="413"/>
      <c r="P15" s="413"/>
      <c r="Q15" s="413"/>
      <c r="R15" s="413"/>
      <c r="S15" s="413"/>
      <c r="T15" s="273"/>
    </row>
    <row r="16" spans="1:20" ht="16" customHeight="1" x14ac:dyDescent="0.2">
      <c r="B16" s="438"/>
      <c r="C16" s="439"/>
      <c r="D16" s="439"/>
      <c r="E16" s="439"/>
      <c r="F16" s="439"/>
      <c r="G16" s="439"/>
      <c r="H16" s="439"/>
      <c r="I16" s="439"/>
      <c r="J16" s="440"/>
      <c r="M16" s="413"/>
      <c r="N16" s="413"/>
      <c r="O16" s="413"/>
      <c r="P16" s="413"/>
      <c r="Q16" s="413"/>
      <c r="R16" s="413"/>
      <c r="S16" s="413"/>
    </row>
    <row r="17" spans="1:19" ht="16" customHeight="1" x14ac:dyDescent="0.2">
      <c r="B17" s="438"/>
      <c r="C17" s="439"/>
      <c r="D17" s="439"/>
      <c r="E17" s="439"/>
      <c r="F17" s="439"/>
      <c r="G17" s="439"/>
      <c r="H17" s="439"/>
      <c r="I17" s="439"/>
      <c r="J17" s="440"/>
      <c r="M17" s="413"/>
      <c r="N17" s="413"/>
      <c r="O17" s="413"/>
      <c r="P17" s="413"/>
      <c r="Q17" s="413"/>
      <c r="R17" s="413"/>
      <c r="S17" s="413"/>
    </row>
    <row r="18" spans="1:19" ht="16" customHeight="1" x14ac:dyDescent="0.2">
      <c r="B18" s="438"/>
      <c r="C18" s="439"/>
      <c r="D18" s="439"/>
      <c r="E18" s="439"/>
      <c r="F18" s="439"/>
      <c r="G18" s="439"/>
      <c r="H18" s="439"/>
      <c r="I18" s="439"/>
      <c r="J18" s="440"/>
      <c r="M18" s="413"/>
      <c r="N18" s="413"/>
      <c r="O18" s="413"/>
      <c r="P18" s="413"/>
      <c r="Q18" s="413"/>
      <c r="R18" s="413"/>
      <c r="S18" s="413"/>
    </row>
    <row r="19" spans="1:19" ht="16" customHeight="1" x14ac:dyDescent="0.2">
      <c r="B19" s="438"/>
      <c r="C19" s="439"/>
      <c r="D19" s="439"/>
      <c r="E19" s="439"/>
      <c r="F19" s="439"/>
      <c r="G19" s="439"/>
      <c r="H19" s="439"/>
      <c r="I19" s="439"/>
      <c r="J19" s="440"/>
      <c r="M19" s="413"/>
      <c r="N19" s="413"/>
      <c r="O19" s="413"/>
      <c r="P19" s="413"/>
      <c r="Q19" s="413"/>
      <c r="R19" s="413"/>
      <c r="S19" s="413"/>
    </row>
    <row r="20" spans="1:19" ht="16" customHeight="1" x14ac:dyDescent="0.2">
      <c r="B20" s="438"/>
      <c r="C20" s="439"/>
      <c r="D20" s="439"/>
      <c r="E20" s="439"/>
      <c r="F20" s="439"/>
      <c r="G20" s="439"/>
      <c r="H20" s="439"/>
      <c r="I20" s="439"/>
      <c r="J20" s="440"/>
      <c r="M20" s="270"/>
      <c r="N20" s="270"/>
      <c r="O20" s="270"/>
      <c r="P20" s="270"/>
      <c r="Q20" s="270"/>
      <c r="R20" s="270"/>
      <c r="S20" s="270"/>
    </row>
    <row r="21" spans="1:19" ht="16" customHeight="1" x14ac:dyDescent="0.2">
      <c r="B21" s="438"/>
      <c r="C21" s="439"/>
      <c r="D21" s="439"/>
      <c r="E21" s="439"/>
      <c r="F21" s="439"/>
      <c r="G21" s="439"/>
      <c r="H21" s="439"/>
      <c r="I21" s="439"/>
      <c r="J21" s="440"/>
      <c r="M21" s="363" t="s">
        <v>4</v>
      </c>
      <c r="N21"/>
      <c r="O21"/>
      <c r="P21"/>
      <c r="Q21"/>
      <c r="R21"/>
      <c r="S21" s="358"/>
    </row>
    <row r="22" spans="1:19" ht="16" customHeight="1" x14ac:dyDescent="0.2">
      <c r="B22" s="438"/>
      <c r="C22" s="439"/>
      <c r="D22" s="439"/>
      <c r="E22" s="439"/>
      <c r="F22" s="439"/>
      <c r="G22" s="439"/>
      <c r="H22" s="439"/>
      <c r="I22" s="439"/>
      <c r="J22" s="440"/>
      <c r="M22" s="413" t="s">
        <v>600</v>
      </c>
      <c r="N22" s="413"/>
      <c r="O22" s="413"/>
      <c r="P22" s="413"/>
      <c r="Q22" s="413"/>
      <c r="R22" s="413"/>
      <c r="S22" s="413"/>
    </row>
    <row r="23" spans="1:19" ht="16" customHeight="1" x14ac:dyDescent="0.2">
      <c r="B23" s="441"/>
      <c r="C23" s="442"/>
      <c r="D23" s="442"/>
      <c r="E23" s="442"/>
      <c r="F23" s="442"/>
      <c r="G23" s="442"/>
      <c r="H23" s="442"/>
      <c r="I23" s="442"/>
      <c r="J23" s="443"/>
      <c r="M23" s="413"/>
      <c r="N23" s="413"/>
      <c r="O23" s="413"/>
      <c r="P23" s="413"/>
      <c r="Q23" s="413"/>
      <c r="R23" s="413"/>
      <c r="S23" s="413"/>
    </row>
    <row r="24" spans="1:19" ht="16" customHeight="1" x14ac:dyDescent="0.2">
      <c r="M24" s="413"/>
      <c r="N24" s="413"/>
      <c r="O24" s="413"/>
      <c r="P24" s="413"/>
      <c r="Q24" s="413"/>
      <c r="R24" s="413"/>
      <c r="S24" s="413"/>
    </row>
    <row r="25" spans="1:19" ht="16" customHeight="1" x14ac:dyDescent="0.2">
      <c r="M25" s="413"/>
      <c r="N25" s="413"/>
      <c r="O25" s="413"/>
      <c r="P25" s="413"/>
      <c r="Q25" s="413"/>
      <c r="R25" s="413"/>
      <c r="S25" s="413"/>
    </row>
    <row r="26" spans="1:19" ht="16" customHeight="1" x14ac:dyDescent="0.2">
      <c r="A26" s="271"/>
      <c r="C26" s="274"/>
      <c r="M26" s="413"/>
      <c r="N26" s="413"/>
      <c r="O26" s="413"/>
      <c r="P26" s="413"/>
      <c r="Q26" s="413"/>
      <c r="R26" s="413"/>
      <c r="S26" s="413"/>
    </row>
    <row r="27" spans="1:19" ht="16" customHeight="1" x14ac:dyDescent="0.2">
      <c r="M27" s="413"/>
      <c r="N27" s="413"/>
      <c r="O27" s="413"/>
      <c r="P27" s="413"/>
      <c r="Q27" s="413"/>
      <c r="R27" s="413"/>
      <c r="S27" s="413"/>
    </row>
    <row r="28" spans="1:19" ht="16" customHeight="1" x14ac:dyDescent="0.2">
      <c r="M28" s="413"/>
      <c r="N28" s="413"/>
      <c r="O28" s="413"/>
      <c r="P28" s="413"/>
      <c r="Q28" s="413"/>
      <c r="R28" s="413"/>
      <c r="S28" s="413"/>
    </row>
    <row r="29" spans="1:19" ht="16" customHeight="1" x14ac:dyDescent="0.2">
      <c r="M29" s="413"/>
      <c r="N29" s="413"/>
      <c r="O29" s="413"/>
      <c r="P29" s="413"/>
      <c r="Q29" s="413"/>
      <c r="R29" s="413"/>
      <c r="S29" s="413"/>
    </row>
    <row r="30" spans="1:19" ht="16" customHeight="1" x14ac:dyDescent="0.2">
      <c r="M30" s="413"/>
      <c r="N30" s="413"/>
      <c r="O30" s="413"/>
      <c r="P30" s="413"/>
      <c r="Q30" s="413"/>
      <c r="R30" s="413"/>
      <c r="S30" s="413"/>
    </row>
    <row r="31" spans="1:19" ht="16" customHeight="1" x14ac:dyDescent="0.2">
      <c r="M31" s="413"/>
      <c r="N31" s="413"/>
      <c r="O31" s="413"/>
      <c r="P31" s="413"/>
      <c r="Q31" s="413"/>
      <c r="R31" s="413"/>
      <c r="S31" s="413"/>
    </row>
    <row r="32" spans="1:19" ht="16" customHeight="1" x14ac:dyDescent="0.2">
      <c r="M32" s="413"/>
      <c r="N32" s="413"/>
      <c r="O32" s="413"/>
      <c r="P32" s="413"/>
      <c r="Q32" s="413"/>
      <c r="R32" s="413"/>
      <c r="S32" s="413"/>
    </row>
    <row r="33" spans="1:19" ht="16" customHeight="1" x14ac:dyDescent="0.2">
      <c r="M33" s="413"/>
      <c r="N33" s="413"/>
      <c r="O33" s="413"/>
      <c r="P33" s="413"/>
      <c r="Q33" s="413"/>
      <c r="R33" s="413"/>
      <c r="S33" s="413"/>
    </row>
    <row r="34" spans="1:19" ht="16" customHeight="1" x14ac:dyDescent="0.2">
      <c r="M34" s="413"/>
      <c r="N34" s="413"/>
      <c r="O34" s="413"/>
      <c r="P34" s="413"/>
      <c r="Q34" s="413"/>
      <c r="R34" s="413"/>
      <c r="S34" s="413"/>
    </row>
    <row r="36" spans="1:19" ht="16" customHeight="1" x14ac:dyDescent="0.25">
      <c r="M36" s="3" t="s">
        <v>131</v>
      </c>
      <c r="N36" s="251"/>
      <c r="O36" s="251"/>
      <c r="P36" s="251"/>
      <c r="Q36" s="251"/>
      <c r="R36" s="251"/>
      <c r="S36" s="251"/>
    </row>
    <row r="37" spans="1:19" ht="16" customHeight="1" x14ac:dyDescent="0.2">
      <c r="M37" s="405" t="s">
        <v>554</v>
      </c>
      <c r="N37" s="405"/>
      <c r="O37" s="405"/>
      <c r="P37" s="405"/>
      <c r="Q37" s="405"/>
      <c r="R37" s="405"/>
      <c r="S37" s="405"/>
    </row>
    <row r="38" spans="1:19" ht="16" customHeight="1" x14ac:dyDescent="0.2">
      <c r="M38" s="405"/>
      <c r="N38" s="405"/>
      <c r="O38" s="405"/>
      <c r="P38" s="405"/>
      <c r="Q38" s="405"/>
      <c r="R38" s="405"/>
      <c r="S38" s="405"/>
    </row>
    <row r="39" spans="1:19" ht="16" customHeight="1" x14ac:dyDescent="0.2">
      <c r="M39" s="405"/>
      <c r="N39" s="405"/>
      <c r="O39" s="405"/>
      <c r="P39" s="405"/>
      <c r="Q39" s="405"/>
      <c r="R39" s="405"/>
      <c r="S39" s="405"/>
    </row>
    <row r="40" spans="1:19" ht="16" customHeight="1" x14ac:dyDescent="0.2">
      <c r="M40" s="405"/>
      <c r="N40" s="405"/>
      <c r="O40" s="405"/>
      <c r="P40" s="405"/>
      <c r="Q40" s="405"/>
      <c r="R40" s="405"/>
      <c r="S40" s="405"/>
    </row>
    <row r="41" spans="1:19" ht="16" customHeight="1" x14ac:dyDescent="0.2">
      <c r="M41" s="251"/>
      <c r="N41" s="251"/>
      <c r="O41" s="251"/>
      <c r="P41" s="251"/>
      <c r="Q41" s="251"/>
      <c r="R41" s="251"/>
      <c r="S41" s="251"/>
    </row>
    <row r="42" spans="1:19" ht="16" customHeight="1" x14ac:dyDescent="0.25">
      <c r="A42" s="271"/>
      <c r="C42" s="274"/>
      <c r="M42" s="3" t="s">
        <v>456</v>
      </c>
      <c r="N42" s="251"/>
      <c r="O42" s="251"/>
      <c r="P42" s="251"/>
      <c r="Q42" s="251"/>
      <c r="R42" s="251"/>
      <c r="S42" s="251"/>
    </row>
    <row r="43" spans="1:19" ht="16" customHeight="1" x14ac:dyDescent="0.2">
      <c r="M43" s="251" t="s">
        <v>507</v>
      </c>
      <c r="N43" s="251"/>
      <c r="O43" s="251"/>
      <c r="P43" s="251"/>
      <c r="Q43" s="251"/>
      <c r="R43" s="251"/>
      <c r="S43" s="251"/>
    </row>
    <row r="44" spans="1:19" ht="16" customHeight="1" x14ac:dyDescent="0.2">
      <c r="M44" s="251"/>
      <c r="N44" s="251"/>
      <c r="O44" s="251"/>
      <c r="P44" s="251"/>
      <c r="Q44" s="251"/>
      <c r="R44" s="251"/>
      <c r="S44" s="251"/>
    </row>
    <row r="45" spans="1:19" ht="16" customHeight="1" x14ac:dyDescent="0.2">
      <c r="M45" s="251"/>
    </row>
    <row r="46" spans="1:19" ht="16" customHeight="1" x14ac:dyDescent="0.2">
      <c r="M46" s="251"/>
    </row>
    <row r="47" spans="1:19" ht="16" customHeight="1" x14ac:dyDescent="0.2">
      <c r="M47" s="251"/>
    </row>
    <row r="48" spans="1:19" ht="16" customHeight="1" x14ac:dyDescent="0.2">
      <c r="M48" s="251"/>
    </row>
    <row r="49" spans="13:18" ht="16" customHeight="1" x14ac:dyDescent="0.2">
      <c r="M49" s="251"/>
    </row>
    <row r="50" spans="13:18" ht="16" customHeight="1" x14ac:dyDescent="0.2">
      <c r="M50" s="251"/>
    </row>
    <row r="51" spans="13:18" ht="16" customHeight="1" x14ac:dyDescent="0.2">
      <c r="M51" s="251"/>
    </row>
    <row r="52" spans="13:18" ht="16" customHeight="1" x14ac:dyDescent="0.2">
      <c r="M52" s="251"/>
    </row>
    <row r="53" spans="13:18" ht="16" customHeight="1" x14ac:dyDescent="0.2">
      <c r="M53" s="251"/>
      <c r="N53"/>
      <c r="O53"/>
      <c r="P53"/>
      <c r="Q53"/>
      <c r="R53"/>
    </row>
    <row r="54" spans="13:18" ht="16" customHeight="1" x14ac:dyDescent="0.2">
      <c r="M54" s="104"/>
      <c r="N54"/>
      <c r="O54"/>
      <c r="P54"/>
      <c r="Q54"/>
      <c r="R54"/>
    </row>
    <row r="55" spans="13:18" ht="16" customHeight="1" x14ac:dyDescent="0.2">
      <c r="M55" s="359"/>
      <c r="N55" s="359"/>
      <c r="O55" s="359"/>
      <c r="P55" s="359"/>
      <c r="Q55" s="359"/>
      <c r="R55" s="359"/>
    </row>
    <row r="56" spans="13:18" ht="16" customHeight="1" x14ac:dyDescent="0.2">
      <c r="M56" s="359"/>
      <c r="N56" s="359"/>
      <c r="O56" s="359"/>
      <c r="P56" s="359"/>
      <c r="Q56" s="359"/>
      <c r="R56" s="359"/>
    </row>
    <row r="58" spans="13:18" ht="16" customHeight="1" x14ac:dyDescent="0.2">
      <c r="N58" s="274"/>
    </row>
    <row r="59" spans="13:18" ht="16" customHeight="1" x14ac:dyDescent="0.2">
      <c r="M59" s="258"/>
      <c r="N59" s="258"/>
      <c r="O59" s="258"/>
    </row>
    <row r="60" spans="13:18" ht="16" customHeight="1" x14ac:dyDescent="0.2">
      <c r="M60" s="258"/>
      <c r="N60" s="258"/>
      <c r="O60" s="258"/>
    </row>
    <row r="61" spans="13:18" ht="16" customHeight="1" x14ac:dyDescent="0.2">
      <c r="M61" s="258"/>
      <c r="N61" s="258"/>
      <c r="O61" s="258"/>
    </row>
    <row r="62" spans="13:18" ht="16" customHeight="1" x14ac:dyDescent="0.2">
      <c r="M62" s="258"/>
      <c r="N62" s="258"/>
      <c r="O62" s="258"/>
    </row>
    <row r="63" spans="13:18" ht="16" customHeight="1" x14ac:dyDescent="0.2">
      <c r="M63" s="258"/>
      <c r="N63" s="258"/>
      <c r="O63" s="258"/>
    </row>
    <row r="64" spans="13:18" ht="16" customHeight="1" x14ac:dyDescent="0.2">
      <c r="M64" s="258"/>
      <c r="N64" s="258"/>
      <c r="O64" s="258"/>
    </row>
    <row r="65" spans="13:15" ht="16" customHeight="1" x14ac:dyDescent="0.2">
      <c r="M65" s="258"/>
      <c r="N65" s="258"/>
      <c r="O65" s="258"/>
    </row>
    <row r="66" spans="13:15" ht="16" customHeight="1" x14ac:dyDescent="0.2">
      <c r="M66" s="258"/>
      <c r="N66" s="258"/>
      <c r="O66" s="258"/>
    </row>
    <row r="67" spans="13:15" ht="16" customHeight="1" x14ac:dyDescent="0.2">
      <c r="M67" s="258"/>
      <c r="N67" s="258"/>
      <c r="O67" s="258"/>
    </row>
    <row r="68" spans="13:15" ht="16" customHeight="1" x14ac:dyDescent="0.2">
      <c r="N68" s="274"/>
    </row>
    <row r="69" spans="13:15" ht="16" customHeight="1" x14ac:dyDescent="0.2">
      <c r="M69" s="258"/>
      <c r="N69" s="258"/>
      <c r="O69" s="258"/>
    </row>
    <row r="70" spans="13:15" ht="16" customHeight="1" x14ac:dyDescent="0.2">
      <c r="M70" s="258"/>
      <c r="N70" s="258"/>
      <c r="O70" s="258"/>
    </row>
    <row r="71" spans="13:15" ht="16" customHeight="1" x14ac:dyDescent="0.2">
      <c r="M71" s="258"/>
      <c r="N71" s="258"/>
      <c r="O71" s="258"/>
    </row>
    <row r="72" spans="13:15" ht="16" customHeight="1" x14ac:dyDescent="0.2">
      <c r="M72" s="258"/>
      <c r="N72" s="258"/>
      <c r="O72" s="258"/>
    </row>
    <row r="73" spans="13:15" ht="16" customHeight="1" x14ac:dyDescent="0.2">
      <c r="M73" s="258"/>
      <c r="N73" s="258"/>
      <c r="O73" s="258"/>
    </row>
    <row r="74" spans="13:15" ht="16" customHeight="1" x14ac:dyDescent="0.2">
      <c r="M74" s="258"/>
      <c r="N74" s="258"/>
      <c r="O74" s="258"/>
    </row>
    <row r="75" spans="13:15" ht="16" customHeight="1" x14ac:dyDescent="0.2">
      <c r="M75" s="258"/>
      <c r="N75" s="258"/>
      <c r="O75" s="258"/>
    </row>
    <row r="76" spans="13:15" ht="16" customHeight="1" x14ac:dyDescent="0.2">
      <c r="M76" s="258"/>
      <c r="N76" s="258"/>
      <c r="O76" s="258"/>
    </row>
    <row r="77" spans="13:15" ht="16" customHeight="1" x14ac:dyDescent="0.2">
      <c r="M77" s="258"/>
      <c r="N77" s="258"/>
      <c r="O77" s="258"/>
    </row>
    <row r="78" spans="13:15" ht="16" customHeight="1" x14ac:dyDescent="0.2">
      <c r="N78" s="274"/>
    </row>
    <row r="79" spans="13:15" ht="16" customHeight="1" x14ac:dyDescent="0.2">
      <c r="M79" s="258"/>
      <c r="N79" s="258"/>
      <c r="O79" s="258"/>
    </row>
    <row r="80" spans="13:15" ht="16" customHeight="1" x14ac:dyDescent="0.2">
      <c r="M80" s="258"/>
      <c r="N80" s="258"/>
      <c r="O80" s="258"/>
    </row>
    <row r="81" spans="1:64" ht="16" customHeight="1" x14ac:dyDescent="0.2">
      <c r="M81" s="258"/>
      <c r="N81" s="258"/>
      <c r="O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row>
    <row r="82" spans="1:64" ht="16" customHeight="1" x14ac:dyDescent="0.2">
      <c r="M82" s="258"/>
      <c r="N82" s="258"/>
      <c r="O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8"/>
      <c r="AV82" s="258"/>
      <c r="AW82" s="258"/>
      <c r="AX82" s="258"/>
      <c r="AY82" s="258"/>
      <c r="AZ82" s="258"/>
      <c r="BA82" s="258"/>
      <c r="BB82" s="258"/>
      <c r="BC82" s="258"/>
      <c r="BD82" s="258"/>
      <c r="BE82" s="258"/>
      <c r="BF82" s="258"/>
      <c r="BG82" s="258"/>
      <c r="BH82" s="258"/>
      <c r="BI82" s="258"/>
      <c r="BJ82" s="258"/>
      <c r="BK82" s="258"/>
      <c r="BL82" s="258"/>
    </row>
    <row r="83" spans="1:64" ht="16" customHeight="1" x14ac:dyDescent="0.2">
      <c r="M83" s="258"/>
      <c r="N83" s="258"/>
      <c r="O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row>
    <row r="84" spans="1:64" ht="16" customHeight="1" x14ac:dyDescent="0.2">
      <c r="A84" s="258"/>
      <c r="B84" s="258"/>
      <c r="C84" s="258"/>
      <c r="D84" s="258"/>
      <c r="E84" s="258"/>
      <c r="F84" s="258"/>
      <c r="G84" s="258"/>
      <c r="H84" s="258"/>
      <c r="I84" s="258"/>
      <c r="J84" s="258"/>
      <c r="K84" s="258"/>
      <c r="M84" s="258"/>
      <c r="N84" s="258"/>
      <c r="O84" s="258"/>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row>
    <row r="85" spans="1:64" ht="16" customHeight="1" x14ac:dyDescent="0.2">
      <c r="A85" s="258"/>
      <c r="B85" s="258"/>
      <c r="C85" s="258"/>
      <c r="D85" s="258"/>
      <c r="E85" s="258"/>
      <c r="F85" s="258"/>
      <c r="G85" s="258"/>
      <c r="H85" s="258"/>
      <c r="I85" s="258"/>
      <c r="J85" s="258"/>
      <c r="K85" s="258"/>
      <c r="M85" s="258"/>
      <c r="N85" s="258"/>
      <c r="O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row>
    <row r="86" spans="1:64" ht="16" customHeight="1" x14ac:dyDescent="0.2">
      <c r="A86" s="258"/>
      <c r="B86" s="258"/>
      <c r="C86" s="258"/>
      <c r="D86" s="258"/>
      <c r="E86" s="258"/>
      <c r="F86" s="258"/>
      <c r="G86" s="258"/>
      <c r="H86" s="258"/>
      <c r="I86" s="258"/>
      <c r="J86" s="258"/>
      <c r="K86" s="258"/>
      <c r="M86" s="258"/>
      <c r="N86" s="258"/>
      <c r="O86" s="258"/>
      <c r="T86" s="258"/>
      <c r="U86" s="258"/>
      <c r="V86" s="258"/>
      <c r="W86" s="258"/>
      <c r="X86" s="258"/>
      <c r="Y86" s="258"/>
      <c r="Z86" s="258"/>
      <c r="AA86" s="258"/>
      <c r="AB86" s="258"/>
      <c r="AC86" s="258"/>
      <c r="AD86" s="258"/>
      <c r="AE86" s="258"/>
      <c r="AF86" s="258"/>
      <c r="AG86" s="258"/>
      <c r="AH86" s="258"/>
      <c r="AI86" s="258"/>
      <c r="AJ86" s="258"/>
      <c r="AK86" s="258"/>
      <c r="AL86" s="258"/>
      <c r="AM86" s="258"/>
      <c r="AN86" s="258"/>
      <c r="AO86" s="258"/>
      <c r="AP86" s="258"/>
      <c r="AQ86" s="258"/>
      <c r="AR86" s="258"/>
      <c r="AS86" s="258"/>
      <c r="AT86" s="258"/>
      <c r="AU86" s="258"/>
      <c r="AV86" s="258"/>
      <c r="AW86" s="258"/>
      <c r="AX86" s="258"/>
      <c r="AY86" s="258"/>
      <c r="AZ86" s="258"/>
      <c r="BA86" s="258"/>
      <c r="BB86" s="258"/>
      <c r="BC86" s="258"/>
      <c r="BD86" s="258"/>
      <c r="BE86" s="258"/>
      <c r="BF86" s="258"/>
      <c r="BG86" s="258"/>
      <c r="BH86" s="258"/>
      <c r="BI86" s="258"/>
      <c r="BJ86" s="258"/>
      <c r="BK86" s="258"/>
      <c r="BL86" s="258"/>
    </row>
    <row r="87" spans="1:64" ht="16" customHeight="1" x14ac:dyDescent="0.2">
      <c r="A87" s="258"/>
      <c r="B87" s="258"/>
      <c r="C87" s="258"/>
      <c r="D87" s="258"/>
      <c r="E87" s="258"/>
      <c r="F87" s="258"/>
      <c r="G87" s="258"/>
      <c r="H87" s="258"/>
      <c r="I87" s="258"/>
      <c r="J87" s="258"/>
      <c r="K87" s="258"/>
      <c r="M87" s="258"/>
      <c r="N87" s="258"/>
      <c r="O87" s="258"/>
      <c r="T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8"/>
      <c r="BF87" s="258"/>
      <c r="BG87" s="258"/>
      <c r="BH87" s="258"/>
      <c r="BI87" s="258"/>
      <c r="BJ87" s="258"/>
      <c r="BK87" s="258"/>
      <c r="BL87" s="258"/>
    </row>
    <row r="88" spans="1:64" ht="16" customHeight="1" x14ac:dyDescent="0.2">
      <c r="A88" s="258"/>
      <c r="B88" s="258"/>
      <c r="C88" s="258"/>
      <c r="D88" s="258"/>
      <c r="E88" s="258"/>
      <c r="F88" s="258"/>
      <c r="G88" s="258"/>
      <c r="H88" s="258"/>
      <c r="I88" s="258"/>
      <c r="J88" s="258"/>
      <c r="K88" s="258"/>
      <c r="N88" s="274"/>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8"/>
      <c r="AX88" s="258"/>
      <c r="AY88" s="258"/>
      <c r="AZ88" s="258"/>
      <c r="BA88" s="258"/>
      <c r="BB88" s="258"/>
      <c r="BC88" s="258"/>
      <c r="BD88" s="258"/>
      <c r="BE88" s="258"/>
      <c r="BF88" s="258"/>
      <c r="BG88" s="258"/>
      <c r="BH88" s="258"/>
      <c r="BI88" s="258"/>
      <c r="BJ88" s="258"/>
      <c r="BK88" s="258"/>
      <c r="BL88" s="258"/>
    </row>
    <row r="89" spans="1:64" ht="16" customHeight="1" x14ac:dyDescent="0.2">
      <c r="A89" s="258"/>
      <c r="B89" s="258"/>
      <c r="C89" s="258"/>
      <c r="D89" s="258"/>
      <c r="E89" s="258"/>
      <c r="F89" s="258"/>
      <c r="G89" s="258"/>
      <c r="H89" s="258"/>
      <c r="I89" s="258"/>
      <c r="J89" s="258"/>
      <c r="K89" s="258"/>
      <c r="M89" s="258"/>
      <c r="N89" s="258"/>
      <c r="O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row>
    <row r="90" spans="1:64" ht="16" customHeight="1" x14ac:dyDescent="0.2">
      <c r="A90" s="258"/>
      <c r="B90" s="258"/>
      <c r="C90" s="258"/>
      <c r="D90" s="258"/>
      <c r="E90" s="258"/>
      <c r="F90" s="258"/>
      <c r="G90" s="258"/>
      <c r="H90" s="258"/>
      <c r="I90" s="258"/>
      <c r="J90" s="258"/>
      <c r="K90" s="258"/>
      <c r="M90" s="258"/>
      <c r="N90" s="258"/>
      <c r="O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row>
    <row r="91" spans="1:64" ht="16" customHeight="1" x14ac:dyDescent="0.2">
      <c r="A91" s="258"/>
      <c r="B91" s="258"/>
      <c r="C91" s="258"/>
      <c r="D91" s="258"/>
      <c r="E91" s="258"/>
      <c r="F91" s="258"/>
      <c r="G91" s="258"/>
      <c r="H91" s="258"/>
      <c r="I91" s="258"/>
      <c r="J91" s="258"/>
      <c r="K91" s="258"/>
      <c r="M91" s="258"/>
      <c r="N91" s="258"/>
      <c r="O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row>
    <row r="92" spans="1:64" ht="16" customHeight="1" x14ac:dyDescent="0.2">
      <c r="A92" s="258"/>
      <c r="B92" s="258"/>
      <c r="C92" s="258"/>
      <c r="D92" s="258"/>
      <c r="E92" s="258"/>
      <c r="F92" s="258"/>
      <c r="G92" s="258"/>
      <c r="H92" s="258"/>
      <c r="I92" s="258"/>
      <c r="J92" s="258"/>
      <c r="K92" s="258"/>
      <c r="M92" s="258"/>
      <c r="N92" s="258"/>
      <c r="O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row>
    <row r="93" spans="1:64" ht="16" customHeight="1" x14ac:dyDescent="0.2">
      <c r="A93" s="258"/>
      <c r="B93" s="258"/>
      <c r="C93" s="258"/>
      <c r="D93" s="258"/>
      <c r="E93" s="258"/>
      <c r="F93" s="258"/>
      <c r="G93" s="258"/>
      <c r="H93" s="258"/>
      <c r="I93" s="258"/>
      <c r="J93" s="258"/>
      <c r="K93" s="258"/>
      <c r="M93" s="258"/>
      <c r="N93" s="258"/>
      <c r="O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row>
    <row r="94" spans="1:64" ht="16" customHeight="1" x14ac:dyDescent="0.2">
      <c r="A94" s="258"/>
      <c r="B94" s="258"/>
      <c r="C94" s="258"/>
      <c r="D94" s="258"/>
      <c r="E94" s="258"/>
      <c r="F94" s="258"/>
      <c r="G94" s="258"/>
      <c r="H94" s="258"/>
      <c r="I94" s="258"/>
      <c r="J94" s="258"/>
      <c r="K94" s="258"/>
      <c r="M94" s="258"/>
      <c r="N94" s="258"/>
      <c r="O94" s="258"/>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row>
    <row r="95" spans="1:64" ht="16" customHeight="1" x14ac:dyDescent="0.2">
      <c r="A95" s="258"/>
      <c r="B95" s="258"/>
      <c r="C95" s="258"/>
      <c r="D95" s="258"/>
      <c r="E95" s="258"/>
      <c r="F95" s="258"/>
      <c r="G95" s="258"/>
      <c r="H95" s="258"/>
      <c r="I95" s="258"/>
      <c r="J95" s="258"/>
      <c r="K95" s="258"/>
      <c r="M95" s="258"/>
      <c r="N95" s="258"/>
      <c r="O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row>
    <row r="96" spans="1:64" ht="16" customHeight="1" x14ac:dyDescent="0.2">
      <c r="A96" s="258"/>
      <c r="B96" s="258"/>
      <c r="C96" s="258"/>
      <c r="D96" s="258"/>
      <c r="E96" s="258"/>
      <c r="F96" s="258"/>
      <c r="G96" s="258"/>
      <c r="H96" s="258"/>
      <c r="I96" s="258"/>
      <c r="J96" s="258"/>
      <c r="K96" s="258"/>
      <c r="M96" s="258"/>
      <c r="N96" s="258"/>
      <c r="O96" s="258"/>
      <c r="T96" s="258"/>
      <c r="U96" s="258"/>
      <c r="V96" s="258"/>
      <c r="W96" s="258"/>
      <c r="X96" s="258"/>
      <c r="Y96" s="258"/>
      <c r="Z96" s="258"/>
      <c r="AA96" s="258"/>
      <c r="AB96" s="258"/>
      <c r="AC96" s="258"/>
      <c r="AD96" s="258"/>
      <c r="AE96" s="258"/>
      <c r="AF96" s="258"/>
      <c r="AG96" s="258"/>
      <c r="AH96" s="258"/>
      <c r="AI96" s="258"/>
      <c r="AJ96" s="258"/>
      <c r="AK96" s="258"/>
      <c r="AL96" s="258"/>
      <c r="AM96" s="258"/>
      <c r="AN96" s="258"/>
      <c r="AO96" s="258"/>
      <c r="AP96" s="258"/>
      <c r="AQ96" s="258"/>
      <c r="AR96" s="258"/>
      <c r="AS96" s="258"/>
      <c r="AT96" s="258"/>
      <c r="AU96" s="258"/>
      <c r="AV96" s="258"/>
      <c r="AW96" s="258"/>
      <c r="AX96" s="258"/>
      <c r="AY96" s="258"/>
      <c r="AZ96" s="258"/>
      <c r="BA96" s="258"/>
      <c r="BB96" s="258"/>
      <c r="BC96" s="258"/>
      <c r="BD96" s="258"/>
      <c r="BE96" s="258"/>
      <c r="BF96" s="258"/>
      <c r="BG96" s="258"/>
      <c r="BH96" s="258"/>
      <c r="BI96" s="258"/>
      <c r="BJ96" s="258"/>
      <c r="BK96" s="258"/>
      <c r="BL96" s="258"/>
    </row>
    <row r="97" spans="1:64" ht="16" customHeight="1" x14ac:dyDescent="0.2">
      <c r="A97" s="258"/>
      <c r="B97" s="258"/>
      <c r="C97" s="258"/>
      <c r="D97" s="258"/>
      <c r="E97" s="258"/>
      <c r="F97" s="258"/>
      <c r="G97" s="258"/>
      <c r="H97" s="258"/>
      <c r="I97" s="258"/>
      <c r="J97" s="258"/>
      <c r="K97" s="258"/>
      <c r="M97" s="258"/>
      <c r="N97" s="258"/>
      <c r="O97" s="258"/>
      <c r="T97" s="258"/>
      <c r="U97" s="258"/>
      <c r="V97" s="258"/>
      <c r="W97" s="258"/>
      <c r="X97" s="258"/>
      <c r="Y97" s="258"/>
      <c r="Z97" s="258"/>
      <c r="AA97" s="258"/>
      <c r="AB97" s="258"/>
      <c r="AC97" s="258"/>
      <c r="AD97" s="258"/>
      <c r="AE97" s="258"/>
      <c r="AF97" s="258"/>
      <c r="AG97" s="258"/>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c r="BD97" s="258"/>
      <c r="BE97" s="258"/>
      <c r="BF97" s="258"/>
      <c r="BG97" s="258"/>
      <c r="BH97" s="258"/>
      <c r="BI97" s="258"/>
      <c r="BJ97" s="258"/>
      <c r="BK97" s="258"/>
      <c r="BL97" s="258"/>
    </row>
    <row r="98" spans="1:64" ht="16" customHeight="1" x14ac:dyDescent="0.2">
      <c r="A98" s="258"/>
      <c r="B98" s="258"/>
      <c r="C98" s="258"/>
      <c r="D98" s="258"/>
      <c r="E98" s="258"/>
      <c r="F98" s="258"/>
      <c r="G98" s="258"/>
      <c r="H98" s="258"/>
      <c r="I98" s="258"/>
      <c r="J98" s="258"/>
      <c r="K98" s="258"/>
      <c r="N98" s="274"/>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row>
    <row r="99" spans="1:64" ht="16" customHeight="1" x14ac:dyDescent="0.2">
      <c r="A99" s="258"/>
      <c r="B99" s="258"/>
      <c r="C99" s="258"/>
      <c r="D99" s="258"/>
      <c r="E99" s="258"/>
      <c r="F99" s="258"/>
      <c r="G99" s="258"/>
      <c r="H99" s="258"/>
      <c r="I99" s="258"/>
      <c r="J99" s="258"/>
      <c r="K99" s="258"/>
      <c r="M99" s="258"/>
      <c r="N99" s="258"/>
      <c r="O99" s="258"/>
      <c r="P99" s="258"/>
      <c r="Q99" s="258"/>
      <c r="R99" s="258"/>
      <c r="S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row>
    <row r="100" spans="1:64" ht="16" customHeight="1" x14ac:dyDescent="0.2">
      <c r="A100" s="258"/>
      <c r="B100" s="258"/>
      <c r="C100" s="258"/>
      <c r="D100" s="258"/>
      <c r="E100" s="258"/>
      <c r="F100" s="258"/>
      <c r="G100" s="258"/>
      <c r="H100" s="258"/>
      <c r="I100" s="258"/>
      <c r="J100" s="258"/>
      <c r="K100" s="258"/>
      <c r="L100" s="258"/>
      <c r="M100" s="258"/>
      <c r="N100" s="258"/>
      <c r="O100" s="258"/>
      <c r="P100" s="258"/>
      <c r="Q100" s="258"/>
      <c r="R100" s="258"/>
      <c r="S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row>
    <row r="101" spans="1:64" ht="16" customHeight="1" x14ac:dyDescent="0.2">
      <c r="A101" s="258"/>
      <c r="B101" s="258"/>
      <c r="C101" s="258"/>
      <c r="D101" s="258"/>
      <c r="E101" s="258"/>
      <c r="F101" s="258"/>
      <c r="G101" s="258"/>
      <c r="H101" s="258"/>
      <c r="I101" s="258"/>
      <c r="J101" s="258"/>
      <c r="K101" s="258"/>
      <c r="L101" s="258"/>
      <c r="M101" s="258"/>
      <c r="N101" s="258"/>
      <c r="O101" s="258"/>
      <c r="P101" s="258"/>
      <c r="Q101" s="258"/>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row>
    <row r="102" spans="1:64" ht="16" customHeight="1" x14ac:dyDescent="0.2">
      <c r="A102" s="258"/>
      <c r="B102" s="258"/>
      <c r="C102" s="258"/>
      <c r="D102" s="258"/>
      <c r="E102" s="258"/>
      <c r="F102" s="258"/>
      <c r="G102" s="258"/>
      <c r="H102" s="258"/>
      <c r="I102" s="258"/>
      <c r="J102" s="258"/>
      <c r="K102" s="258"/>
      <c r="L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row>
    <row r="103" spans="1:64" ht="16" customHeight="1" x14ac:dyDescent="0.2">
      <c r="A103" s="258"/>
      <c r="B103" s="258"/>
      <c r="C103" s="258"/>
      <c r="D103" s="258"/>
      <c r="E103" s="258"/>
      <c r="F103" s="258"/>
      <c r="G103" s="258"/>
      <c r="H103" s="258"/>
      <c r="I103" s="258"/>
      <c r="J103" s="258"/>
      <c r="K103" s="258"/>
      <c r="L103" s="258"/>
      <c r="M103" s="258"/>
      <c r="N103" s="258"/>
      <c r="O103" s="258"/>
      <c r="P103" s="258"/>
      <c r="Q103" s="258"/>
      <c r="R103" s="258"/>
      <c r="S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c r="BD103" s="258"/>
      <c r="BE103" s="258"/>
      <c r="BF103" s="258"/>
      <c r="BG103" s="258"/>
      <c r="BH103" s="258"/>
      <c r="BI103" s="258"/>
      <c r="BJ103" s="258"/>
      <c r="BK103" s="258"/>
      <c r="BL103" s="258"/>
    </row>
    <row r="104" spans="1:64" ht="16" customHeight="1" x14ac:dyDescent="0.2">
      <c r="A104" s="258"/>
      <c r="B104" s="258"/>
      <c r="C104" s="258"/>
      <c r="D104" s="258"/>
      <c r="E104" s="258"/>
      <c r="F104" s="258"/>
      <c r="G104" s="258"/>
      <c r="H104" s="258"/>
      <c r="I104" s="258"/>
      <c r="J104" s="258"/>
      <c r="K104" s="258"/>
      <c r="L104" s="258"/>
      <c r="M104" s="258"/>
      <c r="N104" s="258"/>
      <c r="O104" s="258"/>
      <c r="P104" s="258"/>
      <c r="Q104" s="258"/>
      <c r="R104" s="258"/>
      <c r="S104" s="258"/>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c r="BD104" s="258"/>
      <c r="BE104" s="258"/>
      <c r="BF104" s="258"/>
      <c r="BG104" s="258"/>
      <c r="BH104" s="258"/>
      <c r="BI104" s="258"/>
      <c r="BJ104" s="258"/>
      <c r="BK104" s="258"/>
      <c r="BL104" s="258"/>
    </row>
    <row r="105" spans="1:64" ht="16" customHeight="1" x14ac:dyDescent="0.2">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row>
    <row r="106" spans="1:64" ht="16" customHeight="1" x14ac:dyDescent="0.2">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c r="BD106" s="258"/>
      <c r="BE106" s="258"/>
      <c r="BF106" s="258"/>
      <c r="BG106" s="258"/>
      <c r="BH106" s="258"/>
      <c r="BI106" s="258"/>
      <c r="BJ106" s="258"/>
      <c r="BK106" s="258"/>
      <c r="BL106" s="258"/>
    </row>
    <row r="107" spans="1:64" ht="16" customHeight="1" x14ac:dyDescent="0.2">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c r="BD107" s="258"/>
      <c r="BE107" s="258"/>
      <c r="BF107" s="258"/>
      <c r="BG107" s="258"/>
      <c r="BH107" s="258"/>
      <c r="BI107" s="258"/>
      <c r="BJ107" s="258"/>
      <c r="BK107" s="258"/>
      <c r="BL107" s="258"/>
    </row>
    <row r="108" spans="1:64" ht="16" customHeight="1" x14ac:dyDescent="0.2">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c r="BD108" s="258"/>
      <c r="BE108" s="258"/>
      <c r="BF108" s="258"/>
      <c r="BG108" s="258"/>
      <c r="BH108" s="258"/>
      <c r="BI108" s="258"/>
      <c r="BJ108" s="258"/>
      <c r="BK108" s="258"/>
      <c r="BL108" s="258"/>
    </row>
    <row r="109" spans="1:64" ht="16" customHeight="1" x14ac:dyDescent="0.2">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c r="BD109" s="258"/>
      <c r="BE109" s="258"/>
      <c r="BF109" s="258"/>
      <c r="BG109" s="258"/>
      <c r="BH109" s="258"/>
      <c r="BI109" s="258"/>
      <c r="BJ109" s="258"/>
      <c r="BK109" s="258"/>
      <c r="BL109" s="258"/>
    </row>
    <row r="110" spans="1:64" ht="16" customHeight="1" x14ac:dyDescent="0.2">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c r="BD110" s="258"/>
      <c r="BE110" s="258"/>
      <c r="BF110" s="258"/>
      <c r="BG110" s="258"/>
      <c r="BH110" s="258"/>
      <c r="BI110" s="258"/>
      <c r="BJ110" s="258"/>
      <c r="BK110" s="258"/>
      <c r="BL110" s="258"/>
    </row>
    <row r="111" spans="1:64" ht="16" customHeight="1" x14ac:dyDescent="0.2">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c r="BD111" s="258"/>
      <c r="BE111" s="258"/>
      <c r="BF111" s="258"/>
      <c r="BG111" s="258"/>
      <c r="BH111" s="258"/>
      <c r="BI111" s="258"/>
      <c r="BJ111" s="258"/>
      <c r="BK111" s="258"/>
      <c r="BL111" s="258"/>
    </row>
    <row r="112" spans="1:64" ht="16" customHeight="1" x14ac:dyDescent="0.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c r="BD112" s="258"/>
      <c r="BE112" s="258"/>
      <c r="BF112" s="258"/>
      <c r="BG112" s="258"/>
      <c r="BH112" s="258"/>
      <c r="BI112" s="258"/>
      <c r="BJ112" s="258"/>
      <c r="BK112" s="258"/>
      <c r="BL112" s="258"/>
    </row>
    <row r="113" spans="1:64" ht="16" customHeight="1" x14ac:dyDescent="0.2">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c r="BD113" s="258"/>
      <c r="BE113" s="258"/>
      <c r="BF113" s="258"/>
      <c r="BG113" s="258"/>
      <c r="BH113" s="258"/>
      <c r="BI113" s="258"/>
      <c r="BJ113" s="258"/>
      <c r="BK113" s="258"/>
      <c r="BL113" s="258"/>
    </row>
    <row r="114" spans="1:64" ht="16" customHeight="1" x14ac:dyDescent="0.2">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c r="BD114" s="258"/>
      <c r="BE114" s="258"/>
      <c r="BF114" s="258"/>
      <c r="BG114" s="258"/>
      <c r="BH114" s="258"/>
      <c r="BI114" s="258"/>
      <c r="BJ114" s="258"/>
      <c r="BK114" s="258"/>
      <c r="BL114" s="258"/>
    </row>
    <row r="115" spans="1:64" ht="16" customHeight="1" x14ac:dyDescent="0.2">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c r="BD115" s="258"/>
      <c r="BE115" s="258"/>
      <c r="BF115" s="258"/>
      <c r="BG115" s="258"/>
      <c r="BH115" s="258"/>
      <c r="BI115" s="258"/>
      <c r="BJ115" s="258"/>
      <c r="BK115" s="258"/>
      <c r="BL115" s="258"/>
    </row>
    <row r="116" spans="1:64" ht="16" customHeight="1" x14ac:dyDescent="0.2">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8"/>
      <c r="BK116" s="258"/>
      <c r="BL116" s="258"/>
    </row>
    <row r="117" spans="1:64" ht="16" customHeight="1" x14ac:dyDescent="0.2">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c r="BD117" s="258"/>
      <c r="BE117" s="258"/>
      <c r="BF117" s="258"/>
      <c r="BG117" s="258"/>
      <c r="BH117" s="258"/>
      <c r="BI117" s="258"/>
      <c r="BJ117" s="258"/>
      <c r="BK117" s="258"/>
      <c r="BL117" s="258"/>
    </row>
    <row r="118" spans="1:64" ht="16" customHeight="1" x14ac:dyDescent="0.2">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c r="BD118" s="258"/>
      <c r="BE118" s="258"/>
      <c r="BF118" s="258"/>
      <c r="BG118" s="258"/>
      <c r="BH118" s="258"/>
      <c r="BI118" s="258"/>
      <c r="BJ118" s="258"/>
      <c r="BK118" s="258"/>
      <c r="BL118" s="258"/>
    </row>
    <row r="119" spans="1:64" ht="16" customHeight="1" x14ac:dyDescent="0.2">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row>
    <row r="120" spans="1:64" ht="16" customHeight="1" x14ac:dyDescent="0.2">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row>
    <row r="121" spans="1:64" ht="16" customHeight="1" x14ac:dyDescent="0.2">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row>
    <row r="122" spans="1:64" ht="16" customHeight="1" x14ac:dyDescent="0.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row>
    <row r="123" spans="1:64" ht="16" customHeight="1" x14ac:dyDescent="0.2">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row>
    <row r="124" spans="1:64" ht="16" customHeight="1" x14ac:dyDescent="0.2">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row>
    <row r="125" spans="1:64" ht="16" customHeight="1" x14ac:dyDescent="0.2">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row>
    <row r="126" spans="1:64" ht="16" customHeight="1" x14ac:dyDescent="0.2">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row>
    <row r="127" spans="1:64" ht="16" customHeight="1" x14ac:dyDescent="0.2">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row>
    <row r="128" spans="1:64" ht="16" customHeight="1" x14ac:dyDescent="0.2">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row>
    <row r="129" spans="1:64" ht="16" customHeight="1" x14ac:dyDescent="0.2">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row>
    <row r="130" spans="1:64" ht="16" customHeight="1" x14ac:dyDescent="0.2">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row>
    <row r="131" spans="1:64" ht="16" customHeight="1" x14ac:dyDescent="0.2">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row>
    <row r="132" spans="1:64" ht="16" customHeight="1" x14ac:dyDescent="0.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row>
    <row r="133" spans="1:64" ht="16" customHeight="1" x14ac:dyDescent="0.2">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row>
    <row r="134" spans="1:64" ht="16" customHeight="1" x14ac:dyDescent="0.2">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row>
    <row r="135" spans="1:64" ht="16" customHeight="1" x14ac:dyDescent="0.2">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row>
    <row r="136" spans="1:64" ht="16" customHeight="1" x14ac:dyDescent="0.2">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row>
    <row r="137" spans="1:64" ht="16" customHeight="1" x14ac:dyDescent="0.2">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row>
    <row r="138" spans="1:64" ht="16" customHeight="1" x14ac:dyDescent="0.2">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row>
    <row r="139" spans="1:64" ht="16" customHeight="1" x14ac:dyDescent="0.2">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row>
    <row r="140" spans="1:64" ht="16" customHeight="1" x14ac:dyDescent="0.2">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row>
    <row r="141" spans="1:64" ht="16" customHeight="1" x14ac:dyDescent="0.2">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row>
    <row r="142" spans="1:64" ht="16" customHeight="1" x14ac:dyDescent="0.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row>
    <row r="143" spans="1:64" ht="16" customHeight="1" x14ac:dyDescent="0.2">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row>
    <row r="144" spans="1:64" ht="16" customHeight="1" x14ac:dyDescent="0.2">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row>
    <row r="145" spans="1:64" ht="16" customHeight="1" x14ac:dyDescent="0.2">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row>
    <row r="146" spans="1:64" ht="16" customHeight="1" x14ac:dyDescent="0.2">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row>
    <row r="147" spans="1:64" ht="16" customHeight="1" x14ac:dyDescent="0.2">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row>
    <row r="148" spans="1:64" ht="16" customHeight="1" x14ac:dyDescent="0.2">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row>
    <row r="149" spans="1:64" ht="16" customHeight="1" x14ac:dyDescent="0.2">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row>
    <row r="150" spans="1:64" ht="16" customHeight="1" x14ac:dyDescent="0.2">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row>
    <row r="151" spans="1:64" ht="16" customHeight="1" x14ac:dyDescent="0.2">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row>
    <row r="152" spans="1:64" ht="16" customHeight="1" x14ac:dyDescent="0.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row>
    <row r="153" spans="1:64" ht="16" customHeight="1" x14ac:dyDescent="0.2">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row>
    <row r="154" spans="1:64" ht="16" customHeight="1" x14ac:dyDescent="0.2">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row>
    <row r="155" spans="1:64" ht="16" customHeight="1" x14ac:dyDescent="0.2">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row>
    <row r="156" spans="1:64" ht="16" customHeight="1" x14ac:dyDescent="0.2">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row>
    <row r="157" spans="1:64" ht="16" customHeight="1" x14ac:dyDescent="0.2">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row>
    <row r="158" spans="1:64" ht="16" customHeight="1" x14ac:dyDescent="0.2">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row>
    <row r="159" spans="1:64" ht="16" customHeight="1" x14ac:dyDescent="0.2">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row>
    <row r="160" spans="1:64" ht="16" customHeight="1" x14ac:dyDescent="0.2">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row>
    <row r="161" spans="1:64" ht="16" customHeight="1" x14ac:dyDescent="0.2">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row>
    <row r="162" spans="1:64" ht="16" customHeight="1" x14ac:dyDescent="0.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row>
    <row r="163" spans="1:64" ht="16" customHeight="1" x14ac:dyDescent="0.2">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row>
    <row r="164" spans="1:64" ht="16" customHeight="1" x14ac:dyDescent="0.2">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row>
    <row r="165" spans="1:64" ht="16" customHeight="1" x14ac:dyDescent="0.2">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row>
    <row r="166" spans="1:64" ht="16" customHeight="1" x14ac:dyDescent="0.2">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row>
    <row r="167" spans="1:64" ht="16" customHeight="1" x14ac:dyDescent="0.2">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row>
    <row r="168" spans="1:64" ht="16" customHeight="1" x14ac:dyDescent="0.2">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row>
    <row r="169" spans="1:64" ht="16" customHeight="1" x14ac:dyDescent="0.2">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row>
    <row r="170" spans="1:64" ht="16" customHeight="1" x14ac:dyDescent="0.2">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c r="BD170" s="258"/>
      <c r="BE170" s="258"/>
      <c r="BF170" s="258"/>
      <c r="BG170" s="258"/>
      <c r="BH170" s="258"/>
      <c r="BI170" s="258"/>
      <c r="BJ170" s="258"/>
      <c r="BK170" s="258"/>
      <c r="BL170" s="258"/>
    </row>
    <row r="171" spans="1:64" ht="16" customHeight="1" x14ac:dyDescent="0.2">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c r="BD171" s="258"/>
      <c r="BE171" s="258"/>
      <c r="BF171" s="258"/>
      <c r="BG171" s="258"/>
      <c r="BH171" s="258"/>
      <c r="BI171" s="258"/>
      <c r="BJ171" s="258"/>
      <c r="BK171" s="258"/>
      <c r="BL171" s="258"/>
    </row>
    <row r="172" spans="1:64" ht="16" customHeight="1" x14ac:dyDescent="0.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c r="BD172" s="258"/>
      <c r="BE172" s="258"/>
      <c r="BF172" s="258"/>
      <c r="BG172" s="258"/>
      <c r="BH172" s="258"/>
      <c r="BI172" s="258"/>
      <c r="BJ172" s="258"/>
      <c r="BK172" s="258"/>
      <c r="BL172" s="258"/>
    </row>
    <row r="173" spans="1:64" ht="16" customHeight="1" x14ac:dyDescent="0.2">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c r="BD173" s="258"/>
      <c r="BE173" s="258"/>
      <c r="BF173" s="258"/>
      <c r="BG173" s="258"/>
      <c r="BH173" s="258"/>
      <c r="BI173" s="258"/>
      <c r="BJ173" s="258"/>
      <c r="BK173" s="258"/>
      <c r="BL173" s="258"/>
    </row>
    <row r="174" spans="1:64" ht="16" customHeight="1" x14ac:dyDescent="0.2">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c r="BD174" s="258"/>
      <c r="BE174" s="258"/>
      <c r="BF174" s="258"/>
      <c r="BG174" s="258"/>
      <c r="BH174" s="258"/>
      <c r="BI174" s="258"/>
      <c r="BJ174" s="258"/>
      <c r="BK174" s="258"/>
      <c r="BL174" s="258"/>
    </row>
    <row r="175" spans="1:64" ht="16" customHeight="1" x14ac:dyDescent="0.2">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c r="BD175" s="258"/>
      <c r="BE175" s="258"/>
      <c r="BF175" s="258"/>
      <c r="BG175" s="258"/>
      <c r="BH175" s="258"/>
      <c r="BI175" s="258"/>
      <c r="BJ175" s="258"/>
      <c r="BK175" s="258"/>
      <c r="BL175" s="258"/>
    </row>
    <row r="176" spans="1:64" ht="16" customHeight="1" x14ac:dyDescent="0.2">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8"/>
      <c r="AQ176" s="258"/>
      <c r="AR176" s="258"/>
      <c r="AS176" s="258"/>
      <c r="AT176" s="258"/>
      <c r="AU176" s="258"/>
      <c r="AV176" s="258"/>
      <c r="AW176" s="258"/>
      <c r="AX176" s="258"/>
      <c r="AY176" s="258"/>
      <c r="AZ176" s="258"/>
      <c r="BA176" s="258"/>
      <c r="BB176" s="258"/>
      <c r="BC176" s="258"/>
      <c r="BD176" s="258"/>
      <c r="BE176" s="258"/>
      <c r="BF176" s="258"/>
      <c r="BG176" s="258"/>
      <c r="BH176" s="258"/>
      <c r="BI176" s="258"/>
      <c r="BJ176" s="258"/>
      <c r="BK176" s="258"/>
      <c r="BL176" s="258"/>
    </row>
    <row r="177" spans="1:64" ht="16" customHeight="1" x14ac:dyDescent="0.2">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8"/>
      <c r="AQ177" s="258"/>
      <c r="AR177" s="258"/>
      <c r="AS177" s="258"/>
      <c r="AT177" s="258"/>
      <c r="AU177" s="258"/>
      <c r="AV177" s="258"/>
      <c r="AW177" s="258"/>
      <c r="AX177" s="258"/>
      <c r="AY177" s="258"/>
      <c r="AZ177" s="258"/>
      <c r="BA177" s="258"/>
      <c r="BB177" s="258"/>
      <c r="BC177" s="258"/>
      <c r="BD177" s="258"/>
      <c r="BE177" s="258"/>
      <c r="BF177" s="258"/>
      <c r="BG177" s="258"/>
      <c r="BH177" s="258"/>
      <c r="BI177" s="258"/>
      <c r="BJ177" s="258"/>
      <c r="BK177" s="258"/>
      <c r="BL177" s="258"/>
    </row>
    <row r="178" spans="1:64" ht="16" customHeight="1" x14ac:dyDescent="0.2">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8"/>
      <c r="AQ178" s="258"/>
      <c r="AR178" s="258"/>
      <c r="AS178" s="258"/>
      <c r="AT178" s="258"/>
      <c r="AU178" s="258"/>
      <c r="AV178" s="258"/>
      <c r="AW178" s="258"/>
      <c r="AX178" s="258"/>
      <c r="AY178" s="258"/>
      <c r="AZ178" s="258"/>
      <c r="BA178" s="258"/>
      <c r="BB178" s="258"/>
      <c r="BC178" s="258"/>
      <c r="BD178" s="258"/>
      <c r="BE178" s="258"/>
      <c r="BF178" s="258"/>
      <c r="BG178" s="258"/>
      <c r="BH178" s="258"/>
      <c r="BI178" s="258"/>
      <c r="BJ178" s="258"/>
      <c r="BK178" s="258"/>
      <c r="BL178" s="258"/>
    </row>
    <row r="179" spans="1:64" ht="16" customHeight="1" x14ac:dyDescent="0.2">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8"/>
      <c r="AQ179" s="258"/>
      <c r="AR179" s="258"/>
      <c r="AS179" s="258"/>
      <c r="AT179" s="258"/>
      <c r="AU179" s="258"/>
      <c r="AV179" s="258"/>
      <c r="AW179" s="258"/>
      <c r="AX179" s="258"/>
      <c r="AY179" s="258"/>
      <c r="AZ179" s="258"/>
      <c r="BA179" s="258"/>
      <c r="BB179" s="258"/>
      <c r="BC179" s="258"/>
      <c r="BD179" s="258"/>
      <c r="BE179" s="258"/>
      <c r="BF179" s="258"/>
      <c r="BG179" s="258"/>
      <c r="BH179" s="258"/>
      <c r="BI179" s="258"/>
      <c r="BJ179" s="258"/>
      <c r="BK179" s="258"/>
      <c r="BL179" s="258"/>
    </row>
    <row r="180" spans="1:64" ht="16" customHeight="1" x14ac:dyDescent="0.2">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8"/>
      <c r="AQ180" s="258"/>
      <c r="AR180" s="258"/>
      <c r="AS180" s="258"/>
      <c r="AT180" s="258"/>
      <c r="AU180" s="258"/>
      <c r="AV180" s="258"/>
      <c r="AW180" s="258"/>
      <c r="AX180" s="258"/>
      <c r="AY180" s="258"/>
      <c r="AZ180" s="258"/>
      <c r="BA180" s="258"/>
      <c r="BB180" s="258"/>
      <c r="BC180" s="258"/>
      <c r="BD180" s="258"/>
      <c r="BE180" s="258"/>
      <c r="BF180" s="258"/>
      <c r="BG180" s="258"/>
      <c r="BH180" s="258"/>
      <c r="BI180" s="258"/>
      <c r="BJ180" s="258"/>
      <c r="BK180" s="258"/>
      <c r="BL180" s="258"/>
    </row>
    <row r="181" spans="1:64" ht="16" customHeight="1" x14ac:dyDescent="0.2">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8"/>
      <c r="AQ181" s="258"/>
      <c r="AR181" s="258"/>
      <c r="AS181" s="258"/>
      <c r="AT181" s="258"/>
      <c r="AU181" s="258"/>
      <c r="AV181" s="258"/>
      <c r="AW181" s="258"/>
      <c r="AX181" s="258"/>
      <c r="AY181" s="258"/>
      <c r="AZ181" s="258"/>
      <c r="BA181" s="258"/>
      <c r="BB181" s="258"/>
      <c r="BC181" s="258"/>
      <c r="BD181" s="258"/>
      <c r="BE181" s="258"/>
      <c r="BF181" s="258"/>
      <c r="BG181" s="258"/>
      <c r="BH181" s="258"/>
      <c r="BI181" s="258"/>
      <c r="BJ181" s="258"/>
      <c r="BK181" s="258"/>
      <c r="BL181" s="258"/>
    </row>
    <row r="182" spans="1:64" ht="16" customHeight="1" x14ac:dyDescent="0.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8"/>
      <c r="AQ182" s="258"/>
      <c r="AR182" s="258"/>
      <c r="AS182" s="258"/>
      <c r="AT182" s="258"/>
      <c r="AU182" s="258"/>
      <c r="AV182" s="258"/>
      <c r="AW182" s="258"/>
      <c r="AX182" s="258"/>
      <c r="AY182" s="258"/>
      <c r="AZ182" s="258"/>
      <c r="BA182" s="258"/>
      <c r="BB182" s="258"/>
      <c r="BC182" s="258"/>
      <c r="BD182" s="258"/>
      <c r="BE182" s="258"/>
      <c r="BF182" s="258"/>
      <c r="BG182" s="258"/>
      <c r="BH182" s="258"/>
      <c r="BI182" s="258"/>
      <c r="BJ182" s="258"/>
      <c r="BK182" s="258"/>
      <c r="BL182" s="258"/>
    </row>
    <row r="183" spans="1:64" ht="16" customHeight="1" x14ac:dyDescent="0.2">
      <c r="A183" s="258"/>
      <c r="B183" s="258"/>
      <c r="C183" s="258"/>
      <c r="D183" s="258"/>
      <c r="E183" s="258"/>
      <c r="F183" s="258"/>
      <c r="G183" s="258"/>
      <c r="H183" s="258"/>
      <c r="I183" s="258"/>
      <c r="J183" s="258"/>
      <c r="K183" s="258"/>
      <c r="L183" s="258"/>
      <c r="M183" s="258"/>
      <c r="N183" s="258"/>
      <c r="O183" s="258"/>
      <c r="P183" s="258"/>
      <c r="Q183" s="258"/>
      <c r="R183" s="258"/>
      <c r="S183" s="258"/>
      <c r="T183" s="258"/>
    </row>
    <row r="184" spans="1:64" ht="16" customHeight="1" x14ac:dyDescent="0.2">
      <c r="A184" s="258"/>
      <c r="B184" s="258"/>
      <c r="C184" s="258"/>
      <c r="D184" s="258"/>
      <c r="E184" s="258"/>
      <c r="F184" s="258"/>
      <c r="G184" s="258"/>
      <c r="H184" s="258"/>
      <c r="I184" s="258"/>
      <c r="J184" s="258"/>
      <c r="K184" s="258"/>
      <c r="L184" s="258"/>
      <c r="M184" s="258"/>
      <c r="N184" s="258"/>
      <c r="O184" s="258"/>
      <c r="P184" s="258"/>
      <c r="Q184" s="258"/>
      <c r="R184" s="258"/>
      <c r="S184" s="258"/>
    </row>
    <row r="185" spans="1:64" ht="16" customHeight="1" x14ac:dyDescent="0.2">
      <c r="A185" s="258"/>
      <c r="B185" s="258"/>
      <c r="C185" s="258"/>
      <c r="D185" s="258"/>
      <c r="E185" s="258"/>
      <c r="F185" s="258"/>
      <c r="G185" s="258"/>
      <c r="H185" s="258"/>
      <c r="I185" s="258"/>
      <c r="J185" s="258"/>
      <c r="K185" s="258"/>
      <c r="L185" s="258"/>
      <c r="M185" s="258"/>
      <c r="N185" s="258"/>
      <c r="O185" s="258"/>
      <c r="P185" s="258"/>
      <c r="Q185" s="258"/>
      <c r="R185" s="258"/>
      <c r="S185" s="258"/>
    </row>
    <row r="186" spans="1:64" ht="16" customHeight="1" x14ac:dyDescent="0.2">
      <c r="L186" s="258"/>
      <c r="M186" s="258"/>
      <c r="N186" s="258"/>
      <c r="O186" s="258"/>
      <c r="P186" s="258"/>
      <c r="Q186" s="258"/>
      <c r="R186" s="258"/>
      <c r="S186" s="258"/>
    </row>
    <row r="187" spans="1:64" ht="16" customHeight="1" x14ac:dyDescent="0.2">
      <c r="L187" s="258"/>
      <c r="M187" s="258"/>
      <c r="N187" s="258"/>
      <c r="O187" s="258"/>
      <c r="P187" s="258"/>
      <c r="Q187" s="258"/>
      <c r="R187" s="258"/>
      <c r="S187" s="258"/>
    </row>
    <row r="188" spans="1:64" ht="16" customHeight="1" x14ac:dyDescent="0.2">
      <c r="L188" s="258"/>
      <c r="M188" s="258"/>
      <c r="N188" s="258"/>
      <c r="O188" s="258"/>
      <c r="P188" s="258"/>
      <c r="Q188" s="258"/>
      <c r="R188" s="258"/>
      <c r="S188" s="258"/>
    </row>
    <row r="189" spans="1:64" ht="16" customHeight="1" x14ac:dyDescent="0.2">
      <c r="L189" s="258"/>
      <c r="M189" s="258"/>
      <c r="N189" s="258"/>
      <c r="O189" s="258"/>
      <c r="P189" s="258"/>
      <c r="Q189" s="258"/>
      <c r="R189" s="258"/>
      <c r="S189" s="258"/>
    </row>
    <row r="190" spans="1:64" ht="16" customHeight="1" x14ac:dyDescent="0.2">
      <c r="L190" s="258"/>
      <c r="M190" s="258"/>
      <c r="N190" s="258"/>
      <c r="O190" s="258"/>
      <c r="P190" s="258"/>
      <c r="Q190" s="258"/>
      <c r="R190" s="258"/>
      <c r="S190" s="258"/>
    </row>
    <row r="191" spans="1:64" ht="16" customHeight="1" x14ac:dyDescent="0.2">
      <c r="L191" s="258"/>
      <c r="M191" s="258"/>
      <c r="N191" s="258"/>
      <c r="O191" s="258"/>
      <c r="P191" s="258"/>
      <c r="Q191" s="258"/>
      <c r="R191" s="258"/>
      <c r="S191" s="258"/>
    </row>
    <row r="192" spans="1:64" ht="16" customHeight="1" x14ac:dyDescent="0.2">
      <c r="L192" s="258"/>
      <c r="M192" s="258"/>
      <c r="N192" s="258"/>
      <c r="O192" s="258"/>
      <c r="P192" s="258"/>
      <c r="Q192" s="258"/>
      <c r="R192" s="258"/>
      <c r="S192" s="258"/>
    </row>
    <row r="193" spans="12:19" ht="16" customHeight="1" x14ac:dyDescent="0.2">
      <c r="L193" s="258"/>
      <c r="M193" s="258"/>
      <c r="N193" s="258"/>
      <c r="O193" s="258"/>
      <c r="P193" s="258"/>
      <c r="Q193" s="258"/>
      <c r="R193" s="258"/>
      <c r="S193" s="258"/>
    </row>
    <row r="194" spans="12:19" ht="16" customHeight="1" x14ac:dyDescent="0.2">
      <c r="L194" s="258"/>
      <c r="M194" s="258"/>
      <c r="N194" s="258"/>
      <c r="O194" s="258"/>
      <c r="P194" s="258"/>
      <c r="Q194" s="258"/>
      <c r="R194" s="258"/>
      <c r="S194" s="258"/>
    </row>
    <row r="195" spans="12:19" ht="16" customHeight="1" x14ac:dyDescent="0.2">
      <c r="L195" s="258"/>
      <c r="M195" s="258"/>
      <c r="N195" s="258"/>
      <c r="O195" s="258"/>
      <c r="P195" s="258"/>
      <c r="Q195" s="258"/>
      <c r="R195" s="258"/>
      <c r="S195" s="258"/>
    </row>
    <row r="196" spans="12:19" ht="16" customHeight="1" x14ac:dyDescent="0.2">
      <c r="L196" s="258"/>
      <c r="M196" s="258"/>
      <c r="N196" s="258"/>
      <c r="O196" s="258"/>
      <c r="P196" s="258"/>
      <c r="Q196" s="258"/>
      <c r="R196" s="258"/>
      <c r="S196" s="258"/>
    </row>
    <row r="197" spans="12:19" ht="16" customHeight="1" x14ac:dyDescent="0.2">
      <c r="L197" s="258"/>
      <c r="M197" s="258"/>
      <c r="N197" s="258"/>
      <c r="O197" s="258"/>
      <c r="P197" s="258"/>
      <c r="Q197" s="258"/>
      <c r="R197" s="258"/>
      <c r="S197" s="258"/>
    </row>
    <row r="198" spans="12:19" ht="16" customHeight="1" x14ac:dyDescent="0.2">
      <c r="L198" s="258"/>
      <c r="M198" s="258"/>
      <c r="N198" s="258"/>
      <c r="O198" s="258"/>
      <c r="P198" s="258"/>
      <c r="Q198" s="258"/>
      <c r="R198" s="258"/>
      <c r="S198" s="258"/>
    </row>
    <row r="199" spans="12:19" ht="16" customHeight="1" x14ac:dyDescent="0.2">
      <c r="L199" s="258"/>
      <c r="M199" s="258"/>
      <c r="N199" s="258"/>
      <c r="O199" s="258"/>
      <c r="P199" s="258"/>
      <c r="Q199" s="258"/>
      <c r="R199" s="258"/>
      <c r="S199" s="258"/>
    </row>
    <row r="200" spans="12:19" ht="16" customHeight="1" x14ac:dyDescent="0.2">
      <c r="L200" s="258"/>
      <c r="M200" s="258"/>
      <c r="N200" s="258"/>
      <c r="O200" s="258"/>
      <c r="P200" s="258"/>
      <c r="Q200" s="258"/>
      <c r="R200" s="258"/>
      <c r="S200" s="258"/>
    </row>
    <row r="201" spans="12:19" ht="16" customHeight="1" x14ac:dyDescent="0.2">
      <c r="L201" s="258"/>
    </row>
  </sheetData>
  <mergeCells count="6">
    <mergeCell ref="M4:S19"/>
    <mergeCell ref="M22:S34"/>
    <mergeCell ref="B15:J23"/>
    <mergeCell ref="M37:S40"/>
    <mergeCell ref="B9:J10"/>
    <mergeCell ref="B5:J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2D2D-BE27-3C42-820D-001AF15AE375}">
  <dimension ref="A1:BL210"/>
  <sheetViews>
    <sheetView zoomScaleNormal="100" workbookViewId="0"/>
  </sheetViews>
  <sheetFormatPr baseColWidth="10" defaultColWidth="10.83203125" defaultRowHeight="16" customHeight="1" outlineLevelCol="1" x14ac:dyDescent="0.2"/>
  <cols>
    <col min="1" max="1" width="4.6640625" style="259" customWidth="1"/>
    <col min="2" max="2" width="10.83203125" style="259"/>
    <col min="3" max="3" width="10.83203125" style="259" customWidth="1"/>
    <col min="4" max="11" width="10.83203125" style="259"/>
    <col min="12" max="12" width="11.5" style="259" bestFit="1" customWidth="1"/>
    <col min="13" max="19" width="10.83203125" style="259" hidden="1" customWidth="1" outlineLevel="1"/>
    <col min="20" max="20" width="10.83203125" style="259" collapsed="1"/>
    <col min="21" max="16384" width="10.83203125" style="259"/>
  </cols>
  <sheetData>
    <row r="1" spans="1:19" ht="16" customHeight="1" x14ac:dyDescent="0.25">
      <c r="A1" s="366" t="s">
        <v>523</v>
      </c>
      <c r="B1" s="260"/>
      <c r="C1" s="260"/>
      <c r="D1" s="260"/>
      <c r="E1" s="260"/>
      <c r="F1" s="260"/>
      <c r="G1" s="260"/>
      <c r="H1" s="260"/>
      <c r="I1" s="260"/>
      <c r="J1" s="261"/>
      <c r="K1" s="262"/>
      <c r="L1" s="263" t="s">
        <v>146</v>
      </c>
    </row>
    <row r="2" spans="1:19" ht="16" customHeight="1" x14ac:dyDescent="0.2">
      <c r="A2" s="252"/>
      <c r="B2" s="249"/>
      <c r="C2" s="249"/>
      <c r="D2" s="249"/>
      <c r="E2" s="249"/>
      <c r="F2" s="249"/>
      <c r="G2" s="249"/>
      <c r="H2" s="249"/>
      <c r="I2" s="249"/>
      <c r="J2" s="264"/>
      <c r="K2" s="265"/>
      <c r="N2" s="273"/>
      <c r="O2" s="273"/>
      <c r="P2" s="273"/>
      <c r="Q2" s="273"/>
      <c r="R2" s="273"/>
      <c r="S2" s="273"/>
    </row>
    <row r="3" spans="1:19" x14ac:dyDescent="0.2">
      <c r="A3" s="266"/>
      <c r="B3" s="264"/>
      <c r="C3" s="264"/>
      <c r="D3" s="264"/>
      <c r="E3" s="264"/>
      <c r="F3" s="264"/>
      <c r="G3" s="264"/>
      <c r="H3" s="264"/>
      <c r="I3" s="264"/>
      <c r="J3" s="264"/>
      <c r="K3" s="265"/>
      <c r="M3" s="363" t="s">
        <v>3</v>
      </c>
      <c r="N3" s="273"/>
      <c r="O3" s="273"/>
      <c r="P3" s="273"/>
      <c r="Q3" s="273"/>
      <c r="R3" s="273"/>
      <c r="S3" s="273"/>
    </row>
    <row r="4" spans="1:19" ht="16" customHeight="1" x14ac:dyDescent="0.2">
      <c r="A4" s="266"/>
      <c r="B4" s="249" t="s">
        <v>0</v>
      </c>
      <c r="C4" s="264"/>
      <c r="D4" s="264"/>
      <c r="E4" s="264"/>
      <c r="F4" s="264"/>
      <c r="G4" s="264"/>
      <c r="H4" s="264"/>
      <c r="I4" s="264"/>
      <c r="J4" s="264"/>
      <c r="K4" s="265"/>
      <c r="M4" s="439" t="s">
        <v>518</v>
      </c>
      <c r="N4" s="439"/>
      <c r="O4" s="439"/>
      <c r="P4" s="439"/>
      <c r="Q4" s="439"/>
      <c r="R4" s="439"/>
      <c r="S4" s="439"/>
    </row>
    <row r="5" spans="1:19" ht="16" customHeight="1" x14ac:dyDescent="0.2">
      <c r="A5" s="266"/>
      <c r="B5" s="356" t="s">
        <v>515</v>
      </c>
      <c r="C5" s="356"/>
      <c r="D5" s="356"/>
      <c r="E5" s="356"/>
      <c r="F5" s="356"/>
      <c r="G5" s="356"/>
      <c r="H5" s="356"/>
      <c r="I5" s="356"/>
      <c r="J5" s="356"/>
      <c r="K5" s="265"/>
      <c r="M5" s="439"/>
      <c r="N5" s="439"/>
      <c r="O5" s="439"/>
      <c r="P5" s="439"/>
      <c r="Q5" s="439"/>
      <c r="R5" s="439"/>
      <c r="S5" s="439"/>
    </row>
    <row r="6" spans="1:19" x14ac:dyDescent="0.2">
      <c r="A6" s="266"/>
      <c r="B6" s="249"/>
      <c r="C6" s="264"/>
      <c r="D6" s="264"/>
      <c r="E6" s="264"/>
      <c r="F6" s="264"/>
      <c r="G6" s="264"/>
      <c r="H6" s="264"/>
      <c r="I6" s="264"/>
      <c r="J6" s="264"/>
      <c r="K6" s="265"/>
      <c r="M6" s="439"/>
      <c r="N6" s="439"/>
      <c r="O6" s="439"/>
      <c r="P6" s="439"/>
      <c r="Q6" s="439"/>
      <c r="R6" s="439"/>
      <c r="S6" s="439"/>
    </row>
    <row r="7" spans="1:19" x14ac:dyDescent="0.2">
      <c r="A7" s="266"/>
      <c r="B7" s="249" t="s">
        <v>1</v>
      </c>
      <c r="C7" s="264"/>
      <c r="D7" s="264"/>
      <c r="E7" s="264"/>
      <c r="F7" s="264"/>
      <c r="G7" s="264"/>
      <c r="H7" s="264"/>
      <c r="I7" s="264"/>
      <c r="J7" s="264"/>
      <c r="K7" s="265"/>
      <c r="M7" s="439"/>
      <c r="N7" s="439"/>
      <c r="O7" s="439"/>
      <c r="P7" s="439"/>
      <c r="Q7" s="439"/>
      <c r="R7" s="439"/>
      <c r="S7" s="439"/>
    </row>
    <row r="8" spans="1:19" ht="16" customHeight="1" x14ac:dyDescent="0.2">
      <c r="A8" s="266"/>
      <c r="B8" s="249" t="s">
        <v>517</v>
      </c>
      <c r="C8" s="264"/>
      <c r="D8" s="264"/>
      <c r="E8" s="264"/>
      <c r="F8" s="264"/>
      <c r="G8" s="264"/>
      <c r="H8" s="264"/>
      <c r="I8" s="264"/>
      <c r="J8" s="264"/>
      <c r="K8" s="265"/>
      <c r="M8" s="439"/>
      <c r="N8" s="439"/>
      <c r="O8" s="439"/>
      <c r="P8" s="439"/>
      <c r="Q8" s="439"/>
      <c r="R8" s="439"/>
      <c r="S8" s="439"/>
    </row>
    <row r="9" spans="1:19" x14ac:dyDescent="0.2">
      <c r="A9" s="266"/>
      <c r="B9" s="249"/>
      <c r="C9" s="264"/>
      <c r="D9" s="264"/>
      <c r="E9" s="264"/>
      <c r="F9" s="264"/>
      <c r="G9" s="264"/>
      <c r="H9" s="264"/>
      <c r="I9" s="264"/>
      <c r="J9" s="264"/>
      <c r="K9" s="265"/>
      <c r="M9" s="439"/>
      <c r="N9" s="439"/>
      <c r="O9" s="439"/>
      <c r="P9" s="439"/>
      <c r="Q9" s="439"/>
      <c r="R9" s="439"/>
      <c r="S9" s="439"/>
    </row>
    <row r="10" spans="1:19" ht="16" customHeight="1" x14ac:dyDescent="0.2">
      <c r="A10" s="266"/>
      <c r="B10" s="249" t="s">
        <v>2</v>
      </c>
      <c r="C10" s="264"/>
      <c r="D10" s="264"/>
      <c r="E10" s="264"/>
      <c r="F10" s="264"/>
      <c r="G10" s="264"/>
      <c r="H10" s="264"/>
      <c r="I10" s="264"/>
      <c r="J10" s="264"/>
      <c r="K10" s="265"/>
      <c r="M10" s="439"/>
      <c r="N10" s="439"/>
      <c r="O10" s="439"/>
      <c r="P10" s="439"/>
      <c r="Q10" s="439"/>
      <c r="R10" s="439"/>
      <c r="S10" s="439"/>
    </row>
    <row r="11" spans="1:19" ht="16" customHeight="1" x14ac:dyDescent="0.2">
      <c r="A11" s="266"/>
      <c r="B11" s="427" t="s">
        <v>519</v>
      </c>
      <c r="C11" s="427"/>
      <c r="D11" s="427"/>
      <c r="E11" s="427"/>
      <c r="F11" s="427"/>
      <c r="G11" s="427"/>
      <c r="H11" s="427"/>
      <c r="I11" s="427"/>
      <c r="J11" s="427"/>
      <c r="K11" s="265"/>
      <c r="M11" s="439"/>
      <c r="N11" s="439"/>
      <c r="O11" s="439"/>
      <c r="P11" s="439"/>
      <c r="Q11" s="439"/>
      <c r="R11" s="439"/>
      <c r="S11" s="439"/>
    </row>
    <row r="12" spans="1:19" ht="16" customHeight="1" x14ac:dyDescent="0.2">
      <c r="A12" s="266"/>
      <c r="B12" s="427"/>
      <c r="C12" s="427"/>
      <c r="D12" s="427"/>
      <c r="E12" s="427"/>
      <c r="F12" s="427"/>
      <c r="G12" s="427"/>
      <c r="H12" s="427"/>
      <c r="I12" s="427"/>
      <c r="J12" s="427"/>
      <c r="K12" s="265"/>
      <c r="M12" s="439"/>
      <c r="N12" s="439"/>
      <c r="O12" s="439"/>
      <c r="P12" s="439"/>
      <c r="Q12" s="439"/>
      <c r="R12" s="439"/>
      <c r="S12" s="439"/>
    </row>
    <row r="13" spans="1:19" ht="16" customHeight="1" x14ac:dyDescent="0.2">
      <c r="A13" s="266"/>
      <c r="B13" s="427"/>
      <c r="C13" s="427"/>
      <c r="D13" s="427"/>
      <c r="E13" s="427"/>
      <c r="F13" s="427"/>
      <c r="G13" s="427"/>
      <c r="H13" s="427"/>
      <c r="I13" s="427"/>
      <c r="J13" s="427"/>
      <c r="K13" s="265"/>
      <c r="M13" s="439"/>
      <c r="N13" s="439"/>
      <c r="O13" s="439"/>
      <c r="P13" s="439"/>
      <c r="Q13" s="439"/>
      <c r="R13" s="439"/>
      <c r="S13" s="439"/>
    </row>
    <row r="14" spans="1:19" ht="16" customHeight="1" thickBot="1" x14ac:dyDescent="0.25">
      <c r="A14" s="267"/>
      <c r="B14" s="268"/>
      <c r="C14" s="268"/>
      <c r="D14" s="268"/>
      <c r="E14" s="268"/>
      <c r="F14" s="268"/>
      <c r="G14" s="268"/>
      <c r="H14" s="268"/>
      <c r="I14" s="268"/>
      <c r="J14" s="268"/>
      <c r="K14" s="269"/>
      <c r="M14" s="439"/>
      <c r="N14" s="439"/>
      <c r="O14" s="439"/>
      <c r="P14" s="439"/>
      <c r="Q14" s="439"/>
      <c r="R14" s="439"/>
      <c r="S14" s="439"/>
    </row>
    <row r="15" spans="1:19" ht="16" customHeight="1" x14ac:dyDescent="0.2">
      <c r="M15" s="439"/>
      <c r="N15" s="439"/>
      <c r="O15" s="439"/>
      <c r="P15" s="439"/>
      <c r="Q15" s="439"/>
      <c r="R15" s="439"/>
      <c r="S15" s="439"/>
    </row>
    <row r="16" spans="1:19" ht="16" customHeight="1" x14ac:dyDescent="0.25">
      <c r="A16" s="263"/>
      <c r="B16" s="259" t="s">
        <v>457</v>
      </c>
      <c r="M16" s="439"/>
      <c r="N16" s="439"/>
      <c r="O16" s="439"/>
      <c r="P16" s="439"/>
      <c r="Q16" s="439"/>
      <c r="R16" s="439"/>
      <c r="S16" s="439"/>
    </row>
    <row r="17" spans="1:19" ht="16" customHeight="1" x14ac:dyDescent="0.2">
      <c r="A17" s="271"/>
      <c r="B17" s="435"/>
      <c r="C17" s="436"/>
      <c r="D17" s="436"/>
      <c r="E17" s="436"/>
      <c r="F17" s="436"/>
      <c r="G17" s="436"/>
      <c r="H17" s="436"/>
      <c r="I17" s="436"/>
      <c r="J17" s="437"/>
      <c r="M17" s="272"/>
      <c r="N17" s="272"/>
      <c r="O17" s="272"/>
      <c r="P17" s="272"/>
      <c r="Q17" s="272"/>
      <c r="R17" s="272"/>
      <c r="S17" s="272"/>
    </row>
    <row r="18" spans="1:19" ht="16" customHeight="1" x14ac:dyDescent="0.2">
      <c r="B18" s="438"/>
      <c r="C18" s="439"/>
      <c r="D18" s="439"/>
      <c r="E18" s="439"/>
      <c r="F18" s="439"/>
      <c r="G18" s="439"/>
      <c r="H18" s="439"/>
      <c r="I18" s="439"/>
      <c r="J18" s="440"/>
      <c r="M18" s="363" t="s">
        <v>4</v>
      </c>
      <c r="N18" s="270"/>
      <c r="O18" s="270"/>
      <c r="P18" s="270"/>
      <c r="Q18" s="270"/>
      <c r="R18" s="270"/>
      <c r="S18" s="270"/>
    </row>
    <row r="19" spans="1:19" ht="16" customHeight="1" x14ac:dyDescent="0.2">
      <c r="B19" s="438"/>
      <c r="C19" s="439"/>
      <c r="D19" s="439"/>
      <c r="E19" s="439"/>
      <c r="F19" s="439"/>
      <c r="G19" s="439"/>
      <c r="H19" s="439"/>
      <c r="I19" s="439"/>
      <c r="J19" s="440"/>
      <c r="M19" s="405" t="s">
        <v>516</v>
      </c>
      <c r="N19" s="405"/>
      <c r="O19" s="405"/>
      <c r="P19" s="405"/>
      <c r="Q19" s="405"/>
      <c r="R19" s="405"/>
      <c r="S19" s="405"/>
    </row>
    <row r="20" spans="1:19" ht="16" customHeight="1" x14ac:dyDescent="0.2">
      <c r="B20" s="438"/>
      <c r="C20" s="439"/>
      <c r="D20" s="439"/>
      <c r="E20" s="439"/>
      <c r="F20" s="439"/>
      <c r="G20" s="439"/>
      <c r="H20" s="439"/>
      <c r="I20" s="439"/>
      <c r="J20" s="440"/>
      <c r="M20" s="405"/>
      <c r="N20" s="405"/>
      <c r="O20" s="405"/>
      <c r="P20" s="405"/>
      <c r="Q20" s="405"/>
      <c r="R20" s="405"/>
      <c r="S20" s="405"/>
    </row>
    <row r="21" spans="1:19" ht="16" customHeight="1" x14ac:dyDescent="0.2">
      <c r="B21" s="438"/>
      <c r="C21" s="439"/>
      <c r="D21" s="439"/>
      <c r="E21" s="439"/>
      <c r="F21" s="439"/>
      <c r="G21" s="439"/>
      <c r="H21" s="439"/>
      <c r="I21" s="439"/>
      <c r="J21" s="440"/>
      <c r="M21" s="405"/>
      <c r="N21" s="405"/>
      <c r="O21" s="405"/>
      <c r="P21" s="405"/>
      <c r="Q21" s="405"/>
      <c r="R21" s="405"/>
      <c r="S21" s="405"/>
    </row>
    <row r="22" spans="1:19" ht="16" customHeight="1" x14ac:dyDescent="0.2">
      <c r="B22" s="438"/>
      <c r="C22" s="439"/>
      <c r="D22" s="439"/>
      <c r="E22" s="439"/>
      <c r="F22" s="439"/>
      <c r="G22" s="439"/>
      <c r="H22" s="439"/>
      <c r="I22" s="439"/>
      <c r="J22" s="440"/>
      <c r="M22" s="405"/>
      <c r="N22" s="405"/>
      <c r="O22" s="405"/>
      <c r="P22" s="405"/>
      <c r="Q22" s="405"/>
      <c r="R22" s="405"/>
      <c r="S22" s="405"/>
    </row>
    <row r="23" spans="1:19" ht="16" customHeight="1" x14ac:dyDescent="0.2">
      <c r="B23" s="438"/>
      <c r="C23" s="439"/>
      <c r="D23" s="439"/>
      <c r="E23" s="439"/>
      <c r="F23" s="439"/>
      <c r="G23" s="439"/>
      <c r="H23" s="439"/>
      <c r="I23" s="439"/>
      <c r="J23" s="440"/>
      <c r="M23" s="405"/>
      <c r="N23" s="405"/>
      <c r="O23" s="405"/>
      <c r="P23" s="405"/>
      <c r="Q23" s="405"/>
      <c r="R23" s="405"/>
      <c r="S23" s="405"/>
    </row>
    <row r="24" spans="1:19" ht="16" customHeight="1" x14ac:dyDescent="0.2">
      <c r="B24" s="438"/>
      <c r="C24" s="439"/>
      <c r="D24" s="439"/>
      <c r="E24" s="439"/>
      <c r="F24" s="439"/>
      <c r="G24" s="439"/>
      <c r="H24" s="439"/>
      <c r="I24" s="439"/>
      <c r="J24" s="440"/>
      <c r="M24" s="405"/>
      <c r="N24" s="405"/>
      <c r="O24" s="405"/>
      <c r="P24" s="405"/>
      <c r="Q24" s="405"/>
      <c r="R24" s="405"/>
      <c r="S24" s="405"/>
    </row>
    <row r="25" spans="1:19" ht="16" customHeight="1" x14ac:dyDescent="0.2">
      <c r="B25" s="438"/>
      <c r="C25" s="439"/>
      <c r="D25" s="439"/>
      <c r="E25" s="439"/>
      <c r="F25" s="439"/>
      <c r="G25" s="439"/>
      <c r="H25" s="439"/>
      <c r="I25" s="439"/>
      <c r="J25" s="440"/>
      <c r="M25" s="405"/>
      <c r="N25" s="405"/>
      <c r="O25" s="405"/>
      <c r="P25" s="405"/>
      <c r="Q25" s="405"/>
      <c r="R25" s="405"/>
      <c r="S25" s="405"/>
    </row>
    <row r="26" spans="1:19" ht="16" customHeight="1" x14ac:dyDescent="0.2">
      <c r="B26" s="438"/>
      <c r="C26" s="439"/>
      <c r="D26" s="439"/>
      <c r="E26" s="439"/>
      <c r="F26" s="439"/>
      <c r="G26" s="439"/>
      <c r="H26" s="439"/>
      <c r="I26" s="439"/>
      <c r="J26" s="440"/>
      <c r="M26" s="405"/>
      <c r="N26" s="405"/>
      <c r="O26" s="405"/>
      <c r="P26" s="405"/>
      <c r="Q26" s="405"/>
      <c r="R26" s="405"/>
      <c r="S26" s="405"/>
    </row>
    <row r="27" spans="1:19" ht="16" customHeight="1" x14ac:dyDescent="0.2">
      <c r="B27" s="438"/>
      <c r="C27" s="439"/>
      <c r="D27" s="439"/>
      <c r="E27" s="439"/>
      <c r="F27" s="439"/>
      <c r="G27" s="439"/>
      <c r="H27" s="439"/>
      <c r="I27" s="439"/>
      <c r="J27" s="440"/>
      <c r="M27" s="270"/>
      <c r="N27" s="270"/>
      <c r="O27" s="270"/>
      <c r="P27" s="270"/>
      <c r="Q27" s="270"/>
      <c r="R27" s="270"/>
      <c r="S27" s="270"/>
    </row>
    <row r="28" spans="1:19" ht="16" customHeight="1" x14ac:dyDescent="0.2">
      <c r="A28" s="271"/>
      <c r="B28" s="438"/>
      <c r="C28" s="439"/>
      <c r="D28" s="439"/>
      <c r="E28" s="439"/>
      <c r="F28" s="439"/>
      <c r="G28" s="439"/>
      <c r="H28" s="439"/>
      <c r="I28" s="439"/>
      <c r="J28" s="440"/>
      <c r="M28" s="363" t="s">
        <v>5</v>
      </c>
    </row>
    <row r="29" spans="1:19" ht="16" customHeight="1" x14ac:dyDescent="0.2">
      <c r="B29" s="438"/>
      <c r="C29" s="439"/>
      <c r="D29" s="439"/>
      <c r="E29" s="439"/>
      <c r="F29" s="439"/>
      <c r="G29" s="439"/>
      <c r="H29" s="439"/>
      <c r="I29" s="439"/>
      <c r="J29" s="440"/>
      <c r="M29" s="439" t="s">
        <v>520</v>
      </c>
      <c r="N29" s="439"/>
      <c r="O29" s="439"/>
      <c r="P29" s="439"/>
      <c r="Q29" s="439"/>
      <c r="R29" s="439"/>
      <c r="S29" s="439"/>
    </row>
    <row r="30" spans="1:19" ht="16" customHeight="1" x14ac:dyDescent="0.2">
      <c r="B30" s="438"/>
      <c r="C30" s="439"/>
      <c r="D30" s="439"/>
      <c r="E30" s="439"/>
      <c r="F30" s="439"/>
      <c r="G30" s="439"/>
      <c r="H30" s="439"/>
      <c r="I30" s="439"/>
      <c r="J30" s="440"/>
      <c r="M30" s="439"/>
      <c r="N30" s="439"/>
      <c r="O30" s="439"/>
      <c r="P30" s="439"/>
      <c r="Q30" s="439"/>
      <c r="R30" s="439"/>
      <c r="S30" s="439"/>
    </row>
    <row r="31" spans="1:19" ht="16" customHeight="1" x14ac:dyDescent="0.2">
      <c r="B31" s="438"/>
      <c r="C31" s="439"/>
      <c r="D31" s="439"/>
      <c r="E31" s="439"/>
      <c r="F31" s="439"/>
      <c r="G31" s="439"/>
      <c r="H31" s="439"/>
      <c r="I31" s="439"/>
      <c r="J31" s="440"/>
      <c r="M31" s="439"/>
      <c r="N31" s="439"/>
      <c r="O31" s="439"/>
      <c r="P31" s="439"/>
      <c r="Q31" s="439"/>
      <c r="R31" s="439"/>
      <c r="S31" s="439"/>
    </row>
    <row r="32" spans="1:19" ht="16" customHeight="1" x14ac:dyDescent="0.2">
      <c r="B32" s="438"/>
      <c r="C32" s="439"/>
      <c r="D32" s="439"/>
      <c r="E32" s="439"/>
      <c r="F32" s="439"/>
      <c r="G32" s="439"/>
      <c r="H32" s="439"/>
      <c r="I32" s="439"/>
      <c r="J32" s="440"/>
      <c r="M32" s="439"/>
      <c r="N32" s="439"/>
      <c r="O32" s="439"/>
      <c r="P32" s="439"/>
      <c r="Q32" s="439"/>
      <c r="R32" s="439"/>
      <c r="S32" s="439"/>
    </row>
    <row r="33" spans="1:20" ht="16" customHeight="1" x14ac:dyDescent="0.2">
      <c r="B33" s="438"/>
      <c r="C33" s="439"/>
      <c r="D33" s="439"/>
      <c r="E33" s="439"/>
      <c r="F33" s="439"/>
      <c r="G33" s="439"/>
      <c r="H33" s="439"/>
      <c r="I33" s="439"/>
      <c r="J33" s="440"/>
      <c r="M33" s="439"/>
      <c r="N33" s="439"/>
      <c r="O33" s="439"/>
      <c r="P33" s="439"/>
      <c r="Q33" s="439"/>
      <c r="R33" s="439"/>
      <c r="S33" s="439"/>
    </row>
    <row r="34" spans="1:20" ht="16" customHeight="1" x14ac:dyDescent="0.2">
      <c r="B34" s="438"/>
      <c r="C34" s="439"/>
      <c r="D34" s="439"/>
      <c r="E34" s="439"/>
      <c r="F34" s="439"/>
      <c r="G34" s="439"/>
      <c r="H34" s="439"/>
      <c r="I34" s="439"/>
      <c r="J34" s="440"/>
      <c r="M34" s="439"/>
      <c r="N34" s="439"/>
      <c r="O34" s="439"/>
      <c r="P34" s="439"/>
      <c r="Q34" s="439"/>
      <c r="R34" s="439"/>
      <c r="S34" s="439"/>
    </row>
    <row r="35" spans="1:20" ht="16" customHeight="1" x14ac:dyDescent="0.2">
      <c r="B35" s="438"/>
      <c r="C35" s="439"/>
      <c r="D35" s="439"/>
      <c r="E35" s="439"/>
      <c r="F35" s="439"/>
      <c r="G35" s="439"/>
      <c r="H35" s="439"/>
      <c r="I35" s="439"/>
      <c r="J35" s="440"/>
      <c r="M35" s="439"/>
      <c r="N35" s="439"/>
      <c r="O35" s="439"/>
      <c r="P35" s="439"/>
      <c r="Q35" s="439"/>
      <c r="R35" s="439"/>
      <c r="S35" s="439"/>
    </row>
    <row r="36" spans="1:20" ht="16" customHeight="1" x14ac:dyDescent="0.2">
      <c r="B36" s="441"/>
      <c r="C36" s="442"/>
      <c r="D36" s="442"/>
      <c r="E36" s="442"/>
      <c r="F36" s="442"/>
      <c r="G36" s="442"/>
      <c r="H36" s="442"/>
      <c r="I36" s="442"/>
      <c r="J36" s="443"/>
      <c r="M36" s="439"/>
      <c r="N36" s="439"/>
      <c r="O36" s="439"/>
      <c r="P36" s="439"/>
      <c r="Q36" s="439"/>
      <c r="R36" s="439"/>
      <c r="S36" s="439"/>
    </row>
    <row r="37" spans="1:20" ht="16" customHeight="1" x14ac:dyDescent="0.2">
      <c r="M37" s="439"/>
      <c r="N37" s="439"/>
      <c r="O37" s="439"/>
      <c r="P37" s="439"/>
      <c r="Q37" s="439"/>
      <c r="R37" s="439"/>
      <c r="S37" s="439"/>
    </row>
    <row r="38" spans="1:20" ht="16" customHeight="1" x14ac:dyDescent="0.2">
      <c r="M38" s="439"/>
      <c r="N38" s="439"/>
      <c r="O38" s="439"/>
      <c r="P38" s="439"/>
      <c r="Q38" s="439"/>
      <c r="R38" s="439"/>
      <c r="S38" s="439"/>
    </row>
    <row r="39" spans="1:20" ht="16" customHeight="1" x14ac:dyDescent="0.2">
      <c r="A39" s="271"/>
      <c r="C39" s="274"/>
      <c r="M39" s="439"/>
      <c r="N39" s="439"/>
      <c r="O39" s="439"/>
      <c r="P39" s="439"/>
      <c r="Q39" s="439"/>
      <c r="R39" s="439"/>
      <c r="S39" s="439"/>
    </row>
    <row r="40" spans="1:20" ht="16" customHeight="1" x14ac:dyDescent="0.2">
      <c r="M40" s="439"/>
      <c r="N40" s="439"/>
      <c r="O40" s="439"/>
      <c r="P40" s="439"/>
      <c r="Q40" s="439"/>
      <c r="R40" s="439"/>
      <c r="S40" s="439"/>
      <c r="T40" s="273"/>
    </row>
    <row r="41" spans="1:20" ht="16" customHeight="1" x14ac:dyDescent="0.2">
      <c r="M41" s="439"/>
      <c r="N41" s="439"/>
      <c r="O41" s="439"/>
      <c r="P41" s="439"/>
      <c r="Q41" s="439"/>
      <c r="R41" s="439"/>
      <c r="S41" s="439"/>
    </row>
    <row r="42" spans="1:20" ht="16" customHeight="1" x14ac:dyDescent="0.2">
      <c r="M42" s="439"/>
      <c r="N42" s="439"/>
      <c r="O42" s="439"/>
      <c r="P42" s="439"/>
      <c r="Q42" s="439"/>
      <c r="R42" s="439"/>
      <c r="S42" s="439"/>
    </row>
    <row r="43" spans="1:20" ht="16" customHeight="1" x14ac:dyDescent="0.2">
      <c r="M43" s="439"/>
      <c r="N43" s="439"/>
      <c r="O43" s="439"/>
      <c r="P43" s="439"/>
      <c r="Q43" s="439"/>
      <c r="R43" s="439"/>
      <c r="S43" s="439"/>
    </row>
    <row r="44" spans="1:20" ht="16" customHeight="1" x14ac:dyDescent="0.2">
      <c r="M44" s="439"/>
      <c r="N44" s="439"/>
      <c r="O44" s="439"/>
      <c r="P44" s="439"/>
      <c r="Q44" s="439"/>
      <c r="R44" s="439"/>
      <c r="S44" s="439"/>
    </row>
    <row r="46" spans="1:20" ht="16" customHeight="1" x14ac:dyDescent="0.25">
      <c r="M46" s="3" t="s">
        <v>131</v>
      </c>
      <c r="N46" s="251"/>
      <c r="O46" s="251"/>
      <c r="P46" s="251"/>
      <c r="Q46" s="251"/>
      <c r="R46" s="251"/>
      <c r="S46" s="251"/>
    </row>
    <row r="47" spans="1:20" ht="16" customHeight="1" x14ac:dyDescent="0.2">
      <c r="M47" s="405" t="s">
        <v>522</v>
      </c>
      <c r="N47" s="405"/>
      <c r="O47" s="405"/>
      <c r="P47" s="405"/>
      <c r="Q47" s="405"/>
      <c r="R47" s="405"/>
      <c r="S47" s="405"/>
    </row>
    <row r="48" spans="1:20" ht="16" customHeight="1" x14ac:dyDescent="0.2">
      <c r="M48" s="405"/>
      <c r="N48" s="405"/>
      <c r="O48" s="405"/>
      <c r="P48" s="405"/>
      <c r="Q48" s="405"/>
      <c r="R48" s="405"/>
      <c r="S48" s="405"/>
    </row>
    <row r="49" spans="13:19" ht="16" customHeight="1" x14ac:dyDescent="0.2">
      <c r="M49" s="405"/>
      <c r="N49" s="405"/>
      <c r="O49" s="405"/>
      <c r="P49" s="405"/>
      <c r="Q49" s="405"/>
      <c r="R49" s="405"/>
      <c r="S49" s="405"/>
    </row>
    <row r="50" spans="13:19" ht="16" customHeight="1" x14ac:dyDescent="0.2">
      <c r="M50" s="405"/>
      <c r="N50" s="405"/>
      <c r="O50" s="405"/>
      <c r="P50" s="405"/>
      <c r="Q50" s="405"/>
      <c r="R50" s="405"/>
      <c r="S50" s="405"/>
    </row>
    <row r="51" spans="13:19" ht="16" customHeight="1" x14ac:dyDescent="0.2">
      <c r="M51" s="405"/>
      <c r="N51" s="405"/>
      <c r="O51" s="405"/>
      <c r="P51" s="405"/>
      <c r="Q51" s="405"/>
      <c r="R51" s="405"/>
      <c r="S51" s="405"/>
    </row>
    <row r="52" spans="13:19" ht="16" customHeight="1" x14ac:dyDescent="0.2">
      <c r="M52" s="405"/>
      <c r="N52" s="405"/>
      <c r="O52" s="405"/>
      <c r="P52" s="405"/>
      <c r="Q52" s="405"/>
      <c r="R52" s="405"/>
      <c r="S52" s="405"/>
    </row>
    <row r="53" spans="13:19" ht="16" customHeight="1" x14ac:dyDescent="0.2">
      <c r="M53" s="405"/>
      <c r="N53" s="405"/>
      <c r="O53" s="405"/>
      <c r="P53" s="405"/>
      <c r="Q53" s="405"/>
      <c r="R53" s="405"/>
      <c r="S53" s="405"/>
    </row>
    <row r="54" spans="13:19" ht="16" customHeight="1" x14ac:dyDescent="0.2">
      <c r="M54" s="405"/>
      <c r="N54" s="405"/>
      <c r="O54" s="405"/>
      <c r="P54" s="405"/>
      <c r="Q54" s="405"/>
      <c r="R54" s="405"/>
      <c r="S54" s="405"/>
    </row>
    <row r="55" spans="13:19" ht="16" customHeight="1" x14ac:dyDescent="0.2">
      <c r="M55" s="405"/>
      <c r="N55" s="405"/>
      <c r="O55" s="405"/>
      <c r="P55" s="405"/>
      <c r="Q55" s="405"/>
      <c r="R55" s="405"/>
      <c r="S55" s="405"/>
    </row>
    <row r="56" spans="13:19" ht="16" customHeight="1" x14ac:dyDescent="0.2">
      <c r="M56" s="405"/>
      <c r="N56" s="405"/>
      <c r="O56" s="405"/>
      <c r="P56" s="405"/>
      <c r="Q56" s="405"/>
      <c r="R56" s="405"/>
      <c r="S56" s="405"/>
    </row>
    <row r="57" spans="13:19" ht="16" customHeight="1" x14ac:dyDescent="0.2">
      <c r="M57" s="251"/>
      <c r="N57" s="251"/>
      <c r="O57" s="251"/>
      <c r="P57" s="251"/>
      <c r="Q57" s="251"/>
      <c r="R57" s="251"/>
      <c r="S57" s="251"/>
    </row>
    <row r="58" spans="13:19" ht="16" customHeight="1" x14ac:dyDescent="0.25">
      <c r="M58" s="3" t="s">
        <v>456</v>
      </c>
      <c r="N58" s="251"/>
      <c r="O58" s="251"/>
      <c r="P58" s="251"/>
      <c r="Q58" s="251"/>
      <c r="R58" s="251"/>
      <c r="S58" s="251"/>
    </row>
    <row r="59" spans="13:19" ht="16" customHeight="1" x14ac:dyDescent="0.2">
      <c r="M59" s="251" t="s">
        <v>521</v>
      </c>
      <c r="N59" s="251"/>
      <c r="O59" s="251"/>
      <c r="P59" s="251"/>
      <c r="Q59" s="251"/>
      <c r="R59" s="251"/>
      <c r="S59" s="251"/>
    </row>
    <row r="60" spans="13:19" ht="16" customHeight="1" x14ac:dyDescent="0.2">
      <c r="M60" s="251"/>
      <c r="N60" s="251"/>
      <c r="O60" s="251"/>
      <c r="P60" s="251"/>
      <c r="Q60" s="251"/>
      <c r="R60" s="251"/>
      <c r="S60" s="251"/>
    </row>
    <row r="61" spans="13:19" ht="16" customHeight="1" x14ac:dyDescent="0.2">
      <c r="M61" s="258"/>
    </row>
    <row r="62" spans="13:19" ht="16" customHeight="1" x14ac:dyDescent="0.2">
      <c r="M62" s="258"/>
      <c r="N62" s="258"/>
      <c r="O62" s="258"/>
    </row>
    <row r="63" spans="13:19" ht="16" customHeight="1" x14ac:dyDescent="0.2">
      <c r="M63" s="258"/>
      <c r="N63" s="258"/>
      <c r="O63" s="258"/>
    </row>
    <row r="64" spans="13:19" ht="16" customHeight="1" x14ac:dyDescent="0.2">
      <c r="M64" s="258"/>
      <c r="N64" s="258"/>
      <c r="O64" s="258"/>
    </row>
    <row r="65" spans="1:64" ht="16" customHeight="1" x14ac:dyDescent="0.2">
      <c r="M65" s="258"/>
      <c r="N65" s="258"/>
      <c r="O65" s="258"/>
    </row>
    <row r="66" spans="1:64" ht="16" customHeight="1" x14ac:dyDescent="0.2">
      <c r="M66" s="258"/>
      <c r="N66" s="258"/>
      <c r="O66" s="258"/>
    </row>
    <row r="67" spans="1:64" ht="16" customHeight="1" x14ac:dyDescent="0.2">
      <c r="M67" s="258"/>
      <c r="N67" s="258"/>
      <c r="O67" s="258"/>
    </row>
    <row r="68" spans="1:64" ht="16" customHeight="1" x14ac:dyDescent="0.2">
      <c r="M68" s="258"/>
      <c r="N68" s="258"/>
      <c r="O68" s="258"/>
    </row>
    <row r="69" spans="1:64" ht="16" customHeight="1" x14ac:dyDescent="0.2">
      <c r="M69" s="258"/>
      <c r="N69" s="258"/>
      <c r="O69" s="258"/>
    </row>
    <row r="70" spans="1:64" ht="16" customHeight="1" x14ac:dyDescent="0.2">
      <c r="N70" s="274"/>
    </row>
    <row r="71" spans="1:64" ht="16" customHeight="1" x14ac:dyDescent="0.2">
      <c r="M71" s="258"/>
      <c r="N71" s="258"/>
      <c r="O71" s="258"/>
    </row>
    <row r="72" spans="1:64" ht="16" customHeight="1" x14ac:dyDescent="0.2">
      <c r="M72" s="258"/>
      <c r="N72" s="258"/>
      <c r="O72" s="258"/>
    </row>
    <row r="73" spans="1:64" ht="16" customHeight="1" x14ac:dyDescent="0.2">
      <c r="M73" s="258"/>
      <c r="N73" s="258"/>
      <c r="O73" s="258"/>
    </row>
    <row r="74" spans="1:64" ht="16" customHeight="1" x14ac:dyDescent="0.2">
      <c r="M74" s="258"/>
      <c r="N74" s="258"/>
      <c r="O74" s="258"/>
      <c r="U74" s="258"/>
      <c r="V74" s="258"/>
      <c r="W74" s="258"/>
      <c r="X74" s="258"/>
      <c r="Y74" s="258"/>
      <c r="Z74" s="258"/>
      <c r="AA74" s="258"/>
      <c r="AB74" s="258"/>
      <c r="AC74" s="258"/>
      <c r="AD74" s="258"/>
      <c r="AE74" s="258"/>
      <c r="AF74" s="258"/>
      <c r="AG74" s="258"/>
      <c r="AH74" s="258"/>
      <c r="AI74" s="258"/>
      <c r="AJ74" s="258"/>
      <c r="AK74" s="258"/>
      <c r="AL74" s="258"/>
      <c r="AM74" s="258"/>
      <c r="AN74" s="258"/>
      <c r="AO74" s="258"/>
      <c r="AP74" s="258"/>
      <c r="AQ74" s="258"/>
      <c r="AR74" s="258"/>
      <c r="AS74" s="258"/>
      <c r="AT74" s="258"/>
      <c r="AU74" s="258"/>
      <c r="AV74" s="258"/>
      <c r="AW74" s="258"/>
      <c r="AX74" s="258"/>
      <c r="AY74" s="258"/>
      <c r="AZ74" s="258"/>
      <c r="BA74" s="258"/>
      <c r="BB74" s="258"/>
      <c r="BC74" s="258"/>
      <c r="BD74" s="258"/>
      <c r="BE74" s="258"/>
      <c r="BF74" s="258"/>
      <c r="BG74" s="258"/>
      <c r="BH74" s="258"/>
      <c r="BI74" s="258"/>
      <c r="BJ74" s="258"/>
      <c r="BK74" s="258"/>
      <c r="BL74" s="258"/>
    </row>
    <row r="75" spans="1:64" ht="16" customHeight="1" x14ac:dyDescent="0.2">
      <c r="M75" s="258"/>
      <c r="N75" s="258"/>
      <c r="O75" s="258"/>
      <c r="U75" s="258"/>
      <c r="V75" s="258"/>
      <c r="W75" s="258"/>
      <c r="X75" s="258"/>
      <c r="Y75" s="258"/>
      <c r="Z75" s="258"/>
      <c r="AA75" s="258"/>
      <c r="AB75" s="258"/>
      <c r="AC75" s="258"/>
      <c r="AD75" s="258"/>
      <c r="AE75" s="258"/>
      <c r="AF75" s="258"/>
      <c r="AG75" s="258"/>
      <c r="AH75" s="258"/>
      <c r="AI75" s="258"/>
      <c r="AJ75" s="258"/>
      <c r="AK75" s="258"/>
      <c r="AL75" s="258"/>
      <c r="AM75" s="258"/>
      <c r="AN75" s="258"/>
      <c r="AO75" s="258"/>
      <c r="AP75" s="258"/>
      <c r="AQ75" s="258"/>
      <c r="AR75" s="258"/>
      <c r="AS75" s="258"/>
      <c r="AT75" s="258"/>
      <c r="AU75" s="258"/>
      <c r="AV75" s="258"/>
      <c r="AW75" s="258"/>
      <c r="AX75" s="258"/>
      <c r="AY75" s="258"/>
      <c r="AZ75" s="258"/>
      <c r="BA75" s="258"/>
      <c r="BB75" s="258"/>
      <c r="BC75" s="258"/>
      <c r="BD75" s="258"/>
      <c r="BE75" s="258"/>
      <c r="BF75" s="258"/>
      <c r="BG75" s="258"/>
      <c r="BH75" s="258"/>
      <c r="BI75" s="258"/>
      <c r="BJ75" s="258"/>
      <c r="BK75" s="258"/>
      <c r="BL75" s="258"/>
    </row>
    <row r="76" spans="1:64" ht="16" customHeight="1" x14ac:dyDescent="0.2">
      <c r="M76" s="258"/>
      <c r="N76" s="258"/>
      <c r="O76" s="258"/>
      <c r="U76" s="258"/>
      <c r="V76" s="258"/>
      <c r="W76" s="258"/>
      <c r="X76" s="258"/>
      <c r="Y76" s="258"/>
      <c r="Z76" s="258"/>
      <c r="AA76" s="258"/>
      <c r="AB76" s="258"/>
      <c r="AC76" s="258"/>
      <c r="AD76" s="258"/>
      <c r="AE76" s="258"/>
      <c r="AF76" s="258"/>
      <c r="AG76" s="258"/>
      <c r="AH76" s="258"/>
      <c r="AI76" s="258"/>
      <c r="AJ76" s="258"/>
      <c r="AK76" s="258"/>
      <c r="AL76" s="258"/>
      <c r="AM76" s="258"/>
      <c r="AN76" s="258"/>
      <c r="AO76" s="258"/>
      <c r="AP76" s="258"/>
      <c r="AQ76" s="258"/>
      <c r="AR76" s="258"/>
      <c r="AS76" s="258"/>
      <c r="AT76" s="258"/>
      <c r="AU76" s="258"/>
      <c r="AV76" s="258"/>
      <c r="AW76" s="258"/>
      <c r="AX76" s="258"/>
      <c r="AY76" s="258"/>
      <c r="AZ76" s="258"/>
      <c r="BA76" s="258"/>
      <c r="BB76" s="258"/>
      <c r="BC76" s="258"/>
      <c r="BD76" s="258"/>
      <c r="BE76" s="258"/>
      <c r="BF76" s="258"/>
      <c r="BG76" s="258"/>
      <c r="BH76" s="258"/>
      <c r="BI76" s="258"/>
      <c r="BJ76" s="258"/>
      <c r="BK76" s="258"/>
      <c r="BL76" s="258"/>
    </row>
    <row r="77" spans="1:64" ht="16" customHeight="1" x14ac:dyDescent="0.2">
      <c r="M77" s="258"/>
      <c r="N77" s="258"/>
      <c r="O77" s="258"/>
      <c r="U77" s="258"/>
      <c r="V77" s="258"/>
      <c r="W77" s="258"/>
      <c r="X77" s="258"/>
      <c r="Y77" s="258"/>
      <c r="Z77" s="258"/>
      <c r="AA77" s="258"/>
      <c r="AB77" s="258"/>
      <c r="AC77" s="258"/>
      <c r="AD77" s="258"/>
      <c r="AE77" s="258"/>
      <c r="AF77" s="258"/>
      <c r="AG77" s="258"/>
      <c r="AH77" s="258"/>
      <c r="AI77" s="258"/>
      <c r="AJ77" s="258"/>
      <c r="AK77" s="258"/>
      <c r="AL77" s="258"/>
      <c r="AM77" s="258"/>
      <c r="AN77" s="258"/>
      <c r="AO77" s="258"/>
      <c r="AP77" s="258"/>
      <c r="AQ77" s="258"/>
      <c r="AR77" s="258"/>
      <c r="AS77" s="258"/>
      <c r="AT77" s="258"/>
      <c r="AU77" s="258"/>
      <c r="AV77" s="258"/>
      <c r="AW77" s="258"/>
      <c r="AX77" s="258"/>
      <c r="AY77" s="258"/>
      <c r="AZ77" s="258"/>
      <c r="BA77" s="258"/>
      <c r="BB77" s="258"/>
      <c r="BC77" s="258"/>
      <c r="BD77" s="258"/>
      <c r="BE77" s="258"/>
      <c r="BF77" s="258"/>
      <c r="BG77" s="258"/>
      <c r="BH77" s="258"/>
      <c r="BI77" s="258"/>
      <c r="BJ77" s="258"/>
      <c r="BK77" s="258"/>
      <c r="BL77" s="258"/>
    </row>
    <row r="78" spans="1:64" ht="16" customHeight="1" x14ac:dyDescent="0.2">
      <c r="M78" s="258"/>
      <c r="N78" s="258"/>
      <c r="O78" s="258"/>
      <c r="U78" s="258"/>
      <c r="V78" s="258"/>
      <c r="W78" s="258"/>
      <c r="X78" s="258"/>
      <c r="Y78" s="258"/>
      <c r="Z78" s="258"/>
      <c r="AA78" s="258"/>
      <c r="AB78" s="258"/>
      <c r="AC78" s="258"/>
      <c r="AD78" s="258"/>
      <c r="AE78" s="258"/>
      <c r="AF78" s="258"/>
      <c r="AG78" s="258"/>
      <c r="AH78" s="258"/>
      <c r="AI78" s="258"/>
      <c r="AJ78" s="258"/>
      <c r="AK78" s="258"/>
      <c r="AL78" s="258"/>
      <c r="AM78" s="258"/>
      <c r="AN78" s="258"/>
      <c r="AO78" s="258"/>
      <c r="AP78" s="258"/>
      <c r="AQ78" s="258"/>
      <c r="AR78" s="258"/>
      <c r="AS78" s="258"/>
      <c r="AT78" s="258"/>
      <c r="AU78" s="258"/>
      <c r="AV78" s="258"/>
      <c r="AW78" s="258"/>
      <c r="AX78" s="258"/>
      <c r="AY78" s="258"/>
      <c r="AZ78" s="258"/>
      <c r="BA78" s="258"/>
      <c r="BB78" s="258"/>
      <c r="BC78" s="258"/>
      <c r="BD78" s="258"/>
      <c r="BE78" s="258"/>
      <c r="BF78" s="258"/>
      <c r="BG78" s="258"/>
      <c r="BH78" s="258"/>
      <c r="BI78" s="258"/>
      <c r="BJ78" s="258"/>
      <c r="BK78" s="258"/>
      <c r="BL78" s="258"/>
    </row>
    <row r="79" spans="1:64" ht="16" customHeight="1" x14ac:dyDescent="0.2">
      <c r="M79" s="258"/>
      <c r="N79" s="258"/>
      <c r="O79" s="258"/>
      <c r="U79" s="258"/>
      <c r="V79" s="258"/>
      <c r="W79" s="258"/>
      <c r="X79" s="258"/>
      <c r="Y79" s="258"/>
      <c r="Z79" s="258"/>
      <c r="AA79" s="258"/>
      <c r="AB79" s="258"/>
      <c r="AC79" s="258"/>
      <c r="AD79" s="258"/>
      <c r="AE79" s="258"/>
      <c r="AF79" s="258"/>
      <c r="AG79" s="258"/>
      <c r="AH79" s="258"/>
      <c r="AI79" s="258"/>
      <c r="AJ79" s="258"/>
      <c r="AK79" s="258"/>
      <c r="AL79" s="258"/>
      <c r="AM79" s="258"/>
      <c r="AN79" s="258"/>
      <c r="AO79" s="258"/>
      <c r="AP79" s="258"/>
      <c r="AQ79" s="258"/>
      <c r="AR79" s="258"/>
      <c r="AS79" s="258"/>
      <c r="AT79" s="258"/>
      <c r="AU79" s="258"/>
      <c r="AV79" s="258"/>
      <c r="AW79" s="258"/>
      <c r="AX79" s="258"/>
      <c r="AY79" s="258"/>
      <c r="AZ79" s="258"/>
      <c r="BA79" s="258"/>
      <c r="BB79" s="258"/>
      <c r="BC79" s="258"/>
      <c r="BD79" s="258"/>
      <c r="BE79" s="258"/>
      <c r="BF79" s="258"/>
      <c r="BG79" s="258"/>
      <c r="BH79" s="258"/>
      <c r="BI79" s="258"/>
      <c r="BJ79" s="258"/>
      <c r="BK79" s="258"/>
      <c r="BL79" s="258"/>
    </row>
    <row r="80" spans="1:64" ht="16" customHeight="1" x14ac:dyDescent="0.2">
      <c r="A80" s="258"/>
      <c r="B80" s="258"/>
      <c r="C80" s="258"/>
      <c r="D80" s="258"/>
      <c r="E80" s="258"/>
      <c r="F80" s="258"/>
      <c r="G80" s="258"/>
      <c r="H80" s="258"/>
      <c r="I80" s="258"/>
      <c r="J80" s="258"/>
      <c r="K80" s="258"/>
      <c r="N80" s="274"/>
      <c r="U80" s="258"/>
      <c r="V80" s="258"/>
      <c r="W80" s="258"/>
      <c r="X80" s="258"/>
      <c r="Y80" s="258"/>
      <c r="Z80" s="258"/>
      <c r="AA80" s="258"/>
      <c r="AB80" s="258"/>
      <c r="AC80" s="258"/>
      <c r="AD80" s="258"/>
      <c r="AE80" s="258"/>
      <c r="AF80" s="258"/>
      <c r="AG80" s="258"/>
      <c r="AH80" s="258"/>
      <c r="AI80" s="258"/>
      <c r="AJ80" s="258"/>
      <c r="AK80" s="258"/>
      <c r="AL80" s="258"/>
      <c r="AM80" s="258"/>
      <c r="AN80" s="258"/>
      <c r="AO80" s="258"/>
      <c r="AP80" s="258"/>
      <c r="AQ80" s="258"/>
      <c r="AR80" s="258"/>
      <c r="AS80" s="258"/>
      <c r="AT80" s="258"/>
      <c r="AU80" s="258"/>
      <c r="AV80" s="258"/>
      <c r="AW80" s="258"/>
      <c r="AX80" s="258"/>
      <c r="AY80" s="258"/>
      <c r="AZ80" s="258"/>
      <c r="BA80" s="258"/>
      <c r="BB80" s="258"/>
      <c r="BC80" s="258"/>
      <c r="BD80" s="258"/>
      <c r="BE80" s="258"/>
      <c r="BF80" s="258"/>
      <c r="BG80" s="258"/>
      <c r="BH80" s="258"/>
      <c r="BI80" s="258"/>
      <c r="BJ80" s="258"/>
      <c r="BK80" s="258"/>
      <c r="BL80" s="258"/>
    </row>
    <row r="81" spans="1:64" ht="16" customHeight="1" x14ac:dyDescent="0.2">
      <c r="A81" s="258"/>
      <c r="B81" s="258"/>
      <c r="C81" s="258"/>
      <c r="D81" s="258"/>
      <c r="E81" s="258"/>
      <c r="F81" s="258"/>
      <c r="G81" s="258"/>
      <c r="H81" s="258"/>
      <c r="I81" s="258"/>
      <c r="J81" s="258"/>
      <c r="K81" s="258"/>
      <c r="M81" s="258"/>
      <c r="N81" s="258"/>
      <c r="O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row>
    <row r="82" spans="1:64" ht="16" customHeight="1" x14ac:dyDescent="0.2">
      <c r="A82" s="258"/>
      <c r="B82" s="258"/>
      <c r="C82" s="258"/>
      <c r="D82" s="258"/>
      <c r="E82" s="258"/>
      <c r="F82" s="258"/>
      <c r="G82" s="258"/>
      <c r="H82" s="258"/>
      <c r="I82" s="258"/>
      <c r="J82" s="258"/>
      <c r="K82" s="258"/>
      <c r="M82" s="258"/>
      <c r="N82" s="258"/>
      <c r="O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8"/>
      <c r="AV82" s="258"/>
      <c r="AW82" s="258"/>
      <c r="AX82" s="258"/>
      <c r="AY82" s="258"/>
      <c r="AZ82" s="258"/>
      <c r="BA82" s="258"/>
      <c r="BB82" s="258"/>
      <c r="BC82" s="258"/>
      <c r="BD82" s="258"/>
      <c r="BE82" s="258"/>
      <c r="BF82" s="258"/>
      <c r="BG82" s="258"/>
      <c r="BH82" s="258"/>
      <c r="BI82" s="258"/>
      <c r="BJ82" s="258"/>
      <c r="BK82" s="258"/>
      <c r="BL82" s="258"/>
    </row>
    <row r="83" spans="1:64" ht="16" customHeight="1" x14ac:dyDescent="0.2">
      <c r="A83" s="258"/>
      <c r="B83" s="258"/>
      <c r="C83" s="258"/>
      <c r="D83" s="258"/>
      <c r="E83" s="258"/>
      <c r="F83" s="258"/>
      <c r="G83" s="258"/>
      <c r="H83" s="258"/>
      <c r="I83" s="258"/>
      <c r="J83" s="258"/>
      <c r="K83" s="258"/>
      <c r="M83" s="258"/>
      <c r="N83" s="258"/>
      <c r="O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row>
    <row r="84" spans="1:64" ht="16" customHeight="1" x14ac:dyDescent="0.2">
      <c r="A84" s="258"/>
      <c r="B84" s="258"/>
      <c r="C84" s="258"/>
      <c r="D84" s="258"/>
      <c r="E84" s="258"/>
      <c r="F84" s="258"/>
      <c r="G84" s="258"/>
      <c r="H84" s="258"/>
      <c r="I84" s="258"/>
      <c r="J84" s="258"/>
      <c r="K84" s="258"/>
      <c r="M84" s="258"/>
      <c r="N84" s="258"/>
      <c r="O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row>
    <row r="85" spans="1:64" ht="16" customHeight="1" x14ac:dyDescent="0.2">
      <c r="A85" s="258"/>
      <c r="B85" s="258"/>
      <c r="C85" s="258"/>
      <c r="D85" s="258"/>
      <c r="E85" s="258"/>
      <c r="F85" s="258"/>
      <c r="G85" s="258"/>
      <c r="H85" s="258"/>
      <c r="I85" s="258"/>
      <c r="J85" s="258"/>
      <c r="K85" s="258"/>
      <c r="M85" s="258"/>
      <c r="N85" s="258"/>
      <c r="O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row>
    <row r="86" spans="1:64" ht="16" customHeight="1" x14ac:dyDescent="0.2">
      <c r="A86" s="258"/>
      <c r="B86" s="258"/>
      <c r="C86" s="258"/>
      <c r="D86" s="258"/>
      <c r="E86" s="258"/>
      <c r="F86" s="258"/>
      <c r="G86" s="258"/>
      <c r="H86" s="258"/>
      <c r="I86" s="258"/>
      <c r="J86" s="258"/>
      <c r="K86" s="258"/>
      <c r="M86" s="258"/>
      <c r="N86" s="258"/>
      <c r="O86" s="258"/>
      <c r="U86" s="258"/>
      <c r="V86" s="258"/>
      <c r="W86" s="258"/>
      <c r="X86" s="258"/>
      <c r="Y86" s="258"/>
      <c r="Z86" s="258"/>
      <c r="AA86" s="258"/>
      <c r="AB86" s="258"/>
      <c r="AC86" s="258"/>
      <c r="AD86" s="258"/>
      <c r="AE86" s="258"/>
      <c r="AF86" s="258"/>
      <c r="AG86" s="258"/>
      <c r="AH86" s="258"/>
      <c r="AI86" s="258"/>
      <c r="AJ86" s="258"/>
      <c r="AK86" s="258"/>
      <c r="AL86" s="258"/>
      <c r="AM86" s="258"/>
      <c r="AN86" s="258"/>
      <c r="AO86" s="258"/>
      <c r="AP86" s="258"/>
      <c r="AQ86" s="258"/>
      <c r="AR86" s="258"/>
      <c r="AS86" s="258"/>
      <c r="AT86" s="258"/>
      <c r="AU86" s="258"/>
      <c r="AV86" s="258"/>
      <c r="AW86" s="258"/>
      <c r="AX86" s="258"/>
      <c r="AY86" s="258"/>
      <c r="AZ86" s="258"/>
      <c r="BA86" s="258"/>
      <c r="BB86" s="258"/>
      <c r="BC86" s="258"/>
      <c r="BD86" s="258"/>
      <c r="BE86" s="258"/>
      <c r="BF86" s="258"/>
      <c r="BG86" s="258"/>
      <c r="BH86" s="258"/>
      <c r="BI86" s="258"/>
      <c r="BJ86" s="258"/>
      <c r="BK86" s="258"/>
      <c r="BL86" s="258"/>
    </row>
    <row r="87" spans="1:64" ht="16" customHeight="1" x14ac:dyDescent="0.2">
      <c r="A87" s="258"/>
      <c r="B87" s="258"/>
      <c r="C87" s="258"/>
      <c r="D87" s="258"/>
      <c r="E87" s="258"/>
      <c r="F87" s="258"/>
      <c r="G87" s="258"/>
      <c r="H87" s="258"/>
      <c r="I87" s="258"/>
      <c r="J87" s="258"/>
      <c r="K87" s="258"/>
      <c r="M87" s="258"/>
      <c r="N87" s="258"/>
      <c r="O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8"/>
      <c r="BF87" s="258"/>
      <c r="BG87" s="258"/>
      <c r="BH87" s="258"/>
      <c r="BI87" s="258"/>
      <c r="BJ87" s="258"/>
      <c r="BK87" s="258"/>
      <c r="BL87" s="258"/>
    </row>
    <row r="88" spans="1:64" ht="16" customHeight="1" x14ac:dyDescent="0.2">
      <c r="A88" s="258"/>
      <c r="B88" s="258"/>
      <c r="C88" s="258"/>
      <c r="D88" s="258"/>
      <c r="E88" s="258"/>
      <c r="F88" s="258"/>
      <c r="G88" s="258"/>
      <c r="H88" s="258"/>
      <c r="I88" s="258"/>
      <c r="J88" s="258"/>
      <c r="K88" s="258"/>
      <c r="M88" s="258"/>
      <c r="N88" s="258"/>
      <c r="O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8"/>
      <c r="AX88" s="258"/>
      <c r="AY88" s="258"/>
      <c r="AZ88" s="258"/>
      <c r="BA88" s="258"/>
      <c r="BB88" s="258"/>
      <c r="BC88" s="258"/>
      <c r="BD88" s="258"/>
      <c r="BE88" s="258"/>
      <c r="BF88" s="258"/>
      <c r="BG88" s="258"/>
      <c r="BH88" s="258"/>
      <c r="BI88" s="258"/>
      <c r="BJ88" s="258"/>
      <c r="BK88" s="258"/>
      <c r="BL88" s="258"/>
    </row>
    <row r="89" spans="1:64" ht="16" customHeight="1" x14ac:dyDescent="0.2">
      <c r="A89" s="258"/>
      <c r="B89" s="258"/>
      <c r="C89" s="258"/>
      <c r="D89" s="258"/>
      <c r="E89" s="258"/>
      <c r="F89" s="258"/>
      <c r="G89" s="258"/>
      <c r="H89" s="258"/>
      <c r="I89" s="258"/>
      <c r="J89" s="258"/>
      <c r="K89" s="258"/>
      <c r="M89" s="258"/>
      <c r="N89" s="258"/>
      <c r="O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row>
    <row r="90" spans="1:64" ht="16" customHeight="1" x14ac:dyDescent="0.2">
      <c r="A90" s="258"/>
      <c r="B90" s="258"/>
      <c r="C90" s="258"/>
      <c r="D90" s="258"/>
      <c r="E90" s="258"/>
      <c r="F90" s="258"/>
      <c r="G90" s="258"/>
      <c r="H90" s="258"/>
      <c r="I90" s="258"/>
      <c r="J90" s="258"/>
      <c r="K90" s="258"/>
      <c r="N90" s="274"/>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row>
    <row r="91" spans="1:64" ht="16" customHeight="1" x14ac:dyDescent="0.2">
      <c r="A91" s="258"/>
      <c r="B91" s="258"/>
      <c r="C91" s="258"/>
      <c r="D91" s="258"/>
      <c r="E91" s="258"/>
      <c r="F91" s="258"/>
      <c r="G91" s="258"/>
      <c r="H91" s="258"/>
      <c r="I91" s="258"/>
      <c r="J91" s="258"/>
      <c r="K91" s="258"/>
      <c r="M91" s="258"/>
      <c r="N91" s="258"/>
      <c r="O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row>
    <row r="92" spans="1:64" ht="16" customHeight="1" x14ac:dyDescent="0.2">
      <c r="A92" s="258"/>
      <c r="B92" s="258"/>
      <c r="C92" s="258"/>
      <c r="D92" s="258"/>
      <c r="E92" s="258"/>
      <c r="F92" s="258"/>
      <c r="G92" s="258"/>
      <c r="H92" s="258"/>
      <c r="I92" s="258"/>
      <c r="J92" s="258"/>
      <c r="K92" s="258"/>
      <c r="M92" s="258"/>
      <c r="N92" s="258"/>
      <c r="O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row>
    <row r="93" spans="1:64" ht="16" customHeight="1" x14ac:dyDescent="0.2">
      <c r="A93" s="258"/>
      <c r="B93" s="258"/>
      <c r="C93" s="258"/>
      <c r="D93" s="258"/>
      <c r="E93" s="258"/>
      <c r="F93" s="258"/>
      <c r="G93" s="258"/>
      <c r="H93" s="258"/>
      <c r="I93" s="258"/>
      <c r="J93" s="258"/>
      <c r="K93" s="258"/>
      <c r="M93" s="258"/>
      <c r="N93" s="258"/>
      <c r="O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row>
    <row r="94" spans="1:64" ht="16" customHeight="1" x14ac:dyDescent="0.2">
      <c r="A94" s="258"/>
      <c r="B94" s="258"/>
      <c r="C94" s="258"/>
      <c r="D94" s="258"/>
      <c r="E94" s="258"/>
      <c r="F94" s="258"/>
      <c r="G94" s="258"/>
      <c r="H94" s="258"/>
      <c r="I94" s="258"/>
      <c r="J94" s="258"/>
      <c r="K94" s="258"/>
      <c r="M94" s="258"/>
      <c r="N94" s="258"/>
      <c r="O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row>
    <row r="95" spans="1:64" ht="16" customHeight="1" x14ac:dyDescent="0.2">
      <c r="A95" s="258"/>
      <c r="B95" s="258"/>
      <c r="C95" s="258"/>
      <c r="D95" s="258"/>
      <c r="E95" s="258"/>
      <c r="F95" s="258"/>
      <c r="G95" s="258"/>
      <c r="H95" s="258"/>
      <c r="I95" s="258"/>
      <c r="J95" s="258"/>
      <c r="K95" s="258"/>
      <c r="M95" s="258"/>
      <c r="N95" s="258"/>
      <c r="O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row>
    <row r="96" spans="1:64" ht="16" customHeight="1" x14ac:dyDescent="0.2">
      <c r="A96" s="258"/>
      <c r="B96" s="258"/>
      <c r="C96" s="258"/>
      <c r="D96" s="258"/>
      <c r="E96" s="258"/>
      <c r="F96" s="258"/>
      <c r="G96" s="258"/>
      <c r="H96" s="258"/>
      <c r="I96" s="258"/>
      <c r="J96" s="258"/>
      <c r="K96" s="258"/>
      <c r="M96" s="258"/>
      <c r="N96" s="258"/>
      <c r="O96" s="258"/>
      <c r="U96" s="258"/>
      <c r="V96" s="258"/>
      <c r="W96" s="258"/>
      <c r="X96" s="258"/>
      <c r="Y96" s="258"/>
      <c r="Z96" s="258"/>
      <c r="AA96" s="258"/>
      <c r="AB96" s="258"/>
      <c r="AC96" s="258"/>
      <c r="AD96" s="258"/>
      <c r="AE96" s="258"/>
      <c r="AF96" s="258"/>
      <c r="AG96" s="258"/>
      <c r="AH96" s="258"/>
      <c r="AI96" s="258"/>
      <c r="AJ96" s="258"/>
      <c r="AK96" s="258"/>
      <c r="AL96" s="258"/>
      <c r="AM96" s="258"/>
      <c r="AN96" s="258"/>
      <c r="AO96" s="258"/>
      <c r="AP96" s="258"/>
      <c r="AQ96" s="258"/>
      <c r="AR96" s="258"/>
      <c r="AS96" s="258"/>
      <c r="AT96" s="258"/>
      <c r="AU96" s="258"/>
      <c r="AV96" s="258"/>
      <c r="AW96" s="258"/>
      <c r="AX96" s="258"/>
      <c r="AY96" s="258"/>
      <c r="AZ96" s="258"/>
      <c r="BA96" s="258"/>
      <c r="BB96" s="258"/>
      <c r="BC96" s="258"/>
      <c r="BD96" s="258"/>
      <c r="BE96" s="258"/>
      <c r="BF96" s="258"/>
      <c r="BG96" s="258"/>
      <c r="BH96" s="258"/>
      <c r="BI96" s="258"/>
      <c r="BJ96" s="258"/>
      <c r="BK96" s="258"/>
      <c r="BL96" s="258"/>
    </row>
    <row r="97" spans="1:64" ht="16" customHeight="1" x14ac:dyDescent="0.2">
      <c r="A97" s="258"/>
      <c r="B97" s="258"/>
      <c r="C97" s="258"/>
      <c r="D97" s="258"/>
      <c r="E97" s="258"/>
      <c r="F97" s="258"/>
      <c r="G97" s="258"/>
      <c r="H97" s="258"/>
      <c r="I97" s="258"/>
      <c r="J97" s="258"/>
      <c r="K97" s="258"/>
      <c r="M97" s="258"/>
      <c r="N97" s="258"/>
      <c r="O97" s="258"/>
      <c r="U97" s="258"/>
      <c r="V97" s="258"/>
      <c r="W97" s="258"/>
      <c r="X97" s="258"/>
      <c r="Y97" s="258"/>
      <c r="Z97" s="258"/>
      <c r="AA97" s="258"/>
      <c r="AB97" s="258"/>
      <c r="AC97" s="258"/>
      <c r="AD97" s="258"/>
      <c r="AE97" s="258"/>
      <c r="AF97" s="258"/>
      <c r="AG97" s="258"/>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c r="BD97" s="258"/>
      <c r="BE97" s="258"/>
      <c r="BF97" s="258"/>
      <c r="BG97" s="258"/>
      <c r="BH97" s="258"/>
      <c r="BI97" s="258"/>
      <c r="BJ97" s="258"/>
      <c r="BK97" s="258"/>
      <c r="BL97" s="258"/>
    </row>
    <row r="98" spans="1:64" ht="16" customHeight="1" x14ac:dyDescent="0.2">
      <c r="A98" s="258"/>
      <c r="B98" s="258"/>
      <c r="C98" s="258"/>
      <c r="D98" s="258"/>
      <c r="E98" s="258"/>
      <c r="F98" s="258"/>
      <c r="G98" s="258"/>
      <c r="H98" s="258"/>
      <c r="I98" s="258"/>
      <c r="J98" s="258"/>
      <c r="K98" s="258"/>
      <c r="M98" s="258"/>
      <c r="N98" s="258"/>
      <c r="O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row>
    <row r="99" spans="1:64" ht="16" customHeight="1" x14ac:dyDescent="0.2">
      <c r="A99" s="258"/>
      <c r="B99" s="258"/>
      <c r="C99" s="258"/>
      <c r="D99" s="258"/>
      <c r="E99" s="258"/>
      <c r="F99" s="258"/>
      <c r="G99" s="258"/>
      <c r="H99" s="258"/>
      <c r="I99" s="258"/>
      <c r="J99" s="258"/>
      <c r="K99" s="258"/>
      <c r="M99" s="258"/>
      <c r="N99" s="258"/>
      <c r="O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row>
    <row r="100" spans="1:64" ht="16" customHeight="1" x14ac:dyDescent="0.2">
      <c r="A100" s="258"/>
      <c r="B100" s="258"/>
      <c r="C100" s="258"/>
      <c r="D100" s="258"/>
      <c r="E100" s="258"/>
      <c r="F100" s="258"/>
      <c r="G100" s="258"/>
      <c r="H100" s="258"/>
      <c r="I100" s="258"/>
      <c r="J100" s="258"/>
      <c r="K100" s="258"/>
      <c r="N100" s="274"/>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row>
    <row r="101" spans="1:64" ht="16" customHeight="1" x14ac:dyDescent="0.2">
      <c r="A101" s="258"/>
      <c r="B101" s="258"/>
      <c r="C101" s="258"/>
      <c r="D101" s="258"/>
      <c r="E101" s="258"/>
      <c r="F101" s="258"/>
      <c r="G101" s="258"/>
      <c r="H101" s="258"/>
      <c r="I101" s="258"/>
      <c r="J101" s="258"/>
      <c r="K101" s="258"/>
      <c r="M101" s="258"/>
      <c r="N101" s="258"/>
      <c r="O101" s="258"/>
      <c r="P101" s="258"/>
      <c r="Q101" s="258"/>
      <c r="R101" s="258"/>
      <c r="S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row>
    <row r="102" spans="1:64" ht="16" customHeight="1" x14ac:dyDescent="0.2">
      <c r="A102" s="258"/>
      <c r="B102" s="258"/>
      <c r="C102" s="258"/>
      <c r="D102" s="258"/>
      <c r="E102" s="258"/>
      <c r="F102" s="258"/>
      <c r="G102" s="258"/>
      <c r="H102" s="258"/>
      <c r="I102" s="258"/>
      <c r="J102" s="258"/>
      <c r="K102" s="258"/>
      <c r="M102" s="258"/>
      <c r="N102" s="258"/>
      <c r="O102" s="258"/>
      <c r="P102" s="258"/>
      <c r="Q102" s="258"/>
      <c r="R102" s="258"/>
      <c r="S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row>
    <row r="103" spans="1:64" ht="16" customHeight="1" x14ac:dyDescent="0.2">
      <c r="A103" s="258"/>
      <c r="B103" s="258"/>
      <c r="C103" s="258"/>
      <c r="D103" s="258"/>
      <c r="E103" s="258"/>
      <c r="F103" s="258"/>
      <c r="G103" s="258"/>
      <c r="H103" s="258"/>
      <c r="I103" s="258"/>
      <c r="J103" s="258"/>
      <c r="K103" s="258"/>
      <c r="M103" s="258"/>
      <c r="N103" s="258"/>
      <c r="O103" s="258"/>
      <c r="P103" s="258"/>
      <c r="Q103" s="258"/>
      <c r="R103" s="258"/>
      <c r="S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c r="BD103" s="258"/>
      <c r="BE103" s="258"/>
      <c r="BF103" s="258"/>
      <c r="BG103" s="258"/>
      <c r="BH103" s="258"/>
      <c r="BI103" s="258"/>
      <c r="BJ103" s="258"/>
      <c r="BK103" s="258"/>
      <c r="BL103" s="258"/>
    </row>
    <row r="104" spans="1:64" ht="16" customHeight="1" x14ac:dyDescent="0.2">
      <c r="A104" s="258"/>
      <c r="B104" s="258"/>
      <c r="C104" s="258"/>
      <c r="D104" s="258"/>
      <c r="E104" s="258"/>
      <c r="F104" s="258"/>
      <c r="G104" s="258"/>
      <c r="H104" s="258"/>
      <c r="I104" s="258"/>
      <c r="J104" s="258"/>
      <c r="K104" s="258"/>
      <c r="M104" s="258"/>
      <c r="N104" s="258"/>
      <c r="O104" s="258"/>
      <c r="P104" s="258"/>
      <c r="Q104" s="258"/>
      <c r="R104" s="258"/>
      <c r="S104" s="258"/>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c r="BD104" s="258"/>
      <c r="BE104" s="258"/>
      <c r="BF104" s="258"/>
      <c r="BG104" s="258"/>
      <c r="BH104" s="258"/>
      <c r="BI104" s="258"/>
      <c r="BJ104" s="258"/>
      <c r="BK104" s="258"/>
      <c r="BL104" s="258"/>
    </row>
    <row r="105" spans="1:64" ht="16" customHeight="1" x14ac:dyDescent="0.2">
      <c r="A105" s="258"/>
      <c r="B105" s="258"/>
      <c r="C105" s="258"/>
      <c r="D105" s="258"/>
      <c r="E105" s="258"/>
      <c r="F105" s="258"/>
      <c r="G105" s="258"/>
      <c r="H105" s="258"/>
      <c r="I105" s="258"/>
      <c r="J105" s="258"/>
      <c r="K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row>
    <row r="106" spans="1:64" ht="16" customHeight="1" x14ac:dyDescent="0.2">
      <c r="A106" s="258"/>
      <c r="B106" s="258"/>
      <c r="C106" s="258"/>
      <c r="D106" s="258"/>
      <c r="E106" s="258"/>
      <c r="F106" s="258"/>
      <c r="G106" s="258"/>
      <c r="H106" s="258"/>
      <c r="I106" s="258"/>
      <c r="J106" s="258"/>
      <c r="K106" s="258"/>
      <c r="M106" s="258"/>
      <c r="N106" s="258"/>
      <c r="O106" s="258"/>
      <c r="P106" s="258"/>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c r="BD106" s="258"/>
      <c r="BE106" s="258"/>
      <c r="BF106" s="258"/>
      <c r="BG106" s="258"/>
      <c r="BH106" s="258"/>
      <c r="BI106" s="258"/>
      <c r="BJ106" s="258"/>
      <c r="BK106" s="258"/>
      <c r="BL106" s="258"/>
    </row>
    <row r="107" spans="1:64" ht="16" customHeight="1" x14ac:dyDescent="0.2">
      <c r="A107" s="258"/>
      <c r="B107" s="258"/>
      <c r="C107" s="258"/>
      <c r="D107" s="258"/>
      <c r="E107" s="258"/>
      <c r="F107" s="258"/>
      <c r="G107" s="258"/>
      <c r="H107" s="258"/>
      <c r="I107" s="258"/>
      <c r="J107" s="258"/>
      <c r="K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c r="BD107" s="258"/>
      <c r="BE107" s="258"/>
      <c r="BF107" s="258"/>
      <c r="BG107" s="258"/>
      <c r="BH107" s="258"/>
      <c r="BI107" s="258"/>
      <c r="BJ107" s="258"/>
      <c r="BK107" s="258"/>
      <c r="BL107" s="258"/>
    </row>
    <row r="108" spans="1:64" ht="16" customHeight="1" x14ac:dyDescent="0.2">
      <c r="A108" s="258"/>
      <c r="B108" s="258"/>
      <c r="C108" s="258"/>
      <c r="D108" s="258"/>
      <c r="E108" s="258"/>
      <c r="F108" s="258"/>
      <c r="G108" s="258"/>
      <c r="H108" s="258"/>
      <c r="I108" s="258"/>
      <c r="J108" s="258"/>
      <c r="K108" s="258"/>
      <c r="M108" s="258"/>
      <c r="N108" s="258"/>
      <c r="O108" s="258"/>
      <c r="P108" s="258"/>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c r="BD108" s="258"/>
      <c r="BE108" s="258"/>
      <c r="BF108" s="258"/>
      <c r="BG108" s="258"/>
      <c r="BH108" s="258"/>
      <c r="BI108" s="258"/>
      <c r="BJ108" s="258"/>
      <c r="BK108" s="258"/>
      <c r="BL108" s="258"/>
    </row>
    <row r="109" spans="1:64" ht="16" customHeight="1" x14ac:dyDescent="0.2">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c r="BD109" s="258"/>
      <c r="BE109" s="258"/>
      <c r="BF109" s="258"/>
      <c r="BG109" s="258"/>
      <c r="BH109" s="258"/>
      <c r="BI109" s="258"/>
      <c r="BJ109" s="258"/>
      <c r="BK109" s="258"/>
      <c r="BL109" s="258"/>
    </row>
    <row r="110" spans="1:64" ht="16" customHeight="1" x14ac:dyDescent="0.2">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c r="BD110" s="258"/>
      <c r="BE110" s="258"/>
      <c r="BF110" s="258"/>
      <c r="BG110" s="258"/>
      <c r="BH110" s="258"/>
      <c r="BI110" s="258"/>
      <c r="BJ110" s="258"/>
      <c r="BK110" s="258"/>
      <c r="BL110" s="258"/>
    </row>
    <row r="111" spans="1:64" ht="16" customHeight="1" x14ac:dyDescent="0.2">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c r="BD111" s="258"/>
      <c r="BE111" s="258"/>
      <c r="BF111" s="258"/>
      <c r="BG111" s="258"/>
      <c r="BH111" s="258"/>
      <c r="BI111" s="258"/>
      <c r="BJ111" s="258"/>
      <c r="BK111" s="258"/>
      <c r="BL111" s="258"/>
    </row>
    <row r="112" spans="1:64" ht="16" customHeight="1" x14ac:dyDescent="0.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c r="BD112" s="258"/>
      <c r="BE112" s="258"/>
      <c r="BF112" s="258"/>
      <c r="BG112" s="258"/>
      <c r="BH112" s="258"/>
      <c r="BI112" s="258"/>
      <c r="BJ112" s="258"/>
      <c r="BK112" s="258"/>
      <c r="BL112" s="258"/>
    </row>
    <row r="113" spans="1:64" ht="16" customHeight="1" x14ac:dyDescent="0.2">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c r="BD113" s="258"/>
      <c r="BE113" s="258"/>
      <c r="BF113" s="258"/>
      <c r="BG113" s="258"/>
      <c r="BH113" s="258"/>
      <c r="BI113" s="258"/>
      <c r="BJ113" s="258"/>
      <c r="BK113" s="258"/>
      <c r="BL113" s="258"/>
    </row>
    <row r="114" spans="1:64" ht="16" customHeight="1" x14ac:dyDescent="0.2">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c r="BD114" s="258"/>
      <c r="BE114" s="258"/>
      <c r="BF114" s="258"/>
      <c r="BG114" s="258"/>
      <c r="BH114" s="258"/>
      <c r="BI114" s="258"/>
      <c r="BJ114" s="258"/>
      <c r="BK114" s="258"/>
      <c r="BL114" s="258"/>
    </row>
    <row r="115" spans="1:64" ht="16" customHeight="1" x14ac:dyDescent="0.2">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c r="BD115" s="258"/>
      <c r="BE115" s="258"/>
      <c r="BF115" s="258"/>
      <c r="BG115" s="258"/>
      <c r="BH115" s="258"/>
      <c r="BI115" s="258"/>
      <c r="BJ115" s="258"/>
      <c r="BK115" s="258"/>
      <c r="BL115" s="258"/>
    </row>
    <row r="116" spans="1:64" ht="16" customHeight="1" x14ac:dyDescent="0.2">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8"/>
      <c r="BK116" s="258"/>
      <c r="BL116" s="258"/>
    </row>
    <row r="117" spans="1:64" ht="16" customHeight="1" x14ac:dyDescent="0.2">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c r="BD117" s="258"/>
      <c r="BE117" s="258"/>
      <c r="BF117" s="258"/>
      <c r="BG117" s="258"/>
      <c r="BH117" s="258"/>
      <c r="BI117" s="258"/>
      <c r="BJ117" s="258"/>
      <c r="BK117" s="258"/>
      <c r="BL117" s="258"/>
    </row>
    <row r="118" spans="1:64" ht="16" customHeight="1" x14ac:dyDescent="0.2">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c r="BD118" s="258"/>
      <c r="BE118" s="258"/>
      <c r="BF118" s="258"/>
      <c r="BG118" s="258"/>
      <c r="BH118" s="258"/>
      <c r="BI118" s="258"/>
      <c r="BJ118" s="258"/>
      <c r="BK118" s="258"/>
      <c r="BL118" s="258"/>
    </row>
    <row r="119" spans="1:64" ht="16" customHeight="1" x14ac:dyDescent="0.2">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row>
    <row r="120" spans="1:64" ht="16" customHeight="1" x14ac:dyDescent="0.2">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row>
    <row r="121" spans="1:64" ht="16" customHeight="1" x14ac:dyDescent="0.2">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row>
    <row r="122" spans="1:64" ht="16" customHeight="1" x14ac:dyDescent="0.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row>
    <row r="123" spans="1:64" ht="16" customHeight="1" x14ac:dyDescent="0.2">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row>
    <row r="124" spans="1:64" ht="16" customHeight="1" x14ac:dyDescent="0.2">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row>
    <row r="125" spans="1:64" ht="16" customHeight="1" x14ac:dyDescent="0.2">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row>
    <row r="126" spans="1:64" ht="16" customHeight="1" x14ac:dyDescent="0.2">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row>
    <row r="127" spans="1:64" ht="16" customHeight="1" x14ac:dyDescent="0.2">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row>
    <row r="128" spans="1:64" ht="16" customHeight="1" x14ac:dyDescent="0.2">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row>
    <row r="129" spans="1:64" ht="16" customHeight="1" x14ac:dyDescent="0.2">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row>
    <row r="130" spans="1:64" ht="16" customHeight="1" x14ac:dyDescent="0.2">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row>
    <row r="131" spans="1:64" ht="16" customHeight="1" x14ac:dyDescent="0.2">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row>
    <row r="132" spans="1:64" ht="16" customHeight="1" x14ac:dyDescent="0.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row>
    <row r="133" spans="1:64" ht="16" customHeight="1" x14ac:dyDescent="0.2">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row>
    <row r="134" spans="1:64" ht="16" customHeight="1" x14ac:dyDescent="0.2">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row>
    <row r="135" spans="1:64" ht="16" customHeight="1" x14ac:dyDescent="0.2">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row>
    <row r="136" spans="1:64" ht="16" customHeight="1" x14ac:dyDescent="0.2">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row>
    <row r="137" spans="1:64" ht="16" customHeight="1" x14ac:dyDescent="0.2">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row>
    <row r="138" spans="1:64" ht="16" customHeight="1" x14ac:dyDescent="0.2">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row>
    <row r="139" spans="1:64" ht="16" customHeight="1" x14ac:dyDescent="0.2">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row>
    <row r="140" spans="1:64" ht="16" customHeight="1" x14ac:dyDescent="0.2">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row>
    <row r="141" spans="1:64" ht="16" customHeight="1" x14ac:dyDescent="0.2">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row>
    <row r="142" spans="1:64" ht="16" customHeight="1" x14ac:dyDescent="0.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row>
    <row r="143" spans="1:64" ht="16" customHeight="1" x14ac:dyDescent="0.2">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row>
    <row r="144" spans="1:64" ht="16" customHeight="1" x14ac:dyDescent="0.2">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row>
    <row r="145" spans="1:64" ht="16" customHeight="1" x14ac:dyDescent="0.2">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row>
    <row r="146" spans="1:64" ht="16" customHeight="1" x14ac:dyDescent="0.2">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row>
    <row r="147" spans="1:64" ht="16" customHeight="1" x14ac:dyDescent="0.2">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row>
    <row r="148" spans="1:64" ht="16" customHeight="1" x14ac:dyDescent="0.2">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row>
    <row r="149" spans="1:64" ht="16" customHeight="1" x14ac:dyDescent="0.2">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row>
    <row r="150" spans="1:64" ht="16" customHeight="1" x14ac:dyDescent="0.2">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row>
    <row r="151" spans="1:64" ht="16" customHeight="1" x14ac:dyDescent="0.2">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row>
    <row r="152" spans="1:64" ht="16" customHeight="1" x14ac:dyDescent="0.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row>
    <row r="153" spans="1:64" ht="16" customHeight="1" x14ac:dyDescent="0.2">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row>
    <row r="154" spans="1:64" ht="16" customHeight="1" x14ac:dyDescent="0.2">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row>
    <row r="155" spans="1:64" ht="16" customHeight="1" x14ac:dyDescent="0.2">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row>
    <row r="156" spans="1:64" ht="16" customHeight="1" x14ac:dyDescent="0.2">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row>
    <row r="157" spans="1:64" ht="16" customHeight="1" x14ac:dyDescent="0.2">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row>
    <row r="158" spans="1:64" ht="16" customHeight="1" x14ac:dyDescent="0.2">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row>
    <row r="159" spans="1:64" ht="16" customHeight="1" x14ac:dyDescent="0.2">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row>
    <row r="160" spans="1:64" ht="16" customHeight="1" x14ac:dyDescent="0.2">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row>
    <row r="161" spans="1:64" ht="16" customHeight="1" x14ac:dyDescent="0.2">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row>
    <row r="162" spans="1:64" ht="16" customHeight="1" x14ac:dyDescent="0.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row>
    <row r="163" spans="1:64" ht="16" customHeight="1" x14ac:dyDescent="0.2">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row>
    <row r="164" spans="1:64" ht="16" customHeight="1" x14ac:dyDescent="0.2">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row>
    <row r="165" spans="1:64" ht="16" customHeight="1" x14ac:dyDescent="0.2">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row>
    <row r="166" spans="1:64" ht="16" customHeight="1" x14ac:dyDescent="0.2">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row>
    <row r="167" spans="1:64" ht="16" customHeight="1" x14ac:dyDescent="0.2">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row>
    <row r="168" spans="1:64" ht="16" customHeight="1" x14ac:dyDescent="0.2">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row>
    <row r="169" spans="1:64" ht="16" customHeight="1" x14ac:dyDescent="0.2">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row>
    <row r="170" spans="1:64" ht="16" customHeight="1" x14ac:dyDescent="0.2">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c r="BD170" s="258"/>
      <c r="BE170" s="258"/>
      <c r="BF170" s="258"/>
      <c r="BG170" s="258"/>
      <c r="BH170" s="258"/>
      <c r="BI170" s="258"/>
      <c r="BJ170" s="258"/>
      <c r="BK170" s="258"/>
      <c r="BL170" s="258"/>
    </row>
    <row r="171" spans="1:64" ht="16" customHeight="1" x14ac:dyDescent="0.2">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c r="BD171" s="258"/>
      <c r="BE171" s="258"/>
      <c r="BF171" s="258"/>
      <c r="BG171" s="258"/>
      <c r="BH171" s="258"/>
      <c r="BI171" s="258"/>
      <c r="BJ171" s="258"/>
      <c r="BK171" s="258"/>
      <c r="BL171" s="258"/>
    </row>
    <row r="172" spans="1:64" ht="16" customHeight="1" x14ac:dyDescent="0.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c r="BD172" s="258"/>
      <c r="BE172" s="258"/>
      <c r="BF172" s="258"/>
      <c r="BG172" s="258"/>
      <c r="BH172" s="258"/>
      <c r="BI172" s="258"/>
      <c r="BJ172" s="258"/>
      <c r="BK172" s="258"/>
      <c r="BL172" s="258"/>
    </row>
    <row r="173" spans="1:64" ht="16" customHeight="1" x14ac:dyDescent="0.2">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c r="BD173" s="258"/>
      <c r="BE173" s="258"/>
      <c r="BF173" s="258"/>
      <c r="BG173" s="258"/>
      <c r="BH173" s="258"/>
      <c r="BI173" s="258"/>
      <c r="BJ173" s="258"/>
      <c r="BK173" s="258"/>
      <c r="BL173" s="258"/>
    </row>
    <row r="174" spans="1:64" ht="16" customHeight="1" x14ac:dyDescent="0.2">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c r="BD174" s="258"/>
      <c r="BE174" s="258"/>
      <c r="BF174" s="258"/>
      <c r="BG174" s="258"/>
      <c r="BH174" s="258"/>
      <c r="BI174" s="258"/>
      <c r="BJ174" s="258"/>
      <c r="BK174" s="258"/>
      <c r="BL174" s="258"/>
    </row>
    <row r="175" spans="1:64" ht="16" customHeight="1" x14ac:dyDescent="0.2">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c r="BD175" s="258"/>
      <c r="BE175" s="258"/>
      <c r="BF175" s="258"/>
      <c r="BG175" s="258"/>
      <c r="BH175" s="258"/>
      <c r="BI175" s="258"/>
      <c r="BJ175" s="258"/>
      <c r="BK175" s="258"/>
      <c r="BL175" s="258"/>
    </row>
    <row r="176" spans="1:64" ht="16" customHeight="1" x14ac:dyDescent="0.2">
      <c r="A176" s="258"/>
      <c r="B176" s="258"/>
      <c r="C176" s="258"/>
      <c r="D176" s="258"/>
      <c r="E176" s="258"/>
      <c r="F176" s="258"/>
      <c r="G176" s="258"/>
      <c r="H176" s="258"/>
      <c r="I176" s="258"/>
      <c r="J176" s="258"/>
      <c r="K176" s="258"/>
      <c r="L176" s="258"/>
      <c r="M176" s="258"/>
      <c r="N176" s="258"/>
      <c r="O176" s="258"/>
      <c r="P176" s="258"/>
      <c r="Q176" s="258"/>
      <c r="R176" s="258"/>
      <c r="S176" s="258"/>
      <c r="T176" s="258"/>
    </row>
    <row r="177" spans="1:20" ht="16" customHeight="1" x14ac:dyDescent="0.2">
      <c r="A177" s="258"/>
      <c r="B177" s="258"/>
      <c r="C177" s="258"/>
      <c r="D177" s="258"/>
      <c r="E177" s="258"/>
      <c r="F177" s="258"/>
      <c r="G177" s="258"/>
      <c r="H177" s="258"/>
      <c r="I177" s="258"/>
      <c r="J177" s="258"/>
      <c r="K177" s="258"/>
      <c r="L177" s="258"/>
      <c r="M177" s="258"/>
      <c r="N177" s="258"/>
      <c r="O177" s="258"/>
      <c r="P177" s="258"/>
      <c r="Q177" s="258"/>
      <c r="R177" s="258"/>
      <c r="S177" s="258"/>
      <c r="T177" s="258"/>
    </row>
    <row r="178" spans="1:20" ht="16" customHeight="1" x14ac:dyDescent="0.2">
      <c r="A178" s="258"/>
      <c r="B178" s="258"/>
      <c r="C178" s="258"/>
      <c r="D178" s="258"/>
      <c r="E178" s="258"/>
      <c r="F178" s="258"/>
      <c r="G178" s="258"/>
      <c r="H178" s="258"/>
      <c r="I178" s="258"/>
      <c r="J178" s="258"/>
      <c r="K178" s="258"/>
      <c r="L178" s="258"/>
      <c r="M178" s="258"/>
      <c r="N178" s="258"/>
      <c r="O178" s="258"/>
      <c r="P178" s="258"/>
      <c r="Q178" s="258"/>
      <c r="R178" s="258"/>
      <c r="S178" s="258"/>
      <c r="T178" s="258"/>
    </row>
    <row r="179" spans="1:20" ht="16" customHeight="1" x14ac:dyDescent="0.2">
      <c r="A179" s="258"/>
      <c r="B179" s="258"/>
      <c r="C179" s="258"/>
      <c r="D179" s="258"/>
      <c r="E179" s="258"/>
      <c r="F179" s="258"/>
      <c r="G179" s="258"/>
      <c r="H179" s="258"/>
      <c r="I179" s="258"/>
      <c r="J179" s="258"/>
      <c r="K179" s="258"/>
      <c r="L179" s="258"/>
      <c r="M179" s="258"/>
      <c r="N179" s="258"/>
      <c r="O179" s="258"/>
      <c r="P179" s="258"/>
      <c r="Q179" s="258"/>
      <c r="R179" s="258"/>
      <c r="S179" s="258"/>
      <c r="T179" s="258"/>
    </row>
    <row r="180" spans="1:20" ht="16" customHeight="1" x14ac:dyDescent="0.2">
      <c r="A180" s="258"/>
      <c r="B180" s="258"/>
      <c r="C180" s="258"/>
      <c r="D180" s="258"/>
      <c r="E180" s="258"/>
      <c r="F180" s="258"/>
      <c r="G180" s="258"/>
      <c r="H180" s="258"/>
      <c r="I180" s="258"/>
      <c r="J180" s="258"/>
      <c r="K180" s="258"/>
      <c r="L180" s="258"/>
      <c r="M180" s="258"/>
      <c r="N180" s="258"/>
      <c r="O180" s="258"/>
      <c r="P180" s="258"/>
      <c r="Q180" s="258"/>
      <c r="R180" s="258"/>
      <c r="S180" s="258"/>
      <c r="T180" s="258"/>
    </row>
    <row r="181" spans="1:20" ht="16" customHeight="1" x14ac:dyDescent="0.2">
      <c r="A181" s="258"/>
      <c r="B181" s="258"/>
      <c r="C181" s="258"/>
      <c r="D181" s="258"/>
      <c r="E181" s="258"/>
      <c r="F181" s="258"/>
      <c r="G181" s="258"/>
      <c r="H181" s="258"/>
      <c r="I181" s="258"/>
      <c r="J181" s="258"/>
      <c r="K181" s="258"/>
      <c r="L181" s="258"/>
      <c r="M181" s="258"/>
      <c r="N181" s="258"/>
      <c r="O181" s="258"/>
      <c r="P181" s="258"/>
      <c r="Q181" s="258"/>
      <c r="R181" s="258"/>
      <c r="S181" s="258"/>
      <c r="T181" s="258"/>
    </row>
    <row r="182" spans="1:20" ht="16" customHeight="1" x14ac:dyDescent="0.2">
      <c r="L182" s="258"/>
      <c r="M182" s="258"/>
      <c r="N182" s="258"/>
      <c r="O182" s="258"/>
      <c r="P182" s="258"/>
      <c r="Q182" s="258"/>
      <c r="R182" s="258"/>
      <c r="S182" s="258"/>
      <c r="T182" s="258"/>
    </row>
    <row r="183" spans="1:20" ht="16" customHeight="1" x14ac:dyDescent="0.2">
      <c r="L183" s="258"/>
      <c r="M183" s="258"/>
      <c r="N183" s="258"/>
      <c r="O183" s="258"/>
      <c r="P183" s="258"/>
      <c r="Q183" s="258"/>
      <c r="R183" s="258"/>
      <c r="S183" s="258"/>
      <c r="T183" s="258"/>
    </row>
    <row r="184" spans="1:20" ht="16" customHeight="1" x14ac:dyDescent="0.2">
      <c r="L184" s="258"/>
      <c r="M184" s="258"/>
      <c r="N184" s="258"/>
      <c r="O184" s="258"/>
      <c r="P184" s="258"/>
      <c r="Q184" s="258"/>
      <c r="R184" s="258"/>
      <c r="S184" s="258"/>
      <c r="T184" s="258"/>
    </row>
    <row r="185" spans="1:20" ht="16" customHeight="1" x14ac:dyDescent="0.2">
      <c r="L185" s="258"/>
      <c r="M185" s="258"/>
      <c r="N185" s="258"/>
      <c r="O185" s="258"/>
      <c r="P185" s="258"/>
      <c r="Q185" s="258"/>
      <c r="R185" s="258"/>
      <c r="S185" s="258"/>
      <c r="T185" s="258"/>
    </row>
    <row r="186" spans="1:20" ht="16" customHeight="1" x14ac:dyDescent="0.2">
      <c r="L186" s="258"/>
      <c r="M186" s="258"/>
      <c r="N186" s="258"/>
      <c r="O186" s="258"/>
      <c r="P186" s="258"/>
      <c r="Q186" s="258"/>
      <c r="R186" s="258"/>
      <c r="S186" s="258"/>
      <c r="T186" s="258"/>
    </row>
    <row r="187" spans="1:20" ht="16" customHeight="1" x14ac:dyDescent="0.2">
      <c r="L187" s="258"/>
      <c r="M187" s="258"/>
      <c r="N187" s="258"/>
      <c r="O187" s="258"/>
      <c r="P187" s="258"/>
      <c r="Q187" s="258"/>
      <c r="R187" s="258"/>
      <c r="S187" s="258"/>
      <c r="T187" s="258"/>
    </row>
    <row r="188" spans="1:20" ht="16" customHeight="1" x14ac:dyDescent="0.2">
      <c r="L188" s="258"/>
      <c r="M188" s="258"/>
      <c r="N188" s="258"/>
      <c r="O188" s="258"/>
      <c r="P188" s="258"/>
      <c r="Q188" s="258"/>
      <c r="R188" s="258"/>
      <c r="S188" s="258"/>
      <c r="T188" s="258"/>
    </row>
    <row r="189" spans="1:20" ht="16" customHeight="1" x14ac:dyDescent="0.2">
      <c r="L189" s="258"/>
      <c r="M189" s="258"/>
      <c r="N189" s="258"/>
      <c r="O189" s="258"/>
      <c r="P189" s="258"/>
      <c r="Q189" s="258"/>
      <c r="R189" s="258"/>
      <c r="S189" s="258"/>
      <c r="T189" s="258"/>
    </row>
    <row r="190" spans="1:20" ht="16" customHeight="1" x14ac:dyDescent="0.2">
      <c r="L190" s="258"/>
      <c r="M190" s="258"/>
      <c r="N190" s="258"/>
      <c r="O190" s="258"/>
      <c r="P190" s="258"/>
      <c r="Q190" s="258"/>
      <c r="R190" s="258"/>
      <c r="S190" s="258"/>
      <c r="T190" s="258"/>
    </row>
    <row r="191" spans="1:20" ht="16" customHeight="1" x14ac:dyDescent="0.2">
      <c r="L191" s="258"/>
      <c r="M191" s="258"/>
      <c r="N191" s="258"/>
      <c r="O191" s="258"/>
      <c r="P191" s="258"/>
      <c r="Q191" s="258"/>
      <c r="R191" s="258"/>
      <c r="S191" s="258"/>
      <c r="T191" s="258"/>
    </row>
    <row r="192" spans="1:20" ht="16" customHeight="1" x14ac:dyDescent="0.2">
      <c r="L192" s="258"/>
      <c r="M192" s="258"/>
      <c r="N192" s="258"/>
      <c r="O192" s="258"/>
      <c r="P192" s="258"/>
      <c r="Q192" s="258"/>
      <c r="R192" s="258"/>
      <c r="S192" s="258"/>
      <c r="T192" s="258"/>
    </row>
    <row r="193" spans="12:20" ht="16" customHeight="1" x14ac:dyDescent="0.2">
      <c r="L193" s="258"/>
      <c r="M193" s="258"/>
      <c r="N193" s="258"/>
      <c r="O193" s="258"/>
      <c r="P193" s="258"/>
      <c r="Q193" s="258"/>
      <c r="R193" s="258"/>
      <c r="S193" s="258"/>
      <c r="T193" s="258"/>
    </row>
    <row r="194" spans="12:20" ht="16" customHeight="1" x14ac:dyDescent="0.2">
      <c r="L194" s="258"/>
      <c r="M194" s="258"/>
      <c r="N194" s="258"/>
      <c r="O194" s="258"/>
      <c r="P194" s="258"/>
      <c r="Q194" s="258"/>
      <c r="R194" s="258"/>
      <c r="S194" s="258"/>
      <c r="T194" s="258"/>
    </row>
    <row r="195" spans="12:20" ht="16" customHeight="1" x14ac:dyDescent="0.2">
      <c r="L195" s="258"/>
      <c r="M195" s="258"/>
      <c r="N195" s="258"/>
      <c r="O195" s="258"/>
      <c r="P195" s="258"/>
      <c r="Q195" s="258"/>
      <c r="R195" s="258"/>
      <c r="S195" s="258"/>
      <c r="T195" s="258"/>
    </row>
    <row r="196" spans="12:20" ht="16" customHeight="1" x14ac:dyDescent="0.2">
      <c r="L196" s="258"/>
      <c r="M196" s="258"/>
      <c r="N196" s="258"/>
      <c r="O196" s="258"/>
      <c r="P196" s="258"/>
      <c r="Q196" s="258"/>
      <c r="R196" s="258"/>
      <c r="S196" s="258"/>
      <c r="T196" s="258"/>
    </row>
    <row r="197" spans="12:20" ht="16" customHeight="1" x14ac:dyDescent="0.2">
      <c r="L197" s="258"/>
      <c r="M197" s="258"/>
      <c r="N197" s="258"/>
      <c r="O197" s="258"/>
      <c r="P197" s="258"/>
      <c r="Q197" s="258"/>
      <c r="R197" s="258"/>
      <c r="S197" s="258"/>
      <c r="T197" s="258"/>
    </row>
    <row r="198" spans="12:20" ht="16" customHeight="1" x14ac:dyDescent="0.2">
      <c r="L198" s="258"/>
      <c r="M198" s="258"/>
      <c r="N198" s="258"/>
      <c r="O198" s="258"/>
      <c r="P198" s="258"/>
      <c r="Q198" s="258"/>
      <c r="R198" s="258"/>
      <c r="S198" s="258"/>
      <c r="T198" s="258"/>
    </row>
    <row r="199" spans="12:20" ht="16" customHeight="1" x14ac:dyDescent="0.2">
      <c r="L199" s="258"/>
      <c r="M199" s="258"/>
      <c r="N199" s="258"/>
      <c r="O199" s="258"/>
      <c r="P199" s="258"/>
      <c r="Q199" s="258"/>
      <c r="R199" s="258"/>
      <c r="S199" s="258"/>
      <c r="T199" s="258"/>
    </row>
    <row r="200" spans="12:20" ht="16" customHeight="1" x14ac:dyDescent="0.2">
      <c r="L200" s="258"/>
      <c r="M200" s="258"/>
      <c r="N200" s="258"/>
      <c r="O200" s="258"/>
      <c r="P200" s="258"/>
      <c r="Q200" s="258"/>
      <c r="R200" s="258"/>
      <c r="S200" s="258"/>
      <c r="T200" s="258"/>
    </row>
    <row r="201" spans="12:20" ht="16" customHeight="1" x14ac:dyDescent="0.2">
      <c r="L201" s="258"/>
      <c r="M201" s="258"/>
      <c r="N201" s="258"/>
      <c r="O201" s="258"/>
      <c r="P201" s="258"/>
      <c r="Q201" s="258"/>
      <c r="R201" s="258"/>
      <c r="S201" s="258"/>
      <c r="T201" s="258"/>
    </row>
    <row r="202" spans="12:20" ht="16" customHeight="1" x14ac:dyDescent="0.2">
      <c r="L202" s="258"/>
      <c r="M202" s="258"/>
      <c r="N202" s="258"/>
      <c r="O202" s="258"/>
      <c r="P202" s="258"/>
      <c r="Q202" s="258"/>
      <c r="R202" s="258"/>
      <c r="S202" s="258"/>
      <c r="T202" s="258"/>
    </row>
    <row r="203" spans="12:20" ht="16" customHeight="1" x14ac:dyDescent="0.2">
      <c r="L203" s="258"/>
    </row>
    <row r="204" spans="12:20" ht="16" customHeight="1" x14ac:dyDescent="0.2">
      <c r="L204" s="258"/>
    </row>
    <row r="205" spans="12:20" ht="16" customHeight="1" x14ac:dyDescent="0.2">
      <c r="L205" s="258"/>
    </row>
    <row r="206" spans="12:20" ht="16" customHeight="1" x14ac:dyDescent="0.2">
      <c r="L206" s="258"/>
    </row>
    <row r="207" spans="12:20" ht="16" customHeight="1" x14ac:dyDescent="0.2">
      <c r="L207" s="258"/>
    </row>
    <row r="208" spans="12:20" ht="16" customHeight="1" x14ac:dyDescent="0.2">
      <c r="L208" s="258"/>
    </row>
    <row r="209" spans="12:12" ht="16" customHeight="1" x14ac:dyDescent="0.2">
      <c r="L209" s="258"/>
    </row>
    <row r="210" spans="12:12" ht="16" customHeight="1" x14ac:dyDescent="0.2">
      <c r="L210" s="258"/>
    </row>
  </sheetData>
  <mergeCells count="6">
    <mergeCell ref="B11:J13"/>
    <mergeCell ref="M29:S44"/>
    <mergeCell ref="M47:S56"/>
    <mergeCell ref="B17:J36"/>
    <mergeCell ref="M4:S16"/>
    <mergeCell ref="M19:S2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08710-E164-E840-9087-CE0EBA449223}">
  <dimension ref="A1:BN203"/>
  <sheetViews>
    <sheetView zoomScaleNormal="100" workbookViewId="0"/>
  </sheetViews>
  <sheetFormatPr baseColWidth="10" defaultRowHeight="16" outlineLevelCol="1" x14ac:dyDescent="0.2"/>
  <cols>
    <col min="1" max="1" width="4.83203125" style="251" customWidth="1"/>
    <col min="2" max="11" width="10.83203125" style="251" customWidth="1"/>
    <col min="12" max="12" width="10.83203125" style="251"/>
    <col min="13" max="19" width="10.83203125" style="251" hidden="1" customWidth="1" outlineLevel="1"/>
    <col min="20" max="20" width="10.83203125" style="251" customWidth="1" collapsed="1"/>
    <col min="21" max="16384" width="10.83203125" style="251"/>
  </cols>
  <sheetData>
    <row r="1" spans="1:19" ht="19" x14ac:dyDescent="0.25">
      <c r="A1" s="366" t="s">
        <v>524</v>
      </c>
      <c r="B1" s="249"/>
      <c r="C1" s="249"/>
      <c r="D1" s="249"/>
      <c r="E1" s="249"/>
      <c r="F1" s="249"/>
      <c r="G1" s="249"/>
      <c r="H1" s="249"/>
      <c r="I1" s="249"/>
      <c r="J1" s="249"/>
      <c r="K1" s="250"/>
      <c r="L1" s="3" t="s">
        <v>455</v>
      </c>
    </row>
    <row r="2" spans="1:19" x14ac:dyDescent="0.2">
      <c r="A2" s="252"/>
      <c r="B2" s="249"/>
      <c r="C2" s="249"/>
      <c r="D2" s="249"/>
      <c r="E2" s="249"/>
      <c r="F2" s="249"/>
      <c r="G2" s="249"/>
      <c r="H2" s="249"/>
      <c r="I2" s="249"/>
      <c r="J2" s="249"/>
      <c r="K2" s="250"/>
      <c r="O2" s="253"/>
    </row>
    <row r="3" spans="1:19" x14ac:dyDescent="0.2">
      <c r="A3" s="252"/>
      <c r="B3" s="445" t="s">
        <v>527</v>
      </c>
      <c r="C3" s="445"/>
      <c r="D3" s="445"/>
      <c r="E3" s="445"/>
      <c r="F3" s="445"/>
      <c r="G3" s="445"/>
      <c r="H3" s="445"/>
      <c r="I3" s="445"/>
      <c r="J3" s="445"/>
      <c r="K3" s="250"/>
      <c r="M3" s="363" t="s">
        <v>3</v>
      </c>
      <c r="N3" s="273"/>
      <c r="O3" s="273"/>
      <c r="P3" s="273"/>
      <c r="Q3" s="273"/>
      <c r="R3" s="273"/>
      <c r="S3" s="273"/>
    </row>
    <row r="4" spans="1:19" ht="16" customHeight="1" x14ac:dyDescent="0.2">
      <c r="A4" s="252"/>
      <c r="B4" s="445"/>
      <c r="C4" s="445"/>
      <c r="D4" s="445"/>
      <c r="E4" s="445"/>
      <c r="F4" s="445"/>
      <c r="G4" s="445"/>
      <c r="H4" s="445"/>
      <c r="I4" s="445"/>
      <c r="J4" s="445"/>
      <c r="K4" s="250"/>
      <c r="M4" s="251" t="s">
        <v>536</v>
      </c>
    </row>
    <row r="5" spans="1:19" x14ac:dyDescent="0.2">
      <c r="A5" s="252"/>
      <c r="B5" s="362"/>
      <c r="C5" s="361"/>
      <c r="D5" s="361"/>
      <c r="E5" s="361"/>
      <c r="F5" s="361"/>
      <c r="G5" s="361"/>
      <c r="H5" s="361"/>
      <c r="I5" s="361"/>
      <c r="J5" s="249"/>
      <c r="K5" s="250"/>
    </row>
    <row r="6" spans="1:19" x14ac:dyDescent="0.2">
      <c r="A6" s="252"/>
      <c r="B6" s="249"/>
      <c r="C6" s="249"/>
      <c r="D6" s="249"/>
      <c r="E6" s="249"/>
      <c r="F6" s="249"/>
      <c r="G6" s="249"/>
      <c r="H6" s="249"/>
      <c r="I6" s="249"/>
      <c r="J6" s="249"/>
      <c r="K6" s="250"/>
      <c r="M6" s="444" t="s">
        <v>529</v>
      </c>
      <c r="N6" s="446"/>
      <c r="O6" s="444" t="s">
        <v>530</v>
      </c>
      <c r="P6" s="444"/>
      <c r="Q6" s="444"/>
      <c r="R6" s="444"/>
    </row>
    <row r="7" spans="1:19" x14ac:dyDescent="0.2">
      <c r="A7" s="252"/>
      <c r="B7" s="249" t="s">
        <v>0</v>
      </c>
      <c r="C7" s="249"/>
      <c r="D7" s="249"/>
      <c r="E7" s="249"/>
      <c r="F7" s="249"/>
      <c r="G7" s="249"/>
      <c r="H7" s="249"/>
      <c r="I7" s="249"/>
      <c r="J7" s="249"/>
      <c r="K7" s="250"/>
      <c r="M7" s="8" t="s">
        <v>500</v>
      </c>
      <c r="N7" s="367"/>
      <c r="O7" s="251" t="s">
        <v>542</v>
      </c>
      <c r="Q7" s="251" t="s">
        <v>543</v>
      </c>
    </row>
    <row r="8" spans="1:19" x14ac:dyDescent="0.2">
      <c r="A8" s="252"/>
      <c r="B8" s="427" t="s">
        <v>546</v>
      </c>
      <c r="C8" s="427"/>
      <c r="D8" s="427"/>
      <c r="E8" s="427"/>
      <c r="F8" s="427"/>
      <c r="G8" s="427"/>
      <c r="H8" s="427"/>
      <c r="I8" s="427"/>
      <c r="J8" s="427"/>
      <c r="K8" s="250"/>
      <c r="M8" s="8" t="s">
        <v>502</v>
      </c>
      <c r="N8" s="367"/>
      <c r="O8" s="251" t="s">
        <v>531</v>
      </c>
    </row>
    <row r="9" spans="1:19" x14ac:dyDescent="0.2">
      <c r="A9" s="252"/>
      <c r="B9" s="427"/>
      <c r="C9" s="427"/>
      <c r="D9" s="427"/>
      <c r="E9" s="427"/>
      <c r="F9" s="427"/>
      <c r="G9" s="427"/>
      <c r="H9" s="427"/>
      <c r="I9" s="427"/>
      <c r="J9" s="427"/>
      <c r="K9" s="250"/>
      <c r="M9" s="8" t="s">
        <v>503</v>
      </c>
      <c r="N9" s="367"/>
      <c r="O9" s="251" t="s">
        <v>537</v>
      </c>
    </row>
    <row r="10" spans="1:19" x14ac:dyDescent="0.2">
      <c r="A10" s="252"/>
      <c r="B10" s="249"/>
      <c r="C10" s="249"/>
      <c r="D10" s="249"/>
      <c r="E10" s="249"/>
      <c r="F10" s="249"/>
      <c r="G10" s="249"/>
      <c r="H10" s="249"/>
      <c r="I10" s="249"/>
      <c r="J10" s="249"/>
      <c r="K10" s="250"/>
      <c r="M10" s="8" t="s">
        <v>528</v>
      </c>
      <c r="N10" s="367"/>
      <c r="O10" s="251" t="s">
        <v>532</v>
      </c>
    </row>
    <row r="11" spans="1:19" x14ac:dyDescent="0.2">
      <c r="A11" s="252"/>
      <c r="B11" s="249" t="s">
        <v>1</v>
      </c>
      <c r="C11" s="249"/>
      <c r="D11" s="249"/>
      <c r="E11" s="249"/>
      <c r="F11" s="249"/>
      <c r="G11" s="249"/>
      <c r="H11" s="249"/>
      <c r="I11" s="249"/>
      <c r="J11" s="249"/>
      <c r="K11" s="250"/>
      <c r="M11" s="8" t="s">
        <v>504</v>
      </c>
      <c r="N11" s="367"/>
      <c r="O11" s="251" t="s">
        <v>535</v>
      </c>
    </row>
    <row r="12" spans="1:19" ht="16" customHeight="1" x14ac:dyDescent="0.2">
      <c r="A12" s="252"/>
      <c r="B12" s="427" t="s">
        <v>547</v>
      </c>
      <c r="C12" s="427"/>
      <c r="D12" s="427"/>
      <c r="E12" s="427"/>
      <c r="F12" s="427"/>
      <c r="G12" s="427"/>
      <c r="H12" s="427"/>
      <c r="I12" s="427"/>
      <c r="J12" s="427"/>
      <c r="K12" s="250"/>
      <c r="M12" s="8" t="s">
        <v>505</v>
      </c>
      <c r="N12" s="367"/>
      <c r="O12" s="251" t="s">
        <v>533</v>
      </c>
    </row>
    <row r="13" spans="1:19" x14ac:dyDescent="0.2">
      <c r="A13" s="252"/>
      <c r="B13" s="427"/>
      <c r="C13" s="427"/>
      <c r="D13" s="427"/>
      <c r="E13" s="427"/>
      <c r="F13" s="427"/>
      <c r="G13" s="427"/>
      <c r="H13" s="427"/>
      <c r="I13" s="427"/>
      <c r="J13" s="427"/>
      <c r="K13" s="250"/>
    </row>
    <row r="14" spans="1:19" x14ac:dyDescent="0.2">
      <c r="A14" s="252"/>
      <c r="B14" s="249"/>
      <c r="C14" s="249"/>
      <c r="D14" s="249"/>
      <c r="E14" s="249"/>
      <c r="F14" s="249"/>
      <c r="G14" s="249"/>
      <c r="H14" s="249"/>
      <c r="I14" s="249"/>
      <c r="J14" s="249"/>
      <c r="K14" s="250"/>
      <c r="M14" s="405" t="s">
        <v>534</v>
      </c>
      <c r="N14" s="405"/>
      <c r="O14" s="405"/>
      <c r="P14" s="405"/>
      <c r="Q14" s="405"/>
      <c r="R14" s="405"/>
      <c r="S14" s="405"/>
    </row>
    <row r="15" spans="1:19" x14ac:dyDescent="0.2">
      <c r="A15" s="252"/>
      <c r="B15" s="249" t="s">
        <v>2</v>
      </c>
      <c r="C15" s="249"/>
      <c r="D15" s="249"/>
      <c r="E15" s="249"/>
      <c r="F15" s="249"/>
      <c r="G15" s="249"/>
      <c r="H15" s="249"/>
      <c r="I15" s="249"/>
      <c r="J15" s="249"/>
      <c r="K15" s="250"/>
      <c r="M15" s="405"/>
      <c r="N15" s="405"/>
      <c r="O15" s="405"/>
      <c r="P15" s="405"/>
      <c r="Q15" s="405"/>
      <c r="R15" s="405"/>
      <c r="S15" s="405"/>
    </row>
    <row r="16" spans="1:19" x14ac:dyDescent="0.2">
      <c r="A16" s="252"/>
      <c r="B16" s="249" t="s">
        <v>510</v>
      </c>
      <c r="C16" s="249"/>
      <c r="D16" s="249"/>
      <c r="E16" s="249"/>
      <c r="F16" s="249"/>
      <c r="G16" s="249"/>
      <c r="H16" s="249"/>
      <c r="I16" s="249"/>
      <c r="J16" s="249"/>
      <c r="K16" s="250"/>
    </row>
    <row r="17" spans="1:19" x14ac:dyDescent="0.2">
      <c r="A17" s="252"/>
      <c r="B17" s="249"/>
      <c r="C17" s="249"/>
      <c r="D17" s="249"/>
      <c r="E17" s="249"/>
      <c r="F17" s="249"/>
      <c r="G17" s="249"/>
      <c r="H17" s="249"/>
      <c r="I17" s="249"/>
      <c r="J17" s="249"/>
      <c r="K17" s="250"/>
      <c r="M17" s="251" t="s">
        <v>544</v>
      </c>
    </row>
    <row r="18" spans="1:19" ht="17" thickBot="1" x14ac:dyDescent="0.25">
      <c r="A18" s="254"/>
      <c r="B18" s="255"/>
      <c r="C18" s="256"/>
      <c r="D18" s="256"/>
      <c r="E18" s="256"/>
      <c r="F18" s="255"/>
      <c r="G18" s="255"/>
      <c r="H18" s="255"/>
      <c r="I18" s="255"/>
      <c r="J18" s="255"/>
      <c r="K18" s="257"/>
    </row>
    <row r="19" spans="1:19" x14ac:dyDescent="0.2">
      <c r="M19" s="363" t="s">
        <v>4</v>
      </c>
    </row>
    <row r="20" spans="1:19" x14ac:dyDescent="0.2">
      <c r="B20" s="259" t="s">
        <v>457</v>
      </c>
      <c r="C20" s="259"/>
      <c r="D20" s="259"/>
      <c r="E20" s="259"/>
      <c r="F20" s="259"/>
      <c r="G20" s="259"/>
      <c r="H20" s="259"/>
      <c r="I20" s="259"/>
      <c r="J20" s="259"/>
      <c r="M20" s="251" t="s">
        <v>541</v>
      </c>
    </row>
    <row r="21" spans="1:19" x14ac:dyDescent="0.2">
      <c r="B21" s="435"/>
      <c r="C21" s="436"/>
      <c r="D21" s="436"/>
      <c r="E21" s="436"/>
      <c r="F21" s="436"/>
      <c r="G21" s="436"/>
      <c r="H21" s="436"/>
      <c r="I21" s="436"/>
      <c r="J21" s="437"/>
    </row>
    <row r="22" spans="1:19" x14ac:dyDescent="0.2">
      <c r="B22" s="438"/>
      <c r="C22" s="439"/>
      <c r="D22" s="439"/>
      <c r="E22" s="439"/>
      <c r="F22" s="439"/>
      <c r="G22" s="439"/>
      <c r="H22" s="439"/>
      <c r="I22" s="439"/>
      <c r="J22" s="440"/>
      <c r="M22" s="444" t="s">
        <v>529</v>
      </c>
      <c r="N22" s="446"/>
      <c r="O22" s="444" t="s">
        <v>530</v>
      </c>
      <c r="P22" s="444"/>
      <c r="Q22" s="444"/>
      <c r="R22" s="444"/>
    </row>
    <row r="23" spans="1:19" x14ac:dyDescent="0.2">
      <c r="B23" s="438"/>
      <c r="C23" s="439"/>
      <c r="D23" s="439"/>
      <c r="E23" s="439"/>
      <c r="F23" s="439"/>
      <c r="G23" s="439"/>
      <c r="H23" s="439"/>
      <c r="I23" s="439"/>
      <c r="J23" s="440"/>
      <c r="M23" s="8" t="s">
        <v>500</v>
      </c>
      <c r="N23" s="367"/>
      <c r="O23" s="251" t="s">
        <v>501</v>
      </c>
    </row>
    <row r="24" spans="1:19" x14ac:dyDescent="0.2">
      <c r="B24" s="438"/>
      <c r="C24" s="439"/>
      <c r="D24" s="439"/>
      <c r="E24" s="439"/>
      <c r="F24" s="439"/>
      <c r="G24" s="439"/>
      <c r="H24" s="439"/>
      <c r="I24" s="439"/>
      <c r="J24" s="440"/>
      <c r="M24" s="8" t="s">
        <v>502</v>
      </c>
      <c r="N24" s="367"/>
      <c r="O24" s="251" t="s">
        <v>531</v>
      </c>
    </row>
    <row r="25" spans="1:19" x14ac:dyDescent="0.2">
      <c r="B25" s="438"/>
      <c r="C25" s="439"/>
      <c r="D25" s="439"/>
      <c r="E25" s="439"/>
      <c r="F25" s="439"/>
      <c r="G25" s="439"/>
      <c r="H25" s="439"/>
      <c r="I25" s="439"/>
      <c r="J25" s="440"/>
      <c r="M25" s="8" t="s">
        <v>503</v>
      </c>
      <c r="N25" s="367"/>
      <c r="O25" s="251" t="s">
        <v>538</v>
      </c>
    </row>
    <row r="26" spans="1:19" x14ac:dyDescent="0.2">
      <c r="B26" s="438"/>
      <c r="C26" s="439"/>
      <c r="D26" s="439"/>
      <c r="E26" s="439"/>
      <c r="F26" s="439"/>
      <c r="G26" s="439"/>
      <c r="H26" s="439"/>
      <c r="I26" s="439"/>
      <c r="J26" s="440"/>
      <c r="M26" s="8" t="s">
        <v>528</v>
      </c>
      <c r="N26" s="367"/>
      <c r="O26" s="251" t="s">
        <v>601</v>
      </c>
    </row>
    <row r="27" spans="1:19" x14ac:dyDescent="0.2">
      <c r="B27" s="438"/>
      <c r="C27" s="439"/>
      <c r="D27" s="439"/>
      <c r="E27" s="439"/>
      <c r="F27" s="439"/>
      <c r="G27" s="439"/>
      <c r="H27" s="439"/>
      <c r="I27" s="439"/>
      <c r="J27" s="440"/>
      <c r="M27" s="8" t="s">
        <v>504</v>
      </c>
      <c r="N27" s="367"/>
      <c r="O27" s="251" t="s">
        <v>539</v>
      </c>
    </row>
    <row r="28" spans="1:19" x14ac:dyDescent="0.2">
      <c r="B28" s="438"/>
      <c r="C28" s="439"/>
      <c r="D28" s="439"/>
      <c r="E28" s="439"/>
      <c r="F28" s="439"/>
      <c r="G28" s="439"/>
      <c r="H28" s="439"/>
      <c r="I28" s="439"/>
      <c r="J28" s="440"/>
      <c r="M28" s="8" t="s">
        <v>505</v>
      </c>
      <c r="N28" s="367"/>
      <c r="O28" s="365" t="s">
        <v>540</v>
      </c>
    </row>
    <row r="29" spans="1:19" x14ac:dyDescent="0.2">
      <c r="B29" s="441"/>
      <c r="C29" s="442"/>
      <c r="D29" s="442"/>
      <c r="E29" s="442"/>
      <c r="F29" s="442"/>
      <c r="G29" s="442"/>
      <c r="H29" s="442"/>
      <c r="I29" s="442"/>
      <c r="J29" s="443"/>
      <c r="M29" s="8"/>
      <c r="O29" s="365"/>
    </row>
    <row r="30" spans="1:19" x14ac:dyDescent="0.2">
      <c r="M30" s="251" t="s">
        <v>545</v>
      </c>
      <c r="N30" s="270"/>
      <c r="P30" s="270"/>
      <c r="Q30" s="270"/>
      <c r="R30" s="270"/>
      <c r="S30" s="270"/>
    </row>
    <row r="31" spans="1:19" x14ac:dyDescent="0.2">
      <c r="M31" s="270"/>
      <c r="N31" s="270"/>
      <c r="P31" s="270"/>
      <c r="Q31" s="270"/>
      <c r="R31" s="270"/>
      <c r="S31" s="270"/>
    </row>
    <row r="32" spans="1:19" x14ac:dyDescent="0.2">
      <c r="M32" s="363" t="s">
        <v>5</v>
      </c>
      <c r="N32" s="259"/>
      <c r="O32" s="259"/>
      <c r="P32" s="259"/>
      <c r="Q32" s="259"/>
      <c r="R32" s="259"/>
      <c r="S32" s="259"/>
    </row>
    <row r="33" spans="13:19" x14ac:dyDescent="0.2">
      <c r="M33" s="439" t="s">
        <v>548</v>
      </c>
      <c r="N33" s="439"/>
      <c r="O33" s="439"/>
      <c r="P33" s="439"/>
      <c r="Q33" s="439"/>
      <c r="R33" s="439"/>
      <c r="S33" s="439"/>
    </row>
    <row r="34" spans="13:19" x14ac:dyDescent="0.2">
      <c r="M34" s="439"/>
      <c r="N34" s="439"/>
      <c r="O34" s="439"/>
      <c r="P34" s="439"/>
      <c r="Q34" s="439"/>
      <c r="R34" s="439"/>
      <c r="S34" s="439"/>
    </row>
    <row r="35" spans="13:19" x14ac:dyDescent="0.2">
      <c r="M35" s="439"/>
      <c r="N35" s="439"/>
      <c r="O35" s="439"/>
      <c r="P35" s="439"/>
      <c r="Q35" s="439"/>
      <c r="R35" s="439"/>
      <c r="S35" s="439"/>
    </row>
    <row r="36" spans="13:19" x14ac:dyDescent="0.2">
      <c r="M36" s="439"/>
      <c r="N36" s="439"/>
      <c r="O36" s="439"/>
      <c r="P36" s="439"/>
      <c r="Q36" s="439"/>
      <c r="R36" s="439"/>
      <c r="S36" s="439"/>
    </row>
    <row r="37" spans="13:19" x14ac:dyDescent="0.2">
      <c r="M37" s="439"/>
      <c r="N37" s="439"/>
      <c r="O37" s="439"/>
      <c r="P37" s="439"/>
      <c r="Q37" s="439"/>
      <c r="R37" s="439"/>
      <c r="S37" s="439"/>
    </row>
    <row r="38" spans="13:19" x14ac:dyDescent="0.2">
      <c r="M38" s="439"/>
      <c r="N38" s="439"/>
      <c r="O38" s="439"/>
      <c r="P38" s="439"/>
      <c r="Q38" s="439"/>
      <c r="R38" s="439"/>
      <c r="S38" s="439"/>
    </row>
    <row r="40" spans="13:19" ht="19" x14ac:dyDescent="0.25">
      <c r="M40" s="3" t="s">
        <v>131</v>
      </c>
    </row>
    <row r="41" spans="13:19" x14ac:dyDescent="0.2">
      <c r="M41" s="405" t="s">
        <v>549</v>
      </c>
      <c r="N41" s="405"/>
      <c r="O41" s="405"/>
      <c r="P41" s="405"/>
      <c r="Q41" s="405"/>
      <c r="R41" s="405"/>
      <c r="S41" s="405"/>
    </row>
    <row r="42" spans="13:19" x14ac:dyDescent="0.2">
      <c r="M42" s="405"/>
      <c r="N42" s="405"/>
      <c r="O42" s="405"/>
      <c r="P42" s="405"/>
      <c r="Q42" s="405"/>
      <c r="R42" s="405"/>
      <c r="S42" s="405"/>
    </row>
    <row r="43" spans="13:19" x14ac:dyDescent="0.2">
      <c r="M43" s="405"/>
      <c r="N43" s="405"/>
      <c r="O43" s="405"/>
      <c r="P43" s="405"/>
      <c r="Q43" s="405"/>
      <c r="R43" s="405"/>
      <c r="S43" s="405"/>
    </row>
    <row r="44" spans="13:19" x14ac:dyDescent="0.2">
      <c r="M44" s="405"/>
      <c r="N44" s="405"/>
      <c r="O44" s="405"/>
      <c r="P44" s="405"/>
      <c r="Q44" s="405"/>
      <c r="R44" s="405"/>
      <c r="S44" s="405"/>
    </row>
    <row r="45" spans="13:19" x14ac:dyDescent="0.2">
      <c r="M45" s="405"/>
      <c r="N45" s="405"/>
      <c r="O45" s="405"/>
      <c r="P45" s="405"/>
      <c r="Q45" s="405"/>
      <c r="R45" s="405"/>
      <c r="S45" s="405"/>
    </row>
    <row r="46" spans="13:19" x14ac:dyDescent="0.2">
      <c r="M46" s="405"/>
      <c r="N46" s="405"/>
      <c r="O46" s="405"/>
      <c r="P46" s="405"/>
      <c r="Q46" s="405"/>
      <c r="R46" s="405"/>
      <c r="S46" s="405"/>
    </row>
    <row r="47" spans="13:19" x14ac:dyDescent="0.2">
      <c r="M47" s="405"/>
      <c r="N47" s="405"/>
      <c r="O47" s="405"/>
      <c r="P47" s="405"/>
      <c r="Q47" s="405"/>
      <c r="R47" s="405"/>
      <c r="S47" s="405"/>
    </row>
    <row r="48" spans="13:19" x14ac:dyDescent="0.2">
      <c r="M48" s="405"/>
      <c r="N48" s="405"/>
      <c r="O48" s="405"/>
      <c r="P48" s="405"/>
      <c r="Q48" s="405"/>
      <c r="R48" s="405"/>
      <c r="S48" s="405"/>
    </row>
    <row r="49" spans="13:19" x14ac:dyDescent="0.2">
      <c r="M49" s="405"/>
      <c r="N49" s="405"/>
      <c r="O49" s="405"/>
      <c r="P49" s="405"/>
      <c r="Q49" s="405"/>
      <c r="R49" s="405"/>
      <c r="S49" s="405"/>
    </row>
    <row r="51" spans="13:19" ht="19" x14ac:dyDescent="0.25">
      <c r="M51" s="3" t="s">
        <v>456</v>
      </c>
    </row>
    <row r="52" spans="13:19" x14ac:dyDescent="0.2">
      <c r="M52" s="251" t="s">
        <v>506</v>
      </c>
    </row>
    <row r="54" spans="13:19" x14ac:dyDescent="0.2">
      <c r="M54" s="258"/>
      <c r="N54" s="259"/>
      <c r="O54" s="259"/>
      <c r="P54" s="259"/>
      <c r="Q54" s="259"/>
      <c r="R54" s="259"/>
      <c r="S54" s="259"/>
    </row>
    <row r="55" spans="13:19" x14ac:dyDescent="0.2">
      <c r="M55" s="258"/>
      <c r="N55" s="259"/>
      <c r="O55" s="259"/>
      <c r="P55" s="259"/>
      <c r="Q55" s="259"/>
      <c r="R55" s="259"/>
      <c r="S55" s="259"/>
    </row>
    <row r="56" spans="13:19" x14ac:dyDescent="0.2">
      <c r="M56" s="258"/>
      <c r="N56" s="259"/>
      <c r="O56" s="259"/>
      <c r="P56" s="259"/>
      <c r="Q56" s="259"/>
      <c r="R56" s="259"/>
      <c r="S56" s="259"/>
    </row>
    <row r="57" spans="13:19" x14ac:dyDescent="0.2">
      <c r="M57" s="258"/>
    </row>
    <row r="75" spans="1:66" x14ac:dyDescent="0.2">
      <c r="M75" s="5"/>
      <c r="N75" s="5"/>
      <c r="O75" s="5"/>
    </row>
    <row r="76" spans="1:66" x14ac:dyDescent="0.2">
      <c r="A76" s="5"/>
      <c r="B76" s="5"/>
      <c r="C76" s="5"/>
      <c r="D76" s="5"/>
      <c r="E76" s="5"/>
      <c r="F76" s="5"/>
      <c r="G76" s="5"/>
      <c r="H76" s="5"/>
      <c r="I76" s="5"/>
      <c r="J76" s="5"/>
      <c r="K76" s="5"/>
      <c r="M76" s="5"/>
      <c r="N76" s="5"/>
      <c r="O76" s="5"/>
    </row>
    <row r="77" spans="1:66" x14ac:dyDescent="0.2">
      <c r="A77" s="5"/>
      <c r="B77" s="5"/>
      <c r="C77" s="5"/>
      <c r="D77" s="5"/>
      <c r="E77" s="5"/>
      <c r="F77" s="5"/>
      <c r="G77" s="5"/>
      <c r="H77" s="5"/>
      <c r="I77" s="5"/>
      <c r="J77" s="5"/>
      <c r="K77" s="5"/>
      <c r="M77" s="5"/>
      <c r="N77" s="5"/>
      <c r="O77" s="5"/>
    </row>
    <row r="78" spans="1:66" x14ac:dyDescent="0.2">
      <c r="A78" s="5"/>
      <c r="B78" s="5"/>
      <c r="C78" s="5"/>
      <c r="D78" s="5"/>
      <c r="E78" s="5"/>
      <c r="F78" s="5"/>
      <c r="G78" s="5"/>
      <c r="H78" s="5"/>
      <c r="I78" s="5"/>
      <c r="J78" s="5"/>
      <c r="K78" s="5"/>
      <c r="M78" s="5"/>
      <c r="N78" s="5"/>
      <c r="O78" s="5"/>
    </row>
    <row r="79" spans="1:66" x14ac:dyDescent="0.2">
      <c r="A79" s="5"/>
      <c r="B79" s="5"/>
      <c r="C79" s="5"/>
      <c r="D79" s="5"/>
      <c r="E79" s="5"/>
      <c r="F79" s="5"/>
      <c r="G79" s="5"/>
      <c r="H79" s="5"/>
      <c r="I79" s="5"/>
      <c r="J79" s="5"/>
      <c r="K79" s="5"/>
      <c r="M79" s="5"/>
      <c r="N79" s="5"/>
      <c r="O79" s="5"/>
    </row>
    <row r="80" spans="1:66" x14ac:dyDescent="0.2">
      <c r="A80" s="5"/>
      <c r="B80" s="5"/>
      <c r="C80" s="5"/>
      <c r="D80" s="5"/>
      <c r="E80" s="5"/>
      <c r="F80" s="5"/>
      <c r="G80" s="5"/>
      <c r="H80" s="5"/>
      <c r="I80" s="5"/>
      <c r="J80" s="5"/>
      <c r="K80" s="5"/>
      <c r="M80" s="5"/>
      <c r="N80" s="5"/>
      <c r="O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row>
    <row r="81" spans="1:66" x14ac:dyDescent="0.2">
      <c r="A81" s="5"/>
      <c r="B81" s="5"/>
      <c r="C81" s="5"/>
      <c r="D81" s="5"/>
      <c r="E81" s="5"/>
      <c r="F81" s="5"/>
      <c r="G81" s="5"/>
      <c r="H81" s="5"/>
      <c r="I81" s="5"/>
      <c r="J81" s="5"/>
      <c r="K81" s="5"/>
      <c r="L81" s="5"/>
      <c r="N81" s="253"/>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row>
    <row r="82" spans="1:66" x14ac:dyDescent="0.2">
      <c r="A82" s="5"/>
      <c r="B82" s="5"/>
      <c r="C82" s="5"/>
      <c r="D82" s="5"/>
      <c r="E82" s="5"/>
      <c r="F82" s="5"/>
      <c r="G82" s="5"/>
      <c r="H82" s="5"/>
      <c r="I82" s="5"/>
      <c r="J82" s="5"/>
      <c r="K82" s="5"/>
      <c r="L82" s="5"/>
      <c r="M82" s="5"/>
      <c r="N82" s="5"/>
      <c r="O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row>
    <row r="83" spans="1:66" x14ac:dyDescent="0.2">
      <c r="A83" s="5"/>
      <c r="B83" s="5"/>
      <c r="C83" s="5"/>
      <c r="D83" s="5"/>
      <c r="E83" s="5"/>
      <c r="F83" s="5"/>
      <c r="G83" s="5"/>
      <c r="H83" s="5"/>
      <c r="I83" s="5"/>
      <c r="J83" s="5"/>
      <c r="K83" s="5"/>
      <c r="L83" s="5"/>
      <c r="M83" s="5"/>
      <c r="N83" s="5"/>
      <c r="O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row>
    <row r="84" spans="1:66" x14ac:dyDescent="0.2">
      <c r="A84" s="5"/>
      <c r="B84" s="5"/>
      <c r="C84" s="5"/>
      <c r="D84" s="5"/>
      <c r="E84" s="5"/>
      <c r="F84" s="5"/>
      <c r="G84" s="5"/>
      <c r="H84" s="5"/>
      <c r="I84" s="5"/>
      <c r="J84" s="5"/>
      <c r="K84" s="5"/>
      <c r="L84" s="5"/>
      <c r="M84" s="5"/>
      <c r="N84" s="5"/>
      <c r="O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row>
    <row r="85" spans="1:66" x14ac:dyDescent="0.2">
      <c r="A85" s="5"/>
      <c r="B85" s="5"/>
      <c r="C85" s="5"/>
      <c r="D85" s="5"/>
      <c r="E85" s="5"/>
      <c r="F85" s="5"/>
      <c r="G85" s="5"/>
      <c r="H85" s="5"/>
      <c r="I85" s="5"/>
      <c r="J85" s="5"/>
      <c r="K85" s="5"/>
      <c r="L85" s="5"/>
      <c r="M85" s="5"/>
      <c r="N85" s="5"/>
      <c r="O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row>
    <row r="86" spans="1:66" x14ac:dyDescent="0.2">
      <c r="A86" s="5"/>
      <c r="B86" s="5"/>
      <c r="C86" s="5"/>
      <c r="D86" s="5"/>
      <c r="E86" s="5"/>
      <c r="F86" s="5"/>
      <c r="G86" s="5"/>
      <c r="H86" s="5"/>
      <c r="I86" s="5"/>
      <c r="J86" s="5"/>
      <c r="K86" s="5"/>
      <c r="L86" s="5"/>
      <c r="M86" s="5"/>
      <c r="N86" s="5"/>
      <c r="O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row>
    <row r="87" spans="1:66" x14ac:dyDescent="0.2">
      <c r="A87" s="5"/>
      <c r="B87" s="5"/>
      <c r="C87" s="5"/>
      <c r="D87" s="5"/>
      <c r="E87" s="5"/>
      <c r="F87" s="5"/>
      <c r="G87" s="5"/>
      <c r="H87" s="5"/>
      <c r="I87" s="5"/>
      <c r="J87" s="5"/>
      <c r="K87" s="5"/>
      <c r="L87" s="5"/>
      <c r="M87" s="5"/>
      <c r="N87" s="5"/>
      <c r="O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row>
    <row r="88" spans="1:66" x14ac:dyDescent="0.2">
      <c r="A88" s="5"/>
      <c r="B88" s="5"/>
      <c r="C88" s="5"/>
      <c r="D88" s="5"/>
      <c r="E88" s="5"/>
      <c r="F88" s="5"/>
      <c r="G88" s="5"/>
      <c r="H88" s="5"/>
      <c r="I88" s="5"/>
      <c r="J88" s="5"/>
      <c r="K88" s="5"/>
      <c r="L88" s="5"/>
      <c r="M88" s="5"/>
      <c r="N88" s="5"/>
      <c r="O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row>
    <row r="89" spans="1:66" x14ac:dyDescent="0.2">
      <c r="A89" s="5"/>
      <c r="B89" s="5"/>
      <c r="C89" s="5"/>
      <c r="D89" s="5"/>
      <c r="E89" s="5"/>
      <c r="F89" s="5"/>
      <c r="G89" s="5"/>
      <c r="H89" s="5"/>
      <c r="I89" s="5"/>
      <c r="J89" s="5"/>
      <c r="K89" s="5"/>
      <c r="L89" s="5"/>
      <c r="M89" s="5"/>
      <c r="N89" s="5"/>
      <c r="O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row>
    <row r="90" spans="1:66" x14ac:dyDescent="0.2">
      <c r="A90" s="5"/>
      <c r="B90" s="5"/>
      <c r="C90" s="5"/>
      <c r="D90" s="5"/>
      <c r="E90" s="5"/>
      <c r="F90" s="5"/>
      <c r="G90" s="5"/>
      <c r="H90" s="5"/>
      <c r="I90" s="5"/>
      <c r="J90" s="5"/>
      <c r="K90" s="5"/>
      <c r="L90" s="5"/>
      <c r="M90" s="5"/>
      <c r="N90" s="5"/>
      <c r="O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row>
    <row r="91" spans="1:66" x14ac:dyDescent="0.2">
      <c r="A91" s="5"/>
      <c r="B91" s="5"/>
      <c r="C91" s="5"/>
      <c r="D91" s="5"/>
      <c r="E91" s="5"/>
      <c r="F91" s="5"/>
      <c r="G91" s="5"/>
      <c r="H91" s="5"/>
      <c r="I91" s="5"/>
      <c r="J91" s="5"/>
      <c r="K91" s="5"/>
      <c r="L91" s="5"/>
      <c r="N91" s="253"/>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66" x14ac:dyDescent="0.2">
      <c r="A92" s="5"/>
      <c r="B92" s="5"/>
      <c r="C92" s="5"/>
      <c r="D92" s="5"/>
      <c r="E92" s="5"/>
      <c r="F92" s="5"/>
      <c r="G92" s="5"/>
      <c r="H92" s="5"/>
      <c r="I92" s="5"/>
      <c r="J92" s="5"/>
      <c r="K92" s="5"/>
      <c r="L92" s="5"/>
      <c r="M92" s="5"/>
      <c r="N92" s="5"/>
      <c r="O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66" x14ac:dyDescent="0.2">
      <c r="A93" s="5"/>
      <c r="B93" s="5"/>
      <c r="C93" s="5"/>
      <c r="D93" s="5"/>
      <c r="E93" s="5"/>
      <c r="F93" s="5"/>
      <c r="G93" s="5"/>
      <c r="H93" s="5"/>
      <c r="I93" s="5"/>
      <c r="J93" s="5"/>
      <c r="K93" s="5"/>
      <c r="L93" s="5"/>
      <c r="M93" s="5"/>
      <c r="N93" s="5"/>
      <c r="O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66" x14ac:dyDescent="0.2">
      <c r="A94" s="5"/>
      <c r="B94" s="5"/>
      <c r="C94" s="5"/>
      <c r="D94" s="5"/>
      <c r="E94" s="5"/>
      <c r="F94" s="5"/>
      <c r="G94" s="5"/>
      <c r="H94" s="5"/>
      <c r="I94" s="5"/>
      <c r="J94" s="5"/>
      <c r="K94" s="5"/>
      <c r="L94" s="5"/>
      <c r="M94" s="5"/>
      <c r="N94" s="5"/>
      <c r="O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66" x14ac:dyDescent="0.2">
      <c r="A95" s="5"/>
      <c r="B95" s="5"/>
      <c r="C95" s="5"/>
      <c r="D95" s="5"/>
      <c r="E95" s="5"/>
      <c r="F95" s="5"/>
      <c r="G95" s="5"/>
      <c r="H95" s="5"/>
      <c r="I95" s="5"/>
      <c r="J95" s="5"/>
      <c r="K95" s="5"/>
      <c r="L95" s="5"/>
      <c r="M95" s="5"/>
      <c r="N95" s="5"/>
      <c r="O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M96" s="5"/>
      <c r="N96" s="5"/>
      <c r="O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N101" s="253"/>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L182" s="5"/>
      <c r="M182" s="5"/>
      <c r="N182" s="5"/>
      <c r="O182" s="5"/>
      <c r="P182" s="5"/>
      <c r="Q182" s="5"/>
      <c r="R182" s="5"/>
      <c r="S182" s="5"/>
      <c r="T182" s="5"/>
    </row>
    <row r="183" spans="1:66" x14ac:dyDescent="0.2">
      <c r="M183" s="5"/>
      <c r="N183" s="5"/>
      <c r="O183" s="5"/>
      <c r="P183" s="5"/>
      <c r="Q183" s="5"/>
      <c r="R183" s="5"/>
      <c r="S183" s="5"/>
    </row>
    <row r="184" spans="1:66" x14ac:dyDescent="0.2">
      <c r="M184" s="5"/>
      <c r="N184" s="5"/>
      <c r="O184" s="5"/>
      <c r="P184" s="5"/>
      <c r="Q184" s="5"/>
      <c r="R184" s="5"/>
      <c r="S184" s="5"/>
    </row>
    <row r="185" spans="1:66" x14ac:dyDescent="0.2">
      <c r="M185" s="5"/>
      <c r="N185" s="5"/>
      <c r="O185" s="5"/>
      <c r="P185" s="5"/>
      <c r="Q185" s="5"/>
      <c r="R185" s="5"/>
      <c r="S185" s="5"/>
    </row>
    <row r="186" spans="1:66" x14ac:dyDescent="0.2">
      <c r="M186" s="5"/>
      <c r="N186" s="5"/>
      <c r="O186" s="5"/>
      <c r="P186" s="5"/>
      <c r="Q186" s="5"/>
      <c r="R186" s="5"/>
      <c r="S186" s="5"/>
    </row>
    <row r="187" spans="1:66" x14ac:dyDescent="0.2">
      <c r="M187" s="5"/>
      <c r="N187" s="5"/>
      <c r="O187" s="5"/>
      <c r="P187" s="5"/>
      <c r="Q187" s="5"/>
      <c r="R187" s="5"/>
      <c r="S187" s="5"/>
    </row>
    <row r="188" spans="1:66" x14ac:dyDescent="0.2">
      <c r="M188" s="5"/>
      <c r="N188" s="5"/>
      <c r="O188" s="5"/>
      <c r="P188" s="5"/>
      <c r="Q188" s="5"/>
      <c r="R188" s="5"/>
      <c r="S188" s="5"/>
    </row>
    <row r="189" spans="1:66" x14ac:dyDescent="0.2">
      <c r="M189" s="5"/>
      <c r="N189" s="5"/>
      <c r="O189" s="5"/>
      <c r="P189" s="5"/>
      <c r="Q189" s="5"/>
      <c r="R189" s="5"/>
      <c r="S189" s="5"/>
    </row>
    <row r="190" spans="1:66" x14ac:dyDescent="0.2">
      <c r="M190" s="5"/>
      <c r="N190" s="5"/>
      <c r="O190" s="5"/>
      <c r="P190" s="5"/>
      <c r="Q190" s="5"/>
      <c r="R190" s="5"/>
      <c r="S190" s="5"/>
    </row>
    <row r="191" spans="1:66" x14ac:dyDescent="0.2">
      <c r="M191" s="5"/>
      <c r="N191" s="5"/>
      <c r="O191" s="5"/>
      <c r="P191" s="5"/>
      <c r="Q191" s="5"/>
      <c r="R191" s="5"/>
      <c r="S191" s="5"/>
    </row>
    <row r="192" spans="1:66" x14ac:dyDescent="0.2">
      <c r="M192" s="5"/>
      <c r="N192" s="5"/>
      <c r="O192" s="5"/>
      <c r="P192" s="5"/>
      <c r="Q192" s="5"/>
      <c r="R192" s="5"/>
      <c r="S192" s="5"/>
    </row>
    <row r="193" spans="13:19" x14ac:dyDescent="0.2">
      <c r="M193" s="5"/>
      <c r="N193" s="5"/>
      <c r="O193" s="5"/>
      <c r="P193" s="5"/>
      <c r="Q193" s="5"/>
      <c r="R193" s="5"/>
      <c r="S193" s="5"/>
    </row>
    <row r="194" spans="13:19" x14ac:dyDescent="0.2">
      <c r="M194" s="5"/>
      <c r="N194" s="5"/>
      <c r="O194" s="5"/>
      <c r="P194" s="5"/>
      <c r="Q194" s="5"/>
      <c r="R194" s="5"/>
      <c r="S194" s="5"/>
    </row>
    <row r="195" spans="13:19" x14ac:dyDescent="0.2">
      <c r="M195" s="5"/>
      <c r="N195" s="5"/>
      <c r="O195" s="5"/>
      <c r="P195" s="5"/>
      <c r="Q195" s="5"/>
      <c r="R195" s="5"/>
      <c r="S195" s="5"/>
    </row>
    <row r="196" spans="13:19" x14ac:dyDescent="0.2">
      <c r="M196" s="5"/>
      <c r="N196" s="5"/>
      <c r="O196" s="5"/>
      <c r="P196" s="5"/>
      <c r="Q196" s="5"/>
      <c r="R196" s="5"/>
      <c r="S196" s="5"/>
    </row>
    <row r="197" spans="13:19" x14ac:dyDescent="0.2">
      <c r="M197" s="5"/>
      <c r="N197" s="5"/>
      <c r="O197" s="5"/>
      <c r="P197" s="5"/>
      <c r="Q197" s="5"/>
      <c r="R197" s="5"/>
      <c r="S197" s="5"/>
    </row>
    <row r="198" spans="13:19" x14ac:dyDescent="0.2">
      <c r="M198" s="5"/>
      <c r="N198" s="5"/>
      <c r="O198" s="5"/>
      <c r="P198" s="5"/>
      <c r="Q198" s="5"/>
      <c r="R198" s="5"/>
      <c r="S198" s="5"/>
    </row>
    <row r="199" spans="13:19" x14ac:dyDescent="0.2">
      <c r="M199" s="5"/>
      <c r="N199" s="5"/>
      <c r="O199" s="5"/>
      <c r="P199" s="5"/>
      <c r="Q199" s="5"/>
      <c r="R199" s="5"/>
      <c r="S199" s="5"/>
    </row>
    <row r="200" spans="13:19" x14ac:dyDescent="0.2">
      <c r="M200" s="5"/>
      <c r="N200" s="5"/>
      <c r="O200" s="5"/>
      <c r="P200" s="5"/>
      <c r="Q200" s="5"/>
      <c r="R200" s="5"/>
      <c r="S200" s="5"/>
    </row>
    <row r="201" spans="13:19" x14ac:dyDescent="0.2">
      <c r="M201" s="5"/>
      <c r="N201" s="5"/>
      <c r="O201" s="5"/>
      <c r="P201" s="5"/>
      <c r="Q201" s="5"/>
      <c r="R201" s="5"/>
      <c r="S201" s="5"/>
    </row>
    <row r="202" spans="13:19" x14ac:dyDescent="0.2">
      <c r="M202" s="5"/>
      <c r="N202" s="5"/>
      <c r="O202" s="5"/>
      <c r="P202" s="5"/>
      <c r="Q202" s="5"/>
      <c r="R202" s="5"/>
      <c r="S202" s="5"/>
    </row>
    <row r="203" spans="13:19" x14ac:dyDescent="0.2">
      <c r="M203" s="5"/>
      <c r="N203" s="5"/>
      <c r="O203" s="5"/>
      <c r="P203" s="5"/>
      <c r="Q203" s="5"/>
      <c r="R203" s="5"/>
      <c r="S203" s="5"/>
    </row>
  </sheetData>
  <mergeCells count="11">
    <mergeCell ref="M41:S49"/>
    <mergeCell ref="M33:S38"/>
    <mergeCell ref="O22:R22"/>
    <mergeCell ref="B21:J29"/>
    <mergeCell ref="B3:J4"/>
    <mergeCell ref="B8:J9"/>
    <mergeCell ref="B12:J13"/>
    <mergeCell ref="M6:N6"/>
    <mergeCell ref="M14:S15"/>
    <mergeCell ref="O6:R6"/>
    <mergeCell ref="M22:N22"/>
  </mergeCells>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5124-3032-BC48-B1D3-3335AF713F7F}">
  <dimension ref="A1:BL206"/>
  <sheetViews>
    <sheetView zoomScaleNormal="100" workbookViewId="0">
      <selection activeCell="B1" sqref="A1:B1"/>
    </sheetView>
  </sheetViews>
  <sheetFormatPr baseColWidth="10" defaultColWidth="10.83203125" defaultRowHeight="16" customHeight="1" outlineLevelCol="1" x14ac:dyDescent="0.2"/>
  <cols>
    <col min="1" max="1" width="4.6640625" style="259" customWidth="1"/>
    <col min="2" max="2" width="10.83203125" style="259"/>
    <col min="3" max="3" width="10.83203125" style="259" customWidth="1"/>
    <col min="4" max="11" width="10.83203125" style="259"/>
    <col min="12" max="12" width="11.5" style="259" bestFit="1" customWidth="1"/>
    <col min="13" max="19" width="10.83203125" style="259" hidden="1" customWidth="1" outlineLevel="1"/>
    <col min="20" max="20" width="10.83203125" style="259" collapsed="1"/>
    <col min="21" max="16384" width="10.83203125" style="259"/>
  </cols>
  <sheetData>
    <row r="1" spans="1:20" ht="16" customHeight="1" x14ac:dyDescent="0.25">
      <c r="A1" s="366" t="s">
        <v>525</v>
      </c>
      <c r="B1" s="260"/>
      <c r="C1" s="260"/>
      <c r="D1" s="260"/>
      <c r="E1" s="260"/>
      <c r="F1" s="260"/>
      <c r="G1" s="260"/>
      <c r="H1" s="260"/>
      <c r="I1" s="260"/>
      <c r="J1" s="261"/>
      <c r="K1" s="262"/>
      <c r="L1" s="263" t="s">
        <v>146</v>
      </c>
    </row>
    <row r="2" spans="1:20" ht="16" customHeight="1" x14ac:dyDescent="0.2">
      <c r="A2" s="252"/>
      <c r="B2" s="249"/>
      <c r="C2" s="249"/>
      <c r="D2" s="249"/>
      <c r="E2" s="249"/>
      <c r="F2" s="249"/>
      <c r="G2" s="249"/>
      <c r="H2" s="249"/>
      <c r="I2" s="249"/>
      <c r="J2" s="264"/>
      <c r="K2" s="265"/>
    </row>
    <row r="3" spans="1:20" ht="16" customHeight="1" x14ac:dyDescent="0.2">
      <c r="A3" s="266"/>
      <c r="B3" s="249"/>
      <c r="C3" s="264"/>
      <c r="D3" s="264"/>
      <c r="E3" s="264"/>
      <c r="F3" s="264"/>
      <c r="G3" s="264"/>
      <c r="H3" s="264"/>
      <c r="I3" s="264"/>
      <c r="J3" s="264"/>
      <c r="K3" s="265"/>
      <c r="M3" s="363" t="s">
        <v>3</v>
      </c>
      <c r="N3" s="273"/>
      <c r="O3" s="273"/>
      <c r="P3" s="273"/>
      <c r="Q3" s="273"/>
      <c r="R3" s="273"/>
      <c r="S3" s="273"/>
    </row>
    <row r="4" spans="1:20" ht="16" customHeight="1" x14ac:dyDescent="0.2">
      <c r="A4" s="266"/>
      <c r="B4" s="249" t="s">
        <v>0</v>
      </c>
      <c r="C4" s="264"/>
      <c r="D4" s="264"/>
      <c r="E4" s="264"/>
      <c r="F4" s="264"/>
      <c r="G4" s="264"/>
      <c r="H4" s="264"/>
      <c r="I4" s="264"/>
      <c r="J4" s="264"/>
      <c r="K4" s="265"/>
      <c r="M4" s="439" t="s">
        <v>551</v>
      </c>
      <c r="N4" s="439"/>
      <c r="O4" s="439"/>
      <c r="P4" s="439"/>
      <c r="Q4" s="439"/>
      <c r="R4" s="439"/>
      <c r="S4" s="439"/>
    </row>
    <row r="5" spans="1:20" ht="16" customHeight="1" x14ac:dyDescent="0.2">
      <c r="A5" s="266"/>
      <c r="B5" s="264" t="s">
        <v>511</v>
      </c>
      <c r="C5" s="264"/>
      <c r="D5" s="264"/>
      <c r="E5" s="264"/>
      <c r="F5" s="264"/>
      <c r="G5" s="264"/>
      <c r="H5" s="264"/>
      <c r="I5" s="264"/>
      <c r="J5" s="264"/>
      <c r="K5" s="265"/>
      <c r="M5" s="439"/>
      <c r="N5" s="439"/>
      <c r="O5" s="439"/>
      <c r="P5" s="439"/>
      <c r="Q5" s="439"/>
      <c r="R5" s="439"/>
      <c r="S5" s="439"/>
    </row>
    <row r="6" spans="1:20" ht="16" customHeight="1" x14ac:dyDescent="0.2">
      <c r="A6" s="266"/>
      <c r="B6" s="264"/>
      <c r="C6" s="264"/>
      <c r="D6" s="264"/>
      <c r="E6" s="264"/>
      <c r="F6" s="264"/>
      <c r="G6" s="264"/>
      <c r="H6" s="264"/>
      <c r="I6" s="264"/>
      <c r="J6" s="264"/>
      <c r="K6" s="265"/>
      <c r="M6" s="439"/>
      <c r="N6" s="439"/>
      <c r="O6" s="439"/>
      <c r="P6" s="439"/>
      <c r="Q6" s="439"/>
      <c r="R6" s="439"/>
      <c r="S6" s="439"/>
    </row>
    <row r="7" spans="1:20" ht="16" customHeight="1" x14ac:dyDescent="0.2">
      <c r="A7" s="266"/>
      <c r="B7" s="249" t="s">
        <v>1</v>
      </c>
      <c r="C7" s="264"/>
      <c r="D7" s="264"/>
      <c r="E7" s="264"/>
      <c r="F7" s="264"/>
      <c r="G7" s="264"/>
      <c r="H7" s="264"/>
      <c r="I7" s="264"/>
      <c r="J7" s="264"/>
      <c r="K7" s="265"/>
      <c r="M7" s="439"/>
      <c r="N7" s="439"/>
      <c r="O7" s="439"/>
      <c r="P7" s="439"/>
      <c r="Q7" s="439"/>
      <c r="R7" s="439"/>
      <c r="S7" s="439"/>
    </row>
    <row r="8" spans="1:20" ht="16" customHeight="1" x14ac:dyDescent="0.2">
      <c r="A8" s="266"/>
      <c r="B8" s="447" t="s">
        <v>552</v>
      </c>
      <c r="C8" s="447"/>
      <c r="D8" s="447"/>
      <c r="E8" s="447"/>
      <c r="F8" s="447"/>
      <c r="G8" s="447"/>
      <c r="H8" s="447"/>
      <c r="I8" s="447"/>
      <c r="J8" s="447"/>
      <c r="K8" s="265"/>
      <c r="M8" s="439"/>
      <c r="N8" s="439"/>
      <c r="O8" s="439"/>
      <c r="P8" s="439"/>
      <c r="Q8" s="439"/>
      <c r="R8" s="439"/>
      <c r="S8" s="439"/>
    </row>
    <row r="9" spans="1:20" ht="16" customHeight="1" x14ac:dyDescent="0.2">
      <c r="A9" s="266"/>
      <c r="B9" s="447"/>
      <c r="C9" s="447"/>
      <c r="D9" s="447"/>
      <c r="E9" s="447"/>
      <c r="F9" s="447"/>
      <c r="G9" s="447"/>
      <c r="H9" s="447"/>
      <c r="I9" s="447"/>
      <c r="J9" s="447"/>
      <c r="K9" s="265"/>
      <c r="M9" s="439"/>
      <c r="N9" s="439"/>
      <c r="O9" s="439"/>
      <c r="P9" s="439"/>
      <c r="Q9" s="439"/>
      <c r="R9" s="439"/>
      <c r="S9" s="439"/>
    </row>
    <row r="10" spans="1:20" ht="16" customHeight="1" thickBot="1" x14ac:dyDescent="0.25">
      <c r="A10" s="267"/>
      <c r="B10" s="268"/>
      <c r="C10" s="268"/>
      <c r="D10" s="268"/>
      <c r="E10" s="268"/>
      <c r="F10" s="268"/>
      <c r="G10" s="268"/>
      <c r="H10" s="268"/>
      <c r="I10" s="268"/>
      <c r="J10" s="268"/>
      <c r="K10" s="269"/>
      <c r="M10" s="439"/>
      <c r="N10" s="439"/>
      <c r="O10" s="439"/>
      <c r="P10" s="439"/>
      <c r="Q10" s="439"/>
      <c r="R10" s="439"/>
      <c r="S10" s="439"/>
    </row>
    <row r="11" spans="1:20" ht="16" customHeight="1" x14ac:dyDescent="0.2">
      <c r="M11" s="439"/>
      <c r="N11" s="439"/>
      <c r="O11" s="439"/>
      <c r="P11" s="439"/>
      <c r="Q11" s="439"/>
      <c r="R11" s="439"/>
      <c r="S11" s="439"/>
    </row>
    <row r="12" spans="1:20" ht="16" customHeight="1" x14ac:dyDescent="0.25">
      <c r="A12" s="263"/>
      <c r="B12" s="259" t="s">
        <v>457</v>
      </c>
      <c r="M12" s="439"/>
      <c r="N12" s="439"/>
      <c r="O12" s="439"/>
      <c r="P12" s="439"/>
      <c r="Q12" s="439"/>
      <c r="R12" s="439"/>
      <c r="S12" s="439"/>
    </row>
    <row r="13" spans="1:20" ht="16" customHeight="1" x14ac:dyDescent="0.2">
      <c r="A13" s="271"/>
      <c r="B13" s="435"/>
      <c r="C13" s="436"/>
      <c r="D13" s="436"/>
      <c r="E13" s="436"/>
      <c r="F13" s="436"/>
      <c r="G13" s="436"/>
      <c r="H13" s="436"/>
      <c r="I13" s="436"/>
      <c r="J13" s="437"/>
      <c r="M13" s="439"/>
      <c r="N13" s="439"/>
      <c r="O13" s="439"/>
      <c r="P13" s="439"/>
      <c r="Q13" s="439"/>
      <c r="R13" s="439"/>
      <c r="S13" s="439"/>
    </row>
    <row r="14" spans="1:20" ht="16" customHeight="1" x14ac:dyDescent="0.2">
      <c r="B14" s="438"/>
      <c r="C14" s="439"/>
      <c r="D14" s="439"/>
      <c r="E14" s="439"/>
      <c r="F14" s="439"/>
      <c r="G14" s="439"/>
      <c r="H14" s="439"/>
      <c r="I14" s="439"/>
      <c r="J14" s="440"/>
      <c r="M14" s="439"/>
      <c r="N14" s="439"/>
      <c r="O14" s="439"/>
      <c r="P14" s="439"/>
      <c r="Q14" s="439"/>
      <c r="R14" s="439"/>
      <c r="S14" s="439"/>
      <c r="T14" s="273"/>
    </row>
    <row r="15" spans="1:20" ht="16" customHeight="1" x14ac:dyDescent="0.2">
      <c r="B15" s="438"/>
      <c r="C15" s="439"/>
      <c r="D15" s="439"/>
      <c r="E15" s="439"/>
      <c r="F15" s="439"/>
      <c r="G15" s="439"/>
      <c r="H15" s="439"/>
      <c r="I15" s="439"/>
      <c r="J15" s="440"/>
      <c r="M15" s="439"/>
      <c r="N15" s="439"/>
      <c r="O15" s="439"/>
      <c r="P15" s="439"/>
      <c r="Q15" s="439"/>
      <c r="R15" s="439"/>
      <c r="S15" s="439"/>
    </row>
    <row r="16" spans="1:20" ht="16" customHeight="1" x14ac:dyDescent="0.2">
      <c r="B16" s="438"/>
      <c r="C16" s="439"/>
      <c r="D16" s="439"/>
      <c r="E16" s="439"/>
      <c r="F16" s="439"/>
      <c r="G16" s="439"/>
      <c r="H16" s="439"/>
      <c r="I16" s="439"/>
      <c r="J16" s="440"/>
      <c r="M16" s="272"/>
      <c r="N16" s="272"/>
      <c r="O16" s="272"/>
      <c r="P16" s="272"/>
      <c r="Q16" s="272"/>
      <c r="R16" s="272"/>
      <c r="S16" s="272"/>
    </row>
    <row r="17" spans="1:19" ht="16" customHeight="1" x14ac:dyDescent="0.2">
      <c r="B17" s="438"/>
      <c r="C17" s="439"/>
      <c r="D17" s="439"/>
      <c r="E17" s="439"/>
      <c r="F17" s="439"/>
      <c r="G17" s="439"/>
      <c r="H17" s="439"/>
      <c r="I17" s="439"/>
      <c r="J17" s="440"/>
      <c r="M17" s="270"/>
      <c r="N17" s="270"/>
      <c r="O17" s="270"/>
      <c r="P17" s="270"/>
      <c r="Q17" s="270"/>
      <c r="R17" s="270"/>
      <c r="S17" s="270"/>
    </row>
    <row r="18" spans="1:19" ht="16" customHeight="1" x14ac:dyDescent="0.2">
      <c r="B18" s="438"/>
      <c r="C18" s="439"/>
      <c r="D18" s="439"/>
      <c r="E18" s="439"/>
      <c r="F18" s="439"/>
      <c r="G18" s="439"/>
      <c r="H18" s="439"/>
      <c r="I18" s="439"/>
      <c r="J18" s="440"/>
      <c r="M18" s="363" t="s">
        <v>4</v>
      </c>
    </row>
    <row r="19" spans="1:19" ht="16" customHeight="1" x14ac:dyDescent="0.2">
      <c r="B19" s="438"/>
      <c r="C19" s="439"/>
      <c r="D19" s="439"/>
      <c r="E19" s="439"/>
      <c r="F19" s="439"/>
      <c r="G19" s="439"/>
      <c r="H19" s="439"/>
      <c r="I19" s="439"/>
      <c r="J19" s="440"/>
      <c r="M19" s="439" t="s">
        <v>564</v>
      </c>
      <c r="N19" s="439"/>
      <c r="O19" s="439"/>
      <c r="P19" s="439"/>
      <c r="Q19" s="439"/>
      <c r="R19" s="439"/>
      <c r="S19" s="439"/>
    </row>
    <row r="20" spans="1:19" ht="16" customHeight="1" x14ac:dyDescent="0.2">
      <c r="B20" s="438"/>
      <c r="C20" s="439"/>
      <c r="D20" s="439"/>
      <c r="E20" s="439"/>
      <c r="F20" s="439"/>
      <c r="G20" s="439"/>
      <c r="H20" s="439"/>
      <c r="I20" s="439"/>
      <c r="J20" s="440"/>
      <c r="M20" s="439"/>
      <c r="N20" s="439"/>
      <c r="O20" s="439"/>
      <c r="P20" s="439"/>
      <c r="Q20" s="439"/>
      <c r="R20" s="439"/>
      <c r="S20" s="439"/>
    </row>
    <row r="21" spans="1:19" ht="16" customHeight="1" x14ac:dyDescent="0.2">
      <c r="B21" s="441"/>
      <c r="C21" s="442"/>
      <c r="D21" s="442"/>
      <c r="E21" s="442"/>
      <c r="F21" s="442"/>
      <c r="G21" s="442"/>
      <c r="H21" s="442"/>
      <c r="I21" s="442"/>
      <c r="J21" s="443"/>
      <c r="M21" s="439"/>
      <c r="N21" s="439"/>
      <c r="O21" s="439"/>
      <c r="P21" s="439"/>
      <c r="Q21" s="439"/>
      <c r="R21" s="439"/>
      <c r="S21" s="439"/>
    </row>
    <row r="22" spans="1:19" ht="16" customHeight="1" x14ac:dyDescent="0.2">
      <c r="M22" s="439"/>
      <c r="N22" s="439"/>
      <c r="O22" s="439"/>
      <c r="P22" s="439"/>
      <c r="Q22" s="439"/>
      <c r="R22" s="439"/>
      <c r="S22" s="439"/>
    </row>
    <row r="23" spans="1:19" x14ac:dyDescent="0.2">
      <c r="M23" s="439"/>
      <c r="N23" s="439"/>
      <c r="O23" s="439"/>
      <c r="P23" s="439"/>
      <c r="Q23" s="439"/>
      <c r="R23" s="439"/>
      <c r="S23" s="439"/>
    </row>
    <row r="24" spans="1:19" x14ac:dyDescent="0.2">
      <c r="A24" s="271"/>
      <c r="C24" s="274"/>
      <c r="M24" s="439"/>
      <c r="N24" s="439"/>
      <c r="O24" s="439"/>
      <c r="P24" s="439"/>
      <c r="Q24" s="439"/>
      <c r="R24" s="439"/>
      <c r="S24" s="439"/>
    </row>
    <row r="25" spans="1:19" x14ac:dyDescent="0.2">
      <c r="M25" s="439"/>
      <c r="N25" s="439"/>
      <c r="O25" s="439"/>
      <c r="P25" s="439"/>
      <c r="Q25" s="439"/>
      <c r="R25" s="439"/>
      <c r="S25" s="439"/>
    </row>
    <row r="26" spans="1:19" x14ac:dyDescent="0.2">
      <c r="M26" s="439"/>
      <c r="N26" s="439"/>
      <c r="O26" s="439"/>
      <c r="P26" s="439"/>
      <c r="Q26" s="439"/>
      <c r="R26" s="439"/>
      <c r="S26" s="439"/>
    </row>
    <row r="27" spans="1:19" x14ac:dyDescent="0.2">
      <c r="M27" s="439"/>
      <c r="N27" s="439"/>
      <c r="O27" s="439"/>
      <c r="P27" s="439"/>
      <c r="Q27" s="439"/>
      <c r="R27" s="439"/>
      <c r="S27" s="439"/>
    </row>
    <row r="28" spans="1:19" x14ac:dyDescent="0.2">
      <c r="M28" s="439"/>
      <c r="N28" s="439"/>
      <c r="O28" s="439"/>
      <c r="P28" s="439"/>
      <c r="Q28" s="439"/>
      <c r="R28" s="439"/>
      <c r="S28" s="439"/>
    </row>
    <row r="29" spans="1:19" x14ac:dyDescent="0.2">
      <c r="M29" s="439"/>
      <c r="N29" s="439"/>
      <c r="O29" s="439"/>
      <c r="P29" s="439"/>
      <c r="Q29" s="439"/>
      <c r="R29" s="439"/>
      <c r="S29" s="439"/>
    </row>
    <row r="30" spans="1:19" x14ac:dyDescent="0.2">
      <c r="M30" s="439"/>
      <c r="N30" s="439"/>
      <c r="O30" s="439"/>
      <c r="P30" s="439"/>
      <c r="Q30" s="439"/>
      <c r="R30" s="439"/>
      <c r="S30" s="439"/>
    </row>
    <row r="31" spans="1:19" x14ac:dyDescent="0.2">
      <c r="M31" s="439"/>
      <c r="N31" s="439"/>
      <c r="O31" s="439"/>
      <c r="P31" s="439"/>
      <c r="Q31" s="439"/>
      <c r="R31" s="439"/>
      <c r="S31" s="439"/>
    </row>
    <row r="32" spans="1:19" x14ac:dyDescent="0.2">
      <c r="M32" s="439"/>
      <c r="N32" s="439"/>
      <c r="O32" s="439"/>
      <c r="P32" s="439"/>
      <c r="Q32" s="439"/>
      <c r="R32" s="439"/>
      <c r="S32" s="439"/>
    </row>
    <row r="33" spans="1:19" ht="16" customHeight="1" x14ac:dyDescent="0.2">
      <c r="M33" s="439"/>
      <c r="N33" s="439"/>
      <c r="O33" s="439"/>
      <c r="P33" s="439"/>
      <c r="Q33" s="439"/>
      <c r="R33" s="439"/>
      <c r="S33" s="439"/>
    </row>
    <row r="34" spans="1:19" ht="16" customHeight="1" x14ac:dyDescent="0.2">
      <c r="M34" s="439"/>
      <c r="N34" s="439"/>
      <c r="O34" s="439"/>
      <c r="P34" s="439"/>
      <c r="Q34" s="439"/>
      <c r="R34" s="439"/>
      <c r="S34" s="439"/>
    </row>
    <row r="35" spans="1:19" ht="16" customHeight="1" x14ac:dyDescent="0.2">
      <c r="M35" s="439"/>
      <c r="N35" s="439"/>
      <c r="O35" s="439"/>
      <c r="P35" s="439"/>
      <c r="Q35" s="439"/>
      <c r="R35" s="439"/>
      <c r="S35" s="439"/>
    </row>
    <row r="36" spans="1:19" ht="16" customHeight="1" x14ac:dyDescent="0.2">
      <c r="M36" s="439"/>
      <c r="N36" s="439"/>
      <c r="O36" s="439"/>
      <c r="P36" s="439"/>
      <c r="Q36" s="439"/>
      <c r="R36" s="439"/>
      <c r="S36" s="439"/>
    </row>
    <row r="37" spans="1:19" ht="16" customHeight="1" x14ac:dyDescent="0.2">
      <c r="M37" s="439"/>
      <c r="N37" s="439"/>
      <c r="O37" s="439"/>
      <c r="P37" s="439"/>
      <c r="Q37" s="439"/>
      <c r="R37" s="439"/>
      <c r="S37" s="439"/>
    </row>
    <row r="38" spans="1:19" ht="16" customHeight="1" x14ac:dyDescent="0.2">
      <c r="M38" s="439"/>
      <c r="N38" s="439"/>
      <c r="O38" s="439"/>
      <c r="P38" s="439"/>
      <c r="Q38" s="439"/>
      <c r="R38" s="439"/>
      <c r="S38" s="439"/>
    </row>
    <row r="42" spans="1:19" ht="16" customHeight="1" x14ac:dyDescent="0.25">
      <c r="M42" s="3" t="s">
        <v>131</v>
      </c>
      <c r="N42" s="251"/>
      <c r="O42" s="251"/>
      <c r="P42" s="251"/>
      <c r="Q42" s="251"/>
      <c r="R42" s="251"/>
      <c r="S42" s="251"/>
    </row>
    <row r="43" spans="1:19" ht="16" customHeight="1" x14ac:dyDescent="0.2">
      <c r="M43" s="405" t="s">
        <v>550</v>
      </c>
      <c r="N43" s="405"/>
      <c r="O43" s="405"/>
      <c r="P43" s="405"/>
      <c r="Q43" s="405"/>
      <c r="R43" s="405"/>
      <c r="S43" s="405"/>
    </row>
    <row r="44" spans="1:19" ht="16" customHeight="1" x14ac:dyDescent="0.2">
      <c r="A44" s="271"/>
      <c r="C44" s="274"/>
      <c r="M44" s="405"/>
      <c r="N44" s="405"/>
      <c r="O44" s="405"/>
      <c r="P44" s="405"/>
      <c r="Q44" s="405"/>
      <c r="R44" s="405"/>
      <c r="S44" s="405"/>
    </row>
    <row r="45" spans="1:19" ht="16" customHeight="1" x14ac:dyDescent="0.2">
      <c r="M45" s="405"/>
      <c r="N45" s="405"/>
      <c r="O45" s="405"/>
      <c r="P45" s="405"/>
      <c r="Q45" s="405"/>
      <c r="R45" s="405"/>
      <c r="S45" s="405"/>
    </row>
    <row r="46" spans="1:19" ht="16" customHeight="1" x14ac:dyDescent="0.2">
      <c r="M46" s="405"/>
      <c r="N46" s="405"/>
      <c r="O46" s="405"/>
      <c r="P46" s="405"/>
      <c r="Q46" s="405"/>
      <c r="R46" s="405"/>
      <c r="S46" s="405"/>
    </row>
    <row r="47" spans="1:19" ht="16" customHeight="1" x14ac:dyDescent="0.2">
      <c r="M47" s="251"/>
      <c r="N47" s="251"/>
      <c r="O47" s="251"/>
      <c r="P47" s="251"/>
      <c r="Q47" s="251"/>
      <c r="R47" s="251"/>
      <c r="S47" s="251"/>
    </row>
    <row r="48" spans="1:19" ht="16" customHeight="1" x14ac:dyDescent="0.2">
      <c r="M48" s="251"/>
      <c r="N48" s="251"/>
      <c r="O48" s="251"/>
      <c r="P48" s="251"/>
      <c r="Q48" s="251"/>
      <c r="R48" s="251"/>
      <c r="S48" s="251"/>
    </row>
    <row r="49" spans="13:19" ht="16" customHeight="1" x14ac:dyDescent="0.2">
      <c r="M49" s="251"/>
      <c r="N49" s="251"/>
      <c r="O49" s="251"/>
      <c r="P49" s="251"/>
      <c r="Q49" s="251"/>
      <c r="R49" s="251"/>
      <c r="S49" s="251"/>
    </row>
    <row r="50" spans="13:19" ht="16" customHeight="1" x14ac:dyDescent="0.2">
      <c r="M50" s="251"/>
      <c r="N50" s="251"/>
      <c r="O50" s="251"/>
      <c r="P50" s="251"/>
      <c r="Q50" s="251"/>
      <c r="R50" s="251"/>
      <c r="S50" s="251"/>
    </row>
    <row r="51" spans="13:19" ht="16" customHeight="1" x14ac:dyDescent="0.2">
      <c r="M51" s="251"/>
    </row>
    <row r="52" spans="13:19" ht="16" customHeight="1" x14ac:dyDescent="0.2">
      <c r="M52" s="251"/>
    </row>
    <row r="53" spans="13:19" ht="16" customHeight="1" x14ac:dyDescent="0.2">
      <c r="M53" s="251"/>
    </row>
    <row r="54" spans="13:19" ht="16" customHeight="1" x14ac:dyDescent="0.2">
      <c r="M54" s="251"/>
    </row>
    <row r="55" spans="13:19" ht="16" customHeight="1" x14ac:dyDescent="0.2">
      <c r="M55" s="251"/>
    </row>
    <row r="56" spans="13:19" ht="16" customHeight="1" x14ac:dyDescent="0.2">
      <c r="M56" s="251"/>
    </row>
    <row r="57" spans="13:19" ht="16" customHeight="1" x14ac:dyDescent="0.2">
      <c r="M57" s="251"/>
    </row>
    <row r="64" spans="13:19" ht="16" customHeight="1" x14ac:dyDescent="0.2">
      <c r="N64" s="274"/>
    </row>
    <row r="65" spans="13:15" ht="16" customHeight="1" x14ac:dyDescent="0.2">
      <c r="M65" s="258"/>
      <c r="N65" s="258"/>
      <c r="O65" s="258"/>
    </row>
    <row r="66" spans="13:15" ht="16" customHeight="1" x14ac:dyDescent="0.2">
      <c r="M66" s="258"/>
      <c r="N66" s="258"/>
      <c r="O66" s="258"/>
    </row>
    <row r="67" spans="13:15" ht="16" customHeight="1" x14ac:dyDescent="0.2">
      <c r="M67" s="258"/>
      <c r="N67" s="258"/>
      <c r="O67" s="258"/>
    </row>
    <row r="68" spans="13:15" ht="16" customHeight="1" x14ac:dyDescent="0.2">
      <c r="M68" s="258"/>
      <c r="N68" s="258"/>
      <c r="O68" s="258"/>
    </row>
    <row r="69" spans="13:15" ht="16" customHeight="1" x14ac:dyDescent="0.2">
      <c r="M69" s="258"/>
      <c r="N69" s="258"/>
      <c r="O69" s="258"/>
    </row>
    <row r="70" spans="13:15" ht="16" customHeight="1" x14ac:dyDescent="0.2">
      <c r="M70" s="258"/>
      <c r="N70" s="258"/>
      <c r="O70" s="258"/>
    </row>
    <row r="71" spans="13:15" ht="16" customHeight="1" x14ac:dyDescent="0.2">
      <c r="M71" s="258"/>
      <c r="N71" s="258"/>
      <c r="O71" s="258"/>
    </row>
    <row r="72" spans="13:15" ht="16" customHeight="1" x14ac:dyDescent="0.2">
      <c r="M72" s="258"/>
      <c r="N72" s="258"/>
      <c r="O72" s="258"/>
    </row>
    <row r="73" spans="13:15" ht="16" customHeight="1" x14ac:dyDescent="0.2">
      <c r="M73" s="258"/>
      <c r="N73" s="258"/>
      <c r="O73" s="258"/>
    </row>
    <row r="74" spans="13:15" ht="16" customHeight="1" x14ac:dyDescent="0.2">
      <c r="N74" s="274"/>
    </row>
    <row r="75" spans="13:15" ht="16" customHeight="1" x14ac:dyDescent="0.2">
      <c r="M75" s="258"/>
      <c r="N75" s="258"/>
      <c r="O75" s="258"/>
    </row>
    <row r="76" spans="13:15" ht="16" customHeight="1" x14ac:dyDescent="0.2">
      <c r="M76" s="258"/>
      <c r="N76" s="258"/>
      <c r="O76" s="258"/>
    </row>
    <row r="77" spans="13:15" ht="16" customHeight="1" x14ac:dyDescent="0.2">
      <c r="M77" s="258"/>
      <c r="N77" s="258"/>
      <c r="O77" s="258"/>
    </row>
    <row r="78" spans="13:15" ht="16" customHeight="1" x14ac:dyDescent="0.2">
      <c r="M78" s="258"/>
      <c r="N78" s="258"/>
      <c r="O78" s="258"/>
    </row>
    <row r="79" spans="13:15" ht="16" customHeight="1" x14ac:dyDescent="0.2">
      <c r="M79" s="258"/>
      <c r="N79" s="258"/>
      <c r="O79" s="258"/>
    </row>
    <row r="80" spans="13:15" ht="16" customHeight="1" x14ac:dyDescent="0.2">
      <c r="M80" s="258"/>
      <c r="N80" s="258"/>
      <c r="O80" s="258"/>
    </row>
    <row r="81" spans="1:64" ht="16" customHeight="1" x14ac:dyDescent="0.2">
      <c r="M81" s="258"/>
      <c r="N81" s="258"/>
      <c r="O81" s="258"/>
    </row>
    <row r="82" spans="1:64" ht="16" customHeight="1" x14ac:dyDescent="0.2">
      <c r="M82" s="258"/>
      <c r="N82" s="258"/>
      <c r="O82" s="258"/>
    </row>
    <row r="83" spans="1:64" ht="16" customHeight="1" x14ac:dyDescent="0.2">
      <c r="M83" s="258"/>
      <c r="N83" s="258"/>
      <c r="O83" s="258"/>
    </row>
    <row r="84" spans="1:64" ht="16" customHeight="1" x14ac:dyDescent="0.2">
      <c r="N84" s="274"/>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row>
    <row r="85" spans="1:64" ht="16" customHeight="1" x14ac:dyDescent="0.2">
      <c r="M85" s="258"/>
      <c r="N85" s="258"/>
      <c r="O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row>
    <row r="86" spans="1:64" ht="16" customHeight="1" x14ac:dyDescent="0.2">
      <c r="A86" s="258"/>
      <c r="B86" s="258"/>
      <c r="C86" s="258"/>
      <c r="D86" s="258"/>
      <c r="E86" s="258"/>
      <c r="F86" s="258"/>
      <c r="G86" s="258"/>
      <c r="H86" s="258"/>
      <c r="I86" s="258"/>
      <c r="J86" s="258"/>
      <c r="K86" s="258"/>
      <c r="M86" s="258"/>
      <c r="N86" s="258"/>
      <c r="O86" s="258"/>
      <c r="T86" s="258"/>
      <c r="U86" s="258"/>
      <c r="V86" s="258"/>
      <c r="W86" s="258"/>
      <c r="X86" s="258"/>
      <c r="Y86" s="258"/>
      <c r="Z86" s="258"/>
      <c r="AA86" s="258"/>
      <c r="AB86" s="258"/>
      <c r="AC86" s="258"/>
      <c r="AD86" s="258"/>
      <c r="AE86" s="258"/>
      <c r="AF86" s="258"/>
      <c r="AG86" s="258"/>
      <c r="AH86" s="258"/>
      <c r="AI86" s="258"/>
      <c r="AJ86" s="258"/>
      <c r="AK86" s="258"/>
      <c r="AL86" s="258"/>
      <c r="AM86" s="258"/>
      <c r="AN86" s="258"/>
      <c r="AO86" s="258"/>
      <c r="AP86" s="258"/>
      <c r="AQ86" s="258"/>
      <c r="AR86" s="258"/>
      <c r="AS86" s="258"/>
      <c r="AT86" s="258"/>
      <c r="AU86" s="258"/>
      <c r="AV86" s="258"/>
      <c r="AW86" s="258"/>
      <c r="AX86" s="258"/>
      <c r="AY86" s="258"/>
      <c r="AZ86" s="258"/>
      <c r="BA86" s="258"/>
      <c r="BB86" s="258"/>
      <c r="BC86" s="258"/>
      <c r="BD86" s="258"/>
      <c r="BE86" s="258"/>
      <c r="BF86" s="258"/>
      <c r="BG86" s="258"/>
      <c r="BH86" s="258"/>
      <c r="BI86" s="258"/>
      <c r="BJ86" s="258"/>
      <c r="BK86" s="258"/>
      <c r="BL86" s="258"/>
    </row>
    <row r="87" spans="1:64" ht="16" customHeight="1" x14ac:dyDescent="0.2">
      <c r="A87" s="258"/>
      <c r="B87" s="258"/>
      <c r="C87" s="258"/>
      <c r="D87" s="258"/>
      <c r="E87" s="258"/>
      <c r="F87" s="258"/>
      <c r="G87" s="258"/>
      <c r="H87" s="258"/>
      <c r="I87" s="258"/>
      <c r="J87" s="258"/>
      <c r="K87" s="258"/>
      <c r="M87" s="258"/>
      <c r="N87" s="258"/>
      <c r="O87" s="258"/>
      <c r="T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8"/>
      <c r="BF87" s="258"/>
      <c r="BG87" s="258"/>
      <c r="BH87" s="258"/>
      <c r="BI87" s="258"/>
      <c r="BJ87" s="258"/>
      <c r="BK87" s="258"/>
      <c r="BL87" s="258"/>
    </row>
    <row r="88" spans="1:64" ht="16" customHeight="1" x14ac:dyDescent="0.2">
      <c r="A88" s="258"/>
      <c r="B88" s="258"/>
      <c r="C88" s="258"/>
      <c r="D88" s="258"/>
      <c r="E88" s="258"/>
      <c r="F88" s="258"/>
      <c r="G88" s="258"/>
      <c r="H88" s="258"/>
      <c r="I88" s="258"/>
      <c r="J88" s="258"/>
      <c r="K88" s="258"/>
      <c r="M88" s="258"/>
      <c r="N88" s="258"/>
      <c r="O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8"/>
      <c r="AX88" s="258"/>
      <c r="AY88" s="258"/>
      <c r="AZ88" s="258"/>
      <c r="BA88" s="258"/>
      <c r="BB88" s="258"/>
      <c r="BC88" s="258"/>
      <c r="BD88" s="258"/>
      <c r="BE88" s="258"/>
      <c r="BF88" s="258"/>
      <c r="BG88" s="258"/>
      <c r="BH88" s="258"/>
      <c r="BI88" s="258"/>
      <c r="BJ88" s="258"/>
      <c r="BK88" s="258"/>
      <c r="BL88" s="258"/>
    </row>
    <row r="89" spans="1:64" ht="16" customHeight="1" x14ac:dyDescent="0.2">
      <c r="A89" s="258"/>
      <c r="B89" s="258"/>
      <c r="C89" s="258"/>
      <c r="D89" s="258"/>
      <c r="E89" s="258"/>
      <c r="F89" s="258"/>
      <c r="G89" s="258"/>
      <c r="H89" s="258"/>
      <c r="I89" s="258"/>
      <c r="J89" s="258"/>
      <c r="K89" s="258"/>
      <c r="M89" s="258"/>
      <c r="N89" s="258"/>
      <c r="O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row>
    <row r="90" spans="1:64" ht="16" customHeight="1" x14ac:dyDescent="0.2">
      <c r="A90" s="258"/>
      <c r="B90" s="258"/>
      <c r="C90" s="258"/>
      <c r="D90" s="258"/>
      <c r="E90" s="258"/>
      <c r="F90" s="258"/>
      <c r="G90" s="258"/>
      <c r="H90" s="258"/>
      <c r="I90" s="258"/>
      <c r="J90" s="258"/>
      <c r="K90" s="258"/>
      <c r="M90" s="258"/>
      <c r="N90" s="258"/>
      <c r="O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row>
    <row r="91" spans="1:64" ht="16" customHeight="1" x14ac:dyDescent="0.2">
      <c r="A91" s="258"/>
      <c r="B91" s="258"/>
      <c r="C91" s="258"/>
      <c r="D91" s="258"/>
      <c r="E91" s="258"/>
      <c r="F91" s="258"/>
      <c r="G91" s="258"/>
      <c r="H91" s="258"/>
      <c r="I91" s="258"/>
      <c r="J91" s="258"/>
      <c r="K91" s="258"/>
      <c r="M91" s="258"/>
      <c r="N91" s="258"/>
      <c r="O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row>
    <row r="92" spans="1:64" ht="16" customHeight="1" x14ac:dyDescent="0.2">
      <c r="A92" s="258"/>
      <c r="B92" s="258"/>
      <c r="C92" s="258"/>
      <c r="D92" s="258"/>
      <c r="E92" s="258"/>
      <c r="F92" s="258"/>
      <c r="G92" s="258"/>
      <c r="H92" s="258"/>
      <c r="I92" s="258"/>
      <c r="J92" s="258"/>
      <c r="K92" s="258"/>
      <c r="M92" s="258"/>
      <c r="N92" s="258"/>
      <c r="O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row>
    <row r="93" spans="1:64" ht="16" customHeight="1" x14ac:dyDescent="0.2">
      <c r="A93" s="258"/>
      <c r="B93" s="258"/>
      <c r="C93" s="258"/>
      <c r="D93" s="258"/>
      <c r="E93" s="258"/>
      <c r="F93" s="258"/>
      <c r="G93" s="258"/>
      <c r="H93" s="258"/>
      <c r="I93" s="258"/>
      <c r="J93" s="258"/>
      <c r="K93" s="258"/>
      <c r="L93" s="258"/>
      <c r="M93" s="258"/>
      <c r="N93" s="258"/>
      <c r="O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row>
    <row r="94" spans="1:64" ht="16" customHeight="1" x14ac:dyDescent="0.2">
      <c r="A94" s="258"/>
      <c r="B94" s="258"/>
      <c r="C94" s="258"/>
      <c r="D94" s="258"/>
      <c r="E94" s="258"/>
      <c r="F94" s="258"/>
      <c r="G94" s="258"/>
      <c r="H94" s="258"/>
      <c r="I94" s="258"/>
      <c r="J94" s="258"/>
      <c r="K94" s="258"/>
      <c r="L94" s="258"/>
      <c r="N94" s="274"/>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row>
    <row r="95" spans="1:64" ht="16" customHeight="1" x14ac:dyDescent="0.2">
      <c r="A95" s="258"/>
      <c r="B95" s="258"/>
      <c r="C95" s="258"/>
      <c r="D95" s="258"/>
      <c r="E95" s="258"/>
      <c r="F95" s="258"/>
      <c r="G95" s="258"/>
      <c r="H95" s="258"/>
      <c r="I95" s="258"/>
      <c r="J95" s="258"/>
      <c r="K95" s="258"/>
      <c r="L95" s="258"/>
      <c r="M95" s="258"/>
      <c r="N95" s="258"/>
      <c r="O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row>
    <row r="96" spans="1:64" ht="16" customHeight="1" x14ac:dyDescent="0.2">
      <c r="A96" s="258"/>
      <c r="B96" s="258"/>
      <c r="C96" s="258"/>
      <c r="D96" s="258"/>
      <c r="E96" s="258"/>
      <c r="F96" s="258"/>
      <c r="G96" s="258"/>
      <c r="H96" s="258"/>
      <c r="I96" s="258"/>
      <c r="J96" s="258"/>
      <c r="K96" s="258"/>
      <c r="L96" s="258"/>
      <c r="M96" s="258"/>
      <c r="N96" s="258"/>
      <c r="O96" s="258"/>
      <c r="T96" s="258"/>
      <c r="U96" s="258"/>
      <c r="V96" s="258"/>
      <c r="W96" s="258"/>
      <c r="X96" s="258"/>
      <c r="Y96" s="258"/>
      <c r="Z96" s="258"/>
      <c r="AA96" s="258"/>
      <c r="AB96" s="258"/>
      <c r="AC96" s="258"/>
      <c r="AD96" s="258"/>
      <c r="AE96" s="258"/>
      <c r="AF96" s="258"/>
      <c r="AG96" s="258"/>
      <c r="AH96" s="258"/>
      <c r="AI96" s="258"/>
      <c r="AJ96" s="258"/>
      <c r="AK96" s="258"/>
      <c r="AL96" s="258"/>
      <c r="AM96" s="258"/>
      <c r="AN96" s="258"/>
      <c r="AO96" s="258"/>
      <c r="AP96" s="258"/>
      <c r="AQ96" s="258"/>
      <c r="AR96" s="258"/>
      <c r="AS96" s="258"/>
      <c r="AT96" s="258"/>
      <c r="AU96" s="258"/>
      <c r="AV96" s="258"/>
      <c r="AW96" s="258"/>
      <c r="AX96" s="258"/>
      <c r="AY96" s="258"/>
      <c r="AZ96" s="258"/>
      <c r="BA96" s="258"/>
      <c r="BB96" s="258"/>
      <c r="BC96" s="258"/>
      <c r="BD96" s="258"/>
      <c r="BE96" s="258"/>
      <c r="BF96" s="258"/>
      <c r="BG96" s="258"/>
      <c r="BH96" s="258"/>
      <c r="BI96" s="258"/>
      <c r="BJ96" s="258"/>
      <c r="BK96" s="258"/>
      <c r="BL96" s="258"/>
    </row>
    <row r="97" spans="1:64" ht="16" customHeight="1" x14ac:dyDescent="0.2">
      <c r="A97" s="258"/>
      <c r="B97" s="258"/>
      <c r="C97" s="258"/>
      <c r="D97" s="258"/>
      <c r="E97" s="258"/>
      <c r="F97" s="258"/>
      <c r="G97" s="258"/>
      <c r="H97" s="258"/>
      <c r="I97" s="258"/>
      <c r="J97" s="258"/>
      <c r="K97" s="258"/>
      <c r="L97" s="258"/>
      <c r="M97" s="258"/>
      <c r="N97" s="258"/>
      <c r="O97" s="258"/>
      <c r="T97" s="258"/>
      <c r="U97" s="258"/>
      <c r="V97" s="258"/>
      <c r="W97" s="258"/>
      <c r="X97" s="258"/>
      <c r="Y97" s="258"/>
      <c r="Z97" s="258"/>
      <c r="AA97" s="258"/>
      <c r="AB97" s="258"/>
      <c r="AC97" s="258"/>
      <c r="AD97" s="258"/>
      <c r="AE97" s="258"/>
      <c r="AF97" s="258"/>
      <c r="AG97" s="258"/>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c r="BD97" s="258"/>
      <c r="BE97" s="258"/>
      <c r="BF97" s="258"/>
      <c r="BG97" s="258"/>
      <c r="BH97" s="258"/>
      <c r="BI97" s="258"/>
      <c r="BJ97" s="258"/>
      <c r="BK97" s="258"/>
      <c r="BL97" s="258"/>
    </row>
    <row r="98" spans="1:64" ht="16" customHeight="1" x14ac:dyDescent="0.2">
      <c r="A98" s="258"/>
      <c r="B98" s="258"/>
      <c r="C98" s="258"/>
      <c r="D98" s="258"/>
      <c r="E98" s="258"/>
      <c r="F98" s="258"/>
      <c r="G98" s="258"/>
      <c r="H98" s="258"/>
      <c r="I98" s="258"/>
      <c r="J98" s="258"/>
      <c r="K98" s="258"/>
      <c r="L98" s="258"/>
      <c r="M98" s="258"/>
      <c r="N98" s="258"/>
      <c r="O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row>
    <row r="99" spans="1:64" ht="16" customHeight="1" x14ac:dyDescent="0.2">
      <c r="A99" s="258"/>
      <c r="B99" s="258"/>
      <c r="C99" s="258"/>
      <c r="D99" s="258"/>
      <c r="E99" s="258"/>
      <c r="F99" s="258"/>
      <c r="G99" s="258"/>
      <c r="H99" s="258"/>
      <c r="I99" s="258"/>
      <c r="J99" s="258"/>
      <c r="K99" s="258"/>
      <c r="L99" s="258"/>
      <c r="M99" s="258"/>
      <c r="N99" s="258"/>
      <c r="O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row>
    <row r="100" spans="1:64" ht="16" customHeight="1" x14ac:dyDescent="0.2">
      <c r="A100" s="258"/>
      <c r="B100" s="258"/>
      <c r="C100" s="258"/>
      <c r="D100" s="258"/>
      <c r="E100" s="258"/>
      <c r="F100" s="258"/>
      <c r="G100" s="258"/>
      <c r="H100" s="258"/>
      <c r="I100" s="258"/>
      <c r="J100" s="258"/>
      <c r="K100" s="258"/>
      <c r="L100" s="258"/>
      <c r="M100" s="258"/>
      <c r="N100" s="258"/>
      <c r="O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row>
    <row r="101" spans="1:64" ht="16" customHeight="1" x14ac:dyDescent="0.2">
      <c r="A101" s="258"/>
      <c r="B101" s="258"/>
      <c r="C101" s="258"/>
      <c r="D101" s="258"/>
      <c r="E101" s="258"/>
      <c r="F101" s="258"/>
      <c r="G101" s="258"/>
      <c r="H101" s="258"/>
      <c r="I101" s="258"/>
      <c r="J101" s="258"/>
      <c r="K101" s="258"/>
      <c r="L101" s="258"/>
      <c r="M101" s="258"/>
      <c r="N101" s="258"/>
      <c r="O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row>
    <row r="102" spans="1:64" ht="16" customHeight="1" x14ac:dyDescent="0.2">
      <c r="A102" s="258"/>
      <c r="B102" s="258"/>
      <c r="C102" s="258"/>
      <c r="D102" s="258"/>
      <c r="E102" s="258"/>
      <c r="F102" s="258"/>
      <c r="G102" s="258"/>
      <c r="H102" s="258"/>
      <c r="I102" s="258"/>
      <c r="J102" s="258"/>
      <c r="K102" s="258"/>
      <c r="L102" s="258"/>
      <c r="M102" s="258"/>
      <c r="N102" s="258"/>
      <c r="O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row>
    <row r="103" spans="1:64" ht="16" customHeight="1" x14ac:dyDescent="0.2">
      <c r="A103" s="258"/>
      <c r="B103" s="258"/>
      <c r="C103" s="258"/>
      <c r="D103" s="258"/>
      <c r="E103" s="258"/>
      <c r="F103" s="258"/>
      <c r="G103" s="258"/>
      <c r="H103" s="258"/>
      <c r="I103" s="258"/>
      <c r="J103" s="258"/>
      <c r="K103" s="258"/>
      <c r="L103" s="258"/>
      <c r="M103" s="258"/>
      <c r="N103" s="258"/>
      <c r="O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c r="BD103" s="258"/>
      <c r="BE103" s="258"/>
      <c r="BF103" s="258"/>
      <c r="BG103" s="258"/>
      <c r="BH103" s="258"/>
      <c r="BI103" s="258"/>
      <c r="BJ103" s="258"/>
      <c r="BK103" s="258"/>
      <c r="BL103" s="258"/>
    </row>
    <row r="104" spans="1:64" ht="16" customHeight="1" x14ac:dyDescent="0.2">
      <c r="A104" s="258"/>
      <c r="B104" s="258"/>
      <c r="C104" s="258"/>
      <c r="D104" s="258"/>
      <c r="E104" s="258"/>
      <c r="F104" s="258"/>
      <c r="G104" s="258"/>
      <c r="H104" s="258"/>
      <c r="I104" s="258"/>
      <c r="J104" s="258"/>
      <c r="K104" s="258"/>
      <c r="L104" s="258"/>
      <c r="N104" s="274"/>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c r="BD104" s="258"/>
      <c r="BE104" s="258"/>
      <c r="BF104" s="258"/>
      <c r="BG104" s="258"/>
      <c r="BH104" s="258"/>
      <c r="BI104" s="258"/>
      <c r="BJ104" s="258"/>
      <c r="BK104" s="258"/>
      <c r="BL104" s="258"/>
    </row>
    <row r="105" spans="1:64" ht="16" customHeight="1" x14ac:dyDescent="0.2">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row>
    <row r="106" spans="1:64" ht="16" customHeight="1" x14ac:dyDescent="0.2">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c r="BD106" s="258"/>
      <c r="BE106" s="258"/>
      <c r="BF106" s="258"/>
      <c r="BG106" s="258"/>
      <c r="BH106" s="258"/>
      <c r="BI106" s="258"/>
      <c r="BJ106" s="258"/>
      <c r="BK106" s="258"/>
      <c r="BL106" s="258"/>
    </row>
    <row r="107" spans="1:64" ht="16" customHeight="1" x14ac:dyDescent="0.2">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c r="BD107" s="258"/>
      <c r="BE107" s="258"/>
      <c r="BF107" s="258"/>
      <c r="BG107" s="258"/>
      <c r="BH107" s="258"/>
      <c r="BI107" s="258"/>
      <c r="BJ107" s="258"/>
      <c r="BK107" s="258"/>
      <c r="BL107" s="258"/>
    </row>
    <row r="108" spans="1:64" ht="16" customHeight="1" x14ac:dyDescent="0.2">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c r="BD108" s="258"/>
      <c r="BE108" s="258"/>
      <c r="BF108" s="258"/>
      <c r="BG108" s="258"/>
      <c r="BH108" s="258"/>
      <c r="BI108" s="258"/>
      <c r="BJ108" s="258"/>
      <c r="BK108" s="258"/>
      <c r="BL108" s="258"/>
    </row>
    <row r="109" spans="1:64" ht="16" customHeight="1" x14ac:dyDescent="0.2">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c r="BD109" s="258"/>
      <c r="BE109" s="258"/>
      <c r="BF109" s="258"/>
      <c r="BG109" s="258"/>
      <c r="BH109" s="258"/>
      <c r="BI109" s="258"/>
      <c r="BJ109" s="258"/>
      <c r="BK109" s="258"/>
      <c r="BL109" s="258"/>
    </row>
    <row r="110" spans="1:64" ht="16" customHeight="1" x14ac:dyDescent="0.2">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c r="BD110" s="258"/>
      <c r="BE110" s="258"/>
      <c r="BF110" s="258"/>
      <c r="BG110" s="258"/>
      <c r="BH110" s="258"/>
      <c r="BI110" s="258"/>
      <c r="BJ110" s="258"/>
      <c r="BK110" s="258"/>
      <c r="BL110" s="258"/>
    </row>
    <row r="111" spans="1:64" ht="16" customHeight="1" x14ac:dyDescent="0.2">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c r="BD111" s="258"/>
      <c r="BE111" s="258"/>
      <c r="BF111" s="258"/>
      <c r="BG111" s="258"/>
      <c r="BH111" s="258"/>
      <c r="BI111" s="258"/>
      <c r="BJ111" s="258"/>
      <c r="BK111" s="258"/>
      <c r="BL111" s="258"/>
    </row>
    <row r="112" spans="1:64" ht="16" customHeight="1" x14ac:dyDescent="0.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c r="BD112" s="258"/>
      <c r="BE112" s="258"/>
      <c r="BF112" s="258"/>
      <c r="BG112" s="258"/>
      <c r="BH112" s="258"/>
      <c r="BI112" s="258"/>
      <c r="BJ112" s="258"/>
      <c r="BK112" s="258"/>
      <c r="BL112" s="258"/>
    </row>
    <row r="113" spans="1:64" ht="16" customHeight="1" x14ac:dyDescent="0.2">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c r="BD113" s="258"/>
      <c r="BE113" s="258"/>
      <c r="BF113" s="258"/>
      <c r="BG113" s="258"/>
      <c r="BH113" s="258"/>
      <c r="BI113" s="258"/>
      <c r="BJ113" s="258"/>
      <c r="BK113" s="258"/>
      <c r="BL113" s="258"/>
    </row>
    <row r="114" spans="1:64" ht="16" customHeight="1" x14ac:dyDescent="0.2">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c r="BD114" s="258"/>
      <c r="BE114" s="258"/>
      <c r="BF114" s="258"/>
      <c r="BG114" s="258"/>
      <c r="BH114" s="258"/>
      <c r="BI114" s="258"/>
      <c r="BJ114" s="258"/>
      <c r="BK114" s="258"/>
      <c r="BL114" s="258"/>
    </row>
    <row r="115" spans="1:64" ht="16" customHeight="1" x14ac:dyDescent="0.2">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c r="BD115" s="258"/>
      <c r="BE115" s="258"/>
      <c r="BF115" s="258"/>
      <c r="BG115" s="258"/>
      <c r="BH115" s="258"/>
      <c r="BI115" s="258"/>
      <c r="BJ115" s="258"/>
      <c r="BK115" s="258"/>
      <c r="BL115" s="258"/>
    </row>
    <row r="116" spans="1:64" ht="16" customHeight="1" x14ac:dyDescent="0.2">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8"/>
      <c r="BK116" s="258"/>
      <c r="BL116" s="258"/>
    </row>
    <row r="117" spans="1:64" ht="16" customHeight="1" x14ac:dyDescent="0.2">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c r="BD117" s="258"/>
      <c r="BE117" s="258"/>
      <c r="BF117" s="258"/>
      <c r="BG117" s="258"/>
      <c r="BH117" s="258"/>
      <c r="BI117" s="258"/>
      <c r="BJ117" s="258"/>
      <c r="BK117" s="258"/>
      <c r="BL117" s="258"/>
    </row>
    <row r="118" spans="1:64" ht="16" customHeight="1" x14ac:dyDescent="0.2">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c r="BD118" s="258"/>
      <c r="BE118" s="258"/>
      <c r="BF118" s="258"/>
      <c r="BG118" s="258"/>
      <c r="BH118" s="258"/>
      <c r="BI118" s="258"/>
      <c r="BJ118" s="258"/>
      <c r="BK118" s="258"/>
      <c r="BL118" s="258"/>
    </row>
    <row r="119" spans="1:64" ht="16" customHeight="1" x14ac:dyDescent="0.2">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row>
    <row r="120" spans="1:64" ht="16" customHeight="1" x14ac:dyDescent="0.2">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row>
    <row r="121" spans="1:64" ht="16" customHeight="1" x14ac:dyDescent="0.2">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row>
    <row r="122" spans="1:64" ht="16" customHeight="1" x14ac:dyDescent="0.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row>
    <row r="123" spans="1:64" ht="16" customHeight="1" x14ac:dyDescent="0.2">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row>
    <row r="124" spans="1:64" ht="16" customHeight="1" x14ac:dyDescent="0.2">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row>
    <row r="125" spans="1:64" ht="16" customHeight="1" x14ac:dyDescent="0.2">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row>
    <row r="126" spans="1:64" ht="16" customHeight="1" x14ac:dyDescent="0.2">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row>
    <row r="127" spans="1:64" ht="16" customHeight="1" x14ac:dyDescent="0.2">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row>
    <row r="128" spans="1:64" ht="16" customHeight="1" x14ac:dyDescent="0.2">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row>
    <row r="129" spans="1:64" ht="16" customHeight="1" x14ac:dyDescent="0.2">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row>
    <row r="130" spans="1:64" ht="16" customHeight="1" x14ac:dyDescent="0.2">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row>
    <row r="131" spans="1:64" ht="16" customHeight="1" x14ac:dyDescent="0.2">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row>
    <row r="132" spans="1:64" ht="16" customHeight="1" x14ac:dyDescent="0.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row>
    <row r="133" spans="1:64" ht="16" customHeight="1" x14ac:dyDescent="0.2">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row>
    <row r="134" spans="1:64" ht="16" customHeight="1" x14ac:dyDescent="0.2">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row>
    <row r="135" spans="1:64" ht="16" customHeight="1" x14ac:dyDescent="0.2">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row>
    <row r="136" spans="1:64" ht="16" customHeight="1" x14ac:dyDescent="0.2">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row>
    <row r="137" spans="1:64" ht="16" customHeight="1" x14ac:dyDescent="0.2">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row>
    <row r="138" spans="1:64" ht="16" customHeight="1" x14ac:dyDescent="0.2">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row>
    <row r="139" spans="1:64" ht="16" customHeight="1" x14ac:dyDescent="0.2">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row>
    <row r="140" spans="1:64" ht="16" customHeight="1" x14ac:dyDescent="0.2">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row>
    <row r="141" spans="1:64" ht="16" customHeight="1" x14ac:dyDescent="0.2">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row>
    <row r="142" spans="1:64" ht="16" customHeight="1" x14ac:dyDescent="0.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row>
    <row r="143" spans="1:64" ht="16" customHeight="1" x14ac:dyDescent="0.2">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row>
    <row r="144" spans="1:64" ht="16" customHeight="1" x14ac:dyDescent="0.2">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row>
    <row r="145" spans="1:64" ht="16" customHeight="1" x14ac:dyDescent="0.2">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row>
    <row r="146" spans="1:64" ht="16" customHeight="1" x14ac:dyDescent="0.2">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row>
    <row r="147" spans="1:64" ht="16" customHeight="1" x14ac:dyDescent="0.2">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row>
    <row r="148" spans="1:64" ht="16" customHeight="1" x14ac:dyDescent="0.2">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row>
    <row r="149" spans="1:64" ht="16" customHeight="1" x14ac:dyDescent="0.2">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row>
    <row r="150" spans="1:64" ht="16" customHeight="1" x14ac:dyDescent="0.2">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row>
    <row r="151" spans="1:64" ht="16" customHeight="1" x14ac:dyDescent="0.2">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row>
    <row r="152" spans="1:64" ht="16" customHeight="1" x14ac:dyDescent="0.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row>
    <row r="153" spans="1:64" ht="16" customHeight="1" x14ac:dyDescent="0.2">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row>
    <row r="154" spans="1:64" ht="16" customHeight="1" x14ac:dyDescent="0.2">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row>
    <row r="155" spans="1:64" ht="16" customHeight="1" x14ac:dyDescent="0.2">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row>
    <row r="156" spans="1:64" ht="16" customHeight="1" x14ac:dyDescent="0.2">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row>
    <row r="157" spans="1:64" ht="16" customHeight="1" x14ac:dyDescent="0.2">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row>
    <row r="158" spans="1:64" ht="16" customHeight="1" x14ac:dyDescent="0.2">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row>
    <row r="159" spans="1:64" ht="16" customHeight="1" x14ac:dyDescent="0.2">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row>
    <row r="160" spans="1:64" ht="16" customHeight="1" x14ac:dyDescent="0.2">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row>
    <row r="161" spans="1:64" ht="16" customHeight="1" x14ac:dyDescent="0.2">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row>
    <row r="162" spans="1:64" ht="16" customHeight="1" x14ac:dyDescent="0.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row>
    <row r="163" spans="1:64" ht="16" customHeight="1" x14ac:dyDescent="0.2">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row>
    <row r="164" spans="1:64" ht="16" customHeight="1" x14ac:dyDescent="0.2">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row>
    <row r="165" spans="1:64" ht="16" customHeight="1" x14ac:dyDescent="0.2">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row>
    <row r="166" spans="1:64" ht="16" customHeight="1" x14ac:dyDescent="0.2">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row>
    <row r="167" spans="1:64" ht="16" customHeight="1" x14ac:dyDescent="0.2">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row>
    <row r="168" spans="1:64" ht="16" customHeight="1" x14ac:dyDescent="0.2">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row>
    <row r="169" spans="1:64" ht="16" customHeight="1" x14ac:dyDescent="0.2">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row>
    <row r="170" spans="1:64" ht="16" customHeight="1" x14ac:dyDescent="0.2">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c r="BD170" s="258"/>
      <c r="BE170" s="258"/>
      <c r="BF170" s="258"/>
      <c r="BG170" s="258"/>
      <c r="BH170" s="258"/>
      <c r="BI170" s="258"/>
      <c r="BJ170" s="258"/>
      <c r="BK170" s="258"/>
      <c r="BL170" s="258"/>
    </row>
    <row r="171" spans="1:64" ht="16" customHeight="1" x14ac:dyDescent="0.2">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c r="BD171" s="258"/>
      <c r="BE171" s="258"/>
      <c r="BF171" s="258"/>
      <c r="BG171" s="258"/>
      <c r="BH171" s="258"/>
      <c r="BI171" s="258"/>
      <c r="BJ171" s="258"/>
      <c r="BK171" s="258"/>
      <c r="BL171" s="258"/>
    </row>
    <row r="172" spans="1:64" ht="16" customHeight="1" x14ac:dyDescent="0.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c r="BD172" s="258"/>
      <c r="BE172" s="258"/>
      <c r="BF172" s="258"/>
      <c r="BG172" s="258"/>
      <c r="BH172" s="258"/>
      <c r="BI172" s="258"/>
      <c r="BJ172" s="258"/>
      <c r="BK172" s="258"/>
      <c r="BL172" s="258"/>
    </row>
    <row r="173" spans="1:64" ht="16" customHeight="1" x14ac:dyDescent="0.2">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c r="BD173" s="258"/>
      <c r="BE173" s="258"/>
      <c r="BF173" s="258"/>
      <c r="BG173" s="258"/>
      <c r="BH173" s="258"/>
      <c r="BI173" s="258"/>
      <c r="BJ173" s="258"/>
      <c r="BK173" s="258"/>
      <c r="BL173" s="258"/>
    </row>
    <row r="174" spans="1:64" ht="16" customHeight="1" x14ac:dyDescent="0.2">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c r="BD174" s="258"/>
      <c r="BE174" s="258"/>
      <c r="BF174" s="258"/>
      <c r="BG174" s="258"/>
      <c r="BH174" s="258"/>
      <c r="BI174" s="258"/>
      <c r="BJ174" s="258"/>
      <c r="BK174" s="258"/>
      <c r="BL174" s="258"/>
    </row>
    <row r="175" spans="1:64" ht="16" customHeight="1" x14ac:dyDescent="0.2">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c r="BD175" s="258"/>
      <c r="BE175" s="258"/>
      <c r="BF175" s="258"/>
      <c r="BG175" s="258"/>
      <c r="BH175" s="258"/>
      <c r="BI175" s="258"/>
      <c r="BJ175" s="258"/>
      <c r="BK175" s="258"/>
      <c r="BL175" s="258"/>
    </row>
    <row r="176" spans="1:64" ht="16" customHeight="1" x14ac:dyDescent="0.2">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8"/>
      <c r="AQ176" s="258"/>
      <c r="AR176" s="258"/>
      <c r="AS176" s="258"/>
      <c r="AT176" s="258"/>
      <c r="AU176" s="258"/>
      <c r="AV176" s="258"/>
      <c r="AW176" s="258"/>
      <c r="AX176" s="258"/>
      <c r="AY176" s="258"/>
      <c r="AZ176" s="258"/>
      <c r="BA176" s="258"/>
      <c r="BB176" s="258"/>
      <c r="BC176" s="258"/>
      <c r="BD176" s="258"/>
      <c r="BE176" s="258"/>
      <c r="BF176" s="258"/>
      <c r="BG176" s="258"/>
      <c r="BH176" s="258"/>
      <c r="BI176" s="258"/>
      <c r="BJ176" s="258"/>
      <c r="BK176" s="258"/>
      <c r="BL176" s="258"/>
    </row>
    <row r="177" spans="1:64" ht="16" customHeight="1" x14ac:dyDescent="0.2">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8"/>
      <c r="AQ177" s="258"/>
      <c r="AR177" s="258"/>
      <c r="AS177" s="258"/>
      <c r="AT177" s="258"/>
      <c r="AU177" s="258"/>
      <c r="AV177" s="258"/>
      <c r="AW177" s="258"/>
      <c r="AX177" s="258"/>
      <c r="AY177" s="258"/>
      <c r="AZ177" s="258"/>
      <c r="BA177" s="258"/>
      <c r="BB177" s="258"/>
      <c r="BC177" s="258"/>
      <c r="BD177" s="258"/>
      <c r="BE177" s="258"/>
      <c r="BF177" s="258"/>
      <c r="BG177" s="258"/>
      <c r="BH177" s="258"/>
      <c r="BI177" s="258"/>
      <c r="BJ177" s="258"/>
      <c r="BK177" s="258"/>
      <c r="BL177" s="258"/>
    </row>
    <row r="178" spans="1:64" ht="16" customHeight="1" x14ac:dyDescent="0.2">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8"/>
      <c r="AQ178" s="258"/>
      <c r="AR178" s="258"/>
      <c r="AS178" s="258"/>
      <c r="AT178" s="258"/>
      <c r="AU178" s="258"/>
      <c r="AV178" s="258"/>
      <c r="AW178" s="258"/>
      <c r="AX178" s="258"/>
      <c r="AY178" s="258"/>
      <c r="AZ178" s="258"/>
      <c r="BA178" s="258"/>
      <c r="BB178" s="258"/>
      <c r="BC178" s="258"/>
      <c r="BD178" s="258"/>
      <c r="BE178" s="258"/>
      <c r="BF178" s="258"/>
      <c r="BG178" s="258"/>
      <c r="BH178" s="258"/>
      <c r="BI178" s="258"/>
      <c r="BJ178" s="258"/>
      <c r="BK178" s="258"/>
      <c r="BL178" s="258"/>
    </row>
    <row r="179" spans="1:64" ht="16" customHeight="1" x14ac:dyDescent="0.2">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8"/>
      <c r="AQ179" s="258"/>
      <c r="AR179" s="258"/>
      <c r="AS179" s="258"/>
      <c r="AT179" s="258"/>
      <c r="AU179" s="258"/>
      <c r="AV179" s="258"/>
      <c r="AW179" s="258"/>
      <c r="AX179" s="258"/>
      <c r="AY179" s="258"/>
      <c r="AZ179" s="258"/>
      <c r="BA179" s="258"/>
      <c r="BB179" s="258"/>
      <c r="BC179" s="258"/>
      <c r="BD179" s="258"/>
      <c r="BE179" s="258"/>
      <c r="BF179" s="258"/>
      <c r="BG179" s="258"/>
      <c r="BH179" s="258"/>
      <c r="BI179" s="258"/>
      <c r="BJ179" s="258"/>
      <c r="BK179" s="258"/>
      <c r="BL179" s="258"/>
    </row>
    <row r="180" spans="1:64" ht="16" customHeight="1" x14ac:dyDescent="0.2">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8"/>
      <c r="AQ180" s="258"/>
      <c r="AR180" s="258"/>
      <c r="AS180" s="258"/>
      <c r="AT180" s="258"/>
      <c r="AU180" s="258"/>
      <c r="AV180" s="258"/>
      <c r="AW180" s="258"/>
      <c r="AX180" s="258"/>
      <c r="AY180" s="258"/>
      <c r="AZ180" s="258"/>
      <c r="BA180" s="258"/>
      <c r="BB180" s="258"/>
      <c r="BC180" s="258"/>
      <c r="BD180" s="258"/>
      <c r="BE180" s="258"/>
      <c r="BF180" s="258"/>
      <c r="BG180" s="258"/>
      <c r="BH180" s="258"/>
      <c r="BI180" s="258"/>
      <c r="BJ180" s="258"/>
      <c r="BK180" s="258"/>
      <c r="BL180" s="258"/>
    </row>
    <row r="181" spans="1:64" ht="16" customHeight="1" x14ac:dyDescent="0.2">
      <c r="A181" s="258"/>
      <c r="B181" s="258"/>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c r="AA181" s="258"/>
      <c r="AB181" s="258"/>
      <c r="AC181" s="258"/>
      <c r="AD181" s="258"/>
      <c r="AE181" s="258"/>
      <c r="AF181" s="258"/>
      <c r="AG181" s="258"/>
      <c r="AH181" s="258"/>
      <c r="AI181" s="258"/>
      <c r="AJ181" s="258"/>
      <c r="AK181" s="258"/>
      <c r="AL181" s="258"/>
      <c r="AM181" s="258"/>
      <c r="AN181" s="258"/>
      <c r="AO181" s="258"/>
      <c r="AP181" s="258"/>
      <c r="AQ181" s="258"/>
      <c r="AR181" s="258"/>
      <c r="AS181" s="258"/>
      <c r="AT181" s="258"/>
      <c r="AU181" s="258"/>
      <c r="AV181" s="258"/>
      <c r="AW181" s="258"/>
      <c r="AX181" s="258"/>
      <c r="AY181" s="258"/>
      <c r="AZ181" s="258"/>
      <c r="BA181" s="258"/>
      <c r="BB181" s="258"/>
      <c r="BC181" s="258"/>
      <c r="BD181" s="258"/>
      <c r="BE181" s="258"/>
      <c r="BF181" s="258"/>
      <c r="BG181" s="258"/>
      <c r="BH181" s="258"/>
      <c r="BI181" s="258"/>
      <c r="BJ181" s="258"/>
      <c r="BK181" s="258"/>
      <c r="BL181" s="258"/>
    </row>
    <row r="182" spans="1:64" ht="16" customHeight="1" x14ac:dyDescent="0.2">
      <c r="A182" s="258"/>
      <c r="B182" s="258"/>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c r="AA182" s="258"/>
      <c r="AB182" s="258"/>
      <c r="AC182" s="258"/>
      <c r="AD182" s="258"/>
      <c r="AE182" s="258"/>
      <c r="AF182" s="258"/>
      <c r="AG182" s="258"/>
      <c r="AH182" s="258"/>
      <c r="AI182" s="258"/>
      <c r="AJ182" s="258"/>
      <c r="AK182" s="258"/>
      <c r="AL182" s="258"/>
      <c r="AM182" s="258"/>
      <c r="AN182" s="258"/>
      <c r="AO182" s="258"/>
      <c r="AP182" s="258"/>
      <c r="AQ182" s="258"/>
      <c r="AR182" s="258"/>
      <c r="AS182" s="258"/>
      <c r="AT182" s="258"/>
      <c r="AU182" s="258"/>
      <c r="AV182" s="258"/>
      <c r="AW182" s="258"/>
      <c r="AX182" s="258"/>
      <c r="AY182" s="258"/>
      <c r="AZ182" s="258"/>
      <c r="BA182" s="258"/>
      <c r="BB182" s="258"/>
      <c r="BC182" s="258"/>
      <c r="BD182" s="258"/>
      <c r="BE182" s="258"/>
      <c r="BF182" s="258"/>
      <c r="BG182" s="258"/>
      <c r="BH182" s="258"/>
      <c r="BI182" s="258"/>
      <c r="BJ182" s="258"/>
      <c r="BK182" s="258"/>
      <c r="BL182" s="258"/>
    </row>
    <row r="183" spans="1:64" ht="16" customHeight="1" x14ac:dyDescent="0.2">
      <c r="A183" s="258"/>
      <c r="B183" s="258"/>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c r="AA183" s="258"/>
      <c r="AB183" s="258"/>
      <c r="AC183" s="258"/>
      <c r="AD183" s="258"/>
      <c r="AE183" s="258"/>
      <c r="AF183" s="258"/>
      <c r="AG183" s="258"/>
      <c r="AH183" s="258"/>
      <c r="AI183" s="258"/>
      <c r="AJ183" s="258"/>
      <c r="AK183" s="258"/>
      <c r="AL183" s="258"/>
      <c r="AM183" s="258"/>
      <c r="AN183" s="258"/>
      <c r="AO183" s="258"/>
      <c r="AP183" s="258"/>
      <c r="AQ183" s="258"/>
      <c r="AR183" s="258"/>
      <c r="AS183" s="258"/>
      <c r="AT183" s="258"/>
      <c r="AU183" s="258"/>
      <c r="AV183" s="258"/>
      <c r="AW183" s="258"/>
      <c r="AX183" s="258"/>
      <c r="AY183" s="258"/>
      <c r="AZ183" s="258"/>
      <c r="BA183" s="258"/>
      <c r="BB183" s="258"/>
      <c r="BC183" s="258"/>
      <c r="BD183" s="258"/>
      <c r="BE183" s="258"/>
      <c r="BF183" s="258"/>
      <c r="BG183" s="258"/>
      <c r="BH183" s="258"/>
      <c r="BI183" s="258"/>
      <c r="BJ183" s="258"/>
      <c r="BK183" s="258"/>
      <c r="BL183" s="258"/>
    </row>
    <row r="184" spans="1:64" ht="16" customHeight="1" x14ac:dyDescent="0.2">
      <c r="A184" s="258"/>
      <c r="B184" s="258"/>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258"/>
      <c r="AN184" s="258"/>
      <c r="AO184" s="258"/>
      <c r="AP184" s="258"/>
      <c r="AQ184" s="258"/>
      <c r="AR184" s="258"/>
      <c r="AS184" s="258"/>
      <c r="AT184" s="258"/>
      <c r="AU184" s="258"/>
      <c r="AV184" s="258"/>
      <c r="AW184" s="258"/>
      <c r="AX184" s="258"/>
      <c r="AY184" s="258"/>
      <c r="AZ184" s="258"/>
      <c r="BA184" s="258"/>
      <c r="BB184" s="258"/>
      <c r="BC184" s="258"/>
      <c r="BD184" s="258"/>
      <c r="BE184" s="258"/>
      <c r="BF184" s="258"/>
      <c r="BG184" s="258"/>
      <c r="BH184" s="258"/>
      <c r="BI184" s="258"/>
      <c r="BJ184" s="258"/>
      <c r="BK184" s="258"/>
      <c r="BL184" s="258"/>
    </row>
    <row r="185" spans="1:64" ht="16" customHeight="1" x14ac:dyDescent="0.2">
      <c r="A185" s="258"/>
      <c r="B185" s="258"/>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c r="AA185" s="258"/>
      <c r="AB185" s="258"/>
      <c r="AC185" s="258"/>
      <c r="AD185" s="258"/>
      <c r="AE185" s="258"/>
      <c r="AF185" s="258"/>
      <c r="AG185" s="258"/>
      <c r="AH185" s="258"/>
      <c r="AI185" s="258"/>
      <c r="AJ185" s="258"/>
      <c r="AK185" s="258"/>
      <c r="AL185" s="258"/>
      <c r="AM185" s="258"/>
      <c r="AN185" s="258"/>
      <c r="AO185" s="258"/>
      <c r="AP185" s="258"/>
      <c r="AQ185" s="258"/>
      <c r="AR185" s="258"/>
      <c r="AS185" s="258"/>
      <c r="AT185" s="258"/>
      <c r="AU185" s="258"/>
      <c r="AV185" s="258"/>
      <c r="AW185" s="258"/>
      <c r="AX185" s="258"/>
      <c r="AY185" s="258"/>
      <c r="AZ185" s="258"/>
      <c r="BA185" s="258"/>
      <c r="BB185" s="258"/>
      <c r="BC185" s="258"/>
      <c r="BD185" s="258"/>
      <c r="BE185" s="258"/>
      <c r="BF185" s="258"/>
      <c r="BG185" s="258"/>
      <c r="BH185" s="258"/>
      <c r="BI185" s="258"/>
      <c r="BJ185" s="258"/>
      <c r="BK185" s="258"/>
      <c r="BL185" s="258"/>
    </row>
    <row r="186" spans="1:64" ht="16" customHeight="1" x14ac:dyDescent="0.2">
      <c r="A186" s="258"/>
      <c r="B186" s="258"/>
      <c r="C186" s="258"/>
      <c r="D186" s="258"/>
      <c r="E186" s="258"/>
      <c r="F186" s="258"/>
      <c r="G186" s="258"/>
      <c r="H186" s="258"/>
      <c r="I186" s="258"/>
      <c r="J186" s="258"/>
      <c r="K186" s="258"/>
      <c r="L186" s="258"/>
      <c r="M186" s="258"/>
      <c r="N186" s="258"/>
      <c r="O186" s="258"/>
      <c r="P186" s="258"/>
      <c r="Q186" s="258"/>
      <c r="R186" s="258"/>
      <c r="S186" s="258"/>
      <c r="T186" s="258"/>
    </row>
    <row r="187" spans="1:64" ht="16" customHeight="1" x14ac:dyDescent="0.2">
      <c r="A187" s="258"/>
      <c r="B187" s="258"/>
      <c r="C187" s="258"/>
      <c r="D187" s="258"/>
      <c r="E187" s="258"/>
      <c r="F187" s="258"/>
      <c r="G187" s="258"/>
      <c r="H187" s="258"/>
      <c r="I187" s="258"/>
      <c r="J187" s="258"/>
      <c r="K187" s="258"/>
      <c r="L187" s="258"/>
      <c r="M187" s="258"/>
      <c r="N187" s="258"/>
      <c r="O187" s="258"/>
      <c r="P187" s="258"/>
      <c r="Q187" s="258"/>
      <c r="R187" s="258"/>
      <c r="S187" s="258"/>
    </row>
    <row r="188" spans="1:64" ht="16" customHeight="1" x14ac:dyDescent="0.2">
      <c r="L188" s="258"/>
      <c r="M188" s="258"/>
      <c r="N188" s="258"/>
      <c r="O188" s="258"/>
      <c r="P188" s="258"/>
      <c r="Q188" s="258"/>
      <c r="R188" s="258"/>
      <c r="S188" s="258"/>
    </row>
    <row r="189" spans="1:64" ht="16" customHeight="1" x14ac:dyDescent="0.2">
      <c r="L189" s="258"/>
      <c r="M189" s="258"/>
      <c r="N189" s="258"/>
      <c r="O189" s="258"/>
      <c r="P189" s="258"/>
      <c r="Q189" s="258"/>
      <c r="R189" s="258"/>
      <c r="S189" s="258"/>
    </row>
    <row r="190" spans="1:64" ht="16" customHeight="1" x14ac:dyDescent="0.2">
      <c r="L190" s="258"/>
      <c r="M190" s="258"/>
      <c r="N190" s="258"/>
      <c r="O190" s="258"/>
      <c r="P190" s="258"/>
      <c r="Q190" s="258"/>
      <c r="R190" s="258"/>
      <c r="S190" s="258"/>
    </row>
    <row r="191" spans="1:64" ht="16" customHeight="1" x14ac:dyDescent="0.2">
      <c r="L191" s="258"/>
      <c r="M191" s="258"/>
      <c r="N191" s="258"/>
      <c r="O191" s="258"/>
      <c r="P191" s="258"/>
      <c r="Q191" s="258"/>
      <c r="R191" s="258"/>
      <c r="S191" s="258"/>
    </row>
    <row r="192" spans="1:64" ht="16" customHeight="1" x14ac:dyDescent="0.2">
      <c r="L192" s="258"/>
      <c r="M192" s="258"/>
      <c r="N192" s="258"/>
      <c r="O192" s="258"/>
      <c r="P192" s="258"/>
      <c r="Q192" s="258"/>
      <c r="R192" s="258"/>
      <c r="S192" s="258"/>
    </row>
    <row r="193" spans="12:19" ht="16" customHeight="1" x14ac:dyDescent="0.2">
      <c r="L193" s="258"/>
      <c r="M193" s="258"/>
      <c r="N193" s="258"/>
      <c r="O193" s="258"/>
      <c r="P193" s="258"/>
      <c r="Q193" s="258"/>
      <c r="R193" s="258"/>
      <c r="S193" s="258"/>
    </row>
    <row r="194" spans="12:19" ht="16" customHeight="1" x14ac:dyDescent="0.2">
      <c r="L194" s="258"/>
      <c r="M194" s="258"/>
      <c r="N194" s="258"/>
      <c r="O194" s="258"/>
      <c r="P194" s="258"/>
      <c r="Q194" s="258"/>
      <c r="R194" s="258"/>
      <c r="S194" s="258"/>
    </row>
    <row r="195" spans="12:19" ht="16" customHeight="1" x14ac:dyDescent="0.2">
      <c r="M195" s="258"/>
      <c r="N195" s="258"/>
      <c r="O195" s="258"/>
      <c r="P195" s="258"/>
      <c r="Q195" s="258"/>
      <c r="R195" s="258"/>
      <c r="S195" s="258"/>
    </row>
    <row r="196" spans="12:19" ht="16" customHeight="1" x14ac:dyDescent="0.2">
      <c r="M196" s="258"/>
      <c r="N196" s="258"/>
      <c r="O196" s="258"/>
      <c r="P196" s="258"/>
      <c r="Q196" s="258"/>
      <c r="R196" s="258"/>
      <c r="S196" s="258"/>
    </row>
    <row r="197" spans="12:19" ht="16" customHeight="1" x14ac:dyDescent="0.2">
      <c r="M197" s="258"/>
      <c r="N197" s="258"/>
      <c r="O197" s="258"/>
      <c r="P197" s="258"/>
      <c r="Q197" s="258"/>
      <c r="R197" s="258"/>
      <c r="S197" s="258"/>
    </row>
    <row r="198" spans="12:19" ht="16" customHeight="1" x14ac:dyDescent="0.2">
      <c r="M198" s="258"/>
      <c r="N198" s="258"/>
      <c r="O198" s="258"/>
      <c r="P198" s="258"/>
      <c r="Q198" s="258"/>
      <c r="R198" s="258"/>
      <c r="S198" s="258"/>
    </row>
    <row r="199" spans="12:19" ht="16" customHeight="1" x14ac:dyDescent="0.2">
      <c r="M199" s="258"/>
      <c r="N199" s="258"/>
      <c r="O199" s="258"/>
      <c r="P199" s="258"/>
      <c r="Q199" s="258"/>
      <c r="R199" s="258"/>
      <c r="S199" s="258"/>
    </row>
    <row r="200" spans="12:19" ht="16" customHeight="1" x14ac:dyDescent="0.2">
      <c r="M200" s="258"/>
      <c r="N200" s="258"/>
      <c r="O200" s="258"/>
      <c r="P200" s="258"/>
      <c r="Q200" s="258"/>
      <c r="R200" s="258"/>
      <c r="S200" s="258"/>
    </row>
    <row r="201" spans="12:19" ht="16" customHeight="1" x14ac:dyDescent="0.2">
      <c r="M201" s="258"/>
      <c r="N201" s="258"/>
      <c r="O201" s="258"/>
      <c r="P201" s="258"/>
      <c r="Q201" s="258"/>
      <c r="R201" s="258"/>
      <c r="S201" s="258"/>
    </row>
    <row r="202" spans="12:19" ht="16" customHeight="1" x14ac:dyDescent="0.2">
      <c r="M202" s="258"/>
      <c r="N202" s="258"/>
      <c r="O202" s="258"/>
      <c r="P202" s="258"/>
      <c r="Q202" s="258"/>
      <c r="R202" s="258"/>
      <c r="S202" s="258"/>
    </row>
    <row r="203" spans="12:19" ht="16" customHeight="1" x14ac:dyDescent="0.2">
      <c r="M203" s="258"/>
      <c r="N203" s="258"/>
      <c r="O203" s="258"/>
      <c r="P203" s="258"/>
      <c r="Q203" s="258"/>
      <c r="R203" s="258"/>
      <c r="S203" s="258"/>
    </row>
    <row r="204" spans="12:19" ht="16" customHeight="1" x14ac:dyDescent="0.2">
      <c r="M204" s="258"/>
      <c r="N204" s="258"/>
      <c r="O204" s="258"/>
      <c r="P204" s="258"/>
      <c r="Q204" s="258"/>
      <c r="R204" s="258"/>
      <c r="S204" s="258"/>
    </row>
    <row r="205" spans="12:19" ht="16" customHeight="1" x14ac:dyDescent="0.2">
      <c r="M205" s="258"/>
      <c r="N205" s="258"/>
      <c r="O205" s="258"/>
      <c r="P205" s="258"/>
      <c r="Q205" s="258"/>
      <c r="R205" s="258"/>
      <c r="S205" s="258"/>
    </row>
    <row r="206" spans="12:19" ht="16" customHeight="1" x14ac:dyDescent="0.2">
      <c r="M206" s="258"/>
      <c r="N206" s="258"/>
      <c r="O206" s="258"/>
      <c r="P206" s="258"/>
      <c r="Q206" s="258"/>
      <c r="R206" s="258"/>
      <c r="S206" s="258"/>
    </row>
  </sheetData>
  <mergeCells count="5">
    <mergeCell ref="B13:J21"/>
    <mergeCell ref="M43:S46"/>
    <mergeCell ref="B8:J9"/>
    <mergeCell ref="M4:S15"/>
    <mergeCell ref="M19:S3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60CFB-7C03-4A4F-B8A8-D85B59CA5FCB}">
  <dimension ref="A1:BL206"/>
  <sheetViews>
    <sheetView zoomScaleNormal="100" workbookViewId="0"/>
  </sheetViews>
  <sheetFormatPr baseColWidth="10" defaultColWidth="10.83203125" defaultRowHeight="16" customHeight="1" outlineLevelCol="1" x14ac:dyDescent="0.2"/>
  <cols>
    <col min="1" max="1" width="4.6640625" style="259" customWidth="1"/>
    <col min="2" max="2" width="10.83203125" style="259"/>
    <col min="3" max="3" width="10.83203125" style="259" customWidth="1"/>
    <col min="4" max="11" width="10.83203125" style="259"/>
    <col min="12" max="12" width="11.5" style="259" bestFit="1" customWidth="1"/>
    <col min="13" max="19" width="10.83203125" style="259" hidden="1" customWidth="1" outlineLevel="1"/>
    <col min="20" max="20" width="10.83203125" style="259" collapsed="1"/>
    <col min="21" max="16384" width="10.83203125" style="259"/>
  </cols>
  <sheetData>
    <row r="1" spans="1:19" ht="16" customHeight="1" x14ac:dyDescent="0.25">
      <c r="A1" s="366" t="s">
        <v>526</v>
      </c>
      <c r="B1" s="260"/>
      <c r="C1" s="260"/>
      <c r="D1" s="260"/>
      <c r="E1" s="260"/>
      <c r="F1" s="260"/>
      <c r="G1" s="260"/>
      <c r="H1" s="260"/>
      <c r="I1" s="260"/>
      <c r="J1" s="261"/>
      <c r="K1" s="262"/>
      <c r="L1" s="263" t="s">
        <v>146</v>
      </c>
    </row>
    <row r="2" spans="1:19" ht="16" customHeight="1" x14ac:dyDescent="0.2">
      <c r="A2" s="252"/>
      <c r="B2" s="249"/>
      <c r="C2" s="249"/>
      <c r="D2" s="249"/>
      <c r="E2" s="249"/>
      <c r="F2" s="249"/>
      <c r="G2" s="249"/>
      <c r="H2" s="249"/>
      <c r="I2" s="249"/>
      <c r="J2" s="264"/>
      <c r="K2" s="265"/>
    </row>
    <row r="3" spans="1:19" ht="16" customHeight="1" x14ac:dyDescent="0.2">
      <c r="A3" s="266"/>
      <c r="B3" s="445" t="s">
        <v>603</v>
      </c>
      <c r="C3" s="445"/>
      <c r="D3" s="445"/>
      <c r="E3" s="445"/>
      <c r="F3" s="445"/>
      <c r="G3" s="445"/>
      <c r="H3" s="445"/>
      <c r="I3" s="445"/>
      <c r="J3" s="264"/>
      <c r="K3" s="265"/>
      <c r="M3" s="363" t="s">
        <v>3</v>
      </c>
      <c r="N3" s="273"/>
      <c r="O3" s="273"/>
      <c r="P3" s="273"/>
      <c r="Q3" s="273"/>
      <c r="R3" s="273"/>
      <c r="S3" s="273"/>
    </row>
    <row r="4" spans="1:19" ht="16" customHeight="1" x14ac:dyDescent="0.2">
      <c r="A4" s="266"/>
      <c r="B4" s="445"/>
      <c r="C4" s="445"/>
      <c r="D4" s="445"/>
      <c r="E4" s="445"/>
      <c r="F4" s="445"/>
      <c r="G4" s="445"/>
      <c r="H4" s="445"/>
      <c r="I4" s="445"/>
      <c r="J4" s="264"/>
      <c r="K4" s="265"/>
      <c r="M4" s="358"/>
      <c r="N4" s="358"/>
      <c r="O4" s="358"/>
      <c r="P4" s="358"/>
      <c r="Q4" s="358"/>
      <c r="R4" s="358"/>
      <c r="S4" s="358"/>
    </row>
    <row r="5" spans="1:19" ht="16" customHeight="1" x14ac:dyDescent="0.2">
      <c r="A5" s="266"/>
      <c r="B5" s="445"/>
      <c r="C5" s="445"/>
      <c r="D5" s="445"/>
      <c r="E5" s="445"/>
      <c r="F5" s="445"/>
      <c r="G5" s="445"/>
      <c r="H5" s="445"/>
      <c r="I5" s="445"/>
      <c r="J5" s="264"/>
      <c r="K5" s="265"/>
      <c r="M5" s="358"/>
      <c r="N5" s="358"/>
      <c r="O5" s="358"/>
      <c r="P5" s="358"/>
      <c r="Q5" s="358"/>
      <c r="R5" s="358"/>
      <c r="S5" s="358"/>
    </row>
    <row r="6" spans="1:19" ht="16" customHeight="1" x14ac:dyDescent="0.2">
      <c r="A6" s="266"/>
      <c r="B6" s="264"/>
      <c r="C6" s="264"/>
      <c r="D6" s="264"/>
      <c r="E6" s="264"/>
      <c r="F6" s="264"/>
      <c r="G6" s="264"/>
      <c r="H6" s="264"/>
      <c r="I6" s="264"/>
      <c r="J6" s="264"/>
      <c r="K6" s="265"/>
      <c r="M6" s="364"/>
      <c r="N6" s="358" t="s">
        <v>558</v>
      </c>
      <c r="O6" s="358"/>
      <c r="P6" s="358"/>
      <c r="Q6" s="358"/>
      <c r="R6" s="358"/>
      <c r="S6" s="358"/>
    </row>
    <row r="7" spans="1:19" ht="16" customHeight="1" x14ac:dyDescent="0.2">
      <c r="A7" s="266"/>
      <c r="B7" s="249" t="s">
        <v>0</v>
      </c>
      <c r="C7" s="264"/>
      <c r="D7" s="264"/>
      <c r="E7" s="264"/>
      <c r="F7" s="264"/>
      <c r="G7" s="264"/>
      <c r="H7" s="264"/>
      <c r="I7" s="264"/>
      <c r="J7" s="264"/>
      <c r="K7" s="265"/>
      <c r="M7" s="251"/>
      <c r="N7" s="358"/>
      <c r="O7" s="358"/>
      <c r="P7" s="358"/>
      <c r="Q7" s="358"/>
      <c r="R7" s="358"/>
      <c r="S7" s="358"/>
    </row>
    <row r="8" spans="1:19" ht="16" customHeight="1" x14ac:dyDescent="0.2">
      <c r="A8" s="266"/>
      <c r="B8" s="264" t="s">
        <v>512</v>
      </c>
      <c r="C8" s="264"/>
      <c r="D8" s="264"/>
      <c r="E8" s="264"/>
      <c r="F8" s="264"/>
      <c r="G8" s="264"/>
      <c r="H8" s="264"/>
      <c r="I8" s="264"/>
      <c r="J8" s="264"/>
      <c r="K8" s="265"/>
      <c r="M8" s="251"/>
      <c r="N8" s="358"/>
      <c r="O8" s="358"/>
      <c r="P8" s="358"/>
      <c r="Q8" s="358"/>
      <c r="R8" s="358"/>
      <c r="S8" s="358"/>
    </row>
    <row r="9" spans="1:19" ht="16" customHeight="1" x14ac:dyDescent="0.2">
      <c r="A9" s="266"/>
      <c r="B9" s="264"/>
      <c r="C9" s="264"/>
      <c r="D9" s="264"/>
      <c r="E9" s="264"/>
      <c r="F9" s="264"/>
      <c r="G9" s="264"/>
      <c r="H9" s="264"/>
      <c r="I9" s="264"/>
      <c r="J9" s="264"/>
      <c r="K9" s="265"/>
      <c r="M9" s="364" t="s">
        <v>271</v>
      </c>
      <c r="N9" s="439" t="s">
        <v>559</v>
      </c>
      <c r="O9" s="439"/>
      <c r="P9" s="439"/>
      <c r="Q9" s="439"/>
      <c r="R9" s="439"/>
      <c r="S9" s="439"/>
    </row>
    <row r="10" spans="1:19" ht="16" customHeight="1" x14ac:dyDescent="0.2">
      <c r="A10" s="266"/>
      <c r="B10" s="275"/>
      <c r="C10" s="427" t="s">
        <v>602</v>
      </c>
      <c r="D10" s="427"/>
      <c r="E10" s="427"/>
      <c r="F10" s="427"/>
      <c r="G10" s="427"/>
      <c r="H10" s="427"/>
      <c r="I10" s="427"/>
      <c r="J10" s="427"/>
      <c r="K10" s="265"/>
      <c r="M10" s="251"/>
      <c r="N10" s="439"/>
      <c r="O10" s="439"/>
      <c r="P10" s="439"/>
      <c r="Q10" s="439"/>
      <c r="R10" s="439"/>
      <c r="S10" s="439"/>
    </row>
    <row r="11" spans="1:19" ht="16" customHeight="1" x14ac:dyDescent="0.2">
      <c r="A11" s="266"/>
      <c r="B11" s="249"/>
      <c r="C11" s="427"/>
      <c r="D11" s="427"/>
      <c r="E11" s="427"/>
      <c r="F11" s="427"/>
      <c r="G11" s="427"/>
      <c r="H11" s="427"/>
      <c r="I11" s="427"/>
      <c r="J11" s="427"/>
      <c r="K11" s="265"/>
      <c r="M11" s="251"/>
      <c r="N11" s="358"/>
      <c r="O11" s="358"/>
      <c r="P11" s="358"/>
      <c r="Q11" s="358"/>
      <c r="R11" s="358"/>
      <c r="S11" s="358"/>
    </row>
    <row r="12" spans="1:19" ht="16" customHeight="1" x14ac:dyDescent="0.2">
      <c r="A12" s="266"/>
      <c r="B12" s="249"/>
      <c r="C12" s="249"/>
      <c r="D12" s="264"/>
      <c r="E12" s="264"/>
      <c r="F12" s="264"/>
      <c r="G12" s="264"/>
      <c r="H12" s="264"/>
      <c r="I12" s="264"/>
      <c r="J12" s="264"/>
      <c r="K12" s="265"/>
      <c r="M12" s="364"/>
      <c r="N12" s="439" t="s">
        <v>560</v>
      </c>
      <c r="O12" s="439"/>
      <c r="P12" s="439"/>
      <c r="Q12" s="439"/>
      <c r="R12" s="439"/>
      <c r="S12" s="439"/>
    </row>
    <row r="13" spans="1:19" ht="16" customHeight="1" x14ac:dyDescent="0.2">
      <c r="A13" s="266"/>
      <c r="B13" s="275"/>
      <c r="C13" s="427" t="s">
        <v>555</v>
      </c>
      <c r="D13" s="427"/>
      <c r="E13" s="427"/>
      <c r="F13" s="427"/>
      <c r="G13" s="427"/>
      <c r="H13" s="427"/>
      <c r="I13" s="427"/>
      <c r="J13" s="427"/>
      <c r="K13" s="265"/>
      <c r="M13" s="251"/>
      <c r="N13" s="439"/>
      <c r="O13" s="439"/>
      <c r="P13" s="439"/>
      <c r="Q13" s="439"/>
      <c r="R13" s="439"/>
      <c r="S13" s="439"/>
    </row>
    <row r="14" spans="1:19" ht="16" customHeight="1" x14ac:dyDescent="0.2">
      <c r="A14" s="266"/>
      <c r="B14" s="249"/>
      <c r="C14" s="427"/>
      <c r="D14" s="427"/>
      <c r="E14" s="427"/>
      <c r="F14" s="427"/>
      <c r="G14" s="427"/>
      <c r="H14" s="427"/>
      <c r="I14" s="427"/>
      <c r="J14" s="427"/>
      <c r="K14" s="265"/>
      <c r="M14" s="251"/>
      <c r="N14" s="358"/>
      <c r="O14" s="358"/>
      <c r="P14" s="358"/>
      <c r="Q14" s="358"/>
      <c r="R14" s="358"/>
      <c r="S14" s="358"/>
    </row>
    <row r="15" spans="1:19" ht="16" customHeight="1" x14ac:dyDescent="0.2">
      <c r="A15" s="266"/>
      <c r="B15" s="249"/>
      <c r="C15" s="249"/>
      <c r="D15" s="264"/>
      <c r="E15" s="264"/>
      <c r="F15" s="264"/>
      <c r="G15" s="264"/>
      <c r="H15" s="264"/>
      <c r="I15" s="264"/>
      <c r="J15" s="264"/>
      <c r="K15" s="265"/>
      <c r="M15" s="364"/>
      <c r="N15" s="439" t="s">
        <v>562</v>
      </c>
      <c r="O15" s="439"/>
      <c r="P15" s="439"/>
      <c r="Q15" s="439"/>
      <c r="R15" s="439"/>
      <c r="S15" s="439"/>
    </row>
    <row r="16" spans="1:19" ht="16" customHeight="1" x14ac:dyDescent="0.2">
      <c r="A16" s="266"/>
      <c r="B16" s="275"/>
      <c r="C16" s="427" t="s">
        <v>508</v>
      </c>
      <c r="D16" s="427"/>
      <c r="E16" s="427"/>
      <c r="F16" s="427"/>
      <c r="G16" s="427"/>
      <c r="H16" s="427"/>
      <c r="I16" s="427"/>
      <c r="J16" s="427"/>
      <c r="K16" s="265"/>
      <c r="M16" s="358"/>
      <c r="N16" s="439"/>
      <c r="O16" s="439"/>
      <c r="P16" s="439"/>
      <c r="Q16" s="439"/>
      <c r="R16" s="439"/>
      <c r="S16" s="439"/>
    </row>
    <row r="17" spans="1:20" ht="16" customHeight="1" x14ac:dyDescent="0.2">
      <c r="A17" s="266"/>
      <c r="B17" s="249"/>
      <c r="C17" s="427"/>
      <c r="D17" s="427"/>
      <c r="E17" s="427"/>
      <c r="F17" s="427"/>
      <c r="G17" s="427"/>
      <c r="H17" s="427"/>
      <c r="I17" s="427"/>
      <c r="J17" s="427"/>
      <c r="K17" s="265"/>
      <c r="M17" s="273"/>
      <c r="N17" s="439"/>
      <c r="O17" s="439"/>
      <c r="P17" s="439"/>
      <c r="Q17" s="439"/>
      <c r="R17" s="439"/>
      <c r="S17" s="439"/>
      <c r="T17" s="273"/>
    </row>
    <row r="18" spans="1:20" ht="16" customHeight="1" x14ac:dyDescent="0.2">
      <c r="A18" s="266"/>
      <c r="B18" s="249"/>
      <c r="C18" s="249"/>
      <c r="D18" s="264"/>
      <c r="E18" s="264"/>
      <c r="F18" s="264"/>
      <c r="G18" s="264"/>
      <c r="H18" s="264"/>
      <c r="I18" s="264"/>
      <c r="J18" s="264"/>
      <c r="K18" s="265"/>
    </row>
    <row r="19" spans="1:20" ht="16" customHeight="1" x14ac:dyDescent="0.2">
      <c r="A19" s="266"/>
      <c r="B19" s="275"/>
      <c r="C19" s="427" t="s">
        <v>561</v>
      </c>
      <c r="D19" s="427"/>
      <c r="E19" s="427"/>
      <c r="F19" s="427"/>
      <c r="G19" s="427"/>
      <c r="H19" s="427"/>
      <c r="I19" s="427"/>
      <c r="J19" s="427"/>
      <c r="K19" s="265"/>
    </row>
    <row r="20" spans="1:20" ht="16" customHeight="1" x14ac:dyDescent="0.2">
      <c r="A20" s="266"/>
      <c r="B20" s="264"/>
      <c r="C20" s="427"/>
      <c r="D20" s="427"/>
      <c r="E20" s="427"/>
      <c r="F20" s="427"/>
      <c r="G20" s="427"/>
      <c r="H20" s="427"/>
      <c r="I20" s="427"/>
      <c r="J20" s="427"/>
      <c r="K20" s="265"/>
      <c r="M20" s="363" t="s">
        <v>4</v>
      </c>
    </row>
    <row r="21" spans="1:20" ht="16" customHeight="1" x14ac:dyDescent="0.2">
      <c r="A21" s="266"/>
      <c r="B21" s="264"/>
      <c r="C21" s="264"/>
      <c r="D21" s="264"/>
      <c r="E21" s="264"/>
      <c r="F21" s="264"/>
      <c r="G21" s="264"/>
      <c r="H21" s="264"/>
      <c r="I21" s="264"/>
      <c r="J21" s="264"/>
      <c r="K21" s="265"/>
      <c r="M21" s="439" t="s">
        <v>556</v>
      </c>
      <c r="N21" s="439"/>
      <c r="O21" s="439"/>
      <c r="P21" s="439"/>
      <c r="Q21" s="439"/>
      <c r="R21" s="439"/>
      <c r="S21" s="439"/>
    </row>
    <row r="22" spans="1:20" ht="16" customHeight="1" x14ac:dyDescent="0.2">
      <c r="A22" s="266"/>
      <c r="B22" s="264" t="s">
        <v>1</v>
      </c>
      <c r="C22" s="264"/>
      <c r="D22" s="264"/>
      <c r="E22" s="264"/>
      <c r="F22" s="264"/>
      <c r="G22" s="264"/>
      <c r="H22" s="264"/>
      <c r="I22" s="264"/>
      <c r="J22" s="264"/>
      <c r="K22" s="265"/>
      <c r="M22" s="439"/>
      <c r="N22" s="439"/>
      <c r="O22" s="439"/>
      <c r="P22" s="439"/>
      <c r="Q22" s="439"/>
      <c r="R22" s="439"/>
      <c r="S22" s="439"/>
    </row>
    <row r="23" spans="1:20" ht="16" customHeight="1" x14ac:dyDescent="0.2">
      <c r="A23" s="266"/>
      <c r="B23" s="264" t="s">
        <v>513</v>
      </c>
      <c r="C23" s="264"/>
      <c r="D23" s="264"/>
      <c r="E23" s="264"/>
      <c r="F23" s="264"/>
      <c r="G23" s="264"/>
      <c r="H23" s="264"/>
      <c r="I23" s="264"/>
      <c r="J23" s="264"/>
      <c r="K23" s="265"/>
      <c r="M23" s="439"/>
      <c r="N23" s="439"/>
      <c r="O23" s="439"/>
      <c r="P23" s="439"/>
      <c r="Q23" s="439"/>
      <c r="R23" s="439"/>
      <c r="S23" s="439"/>
    </row>
    <row r="24" spans="1:20" ht="16" customHeight="1" x14ac:dyDescent="0.2">
      <c r="A24" s="266"/>
      <c r="B24" s="264"/>
      <c r="C24" s="264"/>
      <c r="D24" s="264"/>
      <c r="E24" s="264"/>
      <c r="F24" s="264"/>
      <c r="G24" s="264"/>
      <c r="H24" s="264"/>
      <c r="I24" s="264"/>
      <c r="J24" s="264"/>
      <c r="K24" s="265"/>
      <c r="M24" s="439"/>
      <c r="N24" s="439"/>
      <c r="O24" s="439"/>
      <c r="P24" s="439"/>
      <c r="Q24" s="439"/>
      <c r="R24" s="439"/>
      <c r="S24" s="439"/>
    </row>
    <row r="25" spans="1:20" ht="16" customHeight="1" thickBot="1" x14ac:dyDescent="0.25">
      <c r="A25" s="267"/>
      <c r="B25" s="268"/>
      <c r="C25" s="268"/>
      <c r="D25" s="268"/>
      <c r="E25" s="268"/>
      <c r="F25" s="268"/>
      <c r="G25" s="268"/>
      <c r="H25" s="268"/>
      <c r="I25" s="268"/>
      <c r="J25" s="268"/>
      <c r="K25" s="269"/>
      <c r="M25" s="439"/>
      <c r="N25" s="439"/>
      <c r="O25" s="439"/>
      <c r="P25" s="439"/>
      <c r="Q25" s="439"/>
      <c r="R25" s="439"/>
      <c r="S25" s="439"/>
    </row>
    <row r="26" spans="1:20" ht="16" customHeight="1" x14ac:dyDescent="0.2">
      <c r="M26" s="439"/>
      <c r="N26" s="439"/>
      <c r="O26" s="439"/>
      <c r="P26" s="439"/>
      <c r="Q26" s="439"/>
      <c r="R26" s="439"/>
      <c r="S26" s="439"/>
    </row>
    <row r="27" spans="1:20" ht="16" customHeight="1" x14ac:dyDescent="0.2">
      <c r="M27" s="439"/>
      <c r="N27" s="439"/>
      <c r="O27" s="439"/>
      <c r="P27" s="439"/>
      <c r="Q27" s="439"/>
      <c r="R27" s="439"/>
      <c r="S27" s="439"/>
    </row>
    <row r="28" spans="1:20" ht="16" customHeight="1" x14ac:dyDescent="0.2">
      <c r="B28" s="360" t="s">
        <v>208</v>
      </c>
    </row>
    <row r="29" spans="1:20" ht="16" customHeight="1" x14ac:dyDescent="0.25">
      <c r="B29" s="364"/>
      <c r="M29" s="3" t="s">
        <v>131</v>
      </c>
      <c r="N29" s="251"/>
      <c r="O29" s="251"/>
      <c r="P29" s="251"/>
      <c r="Q29" s="251"/>
      <c r="R29" s="251"/>
      <c r="S29" s="251"/>
    </row>
    <row r="30" spans="1:20" ht="16" customHeight="1" x14ac:dyDescent="0.2">
      <c r="B30" s="251"/>
      <c r="M30" s="405" t="s">
        <v>557</v>
      </c>
      <c r="N30" s="405"/>
      <c r="O30" s="405"/>
      <c r="P30" s="405"/>
      <c r="Q30" s="405"/>
      <c r="R30" s="405"/>
      <c r="S30" s="405"/>
    </row>
    <row r="31" spans="1:20" ht="16" customHeight="1" x14ac:dyDescent="0.2">
      <c r="B31" s="364"/>
      <c r="M31" s="405"/>
      <c r="N31" s="405"/>
      <c r="O31" s="405"/>
      <c r="P31" s="405"/>
      <c r="Q31" s="405"/>
      <c r="R31" s="405"/>
      <c r="S31" s="405"/>
    </row>
    <row r="32" spans="1:20" ht="16" customHeight="1" x14ac:dyDescent="0.2">
      <c r="B32" s="251"/>
      <c r="M32" s="405"/>
      <c r="N32" s="405"/>
      <c r="O32" s="405"/>
      <c r="P32" s="405"/>
      <c r="Q32" s="405"/>
      <c r="R32" s="405"/>
      <c r="S32" s="405"/>
    </row>
    <row r="33" spans="1:19" ht="16" customHeight="1" x14ac:dyDescent="0.2">
      <c r="B33" s="364"/>
      <c r="M33" s="405"/>
      <c r="N33" s="405"/>
      <c r="O33" s="405"/>
      <c r="P33" s="405"/>
      <c r="Q33" s="405"/>
      <c r="R33" s="405"/>
      <c r="S33" s="405"/>
    </row>
    <row r="34" spans="1:19" ht="16" customHeight="1" x14ac:dyDescent="0.2">
      <c r="B34" s="251"/>
      <c r="M34" s="405"/>
      <c r="N34" s="405"/>
      <c r="O34" s="405"/>
      <c r="P34" s="405"/>
      <c r="Q34" s="405"/>
      <c r="R34" s="405"/>
      <c r="S34" s="405"/>
    </row>
    <row r="35" spans="1:19" ht="16" customHeight="1" x14ac:dyDescent="0.2">
      <c r="B35" s="364"/>
      <c r="M35" s="405"/>
      <c r="N35" s="405"/>
      <c r="O35" s="405"/>
      <c r="P35" s="405"/>
      <c r="Q35" s="405"/>
      <c r="R35" s="405"/>
      <c r="S35" s="405"/>
    </row>
    <row r="37" spans="1:19" ht="16" customHeight="1" x14ac:dyDescent="0.25">
      <c r="M37" s="3" t="s">
        <v>456</v>
      </c>
    </row>
    <row r="38" spans="1:19" ht="16" customHeight="1" x14ac:dyDescent="0.25">
      <c r="A38" s="263"/>
      <c r="B38" s="360" t="s">
        <v>197</v>
      </c>
      <c r="M38" s="259" t="s">
        <v>563</v>
      </c>
    </row>
    <row r="39" spans="1:19" ht="16" customHeight="1" x14ac:dyDescent="0.2">
      <c r="A39" s="271"/>
      <c r="B39" s="435"/>
      <c r="C39" s="436"/>
      <c r="D39" s="436"/>
      <c r="E39" s="436"/>
      <c r="F39" s="436"/>
      <c r="G39" s="436"/>
      <c r="H39" s="436"/>
      <c r="I39" s="436"/>
      <c r="J39" s="437"/>
    </row>
    <row r="40" spans="1:19" ht="16" customHeight="1" x14ac:dyDescent="0.2">
      <c r="B40" s="438"/>
      <c r="C40" s="439"/>
      <c r="D40" s="439"/>
      <c r="E40" s="439"/>
      <c r="F40" s="439"/>
      <c r="G40" s="439"/>
      <c r="H40" s="439"/>
      <c r="I40" s="439"/>
      <c r="J40" s="440"/>
      <c r="N40" s="270"/>
      <c r="O40" s="270"/>
      <c r="P40" s="270"/>
      <c r="Q40" s="270"/>
      <c r="R40" s="270"/>
      <c r="S40" s="270"/>
    </row>
    <row r="41" spans="1:19" ht="16" customHeight="1" x14ac:dyDescent="0.2">
      <c r="B41" s="438"/>
      <c r="C41" s="439"/>
      <c r="D41" s="439"/>
      <c r="E41" s="439"/>
      <c r="F41" s="439"/>
      <c r="G41" s="439"/>
      <c r="H41" s="439"/>
      <c r="I41" s="439"/>
      <c r="J41" s="440"/>
    </row>
    <row r="42" spans="1:19" ht="16" customHeight="1" x14ac:dyDescent="0.2">
      <c r="B42" s="438"/>
      <c r="C42" s="439"/>
      <c r="D42" s="439"/>
      <c r="E42" s="439"/>
      <c r="F42" s="439"/>
      <c r="G42" s="439"/>
      <c r="H42" s="439"/>
      <c r="I42" s="439"/>
      <c r="J42" s="440"/>
    </row>
    <row r="43" spans="1:19" ht="16" customHeight="1" x14ac:dyDescent="0.2">
      <c r="B43" s="438"/>
      <c r="C43" s="439"/>
      <c r="D43" s="439"/>
      <c r="E43" s="439"/>
      <c r="F43" s="439"/>
      <c r="G43" s="439"/>
      <c r="H43" s="439"/>
      <c r="I43" s="439"/>
      <c r="J43" s="440"/>
    </row>
    <row r="44" spans="1:19" ht="16" customHeight="1" x14ac:dyDescent="0.2">
      <c r="B44" s="438"/>
      <c r="C44" s="439"/>
      <c r="D44" s="439"/>
      <c r="E44" s="439"/>
      <c r="F44" s="439"/>
      <c r="G44" s="439"/>
      <c r="H44" s="439"/>
      <c r="I44" s="439"/>
      <c r="J44" s="440"/>
    </row>
    <row r="45" spans="1:19" ht="16" customHeight="1" x14ac:dyDescent="0.2">
      <c r="B45" s="438"/>
      <c r="C45" s="439"/>
      <c r="D45" s="439"/>
      <c r="E45" s="439"/>
      <c r="F45" s="439"/>
      <c r="G45" s="439"/>
      <c r="H45" s="439"/>
      <c r="I45" s="439"/>
      <c r="J45" s="440"/>
    </row>
    <row r="46" spans="1:19" ht="16" customHeight="1" x14ac:dyDescent="0.2">
      <c r="B46" s="438"/>
      <c r="C46" s="439"/>
      <c r="D46" s="439"/>
      <c r="E46" s="439"/>
      <c r="F46" s="439"/>
      <c r="G46" s="439"/>
      <c r="H46" s="439"/>
      <c r="I46" s="439"/>
      <c r="J46" s="440"/>
    </row>
    <row r="47" spans="1:19" ht="16" customHeight="1" x14ac:dyDescent="0.2">
      <c r="B47" s="441"/>
      <c r="C47" s="442"/>
      <c r="D47" s="442"/>
      <c r="E47" s="442"/>
      <c r="F47" s="442"/>
      <c r="G47" s="442"/>
      <c r="H47" s="442"/>
      <c r="I47" s="442"/>
      <c r="J47" s="443"/>
    </row>
    <row r="49" spans="1:19" ht="16" customHeight="1" x14ac:dyDescent="0.2">
      <c r="M49" s="251"/>
      <c r="N49" s="251"/>
      <c r="O49" s="251"/>
      <c r="P49" s="251"/>
      <c r="Q49" s="251"/>
      <c r="R49" s="251"/>
      <c r="S49" s="251"/>
    </row>
    <row r="50" spans="1:19" ht="16" customHeight="1" x14ac:dyDescent="0.2">
      <c r="A50" s="271"/>
      <c r="C50" s="274"/>
      <c r="M50" s="251"/>
      <c r="N50" s="251"/>
      <c r="O50" s="251"/>
      <c r="P50" s="251"/>
      <c r="Q50" s="251"/>
      <c r="R50" s="251"/>
      <c r="S50" s="251"/>
    </row>
    <row r="51" spans="1:19" ht="16" customHeight="1" x14ac:dyDescent="0.2">
      <c r="M51" s="258"/>
    </row>
    <row r="52" spans="1:19" ht="16" customHeight="1" x14ac:dyDescent="0.2">
      <c r="M52" s="258"/>
    </row>
    <row r="53" spans="1:19" ht="16" customHeight="1" x14ac:dyDescent="0.2">
      <c r="M53" s="258"/>
    </row>
    <row r="54" spans="1:19" ht="16" customHeight="1" x14ac:dyDescent="0.2">
      <c r="M54" s="258"/>
    </row>
    <row r="55" spans="1:19" ht="16" customHeight="1" x14ac:dyDescent="0.2">
      <c r="M55" s="258"/>
    </row>
    <row r="56" spans="1:19" ht="16" customHeight="1" x14ac:dyDescent="0.2">
      <c r="M56" s="258"/>
    </row>
    <row r="61" spans="1:19" ht="16" customHeight="1" x14ac:dyDescent="0.2">
      <c r="A61" s="271"/>
      <c r="C61" s="274"/>
    </row>
    <row r="67" spans="12:64" ht="16" customHeight="1" x14ac:dyDescent="0.2">
      <c r="M67" s="258"/>
      <c r="N67" s="258"/>
      <c r="O67" s="258"/>
    </row>
    <row r="68" spans="12:64" ht="16" customHeight="1" x14ac:dyDescent="0.2">
      <c r="M68" s="258"/>
      <c r="N68" s="258"/>
      <c r="O68" s="258"/>
    </row>
    <row r="69" spans="12:64" ht="16" customHeight="1" x14ac:dyDescent="0.2">
      <c r="M69" s="258"/>
      <c r="N69" s="258"/>
      <c r="O69" s="258"/>
    </row>
    <row r="70" spans="12:64" ht="16" customHeight="1" x14ac:dyDescent="0.2">
      <c r="M70" s="258"/>
      <c r="N70" s="258"/>
      <c r="O70" s="258"/>
    </row>
    <row r="71" spans="12:64" ht="16" customHeight="1" x14ac:dyDescent="0.2">
      <c r="M71" s="258"/>
      <c r="N71" s="258"/>
      <c r="O71" s="258"/>
    </row>
    <row r="72" spans="12:64" ht="16" customHeight="1" x14ac:dyDescent="0.2">
      <c r="M72" s="258"/>
      <c r="N72" s="258"/>
      <c r="O72" s="258"/>
    </row>
    <row r="73" spans="12:64" ht="16" customHeight="1" x14ac:dyDescent="0.2">
      <c r="M73" s="258"/>
      <c r="N73" s="258"/>
      <c r="O73" s="258"/>
    </row>
    <row r="74" spans="12:64" ht="16" customHeight="1" x14ac:dyDescent="0.2">
      <c r="N74" s="274"/>
    </row>
    <row r="75" spans="12:64" ht="16" customHeight="1" x14ac:dyDescent="0.2">
      <c r="M75" s="258"/>
      <c r="N75" s="258"/>
      <c r="O75" s="258"/>
    </row>
    <row r="76" spans="12:64" ht="16" customHeight="1" x14ac:dyDescent="0.2">
      <c r="M76" s="258"/>
      <c r="N76" s="258"/>
      <c r="O76" s="258"/>
    </row>
    <row r="77" spans="12:64" ht="16" customHeight="1" x14ac:dyDescent="0.2">
      <c r="M77" s="258"/>
      <c r="N77" s="258"/>
      <c r="O77" s="258"/>
    </row>
    <row r="78" spans="12:64" ht="16" customHeight="1" x14ac:dyDescent="0.2">
      <c r="M78" s="258"/>
      <c r="N78" s="258"/>
      <c r="O78" s="258"/>
    </row>
    <row r="79" spans="12:64" ht="16" customHeight="1" x14ac:dyDescent="0.2">
      <c r="L79" s="258"/>
      <c r="M79" s="258"/>
      <c r="N79" s="258"/>
      <c r="O79" s="258"/>
      <c r="T79" s="258"/>
      <c r="U79" s="258"/>
      <c r="V79" s="258"/>
      <c r="W79" s="258"/>
      <c r="X79" s="258"/>
      <c r="Y79" s="258"/>
      <c r="Z79" s="258"/>
      <c r="AA79" s="258"/>
      <c r="AB79" s="258"/>
      <c r="AC79" s="258"/>
      <c r="AD79" s="258"/>
      <c r="AE79" s="258"/>
      <c r="AF79" s="258"/>
      <c r="AG79" s="258"/>
      <c r="AH79" s="258"/>
      <c r="AI79" s="258"/>
      <c r="AJ79" s="258"/>
      <c r="AK79" s="258"/>
      <c r="AL79" s="258"/>
      <c r="AM79" s="258"/>
      <c r="AN79" s="258"/>
      <c r="AO79" s="258"/>
      <c r="AP79" s="258"/>
      <c r="AQ79" s="258"/>
      <c r="AR79" s="258"/>
      <c r="AS79" s="258"/>
      <c r="AT79" s="258"/>
      <c r="AU79" s="258"/>
      <c r="AV79" s="258"/>
      <c r="AW79" s="258"/>
      <c r="AX79" s="258"/>
      <c r="AY79" s="258"/>
      <c r="AZ79" s="258"/>
      <c r="BA79" s="258"/>
      <c r="BB79" s="258"/>
      <c r="BC79" s="258"/>
      <c r="BD79" s="258"/>
      <c r="BE79" s="258"/>
      <c r="BF79" s="258"/>
      <c r="BG79" s="258"/>
      <c r="BH79" s="258"/>
      <c r="BI79" s="258"/>
      <c r="BJ79" s="258"/>
      <c r="BK79" s="258"/>
      <c r="BL79" s="258"/>
    </row>
    <row r="80" spans="12:64" ht="16" customHeight="1" x14ac:dyDescent="0.2">
      <c r="L80" s="258"/>
      <c r="M80" s="258"/>
      <c r="N80" s="258"/>
      <c r="O80" s="258"/>
      <c r="T80" s="258"/>
      <c r="U80" s="258"/>
      <c r="V80" s="258"/>
      <c r="W80" s="258"/>
      <c r="X80" s="258"/>
      <c r="Y80" s="258"/>
      <c r="Z80" s="258"/>
      <c r="AA80" s="258"/>
      <c r="AB80" s="258"/>
      <c r="AC80" s="258"/>
      <c r="AD80" s="258"/>
      <c r="AE80" s="258"/>
      <c r="AF80" s="258"/>
      <c r="AG80" s="258"/>
      <c r="AH80" s="258"/>
      <c r="AI80" s="258"/>
      <c r="AJ80" s="258"/>
      <c r="AK80" s="258"/>
      <c r="AL80" s="258"/>
      <c r="AM80" s="258"/>
      <c r="AN80" s="258"/>
      <c r="AO80" s="258"/>
      <c r="AP80" s="258"/>
      <c r="AQ80" s="258"/>
      <c r="AR80" s="258"/>
      <c r="AS80" s="258"/>
      <c r="AT80" s="258"/>
      <c r="AU80" s="258"/>
      <c r="AV80" s="258"/>
      <c r="AW80" s="258"/>
      <c r="AX80" s="258"/>
      <c r="AY80" s="258"/>
      <c r="AZ80" s="258"/>
      <c r="BA80" s="258"/>
      <c r="BB80" s="258"/>
      <c r="BC80" s="258"/>
      <c r="BD80" s="258"/>
      <c r="BE80" s="258"/>
      <c r="BF80" s="258"/>
      <c r="BG80" s="258"/>
      <c r="BH80" s="258"/>
      <c r="BI80" s="258"/>
      <c r="BJ80" s="258"/>
      <c r="BK80" s="258"/>
      <c r="BL80" s="258"/>
    </row>
    <row r="81" spans="12:64" ht="16" customHeight="1" x14ac:dyDescent="0.2">
      <c r="L81" s="258"/>
      <c r="M81" s="258"/>
      <c r="N81" s="258"/>
      <c r="O81" s="258"/>
      <c r="T81" s="258"/>
      <c r="U81" s="258"/>
      <c r="V81" s="258"/>
      <c r="W81" s="258"/>
      <c r="X81" s="258"/>
      <c r="Y81" s="258"/>
      <c r="Z81" s="258"/>
      <c r="AA81" s="258"/>
      <c r="AB81" s="258"/>
      <c r="AC81" s="258"/>
      <c r="AD81" s="258"/>
      <c r="AE81" s="258"/>
      <c r="AF81" s="258"/>
      <c r="AG81" s="258"/>
      <c r="AH81" s="258"/>
      <c r="AI81" s="258"/>
      <c r="AJ81" s="258"/>
      <c r="AK81" s="258"/>
      <c r="AL81" s="258"/>
      <c r="AM81" s="258"/>
      <c r="AN81" s="258"/>
      <c r="AO81" s="258"/>
      <c r="AP81" s="258"/>
      <c r="AQ81" s="258"/>
      <c r="AR81" s="258"/>
      <c r="AS81" s="258"/>
      <c r="AT81" s="258"/>
      <c r="AU81" s="258"/>
      <c r="AV81" s="258"/>
      <c r="AW81" s="258"/>
      <c r="AX81" s="258"/>
      <c r="AY81" s="258"/>
      <c r="AZ81" s="258"/>
      <c r="BA81" s="258"/>
      <c r="BB81" s="258"/>
      <c r="BC81" s="258"/>
      <c r="BD81" s="258"/>
      <c r="BE81" s="258"/>
      <c r="BF81" s="258"/>
      <c r="BG81" s="258"/>
      <c r="BH81" s="258"/>
      <c r="BI81" s="258"/>
      <c r="BJ81" s="258"/>
      <c r="BK81" s="258"/>
      <c r="BL81" s="258"/>
    </row>
    <row r="82" spans="12:64" ht="16" customHeight="1" x14ac:dyDescent="0.2">
      <c r="L82" s="258"/>
      <c r="M82" s="258"/>
      <c r="N82" s="258"/>
      <c r="O82" s="258"/>
      <c r="T82" s="258"/>
      <c r="U82" s="258"/>
      <c r="V82" s="258"/>
      <c r="W82" s="258"/>
      <c r="X82" s="258"/>
      <c r="Y82" s="258"/>
      <c r="Z82" s="258"/>
      <c r="AA82" s="258"/>
      <c r="AB82" s="258"/>
      <c r="AC82" s="258"/>
      <c r="AD82" s="258"/>
      <c r="AE82" s="258"/>
      <c r="AF82" s="258"/>
      <c r="AG82" s="258"/>
      <c r="AH82" s="258"/>
      <c r="AI82" s="258"/>
      <c r="AJ82" s="258"/>
      <c r="AK82" s="258"/>
      <c r="AL82" s="258"/>
      <c r="AM82" s="258"/>
      <c r="AN82" s="258"/>
      <c r="AO82" s="258"/>
      <c r="AP82" s="258"/>
      <c r="AQ82" s="258"/>
      <c r="AR82" s="258"/>
      <c r="AS82" s="258"/>
      <c r="AT82" s="258"/>
      <c r="AU82" s="258"/>
      <c r="AV82" s="258"/>
      <c r="AW82" s="258"/>
      <c r="AX82" s="258"/>
      <c r="AY82" s="258"/>
      <c r="AZ82" s="258"/>
      <c r="BA82" s="258"/>
      <c r="BB82" s="258"/>
      <c r="BC82" s="258"/>
      <c r="BD82" s="258"/>
      <c r="BE82" s="258"/>
      <c r="BF82" s="258"/>
      <c r="BG82" s="258"/>
      <c r="BH82" s="258"/>
      <c r="BI82" s="258"/>
      <c r="BJ82" s="258"/>
      <c r="BK82" s="258"/>
      <c r="BL82" s="258"/>
    </row>
    <row r="83" spans="12:64" ht="16" customHeight="1" x14ac:dyDescent="0.2">
      <c r="L83" s="258"/>
      <c r="M83" s="258"/>
      <c r="N83" s="258"/>
      <c r="O83" s="258"/>
      <c r="T83" s="258"/>
      <c r="U83" s="258"/>
      <c r="V83" s="258"/>
      <c r="W83" s="258"/>
      <c r="X83" s="258"/>
      <c r="Y83" s="258"/>
      <c r="Z83" s="258"/>
      <c r="AA83" s="258"/>
      <c r="AB83" s="258"/>
      <c r="AC83" s="258"/>
      <c r="AD83" s="258"/>
      <c r="AE83" s="258"/>
      <c r="AF83" s="258"/>
      <c r="AG83" s="258"/>
      <c r="AH83" s="258"/>
      <c r="AI83" s="258"/>
      <c r="AJ83" s="258"/>
      <c r="AK83" s="258"/>
      <c r="AL83" s="258"/>
      <c r="AM83" s="258"/>
      <c r="AN83" s="258"/>
      <c r="AO83" s="258"/>
      <c r="AP83" s="258"/>
      <c r="AQ83" s="258"/>
      <c r="AR83" s="258"/>
      <c r="AS83" s="258"/>
      <c r="AT83" s="258"/>
      <c r="AU83" s="258"/>
      <c r="AV83" s="258"/>
      <c r="AW83" s="258"/>
      <c r="AX83" s="258"/>
      <c r="AY83" s="258"/>
      <c r="AZ83" s="258"/>
      <c r="BA83" s="258"/>
      <c r="BB83" s="258"/>
      <c r="BC83" s="258"/>
      <c r="BD83" s="258"/>
      <c r="BE83" s="258"/>
      <c r="BF83" s="258"/>
      <c r="BG83" s="258"/>
      <c r="BH83" s="258"/>
      <c r="BI83" s="258"/>
      <c r="BJ83" s="258"/>
      <c r="BK83" s="258"/>
      <c r="BL83" s="258"/>
    </row>
    <row r="84" spans="12:64" ht="16" customHeight="1" x14ac:dyDescent="0.2">
      <c r="L84" s="258"/>
      <c r="N84" s="274"/>
      <c r="T84" s="258"/>
      <c r="U84" s="258"/>
      <c r="V84" s="258"/>
      <c r="W84" s="258"/>
      <c r="X84" s="258"/>
      <c r="Y84" s="258"/>
      <c r="Z84" s="258"/>
      <c r="AA84" s="258"/>
      <c r="AB84" s="258"/>
      <c r="AC84" s="258"/>
      <c r="AD84" s="258"/>
      <c r="AE84" s="258"/>
      <c r="AF84" s="258"/>
      <c r="AG84" s="258"/>
      <c r="AH84" s="258"/>
      <c r="AI84" s="258"/>
      <c r="AJ84" s="258"/>
      <c r="AK84" s="258"/>
      <c r="AL84" s="258"/>
      <c r="AM84" s="258"/>
      <c r="AN84" s="258"/>
      <c r="AO84" s="258"/>
      <c r="AP84" s="258"/>
      <c r="AQ84" s="258"/>
      <c r="AR84" s="258"/>
      <c r="AS84" s="258"/>
      <c r="AT84" s="258"/>
      <c r="AU84" s="258"/>
      <c r="AV84" s="258"/>
      <c r="AW84" s="258"/>
      <c r="AX84" s="258"/>
      <c r="AY84" s="258"/>
      <c r="AZ84" s="258"/>
      <c r="BA84" s="258"/>
      <c r="BB84" s="258"/>
      <c r="BC84" s="258"/>
      <c r="BD84" s="258"/>
      <c r="BE84" s="258"/>
      <c r="BF84" s="258"/>
      <c r="BG84" s="258"/>
      <c r="BH84" s="258"/>
      <c r="BI84" s="258"/>
      <c r="BJ84" s="258"/>
      <c r="BK84" s="258"/>
      <c r="BL84" s="258"/>
    </row>
    <row r="85" spans="12:64" ht="16" customHeight="1" x14ac:dyDescent="0.2">
      <c r="L85" s="258"/>
      <c r="M85" s="258"/>
      <c r="N85" s="258"/>
      <c r="O85" s="258"/>
      <c r="T85" s="258"/>
      <c r="U85" s="258"/>
      <c r="V85" s="258"/>
      <c r="W85" s="258"/>
      <c r="X85" s="258"/>
      <c r="Y85" s="258"/>
      <c r="Z85" s="258"/>
      <c r="AA85" s="258"/>
      <c r="AB85" s="258"/>
      <c r="AC85" s="258"/>
      <c r="AD85" s="258"/>
      <c r="AE85" s="258"/>
      <c r="AF85" s="258"/>
      <c r="AG85" s="258"/>
      <c r="AH85" s="258"/>
      <c r="AI85" s="258"/>
      <c r="AJ85" s="258"/>
      <c r="AK85" s="258"/>
      <c r="AL85" s="258"/>
      <c r="AM85" s="258"/>
      <c r="AN85" s="258"/>
      <c r="AO85" s="258"/>
      <c r="AP85" s="258"/>
      <c r="AQ85" s="258"/>
      <c r="AR85" s="258"/>
      <c r="AS85" s="258"/>
      <c r="AT85" s="258"/>
      <c r="AU85" s="258"/>
      <c r="AV85" s="258"/>
      <c r="AW85" s="258"/>
      <c r="AX85" s="258"/>
      <c r="AY85" s="258"/>
      <c r="AZ85" s="258"/>
      <c r="BA85" s="258"/>
      <c r="BB85" s="258"/>
      <c r="BC85" s="258"/>
      <c r="BD85" s="258"/>
      <c r="BE85" s="258"/>
      <c r="BF85" s="258"/>
      <c r="BG85" s="258"/>
      <c r="BH85" s="258"/>
      <c r="BI85" s="258"/>
      <c r="BJ85" s="258"/>
      <c r="BK85" s="258"/>
      <c r="BL85" s="258"/>
    </row>
    <row r="86" spans="12:64" ht="16" customHeight="1" x14ac:dyDescent="0.2">
      <c r="L86" s="258"/>
      <c r="M86" s="258"/>
      <c r="N86" s="258"/>
      <c r="O86" s="258"/>
      <c r="T86" s="258"/>
      <c r="U86" s="258"/>
      <c r="V86" s="258"/>
      <c r="W86" s="258"/>
      <c r="X86" s="258"/>
      <c r="Y86" s="258"/>
      <c r="Z86" s="258"/>
      <c r="AA86" s="258"/>
      <c r="AB86" s="258"/>
      <c r="AC86" s="258"/>
      <c r="AD86" s="258"/>
      <c r="AE86" s="258"/>
      <c r="AF86" s="258"/>
      <c r="AG86" s="258"/>
      <c r="AH86" s="258"/>
      <c r="AI86" s="258"/>
      <c r="AJ86" s="258"/>
      <c r="AK86" s="258"/>
      <c r="AL86" s="258"/>
      <c r="AM86" s="258"/>
      <c r="AN86" s="258"/>
      <c r="AO86" s="258"/>
      <c r="AP86" s="258"/>
      <c r="AQ86" s="258"/>
      <c r="AR86" s="258"/>
      <c r="AS86" s="258"/>
      <c r="AT86" s="258"/>
      <c r="AU86" s="258"/>
      <c r="AV86" s="258"/>
      <c r="AW86" s="258"/>
      <c r="AX86" s="258"/>
      <c r="AY86" s="258"/>
      <c r="AZ86" s="258"/>
      <c r="BA86" s="258"/>
      <c r="BB86" s="258"/>
      <c r="BC86" s="258"/>
      <c r="BD86" s="258"/>
      <c r="BE86" s="258"/>
      <c r="BF86" s="258"/>
      <c r="BG86" s="258"/>
      <c r="BH86" s="258"/>
      <c r="BI86" s="258"/>
      <c r="BJ86" s="258"/>
      <c r="BK86" s="258"/>
      <c r="BL86" s="258"/>
    </row>
    <row r="87" spans="12:64" ht="16" customHeight="1" x14ac:dyDescent="0.2">
      <c r="L87" s="258"/>
      <c r="M87" s="258"/>
      <c r="N87" s="258"/>
      <c r="O87" s="258"/>
      <c r="T87" s="258"/>
      <c r="U87" s="258"/>
      <c r="V87" s="258"/>
      <c r="W87" s="258"/>
      <c r="X87" s="258"/>
      <c r="Y87" s="258"/>
      <c r="Z87" s="258"/>
      <c r="AA87" s="258"/>
      <c r="AB87" s="258"/>
      <c r="AC87" s="258"/>
      <c r="AD87" s="258"/>
      <c r="AE87" s="258"/>
      <c r="AF87" s="258"/>
      <c r="AG87" s="258"/>
      <c r="AH87" s="258"/>
      <c r="AI87" s="258"/>
      <c r="AJ87" s="258"/>
      <c r="AK87" s="258"/>
      <c r="AL87" s="258"/>
      <c r="AM87" s="258"/>
      <c r="AN87" s="258"/>
      <c r="AO87" s="258"/>
      <c r="AP87" s="258"/>
      <c r="AQ87" s="258"/>
      <c r="AR87" s="258"/>
      <c r="AS87" s="258"/>
      <c r="AT87" s="258"/>
      <c r="AU87" s="258"/>
      <c r="AV87" s="258"/>
      <c r="AW87" s="258"/>
      <c r="AX87" s="258"/>
      <c r="AY87" s="258"/>
      <c r="AZ87" s="258"/>
      <c r="BA87" s="258"/>
      <c r="BB87" s="258"/>
      <c r="BC87" s="258"/>
      <c r="BD87" s="258"/>
      <c r="BE87" s="258"/>
      <c r="BF87" s="258"/>
      <c r="BG87" s="258"/>
      <c r="BH87" s="258"/>
      <c r="BI87" s="258"/>
      <c r="BJ87" s="258"/>
      <c r="BK87" s="258"/>
      <c r="BL87" s="258"/>
    </row>
    <row r="88" spans="12:64" ht="16" customHeight="1" x14ac:dyDescent="0.2">
      <c r="L88" s="258"/>
      <c r="M88" s="258"/>
      <c r="N88" s="258"/>
      <c r="O88" s="258"/>
      <c r="T88" s="258"/>
      <c r="U88" s="258"/>
      <c r="V88" s="258"/>
      <c r="W88" s="258"/>
      <c r="X88" s="258"/>
      <c r="Y88" s="258"/>
      <c r="Z88" s="258"/>
      <c r="AA88" s="258"/>
      <c r="AB88" s="258"/>
      <c r="AC88" s="258"/>
      <c r="AD88" s="258"/>
      <c r="AE88" s="258"/>
      <c r="AF88" s="258"/>
      <c r="AG88" s="258"/>
      <c r="AH88" s="258"/>
      <c r="AI88" s="258"/>
      <c r="AJ88" s="258"/>
      <c r="AK88" s="258"/>
      <c r="AL88" s="258"/>
      <c r="AM88" s="258"/>
      <c r="AN88" s="258"/>
      <c r="AO88" s="258"/>
      <c r="AP88" s="258"/>
      <c r="AQ88" s="258"/>
      <c r="AR88" s="258"/>
      <c r="AS88" s="258"/>
      <c r="AT88" s="258"/>
      <c r="AU88" s="258"/>
      <c r="AV88" s="258"/>
      <c r="AW88" s="258"/>
      <c r="AX88" s="258"/>
      <c r="AY88" s="258"/>
      <c r="AZ88" s="258"/>
      <c r="BA88" s="258"/>
      <c r="BB88" s="258"/>
      <c r="BC88" s="258"/>
      <c r="BD88" s="258"/>
      <c r="BE88" s="258"/>
      <c r="BF88" s="258"/>
      <c r="BG88" s="258"/>
      <c r="BH88" s="258"/>
      <c r="BI88" s="258"/>
      <c r="BJ88" s="258"/>
      <c r="BK88" s="258"/>
      <c r="BL88" s="258"/>
    </row>
    <row r="89" spans="12:64" ht="16" customHeight="1" x14ac:dyDescent="0.2">
      <c r="L89" s="258"/>
      <c r="M89" s="258"/>
      <c r="N89" s="258"/>
      <c r="O89" s="258"/>
      <c r="T89" s="258"/>
      <c r="U89" s="258"/>
      <c r="V89" s="258"/>
      <c r="W89" s="258"/>
      <c r="X89" s="258"/>
      <c r="Y89" s="258"/>
      <c r="Z89" s="258"/>
      <c r="AA89" s="258"/>
      <c r="AB89" s="258"/>
      <c r="AC89" s="258"/>
      <c r="AD89" s="258"/>
      <c r="AE89" s="258"/>
      <c r="AF89" s="258"/>
      <c r="AG89" s="258"/>
      <c r="AH89" s="258"/>
      <c r="AI89" s="258"/>
      <c r="AJ89" s="258"/>
      <c r="AK89" s="258"/>
      <c r="AL89" s="258"/>
      <c r="AM89" s="258"/>
      <c r="AN89" s="258"/>
      <c r="AO89" s="258"/>
      <c r="AP89" s="258"/>
      <c r="AQ89" s="258"/>
      <c r="AR89" s="258"/>
      <c r="AS89" s="258"/>
      <c r="AT89" s="258"/>
      <c r="AU89" s="258"/>
      <c r="AV89" s="258"/>
      <c r="AW89" s="258"/>
      <c r="AX89" s="258"/>
      <c r="AY89" s="258"/>
      <c r="AZ89" s="258"/>
      <c r="BA89" s="258"/>
      <c r="BB89" s="258"/>
      <c r="BC89" s="258"/>
      <c r="BD89" s="258"/>
      <c r="BE89" s="258"/>
      <c r="BF89" s="258"/>
      <c r="BG89" s="258"/>
      <c r="BH89" s="258"/>
      <c r="BI89" s="258"/>
      <c r="BJ89" s="258"/>
      <c r="BK89" s="258"/>
      <c r="BL89" s="258"/>
    </row>
    <row r="90" spans="12:64" ht="16" customHeight="1" x14ac:dyDescent="0.2">
      <c r="L90" s="258"/>
      <c r="M90" s="258"/>
      <c r="N90" s="258"/>
      <c r="O90" s="258"/>
      <c r="T90" s="258"/>
      <c r="U90" s="258"/>
      <c r="V90" s="258"/>
      <c r="W90" s="258"/>
      <c r="X90" s="258"/>
      <c r="Y90" s="258"/>
      <c r="Z90" s="258"/>
      <c r="AA90" s="258"/>
      <c r="AB90" s="258"/>
      <c r="AC90" s="258"/>
      <c r="AD90" s="258"/>
      <c r="AE90" s="258"/>
      <c r="AF90" s="258"/>
      <c r="AG90" s="258"/>
      <c r="AH90" s="258"/>
      <c r="AI90" s="258"/>
      <c r="AJ90" s="258"/>
      <c r="AK90" s="258"/>
      <c r="AL90" s="258"/>
      <c r="AM90" s="258"/>
      <c r="AN90" s="258"/>
      <c r="AO90" s="258"/>
      <c r="AP90" s="258"/>
      <c r="AQ90" s="258"/>
      <c r="AR90" s="258"/>
      <c r="AS90" s="258"/>
      <c r="AT90" s="258"/>
      <c r="AU90" s="258"/>
      <c r="AV90" s="258"/>
      <c r="AW90" s="258"/>
      <c r="AX90" s="258"/>
      <c r="AY90" s="258"/>
      <c r="AZ90" s="258"/>
      <c r="BA90" s="258"/>
      <c r="BB90" s="258"/>
      <c r="BC90" s="258"/>
      <c r="BD90" s="258"/>
      <c r="BE90" s="258"/>
      <c r="BF90" s="258"/>
      <c r="BG90" s="258"/>
      <c r="BH90" s="258"/>
      <c r="BI90" s="258"/>
      <c r="BJ90" s="258"/>
      <c r="BK90" s="258"/>
      <c r="BL90" s="258"/>
    </row>
    <row r="91" spans="12:64" ht="16" customHeight="1" x14ac:dyDescent="0.2">
      <c r="L91" s="258"/>
      <c r="M91" s="258"/>
      <c r="N91" s="258"/>
      <c r="O91" s="258"/>
      <c r="T91" s="258"/>
      <c r="U91" s="258"/>
      <c r="V91" s="258"/>
      <c r="W91" s="258"/>
      <c r="X91" s="258"/>
      <c r="Y91" s="258"/>
      <c r="Z91" s="258"/>
      <c r="AA91" s="258"/>
      <c r="AB91" s="258"/>
      <c r="AC91" s="258"/>
      <c r="AD91" s="258"/>
      <c r="AE91" s="258"/>
      <c r="AF91" s="258"/>
      <c r="AG91" s="258"/>
      <c r="AH91" s="258"/>
      <c r="AI91" s="258"/>
      <c r="AJ91" s="258"/>
      <c r="AK91" s="258"/>
      <c r="AL91" s="258"/>
      <c r="AM91" s="258"/>
      <c r="AN91" s="258"/>
      <c r="AO91" s="258"/>
      <c r="AP91" s="258"/>
      <c r="AQ91" s="258"/>
      <c r="AR91" s="258"/>
      <c r="AS91" s="258"/>
      <c r="AT91" s="258"/>
      <c r="AU91" s="258"/>
      <c r="AV91" s="258"/>
      <c r="AW91" s="258"/>
      <c r="AX91" s="258"/>
      <c r="AY91" s="258"/>
      <c r="AZ91" s="258"/>
      <c r="BA91" s="258"/>
      <c r="BB91" s="258"/>
      <c r="BC91" s="258"/>
      <c r="BD91" s="258"/>
      <c r="BE91" s="258"/>
      <c r="BF91" s="258"/>
      <c r="BG91" s="258"/>
      <c r="BH91" s="258"/>
      <c r="BI91" s="258"/>
      <c r="BJ91" s="258"/>
      <c r="BK91" s="258"/>
      <c r="BL91" s="258"/>
    </row>
    <row r="92" spans="12:64" ht="16" customHeight="1" x14ac:dyDescent="0.2">
      <c r="L92" s="258"/>
      <c r="M92" s="258"/>
      <c r="N92" s="258"/>
      <c r="O92" s="258"/>
      <c r="T92" s="258"/>
      <c r="U92" s="258"/>
      <c r="V92" s="258"/>
      <c r="W92" s="258"/>
      <c r="X92" s="258"/>
      <c r="Y92" s="258"/>
      <c r="Z92" s="258"/>
      <c r="AA92" s="258"/>
      <c r="AB92" s="258"/>
      <c r="AC92" s="258"/>
      <c r="AD92" s="258"/>
      <c r="AE92" s="258"/>
      <c r="AF92" s="258"/>
      <c r="AG92" s="258"/>
      <c r="AH92" s="258"/>
      <c r="AI92" s="258"/>
      <c r="AJ92" s="258"/>
      <c r="AK92" s="258"/>
      <c r="AL92" s="258"/>
      <c r="AM92" s="258"/>
      <c r="AN92" s="258"/>
      <c r="AO92" s="258"/>
      <c r="AP92" s="258"/>
      <c r="AQ92" s="258"/>
      <c r="AR92" s="258"/>
      <c r="AS92" s="258"/>
      <c r="AT92" s="258"/>
      <c r="AU92" s="258"/>
      <c r="AV92" s="258"/>
      <c r="AW92" s="258"/>
      <c r="AX92" s="258"/>
      <c r="AY92" s="258"/>
      <c r="AZ92" s="258"/>
      <c r="BA92" s="258"/>
      <c r="BB92" s="258"/>
      <c r="BC92" s="258"/>
      <c r="BD92" s="258"/>
      <c r="BE92" s="258"/>
      <c r="BF92" s="258"/>
      <c r="BG92" s="258"/>
      <c r="BH92" s="258"/>
      <c r="BI92" s="258"/>
      <c r="BJ92" s="258"/>
      <c r="BK92" s="258"/>
      <c r="BL92" s="258"/>
    </row>
    <row r="93" spans="12:64" ht="16" customHeight="1" x14ac:dyDescent="0.2">
      <c r="L93" s="258"/>
      <c r="M93" s="258"/>
      <c r="N93" s="258"/>
      <c r="O93" s="258"/>
      <c r="T93" s="258"/>
      <c r="U93" s="258"/>
      <c r="V93" s="258"/>
      <c r="W93" s="258"/>
      <c r="X93" s="258"/>
      <c r="Y93" s="258"/>
      <c r="Z93" s="258"/>
      <c r="AA93" s="258"/>
      <c r="AB93" s="258"/>
      <c r="AC93" s="258"/>
      <c r="AD93" s="258"/>
      <c r="AE93" s="258"/>
      <c r="AF93" s="258"/>
      <c r="AG93" s="258"/>
      <c r="AH93" s="258"/>
      <c r="AI93" s="258"/>
      <c r="AJ93" s="258"/>
      <c r="AK93" s="258"/>
      <c r="AL93" s="258"/>
      <c r="AM93" s="258"/>
      <c r="AN93" s="258"/>
      <c r="AO93" s="258"/>
      <c r="AP93" s="258"/>
      <c r="AQ93" s="258"/>
      <c r="AR93" s="258"/>
      <c r="AS93" s="258"/>
      <c r="AT93" s="258"/>
      <c r="AU93" s="258"/>
      <c r="AV93" s="258"/>
      <c r="AW93" s="258"/>
      <c r="AX93" s="258"/>
      <c r="AY93" s="258"/>
      <c r="AZ93" s="258"/>
      <c r="BA93" s="258"/>
      <c r="BB93" s="258"/>
      <c r="BC93" s="258"/>
      <c r="BD93" s="258"/>
      <c r="BE93" s="258"/>
      <c r="BF93" s="258"/>
      <c r="BG93" s="258"/>
      <c r="BH93" s="258"/>
      <c r="BI93" s="258"/>
      <c r="BJ93" s="258"/>
      <c r="BK93" s="258"/>
      <c r="BL93" s="258"/>
    </row>
    <row r="94" spans="12:64" ht="16" customHeight="1" x14ac:dyDescent="0.2">
      <c r="L94" s="258"/>
      <c r="N94" s="274"/>
      <c r="T94" s="258"/>
      <c r="U94" s="258"/>
      <c r="V94" s="258"/>
      <c r="W94" s="258"/>
      <c r="X94" s="258"/>
      <c r="Y94" s="258"/>
      <c r="Z94" s="258"/>
      <c r="AA94" s="258"/>
      <c r="AB94" s="258"/>
      <c r="AC94" s="258"/>
      <c r="AD94" s="258"/>
      <c r="AE94" s="258"/>
      <c r="AF94" s="258"/>
      <c r="AG94" s="258"/>
      <c r="AH94" s="258"/>
      <c r="AI94" s="258"/>
      <c r="AJ94" s="258"/>
      <c r="AK94" s="258"/>
      <c r="AL94" s="258"/>
      <c r="AM94" s="258"/>
      <c r="AN94" s="258"/>
      <c r="AO94" s="258"/>
      <c r="AP94" s="258"/>
      <c r="AQ94" s="258"/>
      <c r="AR94" s="258"/>
      <c r="AS94" s="258"/>
      <c r="AT94" s="258"/>
      <c r="AU94" s="258"/>
      <c r="AV94" s="258"/>
      <c r="AW94" s="258"/>
      <c r="AX94" s="258"/>
      <c r="AY94" s="258"/>
      <c r="AZ94" s="258"/>
      <c r="BA94" s="258"/>
      <c r="BB94" s="258"/>
      <c r="BC94" s="258"/>
      <c r="BD94" s="258"/>
      <c r="BE94" s="258"/>
      <c r="BF94" s="258"/>
      <c r="BG94" s="258"/>
      <c r="BH94" s="258"/>
      <c r="BI94" s="258"/>
      <c r="BJ94" s="258"/>
      <c r="BK94" s="258"/>
      <c r="BL94" s="258"/>
    </row>
    <row r="95" spans="12:64" ht="16" customHeight="1" x14ac:dyDescent="0.2">
      <c r="L95" s="258"/>
      <c r="M95" s="258"/>
      <c r="N95" s="258"/>
      <c r="O95" s="258"/>
      <c r="T95" s="258"/>
      <c r="U95" s="258"/>
      <c r="V95" s="258"/>
      <c r="W95" s="258"/>
      <c r="X95" s="258"/>
      <c r="Y95" s="258"/>
      <c r="Z95" s="258"/>
      <c r="AA95" s="258"/>
      <c r="AB95" s="258"/>
      <c r="AC95" s="258"/>
      <c r="AD95" s="258"/>
      <c r="AE95" s="258"/>
      <c r="AF95" s="258"/>
      <c r="AG95" s="258"/>
      <c r="AH95" s="258"/>
      <c r="AI95" s="258"/>
      <c r="AJ95" s="258"/>
      <c r="AK95" s="258"/>
      <c r="AL95" s="258"/>
      <c r="AM95" s="258"/>
      <c r="AN95" s="258"/>
      <c r="AO95" s="258"/>
      <c r="AP95" s="258"/>
      <c r="AQ95" s="258"/>
      <c r="AR95" s="258"/>
      <c r="AS95" s="258"/>
      <c r="AT95" s="258"/>
      <c r="AU95" s="258"/>
      <c r="AV95" s="258"/>
      <c r="AW95" s="258"/>
      <c r="AX95" s="258"/>
      <c r="AY95" s="258"/>
      <c r="AZ95" s="258"/>
      <c r="BA95" s="258"/>
      <c r="BB95" s="258"/>
      <c r="BC95" s="258"/>
      <c r="BD95" s="258"/>
      <c r="BE95" s="258"/>
      <c r="BF95" s="258"/>
      <c r="BG95" s="258"/>
      <c r="BH95" s="258"/>
      <c r="BI95" s="258"/>
      <c r="BJ95" s="258"/>
      <c r="BK95" s="258"/>
      <c r="BL95" s="258"/>
    </row>
    <row r="96" spans="12:64" ht="16" customHeight="1" x14ac:dyDescent="0.2">
      <c r="L96" s="258"/>
      <c r="M96" s="258"/>
      <c r="N96" s="258"/>
      <c r="O96" s="258"/>
      <c r="T96" s="258"/>
      <c r="U96" s="258"/>
      <c r="V96" s="258"/>
      <c r="W96" s="258"/>
      <c r="X96" s="258"/>
      <c r="Y96" s="258"/>
      <c r="Z96" s="258"/>
      <c r="AA96" s="258"/>
      <c r="AB96" s="258"/>
      <c r="AC96" s="258"/>
      <c r="AD96" s="258"/>
      <c r="AE96" s="258"/>
      <c r="AF96" s="258"/>
      <c r="AG96" s="258"/>
      <c r="AH96" s="258"/>
      <c r="AI96" s="258"/>
      <c r="AJ96" s="258"/>
      <c r="AK96" s="258"/>
      <c r="AL96" s="258"/>
      <c r="AM96" s="258"/>
      <c r="AN96" s="258"/>
      <c r="AO96" s="258"/>
      <c r="AP96" s="258"/>
      <c r="AQ96" s="258"/>
      <c r="AR96" s="258"/>
      <c r="AS96" s="258"/>
      <c r="AT96" s="258"/>
      <c r="AU96" s="258"/>
      <c r="AV96" s="258"/>
      <c r="AW96" s="258"/>
      <c r="AX96" s="258"/>
      <c r="AY96" s="258"/>
      <c r="AZ96" s="258"/>
      <c r="BA96" s="258"/>
      <c r="BB96" s="258"/>
      <c r="BC96" s="258"/>
      <c r="BD96" s="258"/>
      <c r="BE96" s="258"/>
      <c r="BF96" s="258"/>
      <c r="BG96" s="258"/>
      <c r="BH96" s="258"/>
      <c r="BI96" s="258"/>
      <c r="BJ96" s="258"/>
      <c r="BK96" s="258"/>
      <c r="BL96" s="258"/>
    </row>
    <row r="97" spans="1:64" ht="16" customHeight="1" x14ac:dyDescent="0.2">
      <c r="L97" s="258"/>
      <c r="M97" s="258"/>
      <c r="N97" s="258"/>
      <c r="O97" s="258"/>
      <c r="T97" s="258"/>
      <c r="U97" s="258"/>
      <c r="V97" s="258"/>
      <c r="W97" s="258"/>
      <c r="X97" s="258"/>
      <c r="Y97" s="258"/>
      <c r="Z97" s="258"/>
      <c r="AA97" s="258"/>
      <c r="AB97" s="258"/>
      <c r="AC97" s="258"/>
      <c r="AD97" s="258"/>
      <c r="AE97" s="258"/>
      <c r="AF97" s="258"/>
      <c r="AG97" s="258"/>
      <c r="AH97" s="258"/>
      <c r="AI97" s="258"/>
      <c r="AJ97" s="258"/>
      <c r="AK97" s="258"/>
      <c r="AL97" s="258"/>
      <c r="AM97" s="258"/>
      <c r="AN97" s="258"/>
      <c r="AO97" s="258"/>
      <c r="AP97" s="258"/>
      <c r="AQ97" s="258"/>
      <c r="AR97" s="258"/>
      <c r="AS97" s="258"/>
      <c r="AT97" s="258"/>
      <c r="AU97" s="258"/>
      <c r="AV97" s="258"/>
      <c r="AW97" s="258"/>
      <c r="AX97" s="258"/>
      <c r="AY97" s="258"/>
      <c r="AZ97" s="258"/>
      <c r="BA97" s="258"/>
      <c r="BB97" s="258"/>
      <c r="BC97" s="258"/>
      <c r="BD97" s="258"/>
      <c r="BE97" s="258"/>
      <c r="BF97" s="258"/>
      <c r="BG97" s="258"/>
      <c r="BH97" s="258"/>
      <c r="BI97" s="258"/>
      <c r="BJ97" s="258"/>
      <c r="BK97" s="258"/>
      <c r="BL97" s="258"/>
    </row>
    <row r="98" spans="1:64" ht="16" customHeight="1" x14ac:dyDescent="0.2">
      <c r="L98" s="258"/>
      <c r="M98" s="258"/>
      <c r="N98" s="258"/>
      <c r="O98" s="258"/>
      <c r="T98" s="258"/>
      <c r="U98" s="258"/>
      <c r="V98" s="258"/>
      <c r="W98" s="258"/>
      <c r="X98" s="258"/>
      <c r="Y98" s="258"/>
      <c r="Z98" s="258"/>
      <c r="AA98" s="258"/>
      <c r="AB98" s="258"/>
      <c r="AC98" s="258"/>
      <c r="AD98" s="258"/>
      <c r="AE98" s="258"/>
      <c r="AF98" s="258"/>
      <c r="AG98" s="258"/>
      <c r="AH98" s="258"/>
      <c r="AI98" s="258"/>
      <c r="AJ98" s="258"/>
      <c r="AK98" s="258"/>
      <c r="AL98" s="258"/>
      <c r="AM98" s="258"/>
      <c r="AN98" s="258"/>
      <c r="AO98" s="258"/>
      <c r="AP98" s="258"/>
      <c r="AQ98" s="258"/>
      <c r="AR98" s="258"/>
      <c r="AS98" s="258"/>
      <c r="AT98" s="258"/>
      <c r="AU98" s="258"/>
      <c r="AV98" s="258"/>
      <c r="AW98" s="258"/>
      <c r="AX98" s="258"/>
      <c r="AY98" s="258"/>
      <c r="AZ98" s="258"/>
      <c r="BA98" s="258"/>
      <c r="BB98" s="258"/>
      <c r="BC98" s="258"/>
      <c r="BD98" s="258"/>
      <c r="BE98" s="258"/>
      <c r="BF98" s="258"/>
      <c r="BG98" s="258"/>
      <c r="BH98" s="258"/>
      <c r="BI98" s="258"/>
      <c r="BJ98" s="258"/>
      <c r="BK98" s="258"/>
      <c r="BL98" s="258"/>
    </row>
    <row r="99" spans="1:64" ht="16" customHeight="1" x14ac:dyDescent="0.2">
      <c r="L99" s="258"/>
      <c r="M99" s="258"/>
      <c r="N99" s="258"/>
      <c r="O99" s="258"/>
      <c r="T99" s="258"/>
      <c r="U99" s="258"/>
      <c r="V99" s="258"/>
      <c r="W99" s="258"/>
      <c r="X99" s="258"/>
      <c r="Y99" s="258"/>
      <c r="Z99" s="258"/>
      <c r="AA99" s="258"/>
      <c r="AB99" s="258"/>
      <c r="AC99" s="258"/>
      <c r="AD99" s="258"/>
      <c r="AE99" s="258"/>
      <c r="AF99" s="258"/>
      <c r="AG99" s="258"/>
      <c r="AH99" s="258"/>
      <c r="AI99" s="258"/>
      <c r="AJ99" s="258"/>
      <c r="AK99" s="258"/>
      <c r="AL99" s="258"/>
      <c r="AM99" s="258"/>
      <c r="AN99" s="258"/>
      <c r="AO99" s="258"/>
      <c r="AP99" s="258"/>
      <c r="AQ99" s="258"/>
      <c r="AR99" s="258"/>
      <c r="AS99" s="258"/>
      <c r="AT99" s="258"/>
      <c r="AU99" s="258"/>
      <c r="AV99" s="258"/>
      <c r="AW99" s="258"/>
      <c r="AX99" s="258"/>
      <c r="AY99" s="258"/>
      <c r="AZ99" s="258"/>
      <c r="BA99" s="258"/>
      <c r="BB99" s="258"/>
      <c r="BC99" s="258"/>
      <c r="BD99" s="258"/>
      <c r="BE99" s="258"/>
      <c r="BF99" s="258"/>
      <c r="BG99" s="258"/>
      <c r="BH99" s="258"/>
      <c r="BI99" s="258"/>
      <c r="BJ99" s="258"/>
      <c r="BK99" s="258"/>
      <c r="BL99" s="258"/>
    </row>
    <row r="100" spans="1:64" ht="16" customHeight="1" x14ac:dyDescent="0.2">
      <c r="L100" s="258"/>
      <c r="M100" s="258"/>
      <c r="N100" s="258"/>
      <c r="O100" s="258"/>
      <c r="T100" s="258"/>
      <c r="U100" s="258"/>
      <c r="V100" s="258"/>
      <c r="W100" s="258"/>
      <c r="X100" s="258"/>
      <c r="Y100" s="258"/>
      <c r="Z100" s="258"/>
      <c r="AA100" s="258"/>
      <c r="AB100" s="258"/>
      <c r="AC100" s="258"/>
      <c r="AD100" s="258"/>
      <c r="AE100" s="258"/>
      <c r="AF100" s="258"/>
      <c r="AG100" s="258"/>
      <c r="AH100" s="258"/>
      <c r="AI100" s="258"/>
      <c r="AJ100" s="258"/>
      <c r="AK100" s="258"/>
      <c r="AL100" s="258"/>
      <c r="AM100" s="258"/>
      <c r="AN100" s="258"/>
      <c r="AO100" s="258"/>
      <c r="AP100" s="258"/>
      <c r="AQ100" s="258"/>
      <c r="AR100" s="258"/>
      <c r="AS100" s="258"/>
      <c r="AT100" s="258"/>
      <c r="AU100" s="258"/>
      <c r="AV100" s="258"/>
      <c r="AW100" s="258"/>
      <c r="AX100" s="258"/>
      <c r="AY100" s="258"/>
      <c r="AZ100" s="258"/>
      <c r="BA100" s="258"/>
      <c r="BB100" s="258"/>
      <c r="BC100" s="258"/>
      <c r="BD100" s="258"/>
      <c r="BE100" s="258"/>
      <c r="BF100" s="258"/>
      <c r="BG100" s="258"/>
      <c r="BH100" s="258"/>
      <c r="BI100" s="258"/>
      <c r="BJ100" s="258"/>
      <c r="BK100" s="258"/>
      <c r="BL100" s="258"/>
    </row>
    <row r="101" spans="1:64" ht="16" customHeight="1" x14ac:dyDescent="0.2">
      <c r="L101" s="258"/>
      <c r="M101" s="258"/>
      <c r="N101" s="258"/>
      <c r="O101" s="258"/>
      <c r="T101" s="258"/>
      <c r="U101" s="258"/>
      <c r="V101" s="258"/>
      <c r="W101" s="258"/>
      <c r="X101" s="258"/>
      <c r="Y101" s="258"/>
      <c r="Z101" s="258"/>
      <c r="AA101" s="258"/>
      <c r="AB101" s="258"/>
      <c r="AC101" s="258"/>
      <c r="AD101" s="258"/>
      <c r="AE101" s="258"/>
      <c r="AF101" s="258"/>
      <c r="AG101" s="258"/>
      <c r="AH101" s="258"/>
      <c r="AI101" s="258"/>
      <c r="AJ101" s="258"/>
      <c r="AK101" s="258"/>
      <c r="AL101" s="258"/>
      <c r="AM101" s="258"/>
      <c r="AN101" s="258"/>
      <c r="AO101" s="258"/>
      <c r="AP101" s="258"/>
      <c r="AQ101" s="258"/>
      <c r="AR101" s="258"/>
      <c r="AS101" s="258"/>
      <c r="AT101" s="258"/>
      <c r="AU101" s="258"/>
      <c r="AV101" s="258"/>
      <c r="AW101" s="258"/>
      <c r="AX101" s="258"/>
      <c r="AY101" s="258"/>
      <c r="AZ101" s="258"/>
      <c r="BA101" s="258"/>
      <c r="BB101" s="258"/>
      <c r="BC101" s="258"/>
      <c r="BD101" s="258"/>
      <c r="BE101" s="258"/>
      <c r="BF101" s="258"/>
      <c r="BG101" s="258"/>
      <c r="BH101" s="258"/>
      <c r="BI101" s="258"/>
      <c r="BJ101" s="258"/>
      <c r="BK101" s="258"/>
      <c r="BL101" s="258"/>
    </row>
    <row r="102" spans="1:64" ht="16" customHeight="1" x14ac:dyDescent="0.2">
      <c r="L102" s="258"/>
      <c r="M102" s="258"/>
      <c r="N102" s="258"/>
      <c r="O102" s="258"/>
      <c r="T102" s="258"/>
      <c r="U102" s="258"/>
      <c r="V102" s="258"/>
      <c r="W102" s="258"/>
      <c r="X102" s="258"/>
      <c r="Y102" s="258"/>
      <c r="Z102" s="258"/>
      <c r="AA102" s="258"/>
      <c r="AB102" s="258"/>
      <c r="AC102" s="258"/>
      <c r="AD102" s="258"/>
      <c r="AE102" s="258"/>
      <c r="AF102" s="258"/>
      <c r="AG102" s="258"/>
      <c r="AH102" s="258"/>
      <c r="AI102" s="258"/>
      <c r="AJ102" s="258"/>
      <c r="AK102" s="258"/>
      <c r="AL102" s="258"/>
      <c r="AM102" s="258"/>
      <c r="AN102" s="258"/>
      <c r="AO102" s="258"/>
      <c r="AP102" s="258"/>
      <c r="AQ102" s="258"/>
      <c r="AR102" s="258"/>
      <c r="AS102" s="258"/>
      <c r="AT102" s="258"/>
      <c r="AU102" s="258"/>
      <c r="AV102" s="258"/>
      <c r="AW102" s="258"/>
      <c r="AX102" s="258"/>
      <c r="AY102" s="258"/>
      <c r="AZ102" s="258"/>
      <c r="BA102" s="258"/>
      <c r="BB102" s="258"/>
      <c r="BC102" s="258"/>
      <c r="BD102" s="258"/>
      <c r="BE102" s="258"/>
      <c r="BF102" s="258"/>
      <c r="BG102" s="258"/>
      <c r="BH102" s="258"/>
      <c r="BI102" s="258"/>
      <c r="BJ102" s="258"/>
      <c r="BK102" s="258"/>
      <c r="BL102" s="258"/>
    </row>
    <row r="103" spans="1:64" ht="16" customHeight="1" x14ac:dyDescent="0.2">
      <c r="A103" s="258"/>
      <c r="B103" s="258"/>
      <c r="C103" s="258"/>
      <c r="D103" s="258"/>
      <c r="E103" s="258"/>
      <c r="F103" s="258"/>
      <c r="G103" s="258"/>
      <c r="H103" s="258"/>
      <c r="I103" s="258"/>
      <c r="J103" s="258"/>
      <c r="K103" s="258"/>
      <c r="L103" s="258"/>
      <c r="M103" s="258"/>
      <c r="N103" s="258"/>
      <c r="O103" s="258"/>
      <c r="T103" s="258"/>
      <c r="U103" s="258"/>
      <c r="V103" s="258"/>
      <c r="W103" s="258"/>
      <c r="X103" s="258"/>
      <c r="Y103" s="258"/>
      <c r="Z103" s="258"/>
      <c r="AA103" s="258"/>
      <c r="AB103" s="258"/>
      <c r="AC103" s="258"/>
      <c r="AD103" s="258"/>
      <c r="AE103" s="258"/>
      <c r="AF103" s="258"/>
      <c r="AG103" s="258"/>
      <c r="AH103" s="258"/>
      <c r="AI103" s="258"/>
      <c r="AJ103" s="258"/>
      <c r="AK103" s="258"/>
      <c r="AL103" s="258"/>
      <c r="AM103" s="258"/>
      <c r="AN103" s="258"/>
      <c r="AO103" s="258"/>
      <c r="AP103" s="258"/>
      <c r="AQ103" s="258"/>
      <c r="AR103" s="258"/>
      <c r="AS103" s="258"/>
      <c r="AT103" s="258"/>
      <c r="AU103" s="258"/>
      <c r="AV103" s="258"/>
      <c r="AW103" s="258"/>
      <c r="AX103" s="258"/>
      <c r="AY103" s="258"/>
      <c r="AZ103" s="258"/>
      <c r="BA103" s="258"/>
      <c r="BB103" s="258"/>
      <c r="BC103" s="258"/>
      <c r="BD103" s="258"/>
      <c r="BE103" s="258"/>
      <c r="BF103" s="258"/>
      <c r="BG103" s="258"/>
      <c r="BH103" s="258"/>
      <c r="BI103" s="258"/>
      <c r="BJ103" s="258"/>
      <c r="BK103" s="258"/>
      <c r="BL103" s="258"/>
    </row>
    <row r="104" spans="1:64" ht="16" customHeight="1" x14ac:dyDescent="0.2">
      <c r="A104" s="258"/>
      <c r="B104" s="258"/>
      <c r="C104" s="258"/>
      <c r="D104" s="258"/>
      <c r="E104" s="258"/>
      <c r="F104" s="258"/>
      <c r="G104" s="258"/>
      <c r="H104" s="258"/>
      <c r="I104" s="258"/>
      <c r="J104" s="258"/>
      <c r="K104" s="258"/>
      <c r="L104" s="258"/>
      <c r="N104" s="274"/>
      <c r="T104" s="258"/>
      <c r="U104" s="258"/>
      <c r="V104" s="258"/>
      <c r="W104" s="258"/>
      <c r="X104" s="258"/>
      <c r="Y104" s="258"/>
      <c r="Z104" s="258"/>
      <c r="AA104" s="258"/>
      <c r="AB104" s="258"/>
      <c r="AC104" s="258"/>
      <c r="AD104" s="258"/>
      <c r="AE104" s="258"/>
      <c r="AF104" s="258"/>
      <c r="AG104" s="258"/>
      <c r="AH104" s="258"/>
      <c r="AI104" s="258"/>
      <c r="AJ104" s="258"/>
      <c r="AK104" s="258"/>
      <c r="AL104" s="258"/>
      <c r="AM104" s="258"/>
      <c r="AN104" s="258"/>
      <c r="AO104" s="258"/>
      <c r="AP104" s="258"/>
      <c r="AQ104" s="258"/>
      <c r="AR104" s="258"/>
      <c r="AS104" s="258"/>
      <c r="AT104" s="258"/>
      <c r="AU104" s="258"/>
      <c r="AV104" s="258"/>
      <c r="AW104" s="258"/>
      <c r="AX104" s="258"/>
      <c r="AY104" s="258"/>
      <c r="AZ104" s="258"/>
      <c r="BA104" s="258"/>
      <c r="BB104" s="258"/>
      <c r="BC104" s="258"/>
      <c r="BD104" s="258"/>
      <c r="BE104" s="258"/>
      <c r="BF104" s="258"/>
      <c r="BG104" s="258"/>
      <c r="BH104" s="258"/>
      <c r="BI104" s="258"/>
      <c r="BJ104" s="258"/>
      <c r="BK104" s="258"/>
      <c r="BL104" s="258"/>
    </row>
    <row r="105" spans="1:64" ht="16" customHeight="1" x14ac:dyDescent="0.2">
      <c r="A105" s="258"/>
      <c r="B105" s="258"/>
      <c r="C105" s="258"/>
      <c r="D105" s="258"/>
      <c r="E105" s="258"/>
      <c r="F105" s="258"/>
      <c r="G105" s="258"/>
      <c r="H105" s="258"/>
      <c r="I105" s="258"/>
      <c r="J105" s="258"/>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row>
    <row r="106" spans="1:64" ht="16" customHeight="1" x14ac:dyDescent="0.2">
      <c r="A106" s="258"/>
      <c r="B106" s="258"/>
      <c r="C106" s="258"/>
      <c r="D106" s="258"/>
      <c r="E106" s="258"/>
      <c r="F106" s="258"/>
      <c r="G106" s="258"/>
      <c r="H106" s="258"/>
      <c r="I106" s="258"/>
      <c r="J106" s="258"/>
      <c r="K106" s="258"/>
      <c r="L106" s="258"/>
      <c r="M106" s="258"/>
      <c r="N106" s="258"/>
      <c r="O106" s="258"/>
      <c r="P106" s="258"/>
      <c r="Q106" s="258"/>
      <c r="R106" s="258"/>
      <c r="S106" s="258"/>
      <c r="T106" s="258"/>
      <c r="U106" s="258"/>
      <c r="V106" s="258"/>
      <c r="W106" s="258"/>
      <c r="X106" s="258"/>
      <c r="Y106" s="258"/>
      <c r="Z106" s="258"/>
      <c r="AA106" s="258"/>
      <c r="AB106" s="258"/>
      <c r="AC106" s="258"/>
      <c r="AD106" s="258"/>
      <c r="AE106" s="258"/>
      <c r="AF106" s="258"/>
      <c r="AG106" s="258"/>
      <c r="AH106" s="258"/>
      <c r="AI106" s="258"/>
      <c r="AJ106" s="258"/>
      <c r="AK106" s="258"/>
      <c r="AL106" s="258"/>
      <c r="AM106" s="258"/>
      <c r="AN106" s="258"/>
      <c r="AO106" s="258"/>
      <c r="AP106" s="258"/>
      <c r="AQ106" s="258"/>
      <c r="AR106" s="258"/>
      <c r="AS106" s="258"/>
      <c r="AT106" s="258"/>
      <c r="AU106" s="258"/>
      <c r="AV106" s="258"/>
      <c r="AW106" s="258"/>
      <c r="AX106" s="258"/>
      <c r="AY106" s="258"/>
      <c r="AZ106" s="258"/>
      <c r="BA106" s="258"/>
      <c r="BB106" s="258"/>
      <c r="BC106" s="258"/>
      <c r="BD106" s="258"/>
      <c r="BE106" s="258"/>
      <c r="BF106" s="258"/>
      <c r="BG106" s="258"/>
      <c r="BH106" s="258"/>
      <c r="BI106" s="258"/>
      <c r="BJ106" s="258"/>
      <c r="BK106" s="258"/>
      <c r="BL106" s="258"/>
    </row>
    <row r="107" spans="1:64" ht="16" customHeight="1" x14ac:dyDescent="0.2">
      <c r="A107" s="258"/>
      <c r="B107" s="258"/>
      <c r="C107" s="258"/>
      <c r="D107" s="258"/>
      <c r="E107" s="258"/>
      <c r="F107" s="258"/>
      <c r="G107" s="258"/>
      <c r="H107" s="258"/>
      <c r="I107" s="258"/>
      <c r="J107" s="258"/>
      <c r="K107" s="258"/>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J107" s="258"/>
      <c r="AK107" s="258"/>
      <c r="AL107" s="258"/>
      <c r="AM107" s="258"/>
      <c r="AN107" s="258"/>
      <c r="AO107" s="258"/>
      <c r="AP107" s="258"/>
      <c r="AQ107" s="258"/>
      <c r="AR107" s="258"/>
      <c r="AS107" s="258"/>
      <c r="AT107" s="258"/>
      <c r="AU107" s="258"/>
      <c r="AV107" s="258"/>
      <c r="AW107" s="258"/>
      <c r="AX107" s="258"/>
      <c r="AY107" s="258"/>
      <c r="AZ107" s="258"/>
      <c r="BA107" s="258"/>
      <c r="BB107" s="258"/>
      <c r="BC107" s="258"/>
      <c r="BD107" s="258"/>
      <c r="BE107" s="258"/>
      <c r="BF107" s="258"/>
      <c r="BG107" s="258"/>
      <c r="BH107" s="258"/>
      <c r="BI107" s="258"/>
      <c r="BJ107" s="258"/>
      <c r="BK107" s="258"/>
      <c r="BL107" s="258"/>
    </row>
    <row r="108" spans="1:64" ht="16" customHeight="1" x14ac:dyDescent="0.2">
      <c r="A108" s="258"/>
      <c r="B108" s="258"/>
      <c r="C108" s="258"/>
      <c r="D108" s="258"/>
      <c r="E108" s="258"/>
      <c r="F108" s="258"/>
      <c r="G108" s="258"/>
      <c r="H108" s="258"/>
      <c r="I108" s="258"/>
      <c r="J108" s="258"/>
      <c r="K108" s="258"/>
      <c r="L108" s="258"/>
      <c r="M108" s="258"/>
      <c r="N108" s="258"/>
      <c r="O108" s="258"/>
      <c r="P108" s="258"/>
      <c r="Q108" s="258"/>
      <c r="R108" s="258"/>
      <c r="S108" s="258"/>
      <c r="T108" s="258"/>
      <c r="U108" s="258"/>
      <c r="V108" s="258"/>
      <c r="W108" s="258"/>
      <c r="X108" s="258"/>
      <c r="Y108" s="258"/>
      <c r="Z108" s="258"/>
      <c r="AA108" s="258"/>
      <c r="AB108" s="258"/>
      <c r="AC108" s="258"/>
      <c r="AD108" s="258"/>
      <c r="AE108" s="258"/>
      <c r="AF108" s="258"/>
      <c r="AG108" s="258"/>
      <c r="AH108" s="258"/>
      <c r="AI108" s="258"/>
      <c r="AJ108" s="258"/>
      <c r="AK108" s="258"/>
      <c r="AL108" s="258"/>
      <c r="AM108" s="258"/>
      <c r="AN108" s="258"/>
      <c r="AO108" s="258"/>
      <c r="AP108" s="258"/>
      <c r="AQ108" s="258"/>
      <c r="AR108" s="258"/>
      <c r="AS108" s="258"/>
      <c r="AT108" s="258"/>
      <c r="AU108" s="258"/>
      <c r="AV108" s="258"/>
      <c r="AW108" s="258"/>
      <c r="AX108" s="258"/>
      <c r="AY108" s="258"/>
      <c r="AZ108" s="258"/>
      <c r="BA108" s="258"/>
      <c r="BB108" s="258"/>
      <c r="BC108" s="258"/>
      <c r="BD108" s="258"/>
      <c r="BE108" s="258"/>
      <c r="BF108" s="258"/>
      <c r="BG108" s="258"/>
      <c r="BH108" s="258"/>
      <c r="BI108" s="258"/>
      <c r="BJ108" s="258"/>
      <c r="BK108" s="258"/>
      <c r="BL108" s="258"/>
    </row>
    <row r="109" spans="1:64" ht="16" customHeight="1" x14ac:dyDescent="0.2">
      <c r="A109" s="258"/>
      <c r="B109" s="258"/>
      <c r="C109" s="258"/>
      <c r="D109" s="258"/>
      <c r="E109" s="258"/>
      <c r="F109" s="258"/>
      <c r="G109" s="258"/>
      <c r="H109" s="258"/>
      <c r="I109" s="258"/>
      <c r="J109" s="258"/>
      <c r="K109" s="258"/>
      <c r="L109" s="258"/>
      <c r="M109" s="258"/>
      <c r="N109" s="258"/>
      <c r="O109" s="258"/>
      <c r="P109" s="258"/>
      <c r="Q109" s="258"/>
      <c r="R109" s="258"/>
      <c r="S109" s="258"/>
      <c r="T109" s="258"/>
      <c r="U109" s="258"/>
      <c r="V109" s="258"/>
      <c r="W109" s="258"/>
      <c r="X109" s="258"/>
      <c r="Y109" s="258"/>
      <c r="Z109" s="258"/>
      <c r="AA109" s="258"/>
      <c r="AB109" s="258"/>
      <c r="AC109" s="258"/>
      <c r="AD109" s="258"/>
      <c r="AE109" s="258"/>
      <c r="AF109" s="258"/>
      <c r="AG109" s="258"/>
      <c r="AH109" s="258"/>
      <c r="AI109" s="258"/>
      <c r="AJ109" s="258"/>
      <c r="AK109" s="258"/>
      <c r="AL109" s="258"/>
      <c r="AM109" s="258"/>
      <c r="AN109" s="258"/>
      <c r="AO109" s="258"/>
      <c r="AP109" s="258"/>
      <c r="AQ109" s="258"/>
      <c r="AR109" s="258"/>
      <c r="AS109" s="258"/>
      <c r="AT109" s="258"/>
      <c r="AU109" s="258"/>
      <c r="AV109" s="258"/>
      <c r="AW109" s="258"/>
      <c r="AX109" s="258"/>
      <c r="AY109" s="258"/>
      <c r="AZ109" s="258"/>
      <c r="BA109" s="258"/>
      <c r="BB109" s="258"/>
      <c r="BC109" s="258"/>
      <c r="BD109" s="258"/>
      <c r="BE109" s="258"/>
      <c r="BF109" s="258"/>
      <c r="BG109" s="258"/>
      <c r="BH109" s="258"/>
      <c r="BI109" s="258"/>
      <c r="BJ109" s="258"/>
      <c r="BK109" s="258"/>
      <c r="BL109" s="258"/>
    </row>
    <row r="110" spans="1:64" ht="16" customHeight="1" x14ac:dyDescent="0.2">
      <c r="A110" s="258"/>
      <c r="B110" s="258"/>
      <c r="C110" s="258"/>
      <c r="D110" s="2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58"/>
      <c r="AF110" s="258"/>
      <c r="AG110" s="258"/>
      <c r="AH110" s="258"/>
      <c r="AI110" s="258"/>
      <c r="AJ110" s="258"/>
      <c r="AK110" s="258"/>
      <c r="AL110" s="258"/>
      <c r="AM110" s="258"/>
      <c r="AN110" s="258"/>
      <c r="AO110" s="258"/>
      <c r="AP110" s="258"/>
      <c r="AQ110" s="258"/>
      <c r="AR110" s="258"/>
      <c r="AS110" s="258"/>
      <c r="AT110" s="258"/>
      <c r="AU110" s="258"/>
      <c r="AV110" s="258"/>
      <c r="AW110" s="258"/>
      <c r="AX110" s="258"/>
      <c r="AY110" s="258"/>
      <c r="AZ110" s="258"/>
      <c r="BA110" s="258"/>
      <c r="BB110" s="258"/>
      <c r="BC110" s="258"/>
      <c r="BD110" s="258"/>
      <c r="BE110" s="258"/>
      <c r="BF110" s="258"/>
      <c r="BG110" s="258"/>
      <c r="BH110" s="258"/>
      <c r="BI110" s="258"/>
      <c r="BJ110" s="258"/>
      <c r="BK110" s="258"/>
      <c r="BL110" s="258"/>
    </row>
    <row r="111" spans="1:64" ht="16" customHeight="1" x14ac:dyDescent="0.2">
      <c r="A111" s="258"/>
      <c r="B111" s="258"/>
      <c r="C111" s="258"/>
      <c r="D111" s="258"/>
      <c r="E111" s="258"/>
      <c r="F111" s="258"/>
      <c r="G111" s="258"/>
      <c r="H111" s="258"/>
      <c r="I111" s="258"/>
      <c r="J111" s="258"/>
      <c r="K111" s="258"/>
      <c r="L111" s="258"/>
      <c r="M111" s="258"/>
      <c r="N111" s="258"/>
      <c r="O111" s="258"/>
      <c r="P111" s="258"/>
      <c r="Q111" s="258"/>
      <c r="R111" s="258"/>
      <c r="S111" s="258"/>
      <c r="T111" s="258"/>
      <c r="U111" s="258"/>
      <c r="V111" s="258"/>
      <c r="W111" s="258"/>
      <c r="X111" s="258"/>
      <c r="Y111" s="258"/>
      <c r="Z111" s="258"/>
      <c r="AA111" s="258"/>
      <c r="AB111" s="258"/>
      <c r="AC111" s="258"/>
      <c r="AD111" s="258"/>
      <c r="AE111" s="258"/>
      <c r="AF111" s="258"/>
      <c r="AG111" s="258"/>
      <c r="AH111" s="258"/>
      <c r="AI111" s="258"/>
      <c r="AJ111" s="258"/>
      <c r="AK111" s="258"/>
      <c r="AL111" s="258"/>
      <c r="AM111" s="258"/>
      <c r="AN111" s="258"/>
      <c r="AO111" s="258"/>
      <c r="AP111" s="258"/>
      <c r="AQ111" s="258"/>
      <c r="AR111" s="258"/>
      <c r="AS111" s="258"/>
      <c r="AT111" s="258"/>
      <c r="AU111" s="258"/>
      <c r="AV111" s="258"/>
      <c r="AW111" s="258"/>
      <c r="AX111" s="258"/>
      <c r="AY111" s="258"/>
      <c r="AZ111" s="258"/>
      <c r="BA111" s="258"/>
      <c r="BB111" s="258"/>
      <c r="BC111" s="258"/>
      <c r="BD111" s="258"/>
      <c r="BE111" s="258"/>
      <c r="BF111" s="258"/>
      <c r="BG111" s="258"/>
      <c r="BH111" s="258"/>
      <c r="BI111" s="258"/>
      <c r="BJ111" s="258"/>
      <c r="BK111" s="258"/>
      <c r="BL111" s="258"/>
    </row>
    <row r="112" spans="1:64" ht="16" customHeight="1" x14ac:dyDescent="0.2">
      <c r="A112" s="258"/>
      <c r="B112" s="258"/>
      <c r="C112" s="258"/>
      <c r="D112" s="258"/>
      <c r="E112" s="258"/>
      <c r="F112" s="258"/>
      <c r="G112" s="258"/>
      <c r="H112" s="258"/>
      <c r="I112" s="258"/>
      <c r="J112" s="258"/>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8"/>
      <c r="AH112" s="258"/>
      <c r="AI112" s="258"/>
      <c r="AJ112" s="258"/>
      <c r="AK112" s="258"/>
      <c r="AL112" s="258"/>
      <c r="AM112" s="258"/>
      <c r="AN112" s="258"/>
      <c r="AO112" s="258"/>
      <c r="AP112" s="258"/>
      <c r="AQ112" s="258"/>
      <c r="AR112" s="258"/>
      <c r="AS112" s="258"/>
      <c r="AT112" s="258"/>
      <c r="AU112" s="258"/>
      <c r="AV112" s="258"/>
      <c r="AW112" s="258"/>
      <c r="AX112" s="258"/>
      <c r="AY112" s="258"/>
      <c r="AZ112" s="258"/>
      <c r="BA112" s="258"/>
      <c r="BB112" s="258"/>
      <c r="BC112" s="258"/>
      <c r="BD112" s="258"/>
      <c r="BE112" s="258"/>
      <c r="BF112" s="258"/>
      <c r="BG112" s="258"/>
      <c r="BH112" s="258"/>
      <c r="BI112" s="258"/>
      <c r="BJ112" s="258"/>
      <c r="BK112" s="258"/>
      <c r="BL112" s="258"/>
    </row>
    <row r="113" spans="1:64" ht="16" customHeight="1" x14ac:dyDescent="0.2">
      <c r="A113" s="258"/>
      <c r="B113" s="258"/>
      <c r="C113" s="258"/>
      <c r="D113" s="258"/>
      <c r="E113" s="258"/>
      <c r="F113" s="258"/>
      <c r="G113" s="258"/>
      <c r="H113" s="258"/>
      <c r="I113" s="258"/>
      <c r="J113" s="258"/>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8"/>
      <c r="AH113" s="258"/>
      <c r="AI113" s="258"/>
      <c r="AJ113" s="258"/>
      <c r="AK113" s="258"/>
      <c r="AL113" s="258"/>
      <c r="AM113" s="258"/>
      <c r="AN113" s="258"/>
      <c r="AO113" s="258"/>
      <c r="AP113" s="258"/>
      <c r="AQ113" s="258"/>
      <c r="AR113" s="258"/>
      <c r="AS113" s="258"/>
      <c r="AT113" s="258"/>
      <c r="AU113" s="258"/>
      <c r="AV113" s="258"/>
      <c r="AW113" s="258"/>
      <c r="AX113" s="258"/>
      <c r="AY113" s="258"/>
      <c r="AZ113" s="258"/>
      <c r="BA113" s="258"/>
      <c r="BB113" s="258"/>
      <c r="BC113" s="258"/>
      <c r="BD113" s="258"/>
      <c r="BE113" s="258"/>
      <c r="BF113" s="258"/>
      <c r="BG113" s="258"/>
      <c r="BH113" s="258"/>
      <c r="BI113" s="258"/>
      <c r="BJ113" s="258"/>
      <c r="BK113" s="258"/>
      <c r="BL113" s="258"/>
    </row>
    <row r="114" spans="1:64" ht="16" customHeight="1" x14ac:dyDescent="0.2">
      <c r="A114" s="258"/>
      <c r="B114" s="258"/>
      <c r="C114" s="258"/>
      <c r="D114" s="258"/>
      <c r="E114" s="258"/>
      <c r="F114" s="258"/>
      <c r="G114" s="258"/>
      <c r="H114" s="258"/>
      <c r="I114" s="258"/>
      <c r="J114" s="258"/>
      <c r="K114" s="258"/>
      <c r="L114" s="258"/>
      <c r="M114" s="258"/>
      <c r="N114" s="258"/>
      <c r="O114" s="258"/>
      <c r="P114" s="258"/>
      <c r="Q114" s="258"/>
      <c r="R114" s="258"/>
      <c r="S114" s="258"/>
      <c r="T114" s="258"/>
      <c r="U114" s="258"/>
      <c r="V114" s="258"/>
      <c r="W114" s="258"/>
      <c r="X114" s="258"/>
      <c r="Y114" s="258"/>
      <c r="Z114" s="258"/>
      <c r="AA114" s="258"/>
      <c r="AB114" s="258"/>
      <c r="AC114" s="258"/>
      <c r="AD114" s="258"/>
      <c r="AE114" s="258"/>
      <c r="AF114" s="258"/>
      <c r="AG114" s="258"/>
      <c r="AH114" s="258"/>
      <c r="AI114" s="258"/>
      <c r="AJ114" s="258"/>
      <c r="AK114" s="258"/>
      <c r="AL114" s="258"/>
      <c r="AM114" s="258"/>
      <c r="AN114" s="258"/>
      <c r="AO114" s="258"/>
      <c r="AP114" s="258"/>
      <c r="AQ114" s="258"/>
      <c r="AR114" s="258"/>
      <c r="AS114" s="258"/>
      <c r="AT114" s="258"/>
      <c r="AU114" s="258"/>
      <c r="AV114" s="258"/>
      <c r="AW114" s="258"/>
      <c r="AX114" s="258"/>
      <c r="AY114" s="258"/>
      <c r="AZ114" s="258"/>
      <c r="BA114" s="258"/>
      <c r="BB114" s="258"/>
      <c r="BC114" s="258"/>
      <c r="BD114" s="258"/>
      <c r="BE114" s="258"/>
      <c r="BF114" s="258"/>
      <c r="BG114" s="258"/>
      <c r="BH114" s="258"/>
      <c r="BI114" s="258"/>
      <c r="BJ114" s="258"/>
      <c r="BK114" s="258"/>
      <c r="BL114" s="258"/>
    </row>
    <row r="115" spans="1:64" ht="16" customHeight="1" x14ac:dyDescent="0.2">
      <c r="A115" s="258"/>
      <c r="B115" s="258"/>
      <c r="C115" s="258"/>
      <c r="D115" s="258"/>
      <c r="E115" s="258"/>
      <c r="F115" s="258"/>
      <c r="G115" s="258"/>
      <c r="H115" s="258"/>
      <c r="I115" s="258"/>
      <c r="J115" s="258"/>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8"/>
      <c r="AH115" s="258"/>
      <c r="AI115" s="258"/>
      <c r="AJ115" s="258"/>
      <c r="AK115" s="258"/>
      <c r="AL115" s="258"/>
      <c r="AM115" s="258"/>
      <c r="AN115" s="258"/>
      <c r="AO115" s="258"/>
      <c r="AP115" s="258"/>
      <c r="AQ115" s="258"/>
      <c r="AR115" s="258"/>
      <c r="AS115" s="258"/>
      <c r="AT115" s="258"/>
      <c r="AU115" s="258"/>
      <c r="AV115" s="258"/>
      <c r="AW115" s="258"/>
      <c r="AX115" s="258"/>
      <c r="AY115" s="258"/>
      <c r="AZ115" s="258"/>
      <c r="BA115" s="258"/>
      <c r="BB115" s="258"/>
      <c r="BC115" s="258"/>
      <c r="BD115" s="258"/>
      <c r="BE115" s="258"/>
      <c r="BF115" s="258"/>
      <c r="BG115" s="258"/>
      <c r="BH115" s="258"/>
      <c r="BI115" s="258"/>
      <c r="BJ115" s="258"/>
      <c r="BK115" s="258"/>
      <c r="BL115" s="258"/>
    </row>
    <row r="116" spans="1:64" ht="16" customHeight="1" x14ac:dyDescent="0.2">
      <c r="A116" s="258"/>
      <c r="B116" s="258"/>
      <c r="C116" s="258"/>
      <c r="D116" s="258"/>
      <c r="E116" s="258"/>
      <c r="F116" s="258"/>
      <c r="G116" s="258"/>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8"/>
      <c r="AH116" s="258"/>
      <c r="AI116" s="258"/>
      <c r="AJ116" s="258"/>
      <c r="AK116" s="258"/>
      <c r="AL116" s="258"/>
      <c r="AM116" s="258"/>
      <c r="AN116" s="258"/>
      <c r="AO116" s="258"/>
      <c r="AP116" s="258"/>
      <c r="AQ116" s="258"/>
      <c r="AR116" s="258"/>
      <c r="AS116" s="258"/>
      <c r="AT116" s="258"/>
      <c r="AU116" s="258"/>
      <c r="AV116" s="258"/>
      <c r="AW116" s="258"/>
      <c r="AX116" s="258"/>
      <c r="AY116" s="258"/>
      <c r="AZ116" s="258"/>
      <c r="BA116" s="258"/>
      <c r="BB116" s="258"/>
      <c r="BC116" s="258"/>
      <c r="BD116" s="258"/>
      <c r="BE116" s="258"/>
      <c r="BF116" s="258"/>
      <c r="BG116" s="258"/>
      <c r="BH116" s="258"/>
      <c r="BI116" s="258"/>
      <c r="BJ116" s="258"/>
      <c r="BK116" s="258"/>
      <c r="BL116" s="258"/>
    </row>
    <row r="117" spans="1:64" ht="16" customHeight="1" x14ac:dyDescent="0.2">
      <c r="A117" s="258"/>
      <c r="B117" s="258"/>
      <c r="C117" s="258"/>
      <c r="D117" s="258"/>
      <c r="E117" s="258"/>
      <c r="F117" s="258"/>
      <c r="G117" s="258"/>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8"/>
      <c r="AH117" s="258"/>
      <c r="AI117" s="258"/>
      <c r="AJ117" s="258"/>
      <c r="AK117" s="258"/>
      <c r="AL117" s="258"/>
      <c r="AM117" s="258"/>
      <c r="AN117" s="258"/>
      <c r="AO117" s="258"/>
      <c r="AP117" s="258"/>
      <c r="AQ117" s="258"/>
      <c r="AR117" s="258"/>
      <c r="AS117" s="258"/>
      <c r="AT117" s="258"/>
      <c r="AU117" s="258"/>
      <c r="AV117" s="258"/>
      <c r="AW117" s="258"/>
      <c r="AX117" s="258"/>
      <c r="AY117" s="258"/>
      <c r="AZ117" s="258"/>
      <c r="BA117" s="258"/>
      <c r="BB117" s="258"/>
      <c r="BC117" s="258"/>
      <c r="BD117" s="258"/>
      <c r="BE117" s="258"/>
      <c r="BF117" s="258"/>
      <c r="BG117" s="258"/>
      <c r="BH117" s="258"/>
      <c r="BI117" s="258"/>
      <c r="BJ117" s="258"/>
      <c r="BK117" s="258"/>
      <c r="BL117" s="258"/>
    </row>
    <row r="118" spans="1:64" ht="16" customHeight="1" x14ac:dyDescent="0.2">
      <c r="A118" s="258"/>
      <c r="B118" s="258"/>
      <c r="C118" s="258"/>
      <c r="D118" s="258"/>
      <c r="E118" s="258"/>
      <c r="F118" s="258"/>
      <c r="G118" s="258"/>
      <c r="H118" s="258"/>
      <c r="I118" s="258"/>
      <c r="J118" s="258"/>
      <c r="K118" s="258"/>
      <c r="L118" s="258"/>
      <c r="M118" s="258"/>
      <c r="N118" s="258"/>
      <c r="O118" s="258"/>
      <c r="P118" s="258"/>
      <c r="Q118" s="258"/>
      <c r="R118" s="258"/>
      <c r="S118" s="258"/>
      <c r="T118" s="258"/>
      <c r="U118" s="258"/>
      <c r="V118" s="258"/>
      <c r="W118" s="258"/>
      <c r="X118" s="258"/>
      <c r="Y118" s="258"/>
      <c r="Z118" s="258"/>
      <c r="AA118" s="258"/>
      <c r="AB118" s="258"/>
      <c r="AC118" s="258"/>
      <c r="AD118" s="258"/>
      <c r="AE118" s="258"/>
      <c r="AF118" s="258"/>
      <c r="AG118" s="258"/>
      <c r="AH118" s="258"/>
      <c r="AI118" s="258"/>
      <c r="AJ118" s="258"/>
      <c r="AK118" s="258"/>
      <c r="AL118" s="258"/>
      <c r="AM118" s="258"/>
      <c r="AN118" s="258"/>
      <c r="AO118" s="258"/>
      <c r="AP118" s="258"/>
      <c r="AQ118" s="258"/>
      <c r="AR118" s="258"/>
      <c r="AS118" s="258"/>
      <c r="AT118" s="258"/>
      <c r="AU118" s="258"/>
      <c r="AV118" s="258"/>
      <c r="AW118" s="258"/>
      <c r="AX118" s="258"/>
      <c r="AY118" s="258"/>
      <c r="AZ118" s="258"/>
      <c r="BA118" s="258"/>
      <c r="BB118" s="258"/>
      <c r="BC118" s="258"/>
      <c r="BD118" s="258"/>
      <c r="BE118" s="258"/>
      <c r="BF118" s="258"/>
      <c r="BG118" s="258"/>
      <c r="BH118" s="258"/>
      <c r="BI118" s="258"/>
      <c r="BJ118" s="258"/>
      <c r="BK118" s="258"/>
      <c r="BL118" s="258"/>
    </row>
    <row r="119" spans="1:64" ht="16" customHeight="1" x14ac:dyDescent="0.2">
      <c r="A119" s="258"/>
      <c r="B119" s="258"/>
      <c r="C119" s="258"/>
      <c r="D119" s="258"/>
      <c r="E119" s="258"/>
      <c r="F119" s="258"/>
      <c r="G119" s="258"/>
      <c r="H119" s="258"/>
      <c r="I119" s="258"/>
      <c r="J119" s="258"/>
      <c r="K119" s="258"/>
      <c r="L119" s="258"/>
      <c r="M119" s="258"/>
      <c r="N119" s="258"/>
      <c r="O119" s="258"/>
      <c r="P119" s="258"/>
      <c r="Q119" s="258"/>
      <c r="R119" s="258"/>
      <c r="S119" s="258"/>
      <c r="T119" s="258"/>
      <c r="U119" s="258"/>
      <c r="V119" s="258"/>
      <c r="W119" s="258"/>
      <c r="X119" s="258"/>
      <c r="Y119" s="258"/>
      <c r="Z119" s="258"/>
      <c r="AA119" s="258"/>
      <c r="AB119" s="258"/>
      <c r="AC119" s="258"/>
      <c r="AD119" s="258"/>
      <c r="AE119" s="258"/>
      <c r="AF119" s="258"/>
      <c r="AG119" s="258"/>
      <c r="AH119" s="258"/>
      <c r="AI119" s="258"/>
      <c r="AJ119" s="258"/>
      <c r="AK119" s="258"/>
      <c r="AL119" s="258"/>
      <c r="AM119" s="258"/>
      <c r="AN119" s="258"/>
      <c r="AO119" s="258"/>
      <c r="AP119" s="258"/>
      <c r="AQ119" s="258"/>
      <c r="AR119" s="258"/>
      <c r="AS119" s="258"/>
      <c r="AT119" s="258"/>
      <c r="AU119" s="258"/>
      <c r="AV119" s="258"/>
      <c r="AW119" s="258"/>
      <c r="AX119" s="258"/>
      <c r="AY119" s="258"/>
      <c r="AZ119" s="258"/>
      <c r="BA119" s="258"/>
      <c r="BB119" s="258"/>
      <c r="BC119" s="258"/>
      <c r="BD119" s="258"/>
      <c r="BE119" s="258"/>
      <c r="BF119" s="258"/>
      <c r="BG119" s="258"/>
      <c r="BH119" s="258"/>
      <c r="BI119" s="258"/>
      <c r="BJ119" s="258"/>
      <c r="BK119" s="258"/>
      <c r="BL119" s="258"/>
    </row>
    <row r="120" spans="1:64" ht="16" customHeight="1" x14ac:dyDescent="0.2">
      <c r="A120" s="258"/>
      <c r="B120" s="258"/>
      <c r="C120" s="258"/>
      <c r="D120" s="258"/>
      <c r="E120" s="258"/>
      <c r="F120" s="258"/>
      <c r="G120" s="258"/>
      <c r="H120" s="258"/>
      <c r="I120" s="258"/>
      <c r="J120" s="258"/>
      <c r="K120" s="258"/>
      <c r="L120" s="258"/>
      <c r="M120" s="258"/>
      <c r="N120" s="258"/>
      <c r="O120" s="258"/>
      <c r="P120" s="258"/>
      <c r="Q120" s="258"/>
      <c r="R120" s="258"/>
      <c r="S120" s="258"/>
      <c r="T120" s="258"/>
      <c r="U120" s="258"/>
      <c r="V120" s="258"/>
      <c r="W120" s="258"/>
      <c r="X120" s="258"/>
      <c r="Y120" s="258"/>
      <c r="Z120" s="258"/>
      <c r="AA120" s="258"/>
      <c r="AB120" s="258"/>
      <c r="AC120" s="258"/>
      <c r="AD120" s="258"/>
      <c r="AE120" s="258"/>
      <c r="AF120" s="258"/>
      <c r="AG120" s="258"/>
      <c r="AH120" s="258"/>
      <c r="AI120" s="258"/>
      <c r="AJ120" s="258"/>
      <c r="AK120" s="258"/>
      <c r="AL120" s="258"/>
      <c r="AM120" s="258"/>
      <c r="AN120" s="258"/>
      <c r="AO120" s="258"/>
      <c r="AP120" s="258"/>
      <c r="AQ120" s="258"/>
      <c r="AR120" s="258"/>
      <c r="AS120" s="258"/>
      <c r="AT120" s="258"/>
      <c r="AU120" s="258"/>
      <c r="AV120" s="258"/>
      <c r="AW120" s="258"/>
      <c r="AX120" s="258"/>
      <c r="AY120" s="258"/>
      <c r="AZ120" s="258"/>
      <c r="BA120" s="258"/>
      <c r="BB120" s="258"/>
      <c r="BC120" s="258"/>
      <c r="BD120" s="258"/>
      <c r="BE120" s="258"/>
      <c r="BF120" s="258"/>
      <c r="BG120" s="258"/>
      <c r="BH120" s="258"/>
      <c r="BI120" s="258"/>
      <c r="BJ120" s="258"/>
      <c r="BK120" s="258"/>
      <c r="BL120" s="258"/>
    </row>
    <row r="121" spans="1:64" ht="16" customHeight="1" x14ac:dyDescent="0.2">
      <c r="A121" s="258"/>
      <c r="B121" s="258"/>
      <c r="C121" s="258"/>
      <c r="D121" s="258"/>
      <c r="E121" s="258"/>
      <c r="F121" s="258"/>
      <c r="G121" s="258"/>
      <c r="H121" s="258"/>
      <c r="I121" s="258"/>
      <c r="J121" s="258"/>
      <c r="K121" s="258"/>
      <c r="L121" s="258"/>
      <c r="M121" s="258"/>
      <c r="N121" s="258"/>
      <c r="O121" s="258"/>
      <c r="P121" s="258"/>
      <c r="Q121" s="258"/>
      <c r="R121" s="258"/>
      <c r="S121" s="258"/>
      <c r="T121" s="258"/>
      <c r="U121" s="258"/>
      <c r="V121" s="258"/>
      <c r="W121" s="258"/>
      <c r="X121" s="258"/>
      <c r="Y121" s="258"/>
      <c r="Z121" s="258"/>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8"/>
      <c r="BI121" s="258"/>
      <c r="BJ121" s="258"/>
      <c r="BK121" s="258"/>
      <c r="BL121" s="258"/>
    </row>
    <row r="122" spans="1:64" ht="16" customHeight="1" x14ac:dyDescent="0.2">
      <c r="A122" s="258"/>
      <c r="B122" s="258"/>
      <c r="C122" s="258"/>
      <c r="D122" s="258"/>
      <c r="E122" s="258"/>
      <c r="F122" s="258"/>
      <c r="G122" s="258"/>
      <c r="H122" s="258"/>
      <c r="I122" s="258"/>
      <c r="J122" s="258"/>
      <c r="K122" s="258"/>
      <c r="L122" s="258"/>
      <c r="M122" s="258"/>
      <c r="N122" s="258"/>
      <c r="O122" s="258"/>
      <c r="P122" s="258"/>
      <c r="Q122" s="258"/>
      <c r="R122" s="258"/>
      <c r="S122" s="258"/>
      <c r="T122" s="258"/>
      <c r="U122" s="258"/>
      <c r="V122" s="258"/>
      <c r="W122" s="258"/>
      <c r="X122" s="258"/>
      <c r="Y122" s="258"/>
      <c r="Z122" s="258"/>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8"/>
      <c r="BI122" s="258"/>
      <c r="BJ122" s="258"/>
      <c r="BK122" s="258"/>
      <c r="BL122" s="258"/>
    </row>
    <row r="123" spans="1:64" ht="16" customHeight="1" x14ac:dyDescent="0.2">
      <c r="A123" s="258"/>
      <c r="B123" s="258"/>
      <c r="C123" s="258"/>
      <c r="D123" s="258"/>
      <c r="E123" s="258"/>
      <c r="F123" s="258"/>
      <c r="G123" s="258"/>
      <c r="H123" s="258"/>
      <c r="I123" s="258"/>
      <c r="J123" s="258"/>
      <c r="K123" s="258"/>
      <c r="L123" s="258"/>
      <c r="M123" s="258"/>
      <c r="N123" s="258"/>
      <c r="O123" s="258"/>
      <c r="P123" s="258"/>
      <c r="Q123" s="258"/>
      <c r="R123" s="258"/>
      <c r="S123" s="258"/>
      <c r="T123" s="258"/>
      <c r="U123" s="258"/>
      <c r="V123" s="258"/>
      <c r="W123" s="258"/>
      <c r="X123" s="258"/>
      <c r="Y123" s="258"/>
      <c r="Z123" s="258"/>
      <c r="AA123" s="258"/>
      <c r="AB123" s="258"/>
      <c r="AC123" s="258"/>
      <c r="AD123" s="258"/>
      <c r="AE123" s="258"/>
      <c r="AF123" s="258"/>
      <c r="AG123" s="258"/>
      <c r="AH123" s="258"/>
      <c r="AI123" s="258"/>
      <c r="AJ123" s="258"/>
      <c r="AK123" s="258"/>
      <c r="AL123" s="258"/>
      <c r="AM123" s="258"/>
      <c r="AN123" s="258"/>
      <c r="AO123" s="258"/>
      <c r="AP123" s="258"/>
      <c r="AQ123" s="258"/>
      <c r="AR123" s="258"/>
      <c r="AS123" s="258"/>
      <c r="AT123" s="258"/>
      <c r="AU123" s="258"/>
      <c r="AV123" s="258"/>
      <c r="AW123" s="258"/>
      <c r="AX123" s="258"/>
      <c r="AY123" s="258"/>
      <c r="AZ123" s="258"/>
      <c r="BA123" s="258"/>
      <c r="BB123" s="258"/>
      <c r="BC123" s="258"/>
      <c r="BD123" s="258"/>
      <c r="BE123" s="258"/>
      <c r="BF123" s="258"/>
      <c r="BG123" s="258"/>
      <c r="BH123" s="258"/>
      <c r="BI123" s="258"/>
      <c r="BJ123" s="258"/>
      <c r="BK123" s="258"/>
      <c r="BL123" s="258"/>
    </row>
    <row r="124" spans="1:64" ht="16" customHeight="1" x14ac:dyDescent="0.2">
      <c r="A124" s="258"/>
      <c r="B124" s="258"/>
      <c r="C124" s="258"/>
      <c r="D124" s="258"/>
      <c r="E124" s="258"/>
      <c r="F124" s="258"/>
      <c r="G124" s="258"/>
      <c r="H124" s="258"/>
      <c r="I124" s="258"/>
      <c r="J124" s="258"/>
      <c r="K124" s="258"/>
      <c r="L124" s="258"/>
      <c r="M124" s="258"/>
      <c r="N124" s="258"/>
      <c r="O124" s="258"/>
      <c r="P124" s="258"/>
      <c r="Q124" s="258"/>
      <c r="R124" s="258"/>
      <c r="S124" s="258"/>
      <c r="T124" s="258"/>
      <c r="U124" s="258"/>
      <c r="V124" s="258"/>
      <c r="W124" s="258"/>
      <c r="X124" s="258"/>
      <c r="Y124" s="258"/>
      <c r="Z124" s="258"/>
      <c r="AA124" s="258"/>
      <c r="AB124" s="258"/>
      <c r="AC124" s="258"/>
      <c r="AD124" s="258"/>
      <c r="AE124" s="258"/>
      <c r="AF124" s="258"/>
      <c r="AG124" s="258"/>
      <c r="AH124" s="258"/>
      <c r="AI124" s="258"/>
      <c r="AJ124" s="258"/>
      <c r="AK124" s="258"/>
      <c r="AL124" s="258"/>
      <c r="AM124" s="258"/>
      <c r="AN124" s="258"/>
      <c r="AO124" s="258"/>
      <c r="AP124" s="258"/>
      <c r="AQ124" s="258"/>
      <c r="AR124" s="258"/>
      <c r="AS124" s="258"/>
      <c r="AT124" s="258"/>
      <c r="AU124" s="258"/>
      <c r="AV124" s="258"/>
      <c r="AW124" s="258"/>
      <c r="AX124" s="258"/>
      <c r="AY124" s="258"/>
      <c r="AZ124" s="258"/>
      <c r="BA124" s="258"/>
      <c r="BB124" s="258"/>
      <c r="BC124" s="258"/>
      <c r="BD124" s="258"/>
      <c r="BE124" s="258"/>
      <c r="BF124" s="258"/>
      <c r="BG124" s="258"/>
      <c r="BH124" s="258"/>
      <c r="BI124" s="258"/>
      <c r="BJ124" s="258"/>
      <c r="BK124" s="258"/>
      <c r="BL124" s="258"/>
    </row>
    <row r="125" spans="1:64" ht="16" customHeight="1" x14ac:dyDescent="0.2">
      <c r="A125" s="258"/>
      <c r="B125" s="258"/>
      <c r="C125" s="258"/>
      <c r="D125" s="258"/>
      <c r="E125" s="258"/>
      <c r="F125" s="258"/>
      <c r="G125" s="258"/>
      <c r="H125" s="258"/>
      <c r="I125" s="258"/>
      <c r="J125" s="258"/>
      <c r="K125" s="258"/>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c r="AP125" s="258"/>
      <c r="AQ125" s="258"/>
      <c r="AR125" s="258"/>
      <c r="AS125" s="258"/>
      <c r="AT125" s="258"/>
      <c r="AU125" s="258"/>
      <c r="AV125" s="258"/>
      <c r="AW125" s="258"/>
      <c r="AX125" s="258"/>
      <c r="AY125" s="258"/>
      <c r="AZ125" s="258"/>
      <c r="BA125" s="258"/>
      <c r="BB125" s="258"/>
      <c r="BC125" s="258"/>
      <c r="BD125" s="258"/>
      <c r="BE125" s="258"/>
      <c r="BF125" s="258"/>
      <c r="BG125" s="258"/>
      <c r="BH125" s="258"/>
      <c r="BI125" s="258"/>
      <c r="BJ125" s="258"/>
      <c r="BK125" s="258"/>
      <c r="BL125" s="258"/>
    </row>
    <row r="126" spans="1:64" ht="16" customHeight="1" x14ac:dyDescent="0.2">
      <c r="A126" s="258"/>
      <c r="B126" s="258"/>
      <c r="C126" s="258"/>
      <c r="D126" s="258"/>
      <c r="E126" s="258"/>
      <c r="F126" s="258"/>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row>
    <row r="127" spans="1:64" ht="16" customHeight="1" x14ac:dyDescent="0.2">
      <c r="A127" s="258"/>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c r="BC127" s="258"/>
      <c r="BD127" s="258"/>
      <c r="BE127" s="258"/>
      <c r="BF127" s="258"/>
      <c r="BG127" s="258"/>
      <c r="BH127" s="258"/>
      <c r="BI127" s="258"/>
      <c r="BJ127" s="258"/>
      <c r="BK127" s="258"/>
      <c r="BL127" s="258"/>
    </row>
    <row r="128" spans="1:64" ht="16" customHeight="1" x14ac:dyDescent="0.2">
      <c r="A128" s="258"/>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c r="BB128" s="258"/>
      <c r="BC128" s="258"/>
      <c r="BD128" s="258"/>
      <c r="BE128" s="258"/>
      <c r="BF128" s="258"/>
      <c r="BG128" s="258"/>
      <c r="BH128" s="258"/>
      <c r="BI128" s="258"/>
      <c r="BJ128" s="258"/>
      <c r="BK128" s="258"/>
      <c r="BL128" s="258"/>
    </row>
    <row r="129" spans="1:64" ht="16" customHeight="1" x14ac:dyDescent="0.2">
      <c r="A129" s="258"/>
      <c r="B129" s="258"/>
      <c r="C129" s="258"/>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8"/>
      <c r="AL129" s="258"/>
      <c r="AM129" s="258"/>
      <c r="AN129" s="258"/>
      <c r="AO129" s="258"/>
      <c r="AP129" s="258"/>
      <c r="AQ129" s="258"/>
      <c r="AR129" s="258"/>
      <c r="AS129" s="258"/>
      <c r="AT129" s="258"/>
      <c r="AU129" s="258"/>
      <c r="AV129" s="258"/>
      <c r="AW129" s="258"/>
      <c r="AX129" s="258"/>
      <c r="AY129" s="258"/>
      <c r="AZ129" s="258"/>
      <c r="BA129" s="258"/>
      <c r="BB129" s="258"/>
      <c r="BC129" s="258"/>
      <c r="BD129" s="258"/>
      <c r="BE129" s="258"/>
      <c r="BF129" s="258"/>
      <c r="BG129" s="258"/>
      <c r="BH129" s="258"/>
      <c r="BI129" s="258"/>
      <c r="BJ129" s="258"/>
      <c r="BK129" s="258"/>
      <c r="BL129" s="258"/>
    </row>
    <row r="130" spans="1:64" ht="16" customHeight="1" x14ac:dyDescent="0.2">
      <c r="A130" s="258"/>
      <c r="B130" s="258"/>
      <c r="C130" s="258"/>
      <c r="D130" s="258"/>
      <c r="E130" s="258"/>
      <c r="F130" s="258"/>
      <c r="G130" s="258"/>
      <c r="H130" s="258"/>
      <c r="I130" s="258"/>
      <c r="J130" s="258"/>
      <c r="K130" s="258"/>
      <c r="L130" s="258"/>
      <c r="M130" s="258"/>
      <c r="N130" s="258"/>
      <c r="O130" s="258"/>
      <c r="P130" s="258"/>
      <c r="Q130" s="258"/>
      <c r="R130" s="258"/>
      <c r="S130" s="258"/>
      <c r="T130" s="258"/>
      <c r="U130" s="258"/>
      <c r="V130" s="258"/>
      <c r="W130" s="258"/>
      <c r="X130" s="258"/>
      <c r="Y130" s="258"/>
      <c r="Z130" s="258"/>
      <c r="AA130" s="258"/>
      <c r="AB130" s="258"/>
      <c r="AC130" s="258"/>
      <c r="AD130" s="258"/>
      <c r="AE130" s="258"/>
      <c r="AF130" s="258"/>
      <c r="AG130" s="258"/>
      <c r="AH130" s="258"/>
      <c r="AI130" s="258"/>
      <c r="AJ130" s="258"/>
      <c r="AK130" s="258"/>
      <c r="AL130" s="258"/>
      <c r="AM130" s="258"/>
      <c r="AN130" s="258"/>
      <c r="AO130" s="258"/>
      <c r="AP130" s="258"/>
      <c r="AQ130" s="258"/>
      <c r="AR130" s="258"/>
      <c r="AS130" s="258"/>
      <c r="AT130" s="258"/>
      <c r="AU130" s="258"/>
      <c r="AV130" s="258"/>
      <c r="AW130" s="258"/>
      <c r="AX130" s="258"/>
      <c r="AY130" s="258"/>
      <c r="AZ130" s="258"/>
      <c r="BA130" s="258"/>
      <c r="BB130" s="258"/>
      <c r="BC130" s="258"/>
      <c r="BD130" s="258"/>
      <c r="BE130" s="258"/>
      <c r="BF130" s="258"/>
      <c r="BG130" s="258"/>
      <c r="BH130" s="258"/>
      <c r="BI130" s="258"/>
      <c r="BJ130" s="258"/>
      <c r="BK130" s="258"/>
      <c r="BL130" s="258"/>
    </row>
    <row r="131" spans="1:64" ht="16" customHeight="1" x14ac:dyDescent="0.2">
      <c r="A131" s="258"/>
      <c r="B131" s="258"/>
      <c r="C131" s="258"/>
      <c r="D131" s="258"/>
      <c r="E131" s="258"/>
      <c r="F131" s="258"/>
      <c r="G131" s="258"/>
      <c r="H131" s="258"/>
      <c r="I131" s="258"/>
      <c r="J131" s="258"/>
      <c r="K131" s="258"/>
      <c r="L131" s="258"/>
      <c r="M131" s="258"/>
      <c r="N131" s="258"/>
      <c r="O131" s="258"/>
      <c r="P131" s="258"/>
      <c r="Q131" s="258"/>
      <c r="R131" s="258"/>
      <c r="S131" s="258"/>
      <c r="T131" s="258"/>
      <c r="U131" s="258"/>
      <c r="V131" s="258"/>
      <c r="W131" s="258"/>
      <c r="X131" s="258"/>
      <c r="Y131" s="258"/>
      <c r="Z131" s="258"/>
      <c r="AA131" s="258"/>
      <c r="AB131" s="258"/>
      <c r="AC131" s="258"/>
      <c r="AD131" s="258"/>
      <c r="AE131" s="258"/>
      <c r="AF131" s="258"/>
      <c r="AG131" s="258"/>
      <c r="AH131" s="258"/>
      <c r="AI131" s="258"/>
      <c r="AJ131" s="258"/>
      <c r="AK131" s="258"/>
      <c r="AL131" s="258"/>
      <c r="AM131" s="258"/>
      <c r="AN131" s="258"/>
      <c r="AO131" s="258"/>
      <c r="AP131" s="258"/>
      <c r="AQ131" s="258"/>
      <c r="AR131" s="258"/>
      <c r="AS131" s="258"/>
      <c r="AT131" s="258"/>
      <c r="AU131" s="258"/>
      <c r="AV131" s="258"/>
      <c r="AW131" s="258"/>
      <c r="AX131" s="258"/>
      <c r="AY131" s="258"/>
      <c r="AZ131" s="258"/>
      <c r="BA131" s="258"/>
      <c r="BB131" s="258"/>
      <c r="BC131" s="258"/>
      <c r="BD131" s="258"/>
      <c r="BE131" s="258"/>
      <c r="BF131" s="258"/>
      <c r="BG131" s="258"/>
      <c r="BH131" s="258"/>
      <c r="BI131" s="258"/>
      <c r="BJ131" s="258"/>
      <c r="BK131" s="258"/>
      <c r="BL131" s="258"/>
    </row>
    <row r="132" spans="1:64" ht="16" customHeight="1" x14ac:dyDescent="0.2">
      <c r="A132" s="258"/>
      <c r="B132" s="258"/>
      <c r="C132" s="258"/>
      <c r="D132" s="258"/>
      <c r="E132" s="258"/>
      <c r="F132" s="258"/>
      <c r="G132" s="258"/>
      <c r="H132" s="258"/>
      <c r="I132" s="258"/>
      <c r="J132" s="258"/>
      <c r="K132" s="258"/>
      <c r="L132" s="258"/>
      <c r="M132" s="258"/>
      <c r="N132" s="258"/>
      <c r="O132" s="258"/>
      <c r="P132" s="258"/>
      <c r="Q132" s="258"/>
      <c r="R132" s="258"/>
      <c r="S132" s="258"/>
      <c r="T132" s="258"/>
      <c r="U132" s="258"/>
      <c r="V132" s="258"/>
      <c r="W132" s="258"/>
      <c r="X132" s="258"/>
      <c r="Y132" s="258"/>
      <c r="Z132" s="258"/>
      <c r="AA132" s="258"/>
      <c r="AB132" s="258"/>
      <c r="AC132" s="258"/>
      <c r="AD132" s="258"/>
      <c r="AE132" s="258"/>
      <c r="AF132" s="258"/>
      <c r="AG132" s="258"/>
      <c r="AH132" s="258"/>
      <c r="AI132" s="258"/>
      <c r="AJ132" s="258"/>
      <c r="AK132" s="258"/>
      <c r="AL132" s="258"/>
      <c r="AM132" s="258"/>
      <c r="AN132" s="258"/>
      <c r="AO132" s="258"/>
      <c r="AP132" s="258"/>
      <c r="AQ132" s="258"/>
      <c r="AR132" s="258"/>
      <c r="AS132" s="258"/>
      <c r="AT132" s="258"/>
      <c r="AU132" s="258"/>
      <c r="AV132" s="258"/>
      <c r="AW132" s="258"/>
      <c r="AX132" s="258"/>
      <c r="AY132" s="258"/>
      <c r="AZ132" s="258"/>
      <c r="BA132" s="258"/>
      <c r="BB132" s="258"/>
      <c r="BC132" s="258"/>
      <c r="BD132" s="258"/>
      <c r="BE132" s="258"/>
      <c r="BF132" s="258"/>
      <c r="BG132" s="258"/>
      <c r="BH132" s="258"/>
      <c r="BI132" s="258"/>
      <c r="BJ132" s="258"/>
      <c r="BK132" s="258"/>
      <c r="BL132" s="258"/>
    </row>
    <row r="133" spans="1:64" ht="16" customHeight="1" x14ac:dyDescent="0.2">
      <c r="A133" s="258"/>
      <c r="B133" s="258"/>
      <c r="C133" s="258"/>
      <c r="D133" s="258"/>
      <c r="E133" s="258"/>
      <c r="F133" s="258"/>
      <c r="G133" s="258"/>
      <c r="H133" s="258"/>
      <c r="I133" s="258"/>
      <c r="J133" s="258"/>
      <c r="K133" s="258"/>
      <c r="L133" s="258"/>
      <c r="M133" s="258"/>
      <c r="N133" s="258"/>
      <c r="O133" s="258"/>
      <c r="P133" s="258"/>
      <c r="Q133" s="258"/>
      <c r="R133" s="258"/>
      <c r="S133" s="258"/>
      <c r="T133" s="258"/>
      <c r="U133" s="258"/>
      <c r="V133" s="258"/>
      <c r="W133" s="258"/>
      <c r="X133" s="258"/>
      <c r="Y133" s="258"/>
      <c r="Z133" s="258"/>
      <c r="AA133" s="258"/>
      <c r="AB133" s="258"/>
      <c r="AC133" s="258"/>
      <c r="AD133" s="258"/>
      <c r="AE133" s="258"/>
      <c r="AF133" s="258"/>
      <c r="AG133" s="258"/>
      <c r="AH133" s="258"/>
      <c r="AI133" s="258"/>
      <c r="AJ133" s="258"/>
      <c r="AK133" s="258"/>
      <c r="AL133" s="258"/>
      <c r="AM133" s="258"/>
      <c r="AN133" s="258"/>
      <c r="AO133" s="258"/>
      <c r="AP133" s="258"/>
      <c r="AQ133" s="258"/>
      <c r="AR133" s="258"/>
      <c r="AS133" s="258"/>
      <c r="AT133" s="258"/>
      <c r="AU133" s="258"/>
      <c r="AV133" s="258"/>
      <c r="AW133" s="258"/>
      <c r="AX133" s="258"/>
      <c r="AY133" s="258"/>
      <c r="AZ133" s="258"/>
      <c r="BA133" s="258"/>
      <c r="BB133" s="258"/>
      <c r="BC133" s="258"/>
      <c r="BD133" s="258"/>
      <c r="BE133" s="258"/>
      <c r="BF133" s="258"/>
      <c r="BG133" s="258"/>
      <c r="BH133" s="258"/>
      <c r="BI133" s="258"/>
      <c r="BJ133" s="258"/>
      <c r="BK133" s="258"/>
      <c r="BL133" s="258"/>
    </row>
    <row r="134" spans="1:64" ht="16" customHeight="1" x14ac:dyDescent="0.2">
      <c r="A134" s="258"/>
      <c r="B134" s="258"/>
      <c r="C134" s="258"/>
      <c r="D134" s="258"/>
      <c r="E134" s="258"/>
      <c r="F134" s="258"/>
      <c r="G134" s="258"/>
      <c r="H134" s="258"/>
      <c r="I134" s="258"/>
      <c r="J134" s="258"/>
      <c r="K134" s="258"/>
      <c r="L134" s="258"/>
      <c r="M134" s="258"/>
      <c r="N134" s="258"/>
      <c r="O134" s="258"/>
      <c r="P134" s="258"/>
      <c r="Q134" s="258"/>
      <c r="R134" s="258"/>
      <c r="S134" s="258"/>
      <c r="T134" s="258"/>
      <c r="U134" s="258"/>
      <c r="V134" s="258"/>
      <c r="W134" s="258"/>
      <c r="X134" s="258"/>
      <c r="Y134" s="258"/>
      <c r="Z134" s="258"/>
      <c r="AA134" s="258"/>
      <c r="AB134" s="258"/>
      <c r="AC134" s="258"/>
      <c r="AD134" s="258"/>
      <c r="AE134" s="258"/>
      <c r="AF134" s="258"/>
      <c r="AG134" s="258"/>
      <c r="AH134" s="258"/>
      <c r="AI134" s="258"/>
      <c r="AJ134" s="258"/>
      <c r="AK134" s="258"/>
      <c r="AL134" s="258"/>
      <c r="AM134" s="258"/>
      <c r="AN134" s="258"/>
      <c r="AO134" s="258"/>
      <c r="AP134" s="258"/>
      <c r="AQ134" s="258"/>
      <c r="AR134" s="258"/>
      <c r="AS134" s="258"/>
      <c r="AT134" s="258"/>
      <c r="AU134" s="258"/>
      <c r="AV134" s="258"/>
      <c r="AW134" s="258"/>
      <c r="AX134" s="258"/>
      <c r="AY134" s="258"/>
      <c r="AZ134" s="258"/>
      <c r="BA134" s="258"/>
      <c r="BB134" s="258"/>
      <c r="BC134" s="258"/>
      <c r="BD134" s="258"/>
      <c r="BE134" s="258"/>
      <c r="BF134" s="258"/>
      <c r="BG134" s="258"/>
      <c r="BH134" s="258"/>
      <c r="BI134" s="258"/>
      <c r="BJ134" s="258"/>
      <c r="BK134" s="258"/>
      <c r="BL134" s="258"/>
    </row>
    <row r="135" spans="1:64" ht="16" customHeight="1" x14ac:dyDescent="0.2">
      <c r="A135" s="258"/>
      <c r="B135" s="258"/>
      <c r="C135" s="258"/>
      <c r="D135" s="258"/>
      <c r="E135" s="258"/>
      <c r="F135" s="258"/>
      <c r="G135" s="258"/>
      <c r="H135" s="258"/>
      <c r="I135" s="258"/>
      <c r="J135" s="258"/>
      <c r="K135" s="258"/>
      <c r="L135" s="258"/>
      <c r="M135" s="258"/>
      <c r="N135" s="258"/>
      <c r="O135" s="258"/>
      <c r="P135" s="258"/>
      <c r="Q135" s="258"/>
      <c r="R135" s="258"/>
      <c r="S135" s="258"/>
      <c r="T135" s="258"/>
      <c r="U135" s="258"/>
      <c r="V135" s="258"/>
      <c r="W135" s="258"/>
      <c r="X135" s="258"/>
      <c r="Y135" s="258"/>
      <c r="Z135" s="258"/>
      <c r="AA135" s="258"/>
      <c r="AB135" s="258"/>
      <c r="AC135" s="258"/>
      <c r="AD135" s="258"/>
      <c r="AE135" s="258"/>
      <c r="AF135" s="258"/>
      <c r="AG135" s="258"/>
      <c r="AH135" s="258"/>
      <c r="AI135" s="258"/>
      <c r="AJ135" s="258"/>
      <c r="AK135" s="258"/>
      <c r="AL135" s="258"/>
      <c r="AM135" s="258"/>
      <c r="AN135" s="258"/>
      <c r="AO135" s="258"/>
      <c r="AP135" s="258"/>
      <c r="AQ135" s="258"/>
      <c r="AR135" s="258"/>
      <c r="AS135" s="258"/>
      <c r="AT135" s="258"/>
      <c r="AU135" s="258"/>
      <c r="AV135" s="258"/>
      <c r="AW135" s="258"/>
      <c r="AX135" s="258"/>
      <c r="AY135" s="258"/>
      <c r="AZ135" s="258"/>
      <c r="BA135" s="258"/>
      <c r="BB135" s="258"/>
      <c r="BC135" s="258"/>
      <c r="BD135" s="258"/>
      <c r="BE135" s="258"/>
      <c r="BF135" s="258"/>
      <c r="BG135" s="258"/>
      <c r="BH135" s="258"/>
      <c r="BI135" s="258"/>
      <c r="BJ135" s="258"/>
      <c r="BK135" s="258"/>
      <c r="BL135" s="258"/>
    </row>
    <row r="136" spans="1:64" ht="16" customHeight="1" x14ac:dyDescent="0.2">
      <c r="A136" s="258"/>
      <c r="B136" s="258"/>
      <c r="C136" s="258"/>
      <c r="D136" s="258"/>
      <c r="E136" s="258"/>
      <c r="F136" s="258"/>
      <c r="G136" s="258"/>
      <c r="H136" s="258"/>
      <c r="I136" s="258"/>
      <c r="J136" s="258"/>
      <c r="K136" s="258"/>
      <c r="L136" s="258"/>
      <c r="M136" s="258"/>
      <c r="N136" s="258"/>
      <c r="O136" s="258"/>
      <c r="P136" s="258"/>
      <c r="Q136" s="258"/>
      <c r="R136" s="258"/>
      <c r="S136" s="258"/>
      <c r="T136" s="258"/>
      <c r="U136" s="258"/>
      <c r="V136" s="258"/>
      <c r="W136" s="258"/>
      <c r="X136" s="258"/>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258"/>
      <c r="BF136" s="258"/>
      <c r="BG136" s="258"/>
      <c r="BH136" s="258"/>
      <c r="BI136" s="258"/>
      <c r="BJ136" s="258"/>
      <c r="BK136" s="258"/>
      <c r="BL136" s="258"/>
    </row>
    <row r="137" spans="1:64" ht="16" customHeight="1" x14ac:dyDescent="0.2">
      <c r="A137" s="258"/>
      <c r="B137" s="258"/>
      <c r="C137" s="258"/>
      <c r="D137" s="258"/>
      <c r="E137" s="258"/>
      <c r="F137" s="258"/>
      <c r="G137" s="258"/>
      <c r="H137" s="258"/>
      <c r="I137" s="258"/>
      <c r="J137" s="258"/>
      <c r="K137" s="258"/>
      <c r="L137" s="258"/>
      <c r="M137" s="258"/>
      <c r="N137" s="258"/>
      <c r="O137" s="258"/>
      <c r="P137" s="258"/>
      <c r="Q137" s="258"/>
      <c r="R137" s="258"/>
      <c r="S137" s="258"/>
      <c r="T137" s="258"/>
      <c r="U137" s="258"/>
      <c r="V137" s="258"/>
      <c r="W137" s="258"/>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258"/>
      <c r="BF137" s="258"/>
      <c r="BG137" s="258"/>
      <c r="BH137" s="258"/>
      <c r="BI137" s="258"/>
      <c r="BJ137" s="258"/>
      <c r="BK137" s="258"/>
      <c r="BL137" s="258"/>
    </row>
    <row r="138" spans="1:64" ht="16" customHeight="1" x14ac:dyDescent="0.2">
      <c r="A138" s="258"/>
      <c r="B138" s="258"/>
      <c r="C138" s="258"/>
      <c r="D138" s="258"/>
      <c r="E138" s="258"/>
      <c r="F138" s="258"/>
      <c r="G138" s="258"/>
      <c r="H138" s="258"/>
      <c r="I138" s="258"/>
      <c r="J138" s="258"/>
      <c r="K138" s="258"/>
      <c r="L138" s="258"/>
      <c r="M138" s="258"/>
      <c r="N138" s="258"/>
      <c r="O138" s="258"/>
      <c r="P138" s="258"/>
      <c r="Q138" s="258"/>
      <c r="R138" s="258"/>
      <c r="S138" s="258"/>
      <c r="T138" s="258"/>
      <c r="U138" s="258"/>
      <c r="V138" s="258"/>
      <c r="W138" s="258"/>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258"/>
      <c r="BF138" s="258"/>
      <c r="BG138" s="258"/>
      <c r="BH138" s="258"/>
      <c r="BI138" s="258"/>
      <c r="BJ138" s="258"/>
      <c r="BK138" s="258"/>
      <c r="BL138" s="258"/>
    </row>
    <row r="139" spans="1:64" ht="16" customHeight="1" x14ac:dyDescent="0.2">
      <c r="A139" s="258"/>
      <c r="B139" s="258"/>
      <c r="C139" s="258"/>
      <c r="D139" s="258"/>
      <c r="E139" s="258"/>
      <c r="F139" s="258"/>
      <c r="G139" s="258"/>
      <c r="H139" s="258"/>
      <c r="I139" s="258"/>
      <c r="J139" s="258"/>
      <c r="K139" s="258"/>
      <c r="L139" s="258"/>
      <c r="M139" s="258"/>
      <c r="N139" s="258"/>
      <c r="O139" s="258"/>
      <c r="P139" s="258"/>
      <c r="Q139" s="258"/>
      <c r="R139" s="258"/>
      <c r="S139" s="258"/>
      <c r="T139" s="258"/>
      <c r="U139" s="258"/>
      <c r="V139" s="258"/>
      <c r="W139" s="258"/>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258"/>
      <c r="BF139" s="258"/>
      <c r="BG139" s="258"/>
      <c r="BH139" s="258"/>
      <c r="BI139" s="258"/>
      <c r="BJ139" s="258"/>
      <c r="BK139" s="258"/>
      <c r="BL139" s="258"/>
    </row>
    <row r="140" spans="1:64" ht="16" customHeight="1" x14ac:dyDescent="0.2">
      <c r="A140" s="258"/>
      <c r="B140" s="258"/>
      <c r="C140" s="258"/>
      <c r="D140" s="258"/>
      <c r="E140" s="258"/>
      <c r="F140" s="258"/>
      <c r="G140" s="258"/>
      <c r="H140" s="258"/>
      <c r="I140" s="258"/>
      <c r="J140" s="258"/>
      <c r="K140" s="258"/>
      <c r="L140" s="258"/>
      <c r="M140" s="258"/>
      <c r="N140" s="258"/>
      <c r="O140" s="258"/>
      <c r="P140" s="258"/>
      <c r="Q140" s="258"/>
      <c r="R140" s="258"/>
      <c r="S140" s="258"/>
      <c r="T140" s="258"/>
      <c r="U140" s="258"/>
      <c r="V140" s="258"/>
      <c r="W140" s="258"/>
      <c r="X140" s="258"/>
      <c r="Y140" s="258"/>
      <c r="Z140" s="258"/>
      <c r="AA140" s="258"/>
      <c r="AB140" s="258"/>
      <c r="AC140" s="258"/>
      <c r="AD140" s="258"/>
      <c r="AE140" s="258"/>
      <c r="AF140" s="258"/>
      <c r="AG140" s="258"/>
      <c r="AH140" s="258"/>
      <c r="AI140" s="258"/>
      <c r="AJ140" s="258"/>
      <c r="AK140" s="258"/>
      <c r="AL140" s="258"/>
      <c r="AM140" s="258"/>
      <c r="AN140" s="258"/>
      <c r="AO140" s="258"/>
      <c r="AP140" s="258"/>
      <c r="AQ140" s="258"/>
      <c r="AR140" s="258"/>
      <c r="AS140" s="258"/>
      <c r="AT140" s="258"/>
      <c r="AU140" s="258"/>
      <c r="AV140" s="258"/>
      <c r="AW140" s="258"/>
      <c r="AX140" s="258"/>
      <c r="AY140" s="258"/>
      <c r="AZ140" s="258"/>
      <c r="BA140" s="258"/>
      <c r="BB140" s="258"/>
      <c r="BC140" s="258"/>
      <c r="BD140" s="258"/>
      <c r="BE140" s="258"/>
      <c r="BF140" s="258"/>
      <c r="BG140" s="258"/>
      <c r="BH140" s="258"/>
      <c r="BI140" s="258"/>
      <c r="BJ140" s="258"/>
      <c r="BK140" s="258"/>
      <c r="BL140" s="258"/>
    </row>
    <row r="141" spans="1:64" ht="16" customHeight="1" x14ac:dyDescent="0.2">
      <c r="A141" s="258"/>
      <c r="B141" s="258"/>
      <c r="C141" s="258"/>
      <c r="D141" s="258"/>
      <c r="E141" s="258"/>
      <c r="F141" s="258"/>
      <c r="G141" s="258"/>
      <c r="H141" s="258"/>
      <c r="I141" s="258"/>
      <c r="J141" s="258"/>
      <c r="K141" s="258"/>
      <c r="L141" s="258"/>
      <c r="M141" s="258"/>
      <c r="N141" s="258"/>
      <c r="O141" s="258"/>
      <c r="P141" s="258"/>
      <c r="Q141" s="258"/>
      <c r="R141" s="258"/>
      <c r="S141" s="258"/>
      <c r="T141" s="258"/>
      <c r="U141" s="258"/>
      <c r="V141" s="258"/>
      <c r="W141" s="258"/>
      <c r="X141" s="258"/>
      <c r="Y141" s="258"/>
      <c r="Z141" s="258"/>
      <c r="AA141" s="258"/>
      <c r="AB141" s="258"/>
      <c r="AC141" s="258"/>
      <c r="AD141" s="258"/>
      <c r="AE141" s="258"/>
      <c r="AF141" s="258"/>
      <c r="AG141" s="258"/>
      <c r="AH141" s="258"/>
      <c r="AI141" s="258"/>
      <c r="AJ141" s="258"/>
      <c r="AK141" s="258"/>
      <c r="AL141" s="258"/>
      <c r="AM141" s="258"/>
      <c r="AN141" s="258"/>
      <c r="AO141" s="258"/>
      <c r="AP141" s="258"/>
      <c r="AQ141" s="258"/>
      <c r="AR141" s="258"/>
      <c r="AS141" s="258"/>
      <c r="AT141" s="258"/>
      <c r="AU141" s="258"/>
      <c r="AV141" s="258"/>
      <c r="AW141" s="258"/>
      <c r="AX141" s="258"/>
      <c r="AY141" s="258"/>
      <c r="AZ141" s="258"/>
      <c r="BA141" s="258"/>
      <c r="BB141" s="258"/>
      <c r="BC141" s="258"/>
      <c r="BD141" s="258"/>
      <c r="BE141" s="258"/>
      <c r="BF141" s="258"/>
      <c r="BG141" s="258"/>
      <c r="BH141" s="258"/>
      <c r="BI141" s="258"/>
      <c r="BJ141" s="258"/>
      <c r="BK141" s="258"/>
      <c r="BL141" s="258"/>
    </row>
    <row r="142" spans="1:64" ht="16" customHeight="1" x14ac:dyDescent="0.2">
      <c r="A142" s="258"/>
      <c r="B142" s="258"/>
      <c r="C142" s="258"/>
      <c r="D142" s="258"/>
      <c r="E142" s="258"/>
      <c r="F142" s="258"/>
      <c r="G142" s="258"/>
      <c r="H142" s="258"/>
      <c r="I142" s="258"/>
      <c r="J142" s="258"/>
      <c r="K142" s="258"/>
      <c r="L142" s="258"/>
      <c r="M142" s="258"/>
      <c r="N142" s="258"/>
      <c r="O142" s="258"/>
      <c r="P142" s="258"/>
      <c r="Q142" s="258"/>
      <c r="R142" s="258"/>
      <c r="S142" s="258"/>
      <c r="T142" s="258"/>
      <c r="U142" s="258"/>
      <c r="V142" s="258"/>
      <c r="W142" s="258"/>
      <c r="X142" s="258"/>
      <c r="Y142" s="258"/>
      <c r="Z142" s="258"/>
      <c r="AA142" s="258"/>
      <c r="AB142" s="258"/>
      <c r="AC142" s="258"/>
      <c r="AD142" s="258"/>
      <c r="AE142" s="258"/>
      <c r="AF142" s="258"/>
      <c r="AG142" s="258"/>
      <c r="AH142" s="258"/>
      <c r="AI142" s="258"/>
      <c r="AJ142" s="258"/>
      <c r="AK142" s="258"/>
      <c r="AL142" s="258"/>
      <c r="AM142" s="258"/>
      <c r="AN142" s="258"/>
      <c r="AO142" s="258"/>
      <c r="AP142" s="258"/>
      <c r="AQ142" s="258"/>
      <c r="AR142" s="258"/>
      <c r="AS142" s="258"/>
      <c r="AT142" s="258"/>
      <c r="AU142" s="258"/>
      <c r="AV142" s="258"/>
      <c r="AW142" s="258"/>
      <c r="AX142" s="258"/>
      <c r="AY142" s="258"/>
      <c r="AZ142" s="258"/>
      <c r="BA142" s="258"/>
      <c r="BB142" s="258"/>
      <c r="BC142" s="258"/>
      <c r="BD142" s="258"/>
      <c r="BE142" s="258"/>
      <c r="BF142" s="258"/>
      <c r="BG142" s="258"/>
      <c r="BH142" s="258"/>
      <c r="BI142" s="258"/>
      <c r="BJ142" s="258"/>
      <c r="BK142" s="258"/>
      <c r="BL142" s="258"/>
    </row>
    <row r="143" spans="1:64" ht="16" customHeight="1" x14ac:dyDescent="0.2">
      <c r="A143" s="258"/>
      <c r="B143" s="258"/>
      <c r="C143" s="258"/>
      <c r="D143" s="258"/>
      <c r="E143" s="258"/>
      <c r="F143" s="258"/>
      <c r="G143" s="258"/>
      <c r="H143" s="258"/>
      <c r="I143" s="258"/>
      <c r="J143" s="258"/>
      <c r="K143" s="258"/>
      <c r="L143" s="258"/>
      <c r="M143" s="258"/>
      <c r="N143" s="258"/>
      <c r="O143" s="258"/>
      <c r="P143" s="258"/>
      <c r="Q143" s="258"/>
      <c r="R143" s="258"/>
      <c r="S143" s="258"/>
      <c r="T143" s="258"/>
      <c r="U143" s="258"/>
      <c r="V143" s="258"/>
      <c r="W143" s="258"/>
      <c r="X143" s="258"/>
      <c r="Y143" s="258"/>
      <c r="Z143" s="258"/>
      <c r="AA143" s="258"/>
      <c r="AB143" s="258"/>
      <c r="AC143" s="258"/>
      <c r="AD143" s="258"/>
      <c r="AE143" s="258"/>
      <c r="AF143" s="258"/>
      <c r="AG143" s="258"/>
      <c r="AH143" s="258"/>
      <c r="AI143" s="258"/>
      <c r="AJ143" s="258"/>
      <c r="AK143" s="258"/>
      <c r="AL143" s="258"/>
      <c r="AM143" s="258"/>
      <c r="AN143" s="258"/>
      <c r="AO143" s="258"/>
      <c r="AP143" s="258"/>
      <c r="AQ143" s="258"/>
      <c r="AR143" s="258"/>
      <c r="AS143" s="258"/>
      <c r="AT143" s="258"/>
      <c r="AU143" s="258"/>
      <c r="AV143" s="258"/>
      <c r="AW143" s="258"/>
      <c r="AX143" s="258"/>
      <c r="AY143" s="258"/>
      <c r="AZ143" s="258"/>
      <c r="BA143" s="258"/>
      <c r="BB143" s="258"/>
      <c r="BC143" s="258"/>
      <c r="BD143" s="258"/>
      <c r="BE143" s="258"/>
      <c r="BF143" s="258"/>
      <c r="BG143" s="258"/>
      <c r="BH143" s="258"/>
      <c r="BI143" s="258"/>
      <c r="BJ143" s="258"/>
      <c r="BK143" s="258"/>
      <c r="BL143" s="258"/>
    </row>
    <row r="144" spans="1:64" ht="16" customHeight="1" x14ac:dyDescent="0.2">
      <c r="A144" s="258"/>
      <c r="B144" s="258"/>
      <c r="C144" s="258"/>
      <c r="D144" s="258"/>
      <c r="E144" s="258"/>
      <c r="F144" s="258"/>
      <c r="G144" s="258"/>
      <c r="H144" s="258"/>
      <c r="I144" s="258"/>
      <c r="J144" s="258"/>
      <c r="K144" s="258"/>
      <c r="L144" s="258"/>
      <c r="M144" s="258"/>
      <c r="N144" s="258"/>
      <c r="O144" s="258"/>
      <c r="P144" s="258"/>
      <c r="Q144" s="258"/>
      <c r="R144" s="258"/>
      <c r="S144" s="258"/>
      <c r="T144" s="258"/>
      <c r="U144" s="258"/>
      <c r="V144" s="258"/>
      <c r="W144" s="258"/>
      <c r="X144" s="258"/>
      <c r="Y144" s="258"/>
      <c r="Z144" s="258"/>
      <c r="AA144" s="258"/>
      <c r="AB144" s="258"/>
      <c r="AC144" s="258"/>
      <c r="AD144" s="258"/>
      <c r="AE144" s="258"/>
      <c r="AF144" s="258"/>
      <c r="AG144" s="258"/>
      <c r="AH144" s="258"/>
      <c r="AI144" s="258"/>
      <c r="AJ144" s="258"/>
      <c r="AK144" s="258"/>
      <c r="AL144" s="258"/>
      <c r="AM144" s="258"/>
      <c r="AN144" s="258"/>
      <c r="AO144" s="258"/>
      <c r="AP144" s="258"/>
      <c r="AQ144" s="258"/>
      <c r="AR144" s="258"/>
      <c r="AS144" s="258"/>
      <c r="AT144" s="258"/>
      <c r="AU144" s="258"/>
      <c r="AV144" s="258"/>
      <c r="AW144" s="258"/>
      <c r="AX144" s="258"/>
      <c r="AY144" s="258"/>
      <c r="AZ144" s="258"/>
      <c r="BA144" s="258"/>
      <c r="BB144" s="258"/>
      <c r="BC144" s="258"/>
      <c r="BD144" s="258"/>
      <c r="BE144" s="258"/>
      <c r="BF144" s="258"/>
      <c r="BG144" s="258"/>
      <c r="BH144" s="258"/>
      <c r="BI144" s="258"/>
      <c r="BJ144" s="258"/>
      <c r="BK144" s="258"/>
      <c r="BL144" s="258"/>
    </row>
    <row r="145" spans="1:64" ht="16" customHeight="1" x14ac:dyDescent="0.2">
      <c r="A145" s="258"/>
      <c r="B145" s="258"/>
      <c r="C145" s="258"/>
      <c r="D145" s="258"/>
      <c r="E145" s="258"/>
      <c r="F145" s="258"/>
      <c r="G145" s="258"/>
      <c r="H145" s="258"/>
      <c r="I145" s="258"/>
      <c r="J145" s="258"/>
      <c r="K145" s="258"/>
      <c r="L145" s="258"/>
      <c r="M145" s="258"/>
      <c r="N145" s="258"/>
      <c r="O145" s="258"/>
      <c r="P145" s="258"/>
      <c r="Q145" s="258"/>
      <c r="R145" s="258"/>
      <c r="S145" s="258"/>
      <c r="T145" s="258"/>
      <c r="U145" s="258"/>
      <c r="V145" s="258"/>
      <c r="W145" s="258"/>
      <c r="X145" s="258"/>
      <c r="Y145" s="258"/>
      <c r="Z145" s="258"/>
      <c r="AA145" s="258"/>
      <c r="AB145" s="258"/>
      <c r="AC145" s="258"/>
      <c r="AD145" s="258"/>
      <c r="AE145" s="258"/>
      <c r="AF145" s="258"/>
      <c r="AG145" s="258"/>
      <c r="AH145" s="258"/>
      <c r="AI145" s="258"/>
      <c r="AJ145" s="258"/>
      <c r="AK145" s="258"/>
      <c r="AL145" s="258"/>
      <c r="AM145" s="258"/>
      <c r="AN145" s="258"/>
      <c r="AO145" s="258"/>
      <c r="AP145" s="258"/>
      <c r="AQ145" s="258"/>
      <c r="AR145" s="258"/>
      <c r="AS145" s="258"/>
      <c r="AT145" s="258"/>
      <c r="AU145" s="258"/>
      <c r="AV145" s="258"/>
      <c r="AW145" s="258"/>
      <c r="AX145" s="258"/>
      <c r="AY145" s="258"/>
      <c r="AZ145" s="258"/>
      <c r="BA145" s="258"/>
      <c r="BB145" s="258"/>
      <c r="BC145" s="258"/>
      <c r="BD145" s="258"/>
      <c r="BE145" s="258"/>
      <c r="BF145" s="258"/>
      <c r="BG145" s="258"/>
      <c r="BH145" s="258"/>
      <c r="BI145" s="258"/>
      <c r="BJ145" s="258"/>
      <c r="BK145" s="258"/>
      <c r="BL145" s="258"/>
    </row>
    <row r="146" spans="1:64" ht="16" customHeight="1" x14ac:dyDescent="0.2">
      <c r="A146" s="258"/>
      <c r="B146" s="258"/>
      <c r="C146" s="258"/>
      <c r="D146" s="258"/>
      <c r="E146" s="258"/>
      <c r="F146" s="258"/>
      <c r="G146" s="258"/>
      <c r="H146" s="258"/>
      <c r="I146" s="258"/>
      <c r="J146" s="258"/>
      <c r="K146" s="258"/>
      <c r="L146" s="258"/>
      <c r="M146" s="258"/>
      <c r="N146" s="258"/>
      <c r="O146" s="258"/>
      <c r="P146" s="258"/>
      <c r="Q146" s="258"/>
      <c r="R146" s="258"/>
      <c r="S146" s="258"/>
      <c r="T146" s="258"/>
      <c r="U146" s="258"/>
      <c r="V146" s="258"/>
      <c r="W146" s="258"/>
      <c r="X146" s="258"/>
      <c r="Y146" s="258"/>
      <c r="Z146" s="258"/>
      <c r="AA146" s="258"/>
      <c r="AB146" s="258"/>
      <c r="AC146" s="258"/>
      <c r="AD146" s="258"/>
      <c r="AE146" s="258"/>
      <c r="AF146" s="258"/>
      <c r="AG146" s="258"/>
      <c r="AH146" s="258"/>
      <c r="AI146" s="258"/>
      <c r="AJ146" s="258"/>
      <c r="AK146" s="258"/>
      <c r="AL146" s="258"/>
      <c r="AM146" s="258"/>
      <c r="AN146" s="258"/>
      <c r="AO146" s="258"/>
      <c r="AP146" s="258"/>
      <c r="AQ146" s="258"/>
      <c r="AR146" s="258"/>
      <c r="AS146" s="258"/>
      <c r="AT146" s="258"/>
      <c r="AU146" s="258"/>
      <c r="AV146" s="258"/>
      <c r="AW146" s="258"/>
      <c r="AX146" s="258"/>
      <c r="AY146" s="258"/>
      <c r="AZ146" s="258"/>
      <c r="BA146" s="258"/>
      <c r="BB146" s="258"/>
      <c r="BC146" s="258"/>
      <c r="BD146" s="258"/>
      <c r="BE146" s="258"/>
      <c r="BF146" s="258"/>
      <c r="BG146" s="258"/>
      <c r="BH146" s="258"/>
      <c r="BI146" s="258"/>
      <c r="BJ146" s="258"/>
      <c r="BK146" s="258"/>
      <c r="BL146" s="258"/>
    </row>
    <row r="147" spans="1:64" ht="16" customHeight="1" x14ac:dyDescent="0.2">
      <c r="A147" s="258"/>
      <c r="B147" s="258"/>
      <c r="C147" s="258"/>
      <c r="D147" s="258"/>
      <c r="E147" s="258"/>
      <c r="F147" s="258"/>
      <c r="G147" s="258"/>
      <c r="H147" s="258"/>
      <c r="I147" s="258"/>
      <c r="J147" s="258"/>
      <c r="K147" s="258"/>
      <c r="L147" s="258"/>
      <c r="M147" s="258"/>
      <c r="N147" s="258"/>
      <c r="O147" s="258"/>
      <c r="P147" s="258"/>
      <c r="Q147" s="258"/>
      <c r="R147" s="258"/>
      <c r="S147" s="258"/>
      <c r="T147" s="258"/>
      <c r="U147" s="258"/>
      <c r="V147" s="258"/>
      <c r="W147" s="258"/>
      <c r="X147" s="258"/>
      <c r="Y147" s="258"/>
      <c r="Z147" s="258"/>
      <c r="AA147" s="258"/>
      <c r="AB147" s="258"/>
      <c r="AC147" s="258"/>
      <c r="AD147" s="258"/>
      <c r="AE147" s="258"/>
      <c r="AF147" s="258"/>
      <c r="AG147" s="258"/>
      <c r="AH147" s="258"/>
      <c r="AI147" s="258"/>
      <c r="AJ147" s="258"/>
      <c r="AK147" s="258"/>
      <c r="AL147" s="258"/>
      <c r="AM147" s="258"/>
      <c r="AN147" s="258"/>
      <c r="AO147" s="258"/>
      <c r="AP147" s="258"/>
      <c r="AQ147" s="258"/>
      <c r="AR147" s="258"/>
      <c r="AS147" s="258"/>
      <c r="AT147" s="258"/>
      <c r="AU147" s="258"/>
      <c r="AV147" s="258"/>
      <c r="AW147" s="258"/>
      <c r="AX147" s="258"/>
      <c r="AY147" s="258"/>
      <c r="AZ147" s="258"/>
      <c r="BA147" s="258"/>
      <c r="BB147" s="258"/>
      <c r="BC147" s="258"/>
      <c r="BD147" s="258"/>
      <c r="BE147" s="258"/>
      <c r="BF147" s="258"/>
      <c r="BG147" s="258"/>
      <c r="BH147" s="258"/>
      <c r="BI147" s="258"/>
      <c r="BJ147" s="258"/>
      <c r="BK147" s="258"/>
      <c r="BL147" s="258"/>
    </row>
    <row r="148" spans="1:64" ht="16" customHeight="1" x14ac:dyDescent="0.2">
      <c r="A148" s="258"/>
      <c r="B148" s="258"/>
      <c r="C148" s="258"/>
      <c r="D148" s="258"/>
      <c r="E148" s="258"/>
      <c r="F148" s="258"/>
      <c r="G148" s="258"/>
      <c r="H148" s="258"/>
      <c r="I148" s="258"/>
      <c r="J148" s="258"/>
      <c r="K148" s="258"/>
      <c r="L148" s="258"/>
      <c r="M148" s="258"/>
      <c r="N148" s="258"/>
      <c r="O148" s="258"/>
      <c r="P148" s="258"/>
      <c r="Q148" s="258"/>
      <c r="R148" s="258"/>
      <c r="S148" s="258"/>
      <c r="T148" s="258"/>
      <c r="U148" s="258"/>
      <c r="V148" s="258"/>
      <c r="W148" s="258"/>
      <c r="X148" s="258"/>
      <c r="Y148" s="258"/>
      <c r="Z148" s="258"/>
      <c r="AA148" s="258"/>
      <c r="AB148" s="258"/>
      <c r="AC148" s="258"/>
      <c r="AD148" s="258"/>
      <c r="AE148" s="258"/>
      <c r="AF148" s="258"/>
      <c r="AG148" s="258"/>
      <c r="AH148" s="258"/>
      <c r="AI148" s="258"/>
      <c r="AJ148" s="258"/>
      <c r="AK148" s="258"/>
      <c r="AL148" s="258"/>
      <c r="AM148" s="258"/>
      <c r="AN148" s="258"/>
      <c r="AO148" s="258"/>
      <c r="AP148" s="258"/>
      <c r="AQ148" s="258"/>
      <c r="AR148" s="258"/>
      <c r="AS148" s="258"/>
      <c r="AT148" s="258"/>
      <c r="AU148" s="258"/>
      <c r="AV148" s="258"/>
      <c r="AW148" s="258"/>
      <c r="AX148" s="258"/>
      <c r="AY148" s="258"/>
      <c r="AZ148" s="258"/>
      <c r="BA148" s="258"/>
      <c r="BB148" s="258"/>
      <c r="BC148" s="258"/>
      <c r="BD148" s="258"/>
      <c r="BE148" s="258"/>
      <c r="BF148" s="258"/>
      <c r="BG148" s="258"/>
      <c r="BH148" s="258"/>
      <c r="BI148" s="258"/>
      <c r="BJ148" s="258"/>
      <c r="BK148" s="258"/>
      <c r="BL148" s="258"/>
    </row>
    <row r="149" spans="1:64" ht="16" customHeight="1" x14ac:dyDescent="0.2">
      <c r="A149" s="258"/>
      <c r="B149" s="258"/>
      <c r="C149" s="258"/>
      <c r="D149" s="258"/>
      <c r="E149" s="258"/>
      <c r="F149" s="258"/>
      <c r="G149" s="258"/>
      <c r="H149" s="258"/>
      <c r="I149" s="258"/>
      <c r="J149" s="258"/>
      <c r="K149" s="258"/>
      <c r="L149" s="258"/>
      <c r="M149" s="258"/>
      <c r="N149" s="258"/>
      <c r="O149" s="258"/>
      <c r="P149" s="258"/>
      <c r="Q149" s="258"/>
      <c r="R149" s="258"/>
      <c r="S149" s="258"/>
      <c r="T149" s="258"/>
      <c r="U149" s="258"/>
      <c r="V149" s="258"/>
      <c r="W149" s="258"/>
      <c r="X149" s="258"/>
      <c r="Y149" s="258"/>
      <c r="Z149" s="258"/>
      <c r="AA149" s="258"/>
      <c r="AB149" s="258"/>
      <c r="AC149" s="258"/>
      <c r="AD149" s="258"/>
      <c r="AE149" s="258"/>
      <c r="AF149" s="258"/>
      <c r="AG149" s="258"/>
      <c r="AH149" s="258"/>
      <c r="AI149" s="258"/>
      <c r="AJ149" s="258"/>
      <c r="AK149" s="258"/>
      <c r="AL149" s="258"/>
      <c r="AM149" s="258"/>
      <c r="AN149" s="258"/>
      <c r="AO149" s="258"/>
      <c r="AP149" s="258"/>
      <c r="AQ149" s="258"/>
      <c r="AR149" s="258"/>
      <c r="AS149" s="258"/>
      <c r="AT149" s="258"/>
      <c r="AU149" s="258"/>
      <c r="AV149" s="258"/>
      <c r="AW149" s="258"/>
      <c r="AX149" s="258"/>
      <c r="AY149" s="258"/>
      <c r="AZ149" s="258"/>
      <c r="BA149" s="258"/>
      <c r="BB149" s="258"/>
      <c r="BC149" s="258"/>
      <c r="BD149" s="258"/>
      <c r="BE149" s="258"/>
      <c r="BF149" s="258"/>
      <c r="BG149" s="258"/>
      <c r="BH149" s="258"/>
      <c r="BI149" s="258"/>
      <c r="BJ149" s="258"/>
      <c r="BK149" s="258"/>
      <c r="BL149" s="258"/>
    </row>
    <row r="150" spans="1:64" ht="16" customHeight="1" x14ac:dyDescent="0.2">
      <c r="A150" s="258"/>
      <c r="B150" s="258"/>
      <c r="C150" s="258"/>
      <c r="D150" s="258"/>
      <c r="E150" s="258"/>
      <c r="F150" s="258"/>
      <c r="G150" s="258"/>
      <c r="H150" s="258"/>
      <c r="I150" s="258"/>
      <c r="J150" s="258"/>
      <c r="K150" s="258"/>
      <c r="L150" s="258"/>
      <c r="M150" s="258"/>
      <c r="N150" s="258"/>
      <c r="O150" s="258"/>
      <c r="P150" s="258"/>
      <c r="Q150" s="258"/>
      <c r="R150" s="258"/>
      <c r="S150" s="258"/>
      <c r="T150" s="258"/>
      <c r="U150" s="258"/>
      <c r="V150" s="258"/>
      <c r="W150" s="258"/>
      <c r="X150" s="258"/>
      <c r="Y150" s="258"/>
      <c r="Z150" s="258"/>
      <c r="AA150" s="258"/>
      <c r="AB150" s="258"/>
      <c r="AC150" s="258"/>
      <c r="AD150" s="258"/>
      <c r="AE150" s="258"/>
      <c r="AF150" s="258"/>
      <c r="AG150" s="258"/>
      <c r="AH150" s="258"/>
      <c r="AI150" s="258"/>
      <c r="AJ150" s="258"/>
      <c r="AK150" s="258"/>
      <c r="AL150" s="258"/>
      <c r="AM150" s="258"/>
      <c r="AN150" s="258"/>
      <c r="AO150" s="258"/>
      <c r="AP150" s="258"/>
      <c r="AQ150" s="258"/>
      <c r="AR150" s="258"/>
      <c r="AS150" s="258"/>
      <c r="AT150" s="258"/>
      <c r="AU150" s="258"/>
      <c r="AV150" s="258"/>
      <c r="AW150" s="258"/>
      <c r="AX150" s="258"/>
      <c r="AY150" s="258"/>
      <c r="AZ150" s="258"/>
      <c r="BA150" s="258"/>
      <c r="BB150" s="258"/>
      <c r="BC150" s="258"/>
      <c r="BD150" s="258"/>
      <c r="BE150" s="258"/>
      <c r="BF150" s="258"/>
      <c r="BG150" s="258"/>
      <c r="BH150" s="258"/>
      <c r="BI150" s="258"/>
      <c r="BJ150" s="258"/>
      <c r="BK150" s="258"/>
      <c r="BL150" s="258"/>
    </row>
    <row r="151" spans="1:64" ht="16" customHeight="1" x14ac:dyDescent="0.2">
      <c r="A151" s="258"/>
      <c r="B151" s="258"/>
      <c r="C151" s="258"/>
      <c r="D151" s="258"/>
      <c r="E151" s="258"/>
      <c r="F151" s="258"/>
      <c r="G151" s="258"/>
      <c r="H151" s="258"/>
      <c r="I151" s="258"/>
      <c r="J151" s="258"/>
      <c r="K151" s="258"/>
      <c r="L151" s="258"/>
      <c r="M151" s="258"/>
      <c r="N151" s="258"/>
      <c r="O151" s="258"/>
      <c r="P151" s="258"/>
      <c r="Q151" s="258"/>
      <c r="R151" s="258"/>
      <c r="S151" s="258"/>
      <c r="T151" s="258"/>
      <c r="U151" s="258"/>
      <c r="V151" s="258"/>
      <c r="W151" s="258"/>
      <c r="X151" s="258"/>
      <c r="Y151" s="258"/>
      <c r="Z151" s="258"/>
      <c r="AA151" s="258"/>
      <c r="AB151" s="258"/>
      <c r="AC151" s="258"/>
      <c r="AD151" s="258"/>
      <c r="AE151" s="258"/>
      <c r="AF151" s="258"/>
      <c r="AG151" s="258"/>
      <c r="AH151" s="258"/>
      <c r="AI151" s="258"/>
      <c r="AJ151" s="258"/>
      <c r="AK151" s="258"/>
      <c r="AL151" s="258"/>
      <c r="AM151" s="258"/>
      <c r="AN151" s="258"/>
      <c r="AO151" s="258"/>
      <c r="AP151" s="258"/>
      <c r="AQ151" s="258"/>
      <c r="AR151" s="258"/>
      <c r="AS151" s="258"/>
      <c r="AT151" s="258"/>
      <c r="AU151" s="258"/>
      <c r="AV151" s="258"/>
      <c r="AW151" s="258"/>
      <c r="AX151" s="258"/>
      <c r="AY151" s="258"/>
      <c r="AZ151" s="258"/>
      <c r="BA151" s="258"/>
      <c r="BB151" s="258"/>
      <c r="BC151" s="258"/>
      <c r="BD151" s="258"/>
      <c r="BE151" s="258"/>
      <c r="BF151" s="258"/>
      <c r="BG151" s="258"/>
      <c r="BH151" s="258"/>
      <c r="BI151" s="258"/>
      <c r="BJ151" s="258"/>
      <c r="BK151" s="258"/>
      <c r="BL151" s="258"/>
    </row>
    <row r="152" spans="1:64" ht="16" customHeight="1" x14ac:dyDescent="0.2">
      <c r="A152" s="258"/>
      <c r="B152" s="258"/>
      <c r="C152" s="258"/>
      <c r="D152" s="258"/>
      <c r="E152" s="258"/>
      <c r="F152" s="258"/>
      <c r="G152" s="258"/>
      <c r="H152" s="258"/>
      <c r="I152" s="258"/>
      <c r="J152" s="258"/>
      <c r="K152" s="258"/>
      <c r="L152" s="258"/>
      <c r="M152" s="258"/>
      <c r="N152" s="258"/>
      <c r="O152" s="258"/>
      <c r="P152" s="258"/>
      <c r="Q152" s="258"/>
      <c r="R152" s="258"/>
      <c r="S152" s="258"/>
      <c r="T152" s="258"/>
      <c r="U152" s="258"/>
      <c r="V152" s="258"/>
      <c r="W152" s="258"/>
      <c r="X152" s="258"/>
      <c r="Y152" s="258"/>
      <c r="Z152" s="258"/>
      <c r="AA152" s="258"/>
      <c r="AB152" s="258"/>
      <c r="AC152" s="258"/>
      <c r="AD152" s="258"/>
      <c r="AE152" s="258"/>
      <c r="AF152" s="258"/>
      <c r="AG152" s="258"/>
      <c r="AH152" s="258"/>
      <c r="AI152" s="258"/>
      <c r="AJ152" s="258"/>
      <c r="AK152" s="258"/>
      <c r="AL152" s="258"/>
      <c r="AM152" s="258"/>
      <c r="AN152" s="258"/>
      <c r="AO152" s="258"/>
      <c r="AP152" s="258"/>
      <c r="AQ152" s="258"/>
      <c r="AR152" s="258"/>
      <c r="AS152" s="258"/>
      <c r="AT152" s="258"/>
      <c r="AU152" s="258"/>
      <c r="AV152" s="258"/>
      <c r="AW152" s="258"/>
      <c r="AX152" s="258"/>
      <c r="AY152" s="258"/>
      <c r="AZ152" s="258"/>
      <c r="BA152" s="258"/>
      <c r="BB152" s="258"/>
      <c r="BC152" s="258"/>
      <c r="BD152" s="258"/>
      <c r="BE152" s="258"/>
      <c r="BF152" s="258"/>
      <c r="BG152" s="258"/>
      <c r="BH152" s="258"/>
      <c r="BI152" s="258"/>
      <c r="BJ152" s="258"/>
      <c r="BK152" s="258"/>
      <c r="BL152" s="258"/>
    </row>
    <row r="153" spans="1:64" ht="16" customHeight="1" x14ac:dyDescent="0.2">
      <c r="A153" s="258"/>
      <c r="B153" s="258"/>
      <c r="C153" s="258"/>
      <c r="D153" s="258"/>
      <c r="E153" s="258"/>
      <c r="F153" s="258"/>
      <c r="G153" s="258"/>
      <c r="H153" s="258"/>
      <c r="I153" s="258"/>
      <c r="J153" s="258"/>
      <c r="K153" s="258"/>
      <c r="L153" s="258"/>
      <c r="M153" s="258"/>
      <c r="N153" s="258"/>
      <c r="O153" s="258"/>
      <c r="P153" s="258"/>
      <c r="Q153" s="258"/>
      <c r="R153" s="258"/>
      <c r="S153" s="258"/>
      <c r="T153" s="258"/>
      <c r="U153" s="258"/>
      <c r="V153" s="258"/>
      <c r="W153" s="258"/>
      <c r="X153" s="258"/>
      <c r="Y153" s="258"/>
      <c r="Z153" s="258"/>
      <c r="AA153" s="258"/>
      <c r="AB153" s="258"/>
      <c r="AC153" s="258"/>
      <c r="AD153" s="258"/>
      <c r="AE153" s="258"/>
      <c r="AF153" s="258"/>
      <c r="AG153" s="258"/>
      <c r="AH153" s="258"/>
      <c r="AI153" s="258"/>
      <c r="AJ153" s="258"/>
      <c r="AK153" s="258"/>
      <c r="AL153" s="258"/>
      <c r="AM153" s="258"/>
      <c r="AN153" s="258"/>
      <c r="AO153" s="258"/>
      <c r="AP153" s="258"/>
      <c r="AQ153" s="258"/>
      <c r="AR153" s="258"/>
      <c r="AS153" s="258"/>
      <c r="AT153" s="258"/>
      <c r="AU153" s="258"/>
      <c r="AV153" s="258"/>
      <c r="AW153" s="258"/>
      <c r="AX153" s="258"/>
      <c r="AY153" s="258"/>
      <c r="AZ153" s="258"/>
      <c r="BA153" s="258"/>
      <c r="BB153" s="258"/>
      <c r="BC153" s="258"/>
      <c r="BD153" s="258"/>
      <c r="BE153" s="258"/>
      <c r="BF153" s="258"/>
      <c r="BG153" s="258"/>
      <c r="BH153" s="258"/>
      <c r="BI153" s="258"/>
      <c r="BJ153" s="258"/>
      <c r="BK153" s="258"/>
      <c r="BL153" s="258"/>
    </row>
    <row r="154" spans="1:64" ht="16" customHeight="1" x14ac:dyDescent="0.2">
      <c r="A154" s="258"/>
      <c r="B154" s="258"/>
      <c r="C154" s="258"/>
      <c r="D154" s="258"/>
      <c r="E154" s="258"/>
      <c r="F154" s="258"/>
      <c r="G154" s="258"/>
      <c r="H154" s="258"/>
      <c r="I154" s="258"/>
      <c r="J154" s="258"/>
      <c r="K154" s="258"/>
      <c r="L154" s="258"/>
      <c r="M154" s="258"/>
      <c r="N154" s="258"/>
      <c r="O154" s="258"/>
      <c r="P154" s="258"/>
      <c r="Q154" s="258"/>
      <c r="R154" s="258"/>
      <c r="S154" s="258"/>
      <c r="T154" s="258"/>
      <c r="U154" s="258"/>
      <c r="V154" s="258"/>
      <c r="W154" s="258"/>
      <c r="X154" s="258"/>
      <c r="Y154" s="258"/>
      <c r="Z154" s="258"/>
      <c r="AA154" s="258"/>
      <c r="AB154" s="258"/>
      <c r="AC154" s="258"/>
      <c r="AD154" s="258"/>
      <c r="AE154" s="258"/>
      <c r="AF154" s="258"/>
      <c r="AG154" s="258"/>
      <c r="AH154" s="258"/>
      <c r="AI154" s="258"/>
      <c r="AJ154" s="258"/>
      <c r="AK154" s="258"/>
      <c r="AL154" s="258"/>
      <c r="AM154" s="258"/>
      <c r="AN154" s="258"/>
      <c r="AO154" s="258"/>
      <c r="AP154" s="258"/>
      <c r="AQ154" s="258"/>
      <c r="AR154" s="258"/>
      <c r="AS154" s="258"/>
      <c r="AT154" s="258"/>
      <c r="AU154" s="258"/>
      <c r="AV154" s="258"/>
      <c r="AW154" s="258"/>
      <c r="AX154" s="258"/>
      <c r="AY154" s="258"/>
      <c r="AZ154" s="258"/>
      <c r="BA154" s="258"/>
      <c r="BB154" s="258"/>
      <c r="BC154" s="258"/>
      <c r="BD154" s="258"/>
      <c r="BE154" s="258"/>
      <c r="BF154" s="258"/>
      <c r="BG154" s="258"/>
      <c r="BH154" s="258"/>
      <c r="BI154" s="258"/>
      <c r="BJ154" s="258"/>
      <c r="BK154" s="258"/>
      <c r="BL154" s="258"/>
    </row>
    <row r="155" spans="1:64" ht="16" customHeight="1" x14ac:dyDescent="0.2">
      <c r="A155" s="258"/>
      <c r="B155" s="258"/>
      <c r="C155" s="258"/>
      <c r="D155" s="258"/>
      <c r="E155" s="258"/>
      <c r="F155" s="258"/>
      <c r="G155" s="258"/>
      <c r="H155" s="258"/>
      <c r="I155" s="258"/>
      <c r="J155" s="258"/>
      <c r="K155" s="258"/>
      <c r="L155" s="258"/>
      <c r="M155" s="258"/>
      <c r="N155" s="258"/>
      <c r="O155" s="258"/>
      <c r="P155" s="258"/>
      <c r="Q155" s="258"/>
      <c r="R155" s="258"/>
      <c r="S155" s="258"/>
      <c r="T155" s="258"/>
      <c r="U155" s="258"/>
      <c r="V155" s="258"/>
      <c r="W155" s="258"/>
      <c r="X155" s="258"/>
      <c r="Y155" s="258"/>
      <c r="Z155" s="258"/>
      <c r="AA155" s="258"/>
      <c r="AB155" s="258"/>
      <c r="AC155" s="258"/>
      <c r="AD155" s="258"/>
      <c r="AE155" s="258"/>
      <c r="AF155" s="258"/>
      <c r="AG155" s="258"/>
      <c r="AH155" s="258"/>
      <c r="AI155" s="258"/>
      <c r="AJ155" s="258"/>
      <c r="AK155" s="258"/>
      <c r="AL155" s="258"/>
      <c r="AM155" s="258"/>
      <c r="AN155" s="258"/>
      <c r="AO155" s="258"/>
      <c r="AP155" s="258"/>
      <c r="AQ155" s="258"/>
      <c r="AR155" s="258"/>
      <c r="AS155" s="258"/>
      <c r="AT155" s="258"/>
      <c r="AU155" s="258"/>
      <c r="AV155" s="258"/>
      <c r="AW155" s="258"/>
      <c r="AX155" s="258"/>
      <c r="AY155" s="258"/>
      <c r="AZ155" s="258"/>
      <c r="BA155" s="258"/>
      <c r="BB155" s="258"/>
      <c r="BC155" s="258"/>
      <c r="BD155" s="258"/>
      <c r="BE155" s="258"/>
      <c r="BF155" s="258"/>
      <c r="BG155" s="258"/>
      <c r="BH155" s="258"/>
      <c r="BI155" s="258"/>
      <c r="BJ155" s="258"/>
      <c r="BK155" s="258"/>
      <c r="BL155" s="258"/>
    </row>
    <row r="156" spans="1:64" ht="16" customHeight="1" x14ac:dyDescent="0.2">
      <c r="A156" s="258"/>
      <c r="B156" s="258"/>
      <c r="C156" s="258"/>
      <c r="D156" s="258"/>
      <c r="E156" s="258"/>
      <c r="F156" s="258"/>
      <c r="G156" s="258"/>
      <c r="H156" s="258"/>
      <c r="I156" s="258"/>
      <c r="J156" s="258"/>
      <c r="K156" s="258"/>
      <c r="L156" s="258"/>
      <c r="M156" s="258"/>
      <c r="N156" s="258"/>
      <c r="O156" s="258"/>
      <c r="P156" s="258"/>
      <c r="Q156" s="258"/>
      <c r="R156" s="258"/>
      <c r="S156" s="258"/>
      <c r="T156" s="258"/>
      <c r="U156" s="258"/>
      <c r="V156" s="258"/>
      <c r="W156" s="258"/>
      <c r="X156" s="258"/>
      <c r="Y156" s="258"/>
      <c r="Z156" s="258"/>
      <c r="AA156" s="258"/>
      <c r="AB156" s="258"/>
      <c r="AC156" s="258"/>
      <c r="AD156" s="258"/>
      <c r="AE156" s="258"/>
      <c r="AF156" s="258"/>
      <c r="AG156" s="258"/>
      <c r="AH156" s="258"/>
      <c r="AI156" s="258"/>
      <c r="AJ156" s="258"/>
      <c r="AK156" s="258"/>
      <c r="AL156" s="258"/>
      <c r="AM156" s="258"/>
      <c r="AN156" s="258"/>
      <c r="AO156" s="258"/>
      <c r="AP156" s="258"/>
      <c r="AQ156" s="258"/>
      <c r="AR156" s="258"/>
      <c r="AS156" s="258"/>
      <c r="AT156" s="258"/>
      <c r="AU156" s="258"/>
      <c r="AV156" s="258"/>
      <c r="AW156" s="258"/>
      <c r="AX156" s="258"/>
      <c r="AY156" s="258"/>
      <c r="AZ156" s="258"/>
      <c r="BA156" s="258"/>
      <c r="BB156" s="258"/>
      <c r="BC156" s="258"/>
      <c r="BD156" s="258"/>
      <c r="BE156" s="258"/>
      <c r="BF156" s="258"/>
      <c r="BG156" s="258"/>
      <c r="BH156" s="258"/>
      <c r="BI156" s="258"/>
      <c r="BJ156" s="258"/>
      <c r="BK156" s="258"/>
      <c r="BL156" s="258"/>
    </row>
    <row r="157" spans="1:64" ht="16" customHeight="1" x14ac:dyDescent="0.2">
      <c r="A157" s="258"/>
      <c r="B157" s="258"/>
      <c r="C157" s="258"/>
      <c r="D157" s="258"/>
      <c r="E157" s="258"/>
      <c r="F157" s="258"/>
      <c r="G157" s="258"/>
      <c r="H157" s="258"/>
      <c r="I157" s="258"/>
      <c r="J157" s="258"/>
      <c r="K157" s="258"/>
      <c r="L157" s="258"/>
      <c r="M157" s="258"/>
      <c r="N157" s="258"/>
      <c r="O157" s="258"/>
      <c r="P157" s="258"/>
      <c r="Q157" s="258"/>
      <c r="R157" s="258"/>
      <c r="S157" s="258"/>
      <c r="T157" s="258"/>
      <c r="U157" s="258"/>
      <c r="V157" s="258"/>
      <c r="W157" s="258"/>
      <c r="X157" s="258"/>
      <c r="Y157" s="258"/>
      <c r="Z157" s="258"/>
      <c r="AA157" s="258"/>
      <c r="AB157" s="258"/>
      <c r="AC157" s="258"/>
      <c r="AD157" s="258"/>
      <c r="AE157" s="258"/>
      <c r="AF157" s="258"/>
      <c r="AG157" s="258"/>
      <c r="AH157" s="258"/>
      <c r="AI157" s="258"/>
      <c r="AJ157" s="258"/>
      <c r="AK157" s="258"/>
      <c r="AL157" s="258"/>
      <c r="AM157" s="258"/>
      <c r="AN157" s="258"/>
      <c r="AO157" s="258"/>
      <c r="AP157" s="258"/>
      <c r="AQ157" s="258"/>
      <c r="AR157" s="258"/>
      <c r="AS157" s="258"/>
      <c r="AT157" s="258"/>
      <c r="AU157" s="258"/>
      <c r="AV157" s="258"/>
      <c r="AW157" s="258"/>
      <c r="AX157" s="258"/>
      <c r="AY157" s="258"/>
      <c r="AZ157" s="258"/>
      <c r="BA157" s="258"/>
      <c r="BB157" s="258"/>
      <c r="BC157" s="258"/>
      <c r="BD157" s="258"/>
      <c r="BE157" s="258"/>
      <c r="BF157" s="258"/>
      <c r="BG157" s="258"/>
      <c r="BH157" s="258"/>
      <c r="BI157" s="258"/>
      <c r="BJ157" s="258"/>
      <c r="BK157" s="258"/>
      <c r="BL157" s="258"/>
    </row>
    <row r="158" spans="1:64" ht="16" customHeight="1" x14ac:dyDescent="0.2">
      <c r="A158" s="258"/>
      <c r="B158" s="258"/>
      <c r="C158" s="258"/>
      <c r="D158" s="258"/>
      <c r="E158" s="258"/>
      <c r="F158" s="258"/>
      <c r="G158" s="258"/>
      <c r="H158" s="258"/>
      <c r="I158" s="258"/>
      <c r="J158" s="258"/>
      <c r="K158" s="258"/>
      <c r="L158" s="258"/>
      <c r="M158" s="258"/>
      <c r="N158" s="258"/>
      <c r="O158" s="258"/>
      <c r="P158" s="258"/>
      <c r="Q158" s="258"/>
      <c r="R158" s="258"/>
      <c r="S158" s="258"/>
      <c r="T158" s="258"/>
      <c r="U158" s="258"/>
      <c r="V158" s="258"/>
      <c r="W158" s="258"/>
      <c r="X158" s="258"/>
      <c r="Y158" s="258"/>
      <c r="Z158" s="258"/>
      <c r="AA158" s="258"/>
      <c r="AB158" s="258"/>
      <c r="AC158" s="258"/>
      <c r="AD158" s="258"/>
      <c r="AE158" s="258"/>
      <c r="AF158" s="258"/>
      <c r="AG158" s="258"/>
      <c r="AH158" s="258"/>
      <c r="AI158" s="258"/>
      <c r="AJ158" s="258"/>
      <c r="AK158" s="258"/>
      <c r="AL158" s="258"/>
      <c r="AM158" s="258"/>
      <c r="AN158" s="258"/>
      <c r="AO158" s="258"/>
      <c r="AP158" s="258"/>
      <c r="AQ158" s="258"/>
      <c r="AR158" s="258"/>
      <c r="AS158" s="258"/>
      <c r="AT158" s="258"/>
      <c r="AU158" s="258"/>
      <c r="AV158" s="258"/>
      <c r="AW158" s="258"/>
      <c r="AX158" s="258"/>
      <c r="AY158" s="258"/>
      <c r="AZ158" s="258"/>
      <c r="BA158" s="258"/>
      <c r="BB158" s="258"/>
      <c r="BC158" s="258"/>
      <c r="BD158" s="258"/>
      <c r="BE158" s="258"/>
      <c r="BF158" s="258"/>
      <c r="BG158" s="258"/>
      <c r="BH158" s="258"/>
      <c r="BI158" s="258"/>
      <c r="BJ158" s="258"/>
      <c r="BK158" s="258"/>
      <c r="BL158" s="258"/>
    </row>
    <row r="159" spans="1:64" ht="16" customHeight="1" x14ac:dyDescent="0.2">
      <c r="A159" s="258"/>
      <c r="B159" s="258"/>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c r="AP159" s="258"/>
      <c r="AQ159" s="258"/>
      <c r="AR159" s="258"/>
      <c r="AS159" s="258"/>
      <c r="AT159" s="258"/>
      <c r="AU159" s="258"/>
      <c r="AV159" s="258"/>
      <c r="AW159" s="258"/>
      <c r="AX159" s="258"/>
      <c r="AY159" s="258"/>
      <c r="AZ159" s="258"/>
      <c r="BA159" s="258"/>
      <c r="BB159" s="258"/>
      <c r="BC159" s="258"/>
      <c r="BD159" s="258"/>
      <c r="BE159" s="258"/>
      <c r="BF159" s="258"/>
      <c r="BG159" s="258"/>
      <c r="BH159" s="258"/>
      <c r="BI159" s="258"/>
      <c r="BJ159" s="258"/>
      <c r="BK159" s="258"/>
      <c r="BL159" s="258"/>
    </row>
    <row r="160" spans="1:64" ht="16" customHeight="1" x14ac:dyDescent="0.2">
      <c r="A160" s="258"/>
      <c r="B160" s="258"/>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c r="AP160" s="258"/>
      <c r="AQ160" s="258"/>
      <c r="AR160" s="258"/>
      <c r="AS160" s="258"/>
      <c r="AT160" s="258"/>
      <c r="AU160" s="258"/>
      <c r="AV160" s="258"/>
      <c r="AW160" s="258"/>
      <c r="AX160" s="258"/>
      <c r="AY160" s="258"/>
      <c r="AZ160" s="258"/>
      <c r="BA160" s="258"/>
      <c r="BB160" s="258"/>
      <c r="BC160" s="258"/>
      <c r="BD160" s="258"/>
      <c r="BE160" s="258"/>
      <c r="BF160" s="258"/>
      <c r="BG160" s="258"/>
      <c r="BH160" s="258"/>
      <c r="BI160" s="258"/>
      <c r="BJ160" s="258"/>
      <c r="BK160" s="258"/>
      <c r="BL160" s="258"/>
    </row>
    <row r="161" spans="1:64" ht="16" customHeight="1" x14ac:dyDescent="0.2">
      <c r="A161" s="258"/>
      <c r="B161" s="258"/>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c r="AP161" s="258"/>
      <c r="AQ161" s="258"/>
      <c r="AR161" s="258"/>
      <c r="AS161" s="258"/>
      <c r="AT161" s="258"/>
      <c r="AU161" s="258"/>
      <c r="AV161" s="258"/>
      <c r="AW161" s="258"/>
      <c r="AX161" s="258"/>
      <c r="AY161" s="258"/>
      <c r="AZ161" s="258"/>
      <c r="BA161" s="258"/>
      <c r="BB161" s="258"/>
      <c r="BC161" s="258"/>
      <c r="BD161" s="258"/>
      <c r="BE161" s="258"/>
      <c r="BF161" s="258"/>
      <c r="BG161" s="258"/>
      <c r="BH161" s="258"/>
      <c r="BI161" s="258"/>
      <c r="BJ161" s="258"/>
      <c r="BK161" s="258"/>
      <c r="BL161" s="258"/>
    </row>
    <row r="162" spans="1:64" ht="16" customHeight="1" x14ac:dyDescent="0.2">
      <c r="A162" s="258"/>
      <c r="B162" s="258"/>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c r="AP162" s="258"/>
      <c r="AQ162" s="258"/>
      <c r="AR162" s="258"/>
      <c r="AS162" s="258"/>
      <c r="AT162" s="258"/>
      <c r="AU162" s="258"/>
      <c r="AV162" s="258"/>
      <c r="AW162" s="258"/>
      <c r="AX162" s="258"/>
      <c r="AY162" s="258"/>
      <c r="AZ162" s="258"/>
      <c r="BA162" s="258"/>
      <c r="BB162" s="258"/>
      <c r="BC162" s="258"/>
      <c r="BD162" s="258"/>
      <c r="BE162" s="258"/>
      <c r="BF162" s="258"/>
      <c r="BG162" s="258"/>
      <c r="BH162" s="258"/>
      <c r="BI162" s="258"/>
      <c r="BJ162" s="258"/>
      <c r="BK162" s="258"/>
      <c r="BL162" s="258"/>
    </row>
    <row r="163" spans="1:64" ht="16" customHeight="1" x14ac:dyDescent="0.2">
      <c r="A163" s="258"/>
      <c r="B163" s="258"/>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c r="AP163" s="258"/>
      <c r="AQ163" s="258"/>
      <c r="AR163" s="258"/>
      <c r="AS163" s="258"/>
      <c r="AT163" s="258"/>
      <c r="AU163" s="258"/>
      <c r="AV163" s="258"/>
      <c r="AW163" s="258"/>
      <c r="AX163" s="258"/>
      <c r="AY163" s="258"/>
      <c r="AZ163" s="258"/>
      <c r="BA163" s="258"/>
      <c r="BB163" s="258"/>
      <c r="BC163" s="258"/>
      <c r="BD163" s="258"/>
      <c r="BE163" s="258"/>
      <c r="BF163" s="258"/>
      <c r="BG163" s="258"/>
      <c r="BH163" s="258"/>
      <c r="BI163" s="258"/>
      <c r="BJ163" s="258"/>
      <c r="BK163" s="258"/>
      <c r="BL163" s="258"/>
    </row>
    <row r="164" spans="1:64" ht="16" customHeight="1" x14ac:dyDescent="0.2">
      <c r="A164" s="258"/>
      <c r="B164" s="258"/>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c r="AP164" s="258"/>
      <c r="AQ164" s="258"/>
      <c r="AR164" s="258"/>
      <c r="AS164" s="258"/>
      <c r="AT164" s="258"/>
      <c r="AU164" s="258"/>
      <c r="AV164" s="258"/>
      <c r="AW164" s="258"/>
      <c r="AX164" s="258"/>
      <c r="AY164" s="258"/>
      <c r="AZ164" s="258"/>
      <c r="BA164" s="258"/>
      <c r="BB164" s="258"/>
      <c r="BC164" s="258"/>
      <c r="BD164" s="258"/>
      <c r="BE164" s="258"/>
      <c r="BF164" s="258"/>
      <c r="BG164" s="258"/>
      <c r="BH164" s="258"/>
      <c r="BI164" s="258"/>
      <c r="BJ164" s="258"/>
      <c r="BK164" s="258"/>
      <c r="BL164" s="258"/>
    </row>
    <row r="165" spans="1:64" ht="16" customHeight="1" x14ac:dyDescent="0.2">
      <c r="A165" s="258"/>
      <c r="B165" s="258"/>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c r="AP165" s="258"/>
      <c r="AQ165" s="258"/>
      <c r="AR165" s="258"/>
      <c r="AS165" s="258"/>
      <c r="AT165" s="258"/>
      <c r="AU165" s="258"/>
      <c r="AV165" s="258"/>
      <c r="AW165" s="258"/>
      <c r="AX165" s="258"/>
      <c r="AY165" s="258"/>
      <c r="AZ165" s="258"/>
      <c r="BA165" s="258"/>
      <c r="BB165" s="258"/>
      <c r="BC165" s="258"/>
      <c r="BD165" s="258"/>
      <c r="BE165" s="258"/>
      <c r="BF165" s="258"/>
      <c r="BG165" s="258"/>
      <c r="BH165" s="258"/>
      <c r="BI165" s="258"/>
      <c r="BJ165" s="258"/>
      <c r="BK165" s="258"/>
      <c r="BL165" s="258"/>
    </row>
    <row r="166" spans="1:64" ht="16" customHeight="1" x14ac:dyDescent="0.2">
      <c r="A166" s="258"/>
      <c r="B166" s="258"/>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c r="AP166" s="258"/>
      <c r="AQ166" s="258"/>
      <c r="AR166" s="258"/>
      <c r="AS166" s="258"/>
      <c r="AT166" s="258"/>
      <c r="AU166" s="258"/>
      <c r="AV166" s="258"/>
      <c r="AW166" s="258"/>
      <c r="AX166" s="258"/>
      <c r="AY166" s="258"/>
      <c r="AZ166" s="258"/>
      <c r="BA166" s="258"/>
      <c r="BB166" s="258"/>
      <c r="BC166" s="258"/>
      <c r="BD166" s="258"/>
      <c r="BE166" s="258"/>
      <c r="BF166" s="258"/>
      <c r="BG166" s="258"/>
      <c r="BH166" s="258"/>
      <c r="BI166" s="258"/>
      <c r="BJ166" s="258"/>
      <c r="BK166" s="258"/>
      <c r="BL166" s="258"/>
    </row>
    <row r="167" spans="1:64" ht="16" customHeight="1" x14ac:dyDescent="0.2">
      <c r="A167" s="258"/>
      <c r="B167" s="258"/>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c r="AP167" s="258"/>
      <c r="AQ167" s="258"/>
      <c r="AR167" s="258"/>
      <c r="AS167" s="258"/>
      <c r="AT167" s="258"/>
      <c r="AU167" s="258"/>
      <c r="AV167" s="258"/>
      <c r="AW167" s="258"/>
      <c r="AX167" s="258"/>
      <c r="AY167" s="258"/>
      <c r="AZ167" s="258"/>
      <c r="BA167" s="258"/>
      <c r="BB167" s="258"/>
      <c r="BC167" s="258"/>
      <c r="BD167" s="258"/>
      <c r="BE167" s="258"/>
      <c r="BF167" s="258"/>
      <c r="BG167" s="258"/>
      <c r="BH167" s="258"/>
      <c r="BI167" s="258"/>
      <c r="BJ167" s="258"/>
      <c r="BK167" s="258"/>
      <c r="BL167" s="258"/>
    </row>
    <row r="168" spans="1:64" ht="16" customHeight="1" x14ac:dyDescent="0.2">
      <c r="A168" s="258"/>
      <c r="B168" s="258"/>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c r="AP168" s="258"/>
      <c r="AQ168" s="258"/>
      <c r="AR168" s="258"/>
      <c r="AS168" s="258"/>
      <c r="AT168" s="258"/>
      <c r="AU168" s="258"/>
      <c r="AV168" s="258"/>
      <c r="AW168" s="258"/>
      <c r="AX168" s="258"/>
      <c r="AY168" s="258"/>
      <c r="AZ168" s="258"/>
      <c r="BA168" s="258"/>
      <c r="BB168" s="258"/>
      <c r="BC168" s="258"/>
      <c r="BD168" s="258"/>
      <c r="BE168" s="258"/>
      <c r="BF168" s="258"/>
      <c r="BG168" s="258"/>
      <c r="BH168" s="258"/>
      <c r="BI168" s="258"/>
      <c r="BJ168" s="258"/>
      <c r="BK168" s="258"/>
      <c r="BL168" s="258"/>
    </row>
    <row r="169" spans="1:64" ht="16" customHeight="1" x14ac:dyDescent="0.2">
      <c r="A169" s="258"/>
      <c r="B169" s="258"/>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c r="AP169" s="258"/>
      <c r="AQ169" s="258"/>
      <c r="AR169" s="258"/>
      <c r="AS169" s="258"/>
      <c r="AT169" s="258"/>
      <c r="AU169" s="258"/>
      <c r="AV169" s="258"/>
      <c r="AW169" s="258"/>
      <c r="AX169" s="258"/>
      <c r="AY169" s="258"/>
      <c r="AZ169" s="258"/>
      <c r="BA169" s="258"/>
      <c r="BB169" s="258"/>
      <c r="BC169" s="258"/>
      <c r="BD169" s="258"/>
      <c r="BE169" s="258"/>
      <c r="BF169" s="258"/>
      <c r="BG169" s="258"/>
      <c r="BH169" s="258"/>
      <c r="BI169" s="258"/>
      <c r="BJ169" s="258"/>
      <c r="BK169" s="258"/>
      <c r="BL169" s="258"/>
    </row>
    <row r="170" spans="1:64" ht="16" customHeight="1" x14ac:dyDescent="0.2">
      <c r="A170" s="258"/>
      <c r="B170" s="258"/>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c r="AP170" s="258"/>
      <c r="AQ170" s="258"/>
      <c r="AR170" s="258"/>
      <c r="AS170" s="258"/>
      <c r="AT170" s="258"/>
      <c r="AU170" s="258"/>
      <c r="AV170" s="258"/>
      <c r="AW170" s="258"/>
      <c r="AX170" s="258"/>
      <c r="AY170" s="258"/>
      <c r="AZ170" s="258"/>
      <c r="BA170" s="258"/>
      <c r="BB170" s="258"/>
      <c r="BC170" s="258"/>
      <c r="BD170" s="258"/>
      <c r="BE170" s="258"/>
      <c r="BF170" s="258"/>
      <c r="BG170" s="258"/>
      <c r="BH170" s="258"/>
      <c r="BI170" s="258"/>
      <c r="BJ170" s="258"/>
      <c r="BK170" s="258"/>
      <c r="BL170" s="258"/>
    </row>
    <row r="171" spans="1:64" ht="16" customHeight="1" x14ac:dyDescent="0.2">
      <c r="A171" s="258"/>
      <c r="B171" s="258"/>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c r="AP171" s="258"/>
      <c r="AQ171" s="258"/>
      <c r="AR171" s="258"/>
      <c r="AS171" s="258"/>
      <c r="AT171" s="258"/>
      <c r="AU171" s="258"/>
      <c r="AV171" s="258"/>
      <c r="AW171" s="258"/>
      <c r="AX171" s="258"/>
      <c r="AY171" s="258"/>
      <c r="AZ171" s="258"/>
      <c r="BA171" s="258"/>
      <c r="BB171" s="258"/>
      <c r="BC171" s="258"/>
      <c r="BD171" s="258"/>
      <c r="BE171" s="258"/>
      <c r="BF171" s="258"/>
      <c r="BG171" s="258"/>
      <c r="BH171" s="258"/>
      <c r="BI171" s="258"/>
      <c r="BJ171" s="258"/>
      <c r="BK171" s="258"/>
      <c r="BL171" s="258"/>
    </row>
    <row r="172" spans="1:64" ht="16" customHeight="1" x14ac:dyDescent="0.2">
      <c r="A172" s="258"/>
      <c r="B172" s="258"/>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c r="AP172" s="258"/>
      <c r="AQ172" s="258"/>
      <c r="AR172" s="258"/>
      <c r="AS172" s="258"/>
      <c r="AT172" s="258"/>
      <c r="AU172" s="258"/>
      <c r="AV172" s="258"/>
      <c r="AW172" s="258"/>
      <c r="AX172" s="258"/>
      <c r="AY172" s="258"/>
      <c r="AZ172" s="258"/>
      <c r="BA172" s="258"/>
      <c r="BB172" s="258"/>
      <c r="BC172" s="258"/>
      <c r="BD172" s="258"/>
      <c r="BE172" s="258"/>
      <c r="BF172" s="258"/>
      <c r="BG172" s="258"/>
      <c r="BH172" s="258"/>
      <c r="BI172" s="258"/>
      <c r="BJ172" s="258"/>
      <c r="BK172" s="258"/>
      <c r="BL172" s="258"/>
    </row>
    <row r="173" spans="1:64" ht="16" customHeight="1" x14ac:dyDescent="0.2">
      <c r="A173" s="258"/>
      <c r="B173" s="258"/>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c r="AP173" s="258"/>
      <c r="AQ173" s="258"/>
      <c r="AR173" s="258"/>
      <c r="AS173" s="258"/>
      <c r="AT173" s="258"/>
      <c r="AU173" s="258"/>
      <c r="AV173" s="258"/>
      <c r="AW173" s="258"/>
      <c r="AX173" s="258"/>
      <c r="AY173" s="258"/>
      <c r="AZ173" s="258"/>
      <c r="BA173" s="258"/>
      <c r="BB173" s="258"/>
      <c r="BC173" s="258"/>
      <c r="BD173" s="258"/>
      <c r="BE173" s="258"/>
      <c r="BF173" s="258"/>
      <c r="BG173" s="258"/>
      <c r="BH173" s="258"/>
      <c r="BI173" s="258"/>
      <c r="BJ173" s="258"/>
      <c r="BK173" s="258"/>
      <c r="BL173" s="258"/>
    </row>
    <row r="174" spans="1:64" ht="16" customHeight="1" x14ac:dyDescent="0.2">
      <c r="A174" s="258"/>
      <c r="B174" s="258"/>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c r="AP174" s="258"/>
      <c r="AQ174" s="258"/>
      <c r="AR174" s="258"/>
      <c r="AS174" s="258"/>
      <c r="AT174" s="258"/>
      <c r="AU174" s="258"/>
      <c r="AV174" s="258"/>
      <c r="AW174" s="258"/>
      <c r="AX174" s="258"/>
      <c r="AY174" s="258"/>
      <c r="AZ174" s="258"/>
      <c r="BA174" s="258"/>
      <c r="BB174" s="258"/>
      <c r="BC174" s="258"/>
      <c r="BD174" s="258"/>
      <c r="BE174" s="258"/>
      <c r="BF174" s="258"/>
      <c r="BG174" s="258"/>
      <c r="BH174" s="258"/>
      <c r="BI174" s="258"/>
      <c r="BJ174" s="258"/>
      <c r="BK174" s="258"/>
      <c r="BL174" s="258"/>
    </row>
    <row r="175" spans="1:64" ht="16" customHeight="1" x14ac:dyDescent="0.2">
      <c r="A175" s="258"/>
      <c r="B175" s="258"/>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c r="AP175" s="258"/>
      <c r="AQ175" s="258"/>
      <c r="AR175" s="258"/>
      <c r="AS175" s="258"/>
      <c r="AT175" s="258"/>
      <c r="AU175" s="258"/>
      <c r="AV175" s="258"/>
      <c r="AW175" s="258"/>
      <c r="AX175" s="258"/>
      <c r="AY175" s="258"/>
      <c r="AZ175" s="258"/>
      <c r="BA175" s="258"/>
      <c r="BB175" s="258"/>
      <c r="BC175" s="258"/>
      <c r="BD175" s="258"/>
      <c r="BE175" s="258"/>
      <c r="BF175" s="258"/>
      <c r="BG175" s="258"/>
      <c r="BH175" s="258"/>
      <c r="BI175" s="258"/>
      <c r="BJ175" s="258"/>
      <c r="BK175" s="258"/>
      <c r="BL175" s="258"/>
    </row>
    <row r="176" spans="1:64" ht="16" customHeight="1" x14ac:dyDescent="0.2">
      <c r="A176" s="258"/>
      <c r="B176" s="258"/>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c r="AO176" s="258"/>
      <c r="AP176" s="258"/>
      <c r="AQ176" s="258"/>
      <c r="AR176" s="258"/>
      <c r="AS176" s="258"/>
      <c r="AT176" s="258"/>
      <c r="AU176" s="258"/>
      <c r="AV176" s="258"/>
      <c r="AW176" s="258"/>
      <c r="AX176" s="258"/>
      <c r="AY176" s="258"/>
      <c r="AZ176" s="258"/>
      <c r="BA176" s="258"/>
      <c r="BB176" s="258"/>
      <c r="BC176" s="258"/>
      <c r="BD176" s="258"/>
      <c r="BE176" s="258"/>
      <c r="BF176" s="258"/>
      <c r="BG176" s="258"/>
      <c r="BH176" s="258"/>
      <c r="BI176" s="258"/>
      <c r="BJ176" s="258"/>
      <c r="BK176" s="258"/>
      <c r="BL176" s="258"/>
    </row>
    <row r="177" spans="1:64" ht="16" customHeight="1" x14ac:dyDescent="0.2">
      <c r="A177" s="258"/>
      <c r="B177" s="258"/>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c r="AO177" s="258"/>
      <c r="AP177" s="258"/>
      <c r="AQ177" s="258"/>
      <c r="AR177" s="258"/>
      <c r="AS177" s="258"/>
      <c r="AT177" s="258"/>
      <c r="AU177" s="258"/>
      <c r="AV177" s="258"/>
      <c r="AW177" s="258"/>
      <c r="AX177" s="258"/>
      <c r="AY177" s="258"/>
      <c r="AZ177" s="258"/>
      <c r="BA177" s="258"/>
      <c r="BB177" s="258"/>
      <c r="BC177" s="258"/>
      <c r="BD177" s="258"/>
      <c r="BE177" s="258"/>
      <c r="BF177" s="258"/>
      <c r="BG177" s="258"/>
      <c r="BH177" s="258"/>
      <c r="BI177" s="258"/>
      <c r="BJ177" s="258"/>
      <c r="BK177" s="258"/>
      <c r="BL177" s="258"/>
    </row>
    <row r="178" spans="1:64" ht="16" customHeight="1" x14ac:dyDescent="0.2">
      <c r="A178" s="258"/>
      <c r="B178" s="258"/>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c r="AO178" s="258"/>
      <c r="AP178" s="258"/>
      <c r="AQ178" s="258"/>
      <c r="AR178" s="258"/>
      <c r="AS178" s="258"/>
      <c r="AT178" s="258"/>
      <c r="AU178" s="258"/>
      <c r="AV178" s="258"/>
      <c r="AW178" s="258"/>
      <c r="AX178" s="258"/>
      <c r="AY178" s="258"/>
      <c r="AZ178" s="258"/>
      <c r="BA178" s="258"/>
      <c r="BB178" s="258"/>
      <c r="BC178" s="258"/>
      <c r="BD178" s="258"/>
      <c r="BE178" s="258"/>
      <c r="BF178" s="258"/>
      <c r="BG178" s="258"/>
      <c r="BH178" s="258"/>
      <c r="BI178" s="258"/>
      <c r="BJ178" s="258"/>
      <c r="BK178" s="258"/>
      <c r="BL178" s="258"/>
    </row>
    <row r="179" spans="1:64" ht="16" customHeight="1" x14ac:dyDescent="0.2">
      <c r="A179" s="258"/>
      <c r="B179" s="258"/>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c r="AO179" s="258"/>
      <c r="AP179" s="258"/>
      <c r="AQ179" s="258"/>
      <c r="AR179" s="258"/>
      <c r="AS179" s="258"/>
      <c r="AT179" s="258"/>
      <c r="AU179" s="258"/>
      <c r="AV179" s="258"/>
      <c r="AW179" s="258"/>
      <c r="AX179" s="258"/>
      <c r="AY179" s="258"/>
      <c r="AZ179" s="258"/>
      <c r="BA179" s="258"/>
      <c r="BB179" s="258"/>
      <c r="BC179" s="258"/>
      <c r="BD179" s="258"/>
      <c r="BE179" s="258"/>
      <c r="BF179" s="258"/>
      <c r="BG179" s="258"/>
      <c r="BH179" s="258"/>
      <c r="BI179" s="258"/>
      <c r="BJ179" s="258"/>
      <c r="BK179" s="258"/>
      <c r="BL179" s="258"/>
    </row>
    <row r="180" spans="1:64" ht="16" customHeight="1" x14ac:dyDescent="0.2">
      <c r="A180" s="258"/>
      <c r="B180" s="258"/>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c r="AO180" s="258"/>
      <c r="AP180" s="258"/>
      <c r="AQ180" s="258"/>
      <c r="AR180" s="258"/>
      <c r="AS180" s="258"/>
      <c r="AT180" s="258"/>
      <c r="AU180" s="258"/>
      <c r="AV180" s="258"/>
      <c r="AW180" s="258"/>
      <c r="AX180" s="258"/>
      <c r="AY180" s="258"/>
      <c r="AZ180" s="258"/>
      <c r="BA180" s="258"/>
      <c r="BB180" s="258"/>
      <c r="BC180" s="258"/>
      <c r="BD180" s="258"/>
      <c r="BE180" s="258"/>
      <c r="BF180" s="258"/>
      <c r="BG180" s="258"/>
      <c r="BH180" s="258"/>
      <c r="BI180" s="258"/>
      <c r="BJ180" s="258"/>
      <c r="BK180" s="258"/>
      <c r="BL180" s="258"/>
    </row>
    <row r="181" spans="1:64" ht="16" customHeight="1" x14ac:dyDescent="0.2">
      <c r="A181" s="258"/>
      <c r="B181" s="258"/>
      <c r="C181" s="258"/>
      <c r="D181" s="258"/>
      <c r="E181" s="258"/>
      <c r="F181" s="258"/>
      <c r="G181" s="258"/>
      <c r="H181" s="258"/>
      <c r="I181" s="258"/>
      <c r="J181" s="258"/>
      <c r="K181" s="258"/>
      <c r="M181" s="258"/>
      <c r="N181" s="258"/>
      <c r="O181" s="258"/>
      <c r="P181" s="258"/>
      <c r="Q181" s="258"/>
      <c r="R181" s="258"/>
      <c r="S181" s="258"/>
    </row>
    <row r="182" spans="1:64" ht="16" customHeight="1" x14ac:dyDescent="0.2">
      <c r="A182" s="258"/>
      <c r="B182" s="258"/>
      <c r="C182" s="258"/>
      <c r="D182" s="258"/>
      <c r="E182" s="258"/>
      <c r="F182" s="258"/>
      <c r="G182" s="258"/>
      <c r="H182" s="258"/>
      <c r="I182" s="258"/>
      <c r="J182" s="258"/>
      <c r="K182" s="258"/>
      <c r="M182" s="258"/>
      <c r="N182" s="258"/>
      <c r="O182" s="258"/>
      <c r="P182" s="258"/>
      <c r="Q182" s="258"/>
      <c r="R182" s="258"/>
      <c r="S182" s="258"/>
    </row>
    <row r="183" spans="1:64" ht="16" customHeight="1" x14ac:dyDescent="0.2">
      <c r="A183" s="258"/>
      <c r="B183" s="258"/>
      <c r="C183" s="258"/>
      <c r="D183" s="258"/>
      <c r="E183" s="258"/>
      <c r="F183" s="258"/>
      <c r="G183" s="258"/>
      <c r="H183" s="258"/>
      <c r="I183" s="258"/>
      <c r="J183" s="258"/>
      <c r="K183" s="258"/>
      <c r="M183" s="258"/>
      <c r="N183" s="258"/>
      <c r="O183" s="258"/>
      <c r="P183" s="258"/>
      <c r="Q183" s="258"/>
      <c r="R183" s="258"/>
      <c r="S183" s="258"/>
    </row>
    <row r="184" spans="1:64" ht="16" customHeight="1" x14ac:dyDescent="0.2">
      <c r="A184" s="258"/>
      <c r="B184" s="258"/>
      <c r="C184" s="258"/>
      <c r="D184" s="258"/>
      <c r="E184" s="258"/>
      <c r="F184" s="258"/>
      <c r="G184" s="258"/>
      <c r="H184" s="258"/>
      <c r="I184" s="258"/>
      <c r="J184" s="258"/>
      <c r="K184" s="258"/>
      <c r="M184" s="258"/>
      <c r="N184" s="258"/>
      <c r="O184" s="258"/>
      <c r="P184" s="258"/>
      <c r="Q184" s="258"/>
      <c r="R184" s="258"/>
      <c r="S184" s="258"/>
    </row>
    <row r="185" spans="1:64" ht="16" customHeight="1" x14ac:dyDescent="0.2">
      <c r="A185" s="258"/>
      <c r="B185" s="258"/>
      <c r="C185" s="258"/>
      <c r="D185" s="258"/>
      <c r="E185" s="258"/>
      <c r="F185" s="258"/>
      <c r="G185" s="258"/>
      <c r="H185" s="258"/>
      <c r="I185" s="258"/>
      <c r="J185" s="258"/>
      <c r="K185" s="258"/>
      <c r="M185" s="258"/>
      <c r="N185" s="258"/>
      <c r="O185" s="258"/>
      <c r="P185" s="258"/>
      <c r="Q185" s="258"/>
      <c r="R185" s="258"/>
      <c r="S185" s="258"/>
    </row>
    <row r="186" spans="1:64" ht="16" customHeight="1" x14ac:dyDescent="0.2">
      <c r="A186" s="258"/>
      <c r="B186" s="258"/>
      <c r="C186" s="258"/>
      <c r="D186" s="258"/>
      <c r="E186" s="258"/>
      <c r="F186" s="258"/>
      <c r="G186" s="258"/>
      <c r="H186" s="258"/>
      <c r="I186" s="258"/>
      <c r="J186" s="258"/>
      <c r="K186" s="258"/>
      <c r="M186" s="258"/>
      <c r="N186" s="258"/>
      <c r="O186" s="258"/>
      <c r="P186" s="258"/>
      <c r="Q186" s="258"/>
      <c r="R186" s="258"/>
      <c r="S186" s="258"/>
    </row>
    <row r="187" spans="1:64" ht="16" customHeight="1" x14ac:dyDescent="0.2">
      <c r="A187" s="258"/>
      <c r="B187" s="258"/>
      <c r="C187" s="258"/>
      <c r="D187" s="258"/>
      <c r="E187" s="258"/>
      <c r="F187" s="258"/>
      <c r="G187" s="258"/>
      <c r="H187" s="258"/>
      <c r="I187" s="258"/>
      <c r="J187" s="258"/>
      <c r="K187" s="258"/>
      <c r="M187" s="258"/>
      <c r="N187" s="258"/>
      <c r="O187" s="258"/>
      <c r="P187" s="258"/>
      <c r="Q187" s="258"/>
      <c r="R187" s="258"/>
      <c r="S187" s="258"/>
    </row>
    <row r="188" spans="1:64" ht="16" customHeight="1" x14ac:dyDescent="0.2">
      <c r="A188" s="258"/>
      <c r="B188" s="258"/>
      <c r="C188" s="258"/>
      <c r="D188" s="258"/>
      <c r="E188" s="258"/>
      <c r="F188" s="258"/>
      <c r="G188" s="258"/>
      <c r="H188" s="258"/>
      <c r="I188" s="258"/>
      <c r="J188" s="258"/>
      <c r="K188" s="258"/>
      <c r="M188" s="258"/>
      <c r="N188" s="258"/>
      <c r="O188" s="258"/>
      <c r="P188" s="258"/>
      <c r="Q188" s="258"/>
      <c r="R188" s="258"/>
      <c r="S188" s="258"/>
    </row>
    <row r="189" spans="1:64" ht="16" customHeight="1" x14ac:dyDescent="0.2">
      <c r="A189" s="258"/>
      <c r="B189" s="258"/>
      <c r="C189" s="258"/>
      <c r="D189" s="258"/>
      <c r="E189" s="258"/>
      <c r="F189" s="258"/>
      <c r="G189" s="258"/>
      <c r="H189" s="258"/>
      <c r="I189" s="258"/>
      <c r="J189" s="258"/>
      <c r="K189" s="258"/>
      <c r="M189" s="258"/>
      <c r="N189" s="258"/>
      <c r="O189" s="258"/>
      <c r="P189" s="258"/>
      <c r="Q189" s="258"/>
      <c r="R189" s="258"/>
      <c r="S189" s="258"/>
    </row>
    <row r="190" spans="1:64" ht="16" customHeight="1" x14ac:dyDescent="0.2">
      <c r="A190" s="258"/>
      <c r="B190" s="258"/>
      <c r="C190" s="258"/>
      <c r="D190" s="258"/>
      <c r="E190" s="258"/>
      <c r="F190" s="258"/>
      <c r="G190" s="258"/>
      <c r="H190" s="258"/>
      <c r="I190" s="258"/>
      <c r="J190" s="258"/>
      <c r="K190" s="258"/>
      <c r="M190" s="258"/>
      <c r="N190" s="258"/>
      <c r="O190" s="258"/>
      <c r="P190" s="258"/>
      <c r="Q190" s="258"/>
      <c r="R190" s="258"/>
      <c r="S190" s="258"/>
    </row>
    <row r="191" spans="1:64" ht="16" customHeight="1" x14ac:dyDescent="0.2">
      <c r="A191" s="258"/>
      <c r="B191" s="258"/>
      <c r="C191" s="258"/>
      <c r="D191" s="258"/>
      <c r="E191" s="258"/>
      <c r="F191" s="258"/>
      <c r="G191" s="258"/>
      <c r="H191" s="258"/>
      <c r="I191" s="258"/>
      <c r="J191" s="258"/>
      <c r="K191" s="258"/>
      <c r="M191" s="258"/>
      <c r="N191" s="258"/>
      <c r="O191" s="258"/>
      <c r="P191" s="258"/>
      <c r="Q191" s="258"/>
      <c r="R191" s="258"/>
      <c r="S191" s="258"/>
    </row>
    <row r="192" spans="1:64" ht="16" customHeight="1" x14ac:dyDescent="0.2">
      <c r="A192" s="258"/>
      <c r="B192" s="258"/>
      <c r="C192" s="258"/>
      <c r="D192" s="258"/>
      <c r="E192" s="258"/>
      <c r="F192" s="258"/>
      <c r="G192" s="258"/>
      <c r="H192" s="258"/>
      <c r="I192" s="258"/>
      <c r="J192" s="258"/>
      <c r="K192" s="258"/>
      <c r="M192" s="258"/>
      <c r="N192" s="258"/>
      <c r="O192" s="258"/>
      <c r="P192" s="258"/>
      <c r="Q192" s="258"/>
      <c r="R192" s="258"/>
      <c r="S192" s="258"/>
    </row>
    <row r="193" spans="1:19" ht="16" customHeight="1" x14ac:dyDescent="0.2">
      <c r="A193" s="258"/>
      <c r="B193" s="258"/>
      <c r="C193" s="258"/>
      <c r="D193" s="258"/>
      <c r="E193" s="258"/>
      <c r="F193" s="258"/>
      <c r="G193" s="258"/>
      <c r="H193" s="258"/>
      <c r="I193" s="258"/>
      <c r="J193" s="258"/>
      <c r="K193" s="258"/>
      <c r="M193" s="258"/>
      <c r="N193" s="258"/>
      <c r="O193" s="258"/>
      <c r="P193" s="258"/>
      <c r="Q193" s="258"/>
      <c r="R193" s="258"/>
      <c r="S193" s="258"/>
    </row>
    <row r="194" spans="1:19" ht="16" customHeight="1" x14ac:dyDescent="0.2">
      <c r="A194" s="258"/>
      <c r="B194" s="258"/>
      <c r="C194" s="258"/>
      <c r="D194" s="258"/>
      <c r="E194" s="258"/>
      <c r="F194" s="258"/>
      <c r="G194" s="258"/>
      <c r="H194" s="258"/>
      <c r="I194" s="258"/>
      <c r="J194" s="258"/>
      <c r="K194" s="258"/>
      <c r="M194" s="258"/>
      <c r="N194" s="258"/>
      <c r="O194" s="258"/>
      <c r="P194" s="258"/>
      <c r="Q194" s="258"/>
      <c r="R194" s="258"/>
      <c r="S194" s="258"/>
    </row>
    <row r="195" spans="1:19" ht="16" customHeight="1" x14ac:dyDescent="0.2">
      <c r="A195" s="258"/>
      <c r="B195" s="258"/>
      <c r="C195" s="258"/>
      <c r="D195" s="258"/>
      <c r="E195" s="258"/>
      <c r="F195" s="258"/>
      <c r="G195" s="258"/>
      <c r="H195" s="258"/>
      <c r="I195" s="258"/>
      <c r="J195" s="258"/>
      <c r="K195" s="258"/>
      <c r="M195" s="258"/>
      <c r="N195" s="258"/>
      <c r="O195" s="258"/>
      <c r="P195" s="258"/>
      <c r="Q195" s="258"/>
      <c r="R195" s="258"/>
      <c r="S195" s="258"/>
    </row>
    <row r="196" spans="1:19" ht="16" customHeight="1" x14ac:dyDescent="0.2">
      <c r="A196" s="258"/>
      <c r="B196" s="258"/>
      <c r="C196" s="258"/>
      <c r="D196" s="258"/>
      <c r="E196" s="258"/>
      <c r="F196" s="258"/>
      <c r="G196" s="258"/>
      <c r="H196" s="258"/>
      <c r="I196" s="258"/>
      <c r="J196" s="258"/>
      <c r="K196" s="258"/>
      <c r="M196" s="258"/>
      <c r="N196" s="258"/>
      <c r="O196" s="258"/>
      <c r="P196" s="258"/>
      <c r="Q196" s="258"/>
      <c r="R196" s="258"/>
      <c r="S196" s="258"/>
    </row>
    <row r="197" spans="1:19" ht="16" customHeight="1" x14ac:dyDescent="0.2">
      <c r="A197" s="258"/>
      <c r="B197" s="258"/>
      <c r="C197" s="258"/>
      <c r="D197" s="258"/>
      <c r="E197" s="258"/>
      <c r="F197" s="258"/>
      <c r="G197" s="258"/>
      <c r="H197" s="258"/>
      <c r="I197" s="258"/>
      <c r="J197" s="258"/>
      <c r="K197" s="258"/>
      <c r="M197" s="258"/>
      <c r="N197" s="258"/>
      <c r="O197" s="258"/>
      <c r="P197" s="258"/>
      <c r="Q197" s="258"/>
      <c r="R197" s="258"/>
      <c r="S197" s="258"/>
    </row>
    <row r="198" spans="1:19" ht="16" customHeight="1" x14ac:dyDescent="0.2">
      <c r="A198" s="258"/>
      <c r="B198" s="258"/>
      <c r="C198" s="258"/>
      <c r="D198" s="258"/>
      <c r="E198" s="258"/>
      <c r="F198" s="258"/>
      <c r="G198" s="258"/>
      <c r="H198" s="258"/>
      <c r="I198" s="258"/>
      <c r="J198" s="258"/>
      <c r="K198" s="258"/>
      <c r="M198" s="258"/>
      <c r="N198" s="258"/>
      <c r="O198" s="258"/>
      <c r="P198" s="258"/>
      <c r="Q198" s="258"/>
      <c r="R198" s="258"/>
      <c r="S198" s="258"/>
    </row>
    <row r="199" spans="1:19" ht="16" customHeight="1" x14ac:dyDescent="0.2">
      <c r="A199" s="258"/>
      <c r="B199" s="258"/>
      <c r="C199" s="258"/>
      <c r="D199" s="258"/>
      <c r="E199" s="258"/>
      <c r="F199" s="258"/>
      <c r="G199" s="258"/>
      <c r="H199" s="258"/>
      <c r="I199" s="258"/>
      <c r="J199" s="258"/>
      <c r="K199" s="258"/>
      <c r="M199" s="258"/>
      <c r="N199" s="258"/>
      <c r="O199" s="258"/>
      <c r="P199" s="258"/>
      <c r="Q199" s="258"/>
      <c r="R199" s="258"/>
      <c r="S199" s="258"/>
    </row>
    <row r="200" spans="1:19" ht="16" customHeight="1" x14ac:dyDescent="0.2">
      <c r="A200" s="258"/>
      <c r="B200" s="258"/>
      <c r="C200" s="258"/>
      <c r="D200" s="258"/>
      <c r="E200" s="258"/>
      <c r="F200" s="258"/>
      <c r="G200" s="258"/>
      <c r="H200" s="258"/>
      <c r="I200" s="258"/>
      <c r="J200" s="258"/>
      <c r="K200" s="258"/>
      <c r="M200" s="258"/>
      <c r="N200" s="258"/>
      <c r="O200" s="258"/>
      <c r="P200" s="258"/>
      <c r="Q200" s="258"/>
      <c r="R200" s="258"/>
      <c r="S200" s="258"/>
    </row>
    <row r="201" spans="1:19" ht="16" customHeight="1" x14ac:dyDescent="0.2">
      <c r="A201" s="258"/>
      <c r="B201" s="258"/>
      <c r="C201" s="258"/>
      <c r="D201" s="258"/>
      <c r="E201" s="258"/>
      <c r="F201" s="258"/>
      <c r="G201" s="258"/>
      <c r="H201" s="258"/>
      <c r="I201" s="258"/>
      <c r="J201" s="258"/>
      <c r="K201" s="258"/>
      <c r="M201" s="258"/>
      <c r="N201" s="258"/>
      <c r="O201" s="258"/>
      <c r="P201" s="258"/>
      <c r="Q201" s="258"/>
      <c r="R201" s="258"/>
      <c r="S201" s="258"/>
    </row>
    <row r="202" spans="1:19" ht="16" customHeight="1" x14ac:dyDescent="0.2">
      <c r="A202" s="258"/>
      <c r="B202" s="258"/>
      <c r="C202" s="258"/>
      <c r="D202" s="258"/>
      <c r="E202" s="258"/>
      <c r="F202" s="258"/>
      <c r="G202" s="258"/>
      <c r="H202" s="258"/>
      <c r="I202" s="258"/>
      <c r="J202" s="258"/>
      <c r="K202" s="258"/>
      <c r="M202" s="258"/>
      <c r="N202" s="258"/>
      <c r="O202" s="258"/>
      <c r="P202" s="258"/>
      <c r="Q202" s="258"/>
      <c r="R202" s="258"/>
      <c r="S202" s="258"/>
    </row>
    <row r="203" spans="1:19" ht="16" customHeight="1" x14ac:dyDescent="0.2">
      <c r="A203" s="258"/>
      <c r="B203" s="258"/>
      <c r="C203" s="258"/>
      <c r="D203" s="258"/>
      <c r="E203" s="258"/>
      <c r="F203" s="258"/>
      <c r="G203" s="258"/>
      <c r="H203" s="258"/>
      <c r="I203" s="258"/>
      <c r="J203" s="258"/>
      <c r="K203" s="258"/>
      <c r="M203" s="258"/>
      <c r="N203" s="258"/>
      <c r="O203" s="258"/>
      <c r="P203" s="258"/>
      <c r="Q203" s="258"/>
      <c r="R203" s="258"/>
      <c r="S203" s="258"/>
    </row>
    <row r="204" spans="1:19" ht="16" customHeight="1" x14ac:dyDescent="0.2">
      <c r="A204" s="258"/>
      <c r="B204" s="258"/>
      <c r="C204" s="258"/>
      <c r="D204" s="258"/>
      <c r="E204" s="258"/>
      <c r="F204" s="258"/>
      <c r="G204" s="258"/>
      <c r="H204" s="258"/>
      <c r="I204" s="258"/>
      <c r="J204" s="258"/>
      <c r="K204" s="258"/>
      <c r="M204" s="258"/>
      <c r="N204" s="258"/>
      <c r="O204" s="258"/>
      <c r="P204" s="258"/>
      <c r="Q204" s="258"/>
      <c r="R204" s="258"/>
      <c r="S204" s="258"/>
    </row>
    <row r="205" spans="1:19" ht="16" customHeight="1" x14ac:dyDescent="0.2">
      <c r="M205" s="258"/>
      <c r="N205" s="258"/>
      <c r="O205" s="258"/>
      <c r="P205" s="258"/>
      <c r="Q205" s="258"/>
      <c r="R205" s="258"/>
      <c r="S205" s="258"/>
    </row>
    <row r="206" spans="1:19" ht="16" customHeight="1" x14ac:dyDescent="0.2">
      <c r="M206" s="258"/>
      <c r="N206" s="258"/>
      <c r="O206" s="258"/>
      <c r="P206" s="258"/>
      <c r="Q206" s="258"/>
      <c r="R206" s="258"/>
      <c r="S206" s="258"/>
    </row>
  </sheetData>
  <mergeCells count="11">
    <mergeCell ref="B3:I5"/>
    <mergeCell ref="C13:J14"/>
    <mergeCell ref="C10:J11"/>
    <mergeCell ref="C19:J20"/>
    <mergeCell ref="C16:J17"/>
    <mergeCell ref="B39:J47"/>
    <mergeCell ref="M30:S35"/>
    <mergeCell ref="N9:S10"/>
    <mergeCell ref="N12:S13"/>
    <mergeCell ref="N15:S17"/>
    <mergeCell ref="M21:S2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22EC-D878-6547-9426-B00F6262BE29}">
  <sheetPr codeName="Sheet15"/>
  <dimension ref="A1:S38"/>
  <sheetViews>
    <sheetView workbookViewId="0">
      <selection activeCell="B1" sqref="B1"/>
    </sheetView>
  </sheetViews>
  <sheetFormatPr baseColWidth="10" defaultColWidth="11" defaultRowHeight="16" outlineLevelCol="1" x14ac:dyDescent="0.2"/>
  <cols>
    <col min="1" max="1" width="4" style="104" customWidth="1"/>
    <col min="2" max="2" width="11.5" customWidth="1"/>
    <col min="12" max="12" width="14.5" hidden="1" customWidth="1" outlineLevel="1"/>
    <col min="13" max="14" width="10.83203125" hidden="1" customWidth="1" outlineLevel="1"/>
    <col min="15" max="15" width="10.6640625" hidden="1" customWidth="1" outlineLevel="1"/>
    <col min="16" max="18" width="10.83203125" hidden="1" customWidth="1" outlineLevel="1"/>
    <col min="19" max="19" width="11" collapsed="1"/>
  </cols>
  <sheetData>
    <row r="1" spans="1:18" x14ac:dyDescent="0.2">
      <c r="A1" s="228"/>
      <c r="B1" s="148" t="s">
        <v>416</v>
      </c>
      <c r="C1" s="147" t="s">
        <v>415</v>
      </c>
      <c r="D1" s="147" t="s">
        <v>414</v>
      </c>
      <c r="E1" s="147" t="s">
        <v>413</v>
      </c>
      <c r="F1" s="146"/>
      <c r="G1" s="146"/>
      <c r="H1" s="146"/>
      <c r="I1" s="146"/>
      <c r="J1" s="145"/>
      <c r="K1" s="214" t="s">
        <v>146</v>
      </c>
      <c r="L1" s="214"/>
    </row>
    <row r="2" spans="1:18" x14ac:dyDescent="0.2">
      <c r="A2" s="199"/>
      <c r="B2" s="227" t="s">
        <v>412</v>
      </c>
      <c r="C2" s="226">
        <v>2</v>
      </c>
      <c r="D2" s="123"/>
      <c r="E2" s="123"/>
      <c r="F2" s="123"/>
      <c r="G2" s="123"/>
      <c r="H2" s="123"/>
      <c r="I2" s="123"/>
      <c r="J2" s="122"/>
    </row>
    <row r="3" spans="1:18" x14ac:dyDescent="0.2">
      <c r="A3" s="199"/>
      <c r="B3" s="123"/>
      <c r="C3" s="123"/>
      <c r="D3" s="123"/>
      <c r="E3" s="123"/>
      <c r="F3" s="123"/>
      <c r="G3" s="123"/>
      <c r="H3" s="123"/>
      <c r="I3" s="123"/>
      <c r="J3" s="122"/>
      <c r="L3" s="214" t="s">
        <v>411</v>
      </c>
      <c r="M3" s="225"/>
    </row>
    <row r="4" spans="1:18" x14ac:dyDescent="0.2">
      <c r="A4" s="199"/>
      <c r="B4" s="123"/>
      <c r="C4" s="123" t="s">
        <v>410</v>
      </c>
      <c r="D4" s="123"/>
      <c r="E4" s="123"/>
      <c r="F4" s="123"/>
      <c r="G4" s="123"/>
      <c r="H4" s="123"/>
      <c r="I4" s="123"/>
      <c r="J4" s="122"/>
      <c r="L4" s="224" t="s">
        <v>409</v>
      </c>
      <c r="M4" s="225"/>
    </row>
    <row r="5" spans="1:18" x14ac:dyDescent="0.2">
      <c r="A5" s="199"/>
      <c r="B5" s="123"/>
      <c r="C5" s="123" t="s">
        <v>408</v>
      </c>
      <c r="D5" s="123"/>
      <c r="E5" s="123"/>
      <c r="F5" s="123"/>
      <c r="G5" s="123"/>
      <c r="H5" s="123"/>
      <c r="I5" s="123"/>
      <c r="J5" s="122"/>
      <c r="L5" s="224" t="s">
        <v>407</v>
      </c>
    </row>
    <row r="6" spans="1:18" x14ac:dyDescent="0.2">
      <c r="A6" s="199"/>
      <c r="B6" s="123"/>
      <c r="C6" s="123"/>
      <c r="D6" s="123"/>
      <c r="E6" s="123"/>
      <c r="F6" s="123"/>
      <c r="G6" s="123"/>
      <c r="H6" s="123"/>
      <c r="I6" s="123"/>
      <c r="J6" s="122"/>
      <c r="M6" s="223"/>
    </row>
    <row r="7" spans="1:18" x14ac:dyDescent="0.2">
      <c r="A7" s="199"/>
      <c r="B7" s="123"/>
      <c r="C7" s="123"/>
      <c r="D7" s="123"/>
      <c r="E7" s="123"/>
      <c r="F7" s="123"/>
      <c r="G7" s="123"/>
      <c r="H7" s="123"/>
      <c r="I7" s="123"/>
      <c r="J7" s="122"/>
      <c r="L7" s="214" t="s">
        <v>406</v>
      </c>
      <c r="M7" s="222"/>
    </row>
    <row r="8" spans="1:18" x14ac:dyDescent="0.2">
      <c r="A8" s="199"/>
      <c r="B8" s="123"/>
      <c r="C8" s="123"/>
      <c r="D8" s="123"/>
      <c r="E8" s="123"/>
      <c r="F8" s="123"/>
      <c r="G8" s="123"/>
      <c r="H8" s="123"/>
      <c r="I8" s="123"/>
      <c r="J8" s="122"/>
      <c r="L8" s="410" t="s">
        <v>405</v>
      </c>
      <c r="M8" s="410"/>
      <c r="N8" s="410"/>
      <c r="O8" s="410"/>
      <c r="P8" s="410"/>
      <c r="Q8" s="410"/>
      <c r="R8" s="410"/>
    </row>
    <row r="9" spans="1:18" x14ac:dyDescent="0.2">
      <c r="A9" s="199"/>
      <c r="B9" s="123"/>
      <c r="C9" s="123" t="s">
        <v>404</v>
      </c>
      <c r="D9" s="123"/>
      <c r="E9" s="123"/>
      <c r="F9" s="123"/>
      <c r="G9" s="123"/>
      <c r="H9" s="123"/>
      <c r="I9" s="123"/>
      <c r="J9" s="122"/>
      <c r="L9" s="410"/>
      <c r="M9" s="410"/>
      <c r="N9" s="410"/>
      <c r="O9" s="410"/>
      <c r="P9" s="410"/>
      <c r="Q9" s="410"/>
      <c r="R9" s="410"/>
    </row>
    <row r="10" spans="1:18" x14ac:dyDescent="0.2">
      <c r="A10" s="199"/>
      <c r="B10" s="123"/>
      <c r="C10" s="123"/>
      <c r="D10" s="123"/>
      <c r="E10" s="123"/>
      <c r="F10" s="123"/>
      <c r="G10" s="123"/>
      <c r="H10" s="123"/>
      <c r="I10" s="123"/>
      <c r="J10" s="122"/>
      <c r="L10" s="214"/>
    </row>
    <row r="11" spans="1:18" x14ac:dyDescent="0.2">
      <c r="A11" s="199"/>
      <c r="B11" s="123"/>
      <c r="C11" s="123"/>
      <c r="D11" s="123"/>
      <c r="E11" s="123"/>
      <c r="F11" s="123"/>
      <c r="G11" s="123"/>
      <c r="H11" s="123"/>
      <c r="I11" s="123"/>
      <c r="J11" s="122"/>
      <c r="L11" s="214" t="s">
        <v>403</v>
      </c>
    </row>
    <row r="12" spans="1:18" x14ac:dyDescent="0.2">
      <c r="A12" s="199"/>
      <c r="B12" s="123"/>
      <c r="C12" s="123"/>
      <c r="D12" s="123"/>
      <c r="E12" s="123"/>
      <c r="F12" s="123"/>
      <c r="G12" s="123"/>
      <c r="H12" s="123"/>
      <c r="I12" s="123"/>
      <c r="J12" s="122"/>
      <c r="L12" t="s">
        <v>402</v>
      </c>
    </row>
    <row r="13" spans="1:18" x14ac:dyDescent="0.2">
      <c r="A13" s="199" t="s">
        <v>0</v>
      </c>
      <c r="B13" s="128" t="s">
        <v>399</v>
      </c>
      <c r="C13" s="123" t="s">
        <v>401</v>
      </c>
      <c r="D13" s="123"/>
      <c r="E13" s="123"/>
      <c r="F13" s="123"/>
      <c r="G13" s="123"/>
      <c r="H13" s="123"/>
      <c r="I13" s="123"/>
      <c r="J13" s="122"/>
    </row>
    <row r="14" spans="1:18" x14ac:dyDescent="0.2">
      <c r="A14" s="199"/>
      <c r="B14" s="126"/>
      <c r="C14" s="123"/>
      <c r="D14" s="123"/>
      <c r="E14" s="123"/>
      <c r="F14" s="123"/>
      <c r="G14" s="123"/>
      <c r="H14" s="123"/>
      <c r="I14" s="123"/>
      <c r="J14" s="122"/>
      <c r="L14" s="214" t="s">
        <v>400</v>
      </c>
    </row>
    <row r="15" spans="1:18" x14ac:dyDescent="0.2">
      <c r="A15" s="199" t="s">
        <v>1</v>
      </c>
      <c r="B15" s="128" t="s">
        <v>399</v>
      </c>
      <c r="C15" s="123" t="s">
        <v>398</v>
      </c>
      <c r="D15" s="123"/>
      <c r="E15" s="123"/>
      <c r="F15" s="123"/>
      <c r="G15" s="123"/>
      <c r="H15" s="123"/>
      <c r="I15" s="123"/>
      <c r="J15" s="122"/>
      <c r="L15" t="s">
        <v>397</v>
      </c>
      <c r="M15" s="221"/>
    </row>
    <row r="16" spans="1:18" x14ac:dyDescent="0.2">
      <c r="A16" s="199"/>
      <c r="B16" s="126"/>
      <c r="C16" s="123"/>
      <c r="D16" s="123"/>
      <c r="E16" s="123"/>
      <c r="F16" s="123"/>
      <c r="G16" s="123"/>
      <c r="H16" s="123"/>
      <c r="I16" s="123"/>
      <c r="J16" s="122"/>
      <c r="M16" s="221"/>
    </row>
    <row r="17" spans="1:14" x14ac:dyDescent="0.2">
      <c r="A17" s="199" t="s">
        <v>2</v>
      </c>
      <c r="B17" s="128" t="s">
        <v>396</v>
      </c>
      <c r="C17" s="123" t="s">
        <v>395</v>
      </c>
      <c r="D17" s="123"/>
      <c r="E17" s="123"/>
      <c r="F17" s="123"/>
      <c r="G17" s="123"/>
      <c r="H17" s="123"/>
      <c r="I17" s="123"/>
      <c r="J17" s="122"/>
      <c r="L17" t="s">
        <v>394</v>
      </c>
      <c r="M17" s="221"/>
    </row>
    <row r="18" spans="1:14" x14ac:dyDescent="0.2">
      <c r="A18" s="199"/>
      <c r="B18" s="126"/>
      <c r="C18" s="123"/>
      <c r="D18" s="123"/>
      <c r="E18" s="123"/>
      <c r="F18" s="123"/>
      <c r="G18" s="123"/>
      <c r="H18" s="123"/>
      <c r="I18" s="123"/>
      <c r="J18" s="122"/>
      <c r="L18" t="s">
        <v>393</v>
      </c>
      <c r="M18" s="221"/>
    </row>
    <row r="19" spans="1:14" x14ac:dyDescent="0.2">
      <c r="A19" s="199"/>
      <c r="B19" s="126"/>
      <c r="C19" s="123" t="s">
        <v>392</v>
      </c>
      <c r="D19" s="123"/>
      <c r="E19" s="123"/>
      <c r="F19" s="123"/>
      <c r="G19" s="123"/>
      <c r="H19" s="123"/>
      <c r="I19" s="123"/>
      <c r="J19" s="122"/>
      <c r="M19" s="221"/>
    </row>
    <row r="20" spans="1:14" x14ac:dyDescent="0.2">
      <c r="A20" s="199"/>
      <c r="B20" s="126"/>
      <c r="C20" s="123"/>
      <c r="D20" s="123"/>
      <c r="E20" s="123"/>
      <c r="F20" s="123"/>
      <c r="G20" s="123"/>
      <c r="H20" s="123"/>
      <c r="I20" s="123"/>
      <c r="J20" s="122"/>
      <c r="L20" t="s">
        <v>391</v>
      </c>
      <c r="M20" s="110">
        <f>G24</f>
        <v>1200</v>
      </c>
      <c r="N20" t="s">
        <v>390</v>
      </c>
    </row>
    <row r="21" spans="1:14" ht="15.75" customHeight="1" x14ac:dyDescent="0.2">
      <c r="A21" s="199"/>
      <c r="B21" s="126"/>
      <c r="C21" s="123"/>
      <c r="D21" s="194"/>
      <c r="E21" s="448" t="s">
        <v>389</v>
      </c>
      <c r="F21" s="449"/>
      <c r="G21" s="450"/>
      <c r="H21" s="123"/>
      <c r="I21" s="123"/>
      <c r="J21" s="122"/>
      <c r="L21" t="s">
        <v>388</v>
      </c>
      <c r="M21" s="220">
        <f>(M20-F24)/M20</f>
        <v>0.16666666666666666</v>
      </c>
    </row>
    <row r="22" spans="1:14" x14ac:dyDescent="0.2">
      <c r="A22" s="199"/>
      <c r="B22" s="126"/>
      <c r="C22" s="123"/>
      <c r="D22" s="139" t="s">
        <v>387</v>
      </c>
      <c r="E22" s="451" t="s">
        <v>386</v>
      </c>
      <c r="F22" s="452"/>
      <c r="G22" s="453"/>
      <c r="H22" s="123"/>
      <c r="I22" s="123"/>
      <c r="J22" s="122"/>
      <c r="L22" t="s">
        <v>385</v>
      </c>
      <c r="M22" s="109">
        <f>F25/(1-M21)</f>
        <v>720</v>
      </c>
      <c r="N22" t="s">
        <v>384</v>
      </c>
    </row>
    <row r="23" spans="1:14" x14ac:dyDescent="0.2">
      <c r="A23" s="199"/>
      <c r="B23" s="126"/>
      <c r="C23" s="123"/>
      <c r="D23" s="137" t="s">
        <v>383</v>
      </c>
      <c r="E23" s="136">
        <v>12</v>
      </c>
      <c r="F23" s="136">
        <v>24</v>
      </c>
      <c r="G23" s="218">
        <v>36</v>
      </c>
      <c r="H23" s="123"/>
      <c r="I23" s="123"/>
      <c r="J23" s="122"/>
      <c r="L23" t="s">
        <v>382</v>
      </c>
      <c r="M23" s="220">
        <f>((F24-E24)+(F25-E25))/(M20+M22)</f>
        <v>0.63541666666666663</v>
      </c>
    </row>
    <row r="24" spans="1:14" x14ac:dyDescent="0.2">
      <c r="A24" s="199"/>
      <c r="B24" s="126"/>
      <c r="C24" s="123"/>
      <c r="D24" s="139">
        <v>2016</v>
      </c>
      <c r="E24" s="126">
        <v>180</v>
      </c>
      <c r="F24" s="188">
        <v>1000</v>
      </c>
      <c r="G24" s="191">
        <v>1200</v>
      </c>
      <c r="H24" s="123"/>
      <c r="I24" s="123"/>
      <c r="J24" s="122"/>
      <c r="L24" t="s">
        <v>381</v>
      </c>
      <c r="M24" s="219">
        <f>E26/(1-M21-M23)</f>
        <v>757.89473684210498</v>
      </c>
      <c r="N24" t="s">
        <v>380</v>
      </c>
    </row>
    <row r="25" spans="1:14" ht="17" thickBot="1" x14ac:dyDescent="0.25">
      <c r="A25" s="199"/>
      <c r="B25" s="126"/>
      <c r="C25" s="123"/>
      <c r="D25" s="139">
        <v>2017</v>
      </c>
      <c r="E25" s="126">
        <v>200</v>
      </c>
      <c r="F25" s="126">
        <v>600</v>
      </c>
      <c r="G25" s="138"/>
      <c r="H25" s="123"/>
      <c r="I25" s="123"/>
      <c r="J25" s="122"/>
      <c r="M25" s="219"/>
    </row>
    <row r="26" spans="1:14" ht="17" thickBot="1" x14ac:dyDescent="0.25">
      <c r="A26" s="199"/>
      <c r="B26" s="126"/>
      <c r="C26" s="123"/>
      <c r="D26" s="137">
        <v>2018</v>
      </c>
      <c r="E26" s="136">
        <v>150</v>
      </c>
      <c r="F26" s="136"/>
      <c r="G26" s="218"/>
      <c r="H26" s="123"/>
      <c r="I26" s="123"/>
      <c r="J26" s="122"/>
      <c r="L26" s="217" t="s">
        <v>379</v>
      </c>
      <c r="M26" s="216">
        <f>M24</f>
        <v>757.89473684210498</v>
      </c>
    </row>
    <row r="27" spans="1:14" x14ac:dyDescent="0.2">
      <c r="A27" s="199"/>
      <c r="B27" s="126"/>
      <c r="C27" s="123"/>
      <c r="D27" s="123"/>
      <c r="E27" s="123"/>
      <c r="F27" s="123"/>
      <c r="G27" s="123"/>
      <c r="H27" s="123"/>
      <c r="I27" s="123"/>
      <c r="J27" s="122"/>
    </row>
    <row r="28" spans="1:14" x14ac:dyDescent="0.2">
      <c r="A28" s="199"/>
      <c r="B28" s="126"/>
      <c r="C28" s="123" t="s">
        <v>378</v>
      </c>
      <c r="D28" s="123"/>
      <c r="E28" s="123"/>
      <c r="F28" s="123"/>
      <c r="G28" s="123"/>
      <c r="H28" s="123"/>
      <c r="I28" s="123"/>
      <c r="J28" s="122"/>
    </row>
    <row r="29" spans="1:14" x14ac:dyDescent="0.2">
      <c r="A29" s="199"/>
      <c r="B29" s="126"/>
      <c r="C29" s="123" t="s">
        <v>377</v>
      </c>
      <c r="D29" s="123"/>
      <c r="E29" s="123"/>
      <c r="F29" s="123"/>
      <c r="G29" s="123"/>
      <c r="H29" s="123"/>
      <c r="I29" s="123"/>
      <c r="J29" s="122"/>
    </row>
    <row r="30" spans="1:14" ht="19" x14ac:dyDescent="0.25">
      <c r="A30" s="199"/>
      <c r="B30" s="123"/>
      <c r="C30" s="123"/>
      <c r="D30" s="123"/>
      <c r="E30" s="123"/>
      <c r="F30" s="123"/>
      <c r="G30" s="123"/>
      <c r="H30" s="123"/>
      <c r="I30" s="123"/>
      <c r="J30" s="122"/>
      <c r="L30" s="105"/>
      <c r="M30" s="215"/>
    </row>
    <row r="31" spans="1:14" x14ac:dyDescent="0.2">
      <c r="A31" s="199"/>
      <c r="B31" s="123"/>
      <c r="C31" s="123" t="s">
        <v>376</v>
      </c>
      <c r="D31" s="123"/>
      <c r="E31" s="123"/>
      <c r="F31" s="123"/>
      <c r="G31" s="123"/>
      <c r="H31" s="123"/>
      <c r="I31" s="123"/>
      <c r="J31" s="122"/>
    </row>
    <row r="32" spans="1:14" x14ac:dyDescent="0.2">
      <c r="A32" s="199"/>
      <c r="B32" s="123"/>
      <c r="C32" s="123" t="s">
        <v>375</v>
      </c>
      <c r="D32" s="123"/>
      <c r="E32" s="123"/>
      <c r="F32" s="123"/>
      <c r="G32" s="123"/>
      <c r="H32" s="123"/>
      <c r="I32" s="123"/>
      <c r="J32" s="122"/>
    </row>
    <row r="33" spans="1:13" x14ac:dyDescent="0.2">
      <c r="A33" s="199"/>
      <c r="B33" s="123"/>
      <c r="C33" s="123" t="s">
        <v>374</v>
      </c>
      <c r="D33" s="123"/>
      <c r="E33" s="123"/>
      <c r="F33" s="123"/>
      <c r="G33" s="123"/>
      <c r="H33" s="123"/>
      <c r="I33" s="123"/>
      <c r="J33" s="122"/>
    </row>
    <row r="34" spans="1:13" x14ac:dyDescent="0.2">
      <c r="A34" s="199"/>
      <c r="B34" s="123"/>
      <c r="C34" s="133" t="s">
        <v>373</v>
      </c>
      <c r="D34" s="123"/>
      <c r="E34" s="123"/>
      <c r="F34" s="123"/>
      <c r="G34" s="123"/>
      <c r="H34" s="123"/>
      <c r="I34" s="123"/>
      <c r="J34" s="122"/>
    </row>
    <row r="35" spans="1:13" x14ac:dyDescent="0.2">
      <c r="A35" s="199"/>
      <c r="B35" s="123"/>
      <c r="C35" s="133"/>
      <c r="D35" s="123"/>
      <c r="E35" s="123"/>
      <c r="F35" s="123"/>
      <c r="G35" s="123"/>
      <c r="H35" s="123"/>
      <c r="I35" s="123"/>
      <c r="J35" s="122"/>
      <c r="L35" s="214"/>
      <c r="M35" s="213"/>
    </row>
    <row r="36" spans="1:13" x14ac:dyDescent="0.2">
      <c r="A36" s="199" t="s">
        <v>221</v>
      </c>
      <c r="B36" s="123" t="s">
        <v>372</v>
      </c>
      <c r="C36" s="123" t="s">
        <v>371</v>
      </c>
      <c r="D36" s="123"/>
      <c r="E36" s="123"/>
      <c r="F36" s="123"/>
      <c r="G36" s="123"/>
      <c r="H36" s="123"/>
      <c r="I36" s="123"/>
      <c r="J36" s="122"/>
    </row>
    <row r="37" spans="1:13" ht="17" thickBot="1" x14ac:dyDescent="0.25">
      <c r="A37" s="197"/>
      <c r="B37" s="211"/>
      <c r="C37" s="212"/>
      <c r="D37" s="211"/>
      <c r="E37" s="211"/>
      <c r="F37" s="211"/>
      <c r="G37" s="211"/>
      <c r="H37" s="211"/>
      <c r="I37" s="211"/>
      <c r="J37" s="210"/>
    </row>
    <row r="38" spans="1:13" ht="17" thickBot="1" x14ac:dyDescent="0.25">
      <c r="A38" s="209" t="s">
        <v>145</v>
      </c>
      <c r="B38" s="118"/>
      <c r="C38" s="208"/>
      <c r="D38" s="118"/>
      <c r="E38" s="118"/>
      <c r="F38" s="118"/>
      <c r="G38" s="118"/>
      <c r="H38" s="118"/>
      <c r="I38" s="118"/>
      <c r="J38" s="117"/>
    </row>
  </sheetData>
  <mergeCells count="3">
    <mergeCell ref="E21:G21"/>
    <mergeCell ref="E22:G22"/>
    <mergeCell ref="L8:R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57C7-6E4D-5B41-B49C-664C50FC5249}">
  <sheetPr codeName="Sheet16"/>
  <dimension ref="A1:T148"/>
  <sheetViews>
    <sheetView zoomScaleNormal="100" workbookViewId="0">
      <selection activeCell="K38" sqref="K38"/>
    </sheetView>
  </sheetViews>
  <sheetFormatPr baseColWidth="10" defaultColWidth="10.83203125" defaultRowHeight="16" outlineLevelCol="1" x14ac:dyDescent="0.2"/>
  <cols>
    <col min="1" max="1" width="4.5" style="104" customWidth="1"/>
    <col min="2" max="2" width="10.83203125" style="104"/>
    <col min="3" max="3" width="13.83203125" style="104" bestFit="1" customWidth="1"/>
    <col min="4" max="4" width="15.5" style="104" bestFit="1" customWidth="1"/>
    <col min="5" max="7" width="10.83203125" style="104"/>
    <col min="8" max="8" width="11.5" style="104" customWidth="1"/>
    <col min="9" max="11" width="10.5" style="104" customWidth="1"/>
    <col min="12" max="12" width="12" style="104" bestFit="1" customWidth="1"/>
    <col min="13" max="19" width="10.83203125" style="104" hidden="1" customWidth="1" outlineLevel="1"/>
    <col min="20" max="20" width="10.83203125" style="104" collapsed="1"/>
    <col min="21" max="16384" width="10.83203125" style="104"/>
  </cols>
  <sheetData>
    <row r="1" spans="1:19" ht="19" x14ac:dyDescent="0.25">
      <c r="A1" s="149" t="s">
        <v>370</v>
      </c>
      <c r="B1" s="148"/>
      <c r="C1" s="147"/>
      <c r="D1" s="147"/>
      <c r="E1" s="147"/>
      <c r="F1" s="207"/>
      <c r="G1" s="207"/>
      <c r="H1" s="207"/>
      <c r="I1" s="207"/>
      <c r="J1" s="206"/>
      <c r="L1" s="105" t="s">
        <v>369</v>
      </c>
    </row>
    <row r="2" spans="1:19" x14ac:dyDescent="0.2">
      <c r="A2" s="199"/>
      <c r="B2" s="128"/>
      <c r="C2" s="128"/>
      <c r="D2" s="128"/>
      <c r="E2" s="128"/>
      <c r="F2" s="128"/>
      <c r="G2" s="128"/>
      <c r="H2" s="128"/>
      <c r="I2" s="128"/>
      <c r="J2" s="198"/>
    </row>
    <row r="3" spans="1:19" x14ac:dyDescent="0.2">
      <c r="A3" s="199"/>
      <c r="B3" s="200" t="s">
        <v>368</v>
      </c>
      <c r="C3" s="128"/>
      <c r="D3" s="128"/>
      <c r="E3" s="128"/>
      <c r="F3" s="128"/>
      <c r="G3" s="128"/>
      <c r="H3" s="128"/>
      <c r="I3" s="128"/>
      <c r="J3" s="198"/>
      <c r="M3" s="205" t="s">
        <v>368</v>
      </c>
    </row>
    <row r="4" spans="1:19" x14ac:dyDescent="0.2">
      <c r="A4" s="199"/>
      <c r="B4" s="128"/>
      <c r="C4" s="128"/>
      <c r="D4" s="128"/>
      <c r="E4" s="128"/>
      <c r="F4" s="128"/>
      <c r="G4" s="128"/>
      <c r="H4" s="128"/>
      <c r="I4" s="128"/>
      <c r="J4" s="198"/>
      <c r="M4" s="202"/>
    </row>
    <row r="5" spans="1:19" ht="19" x14ac:dyDescent="0.2">
      <c r="A5" s="199"/>
      <c r="B5" s="204" t="s">
        <v>367</v>
      </c>
      <c r="C5" s="128"/>
      <c r="D5" s="128"/>
      <c r="E5" s="128"/>
      <c r="F5" s="128"/>
      <c r="G5" s="128"/>
      <c r="H5" s="128"/>
      <c r="I5" s="128"/>
      <c r="J5" s="198"/>
      <c r="M5" s="202" t="s">
        <v>366</v>
      </c>
    </row>
    <row r="6" spans="1:19" x14ac:dyDescent="0.2">
      <c r="A6" s="199"/>
      <c r="B6" s="128"/>
      <c r="C6" s="128"/>
      <c r="D6" s="128"/>
      <c r="E6" s="128"/>
      <c r="F6" s="128"/>
      <c r="G6" s="128"/>
      <c r="H6" s="128"/>
      <c r="I6" s="128"/>
      <c r="J6" s="198"/>
      <c r="M6" s="202" t="s">
        <v>365</v>
      </c>
    </row>
    <row r="7" spans="1:19" x14ac:dyDescent="0.2">
      <c r="A7" s="199"/>
      <c r="B7" s="200" t="s">
        <v>361</v>
      </c>
      <c r="C7" s="128"/>
      <c r="D7" s="128"/>
      <c r="E7" s="128"/>
      <c r="F7" s="128"/>
      <c r="G7" s="128"/>
      <c r="H7" s="128"/>
      <c r="I7" s="128"/>
      <c r="J7" s="198"/>
      <c r="M7" s="202" t="s">
        <v>364</v>
      </c>
    </row>
    <row r="8" spans="1:19" x14ac:dyDescent="0.2">
      <c r="A8" s="199"/>
      <c r="B8" s="128"/>
      <c r="C8" s="128"/>
      <c r="D8" s="128"/>
      <c r="E8" s="128"/>
      <c r="F8" s="128"/>
      <c r="G8" s="128"/>
      <c r="H8" s="128"/>
      <c r="I8" s="128"/>
      <c r="J8" s="198"/>
      <c r="M8" s="202" t="s">
        <v>363</v>
      </c>
    </row>
    <row r="9" spans="1:19" x14ac:dyDescent="0.2">
      <c r="A9" s="199"/>
      <c r="B9" s="128" t="s">
        <v>0</v>
      </c>
      <c r="C9" s="128"/>
      <c r="D9" s="128"/>
      <c r="E9" s="128"/>
      <c r="F9" s="128"/>
      <c r="G9" s="128"/>
      <c r="H9" s="128"/>
      <c r="I9" s="128"/>
      <c r="J9" s="198"/>
    </row>
    <row r="10" spans="1:19" x14ac:dyDescent="0.2">
      <c r="A10" s="199"/>
      <c r="B10" s="412" t="s">
        <v>362</v>
      </c>
      <c r="C10" s="412"/>
      <c r="D10" s="412"/>
      <c r="E10" s="412"/>
      <c r="F10" s="412"/>
      <c r="G10" s="412"/>
      <c r="H10" s="412"/>
      <c r="I10" s="128"/>
      <c r="J10" s="198"/>
      <c r="M10" s="108" t="s">
        <v>361</v>
      </c>
    </row>
    <row r="11" spans="1:19" x14ac:dyDescent="0.2">
      <c r="A11" s="199"/>
      <c r="B11" s="412"/>
      <c r="C11" s="412"/>
      <c r="D11" s="412"/>
      <c r="E11" s="412"/>
      <c r="F11" s="412"/>
      <c r="G11" s="412"/>
      <c r="H11" s="412"/>
      <c r="I11" s="128"/>
      <c r="J11" s="198"/>
    </row>
    <row r="12" spans="1:19" x14ac:dyDescent="0.2">
      <c r="A12" s="199"/>
      <c r="B12" s="126"/>
      <c r="C12" s="128"/>
      <c r="D12" s="128"/>
      <c r="E12" s="128"/>
      <c r="F12" s="128"/>
      <c r="G12" s="128"/>
      <c r="H12" s="128"/>
      <c r="I12" s="128"/>
      <c r="J12" s="198"/>
      <c r="M12" s="203" t="s">
        <v>208</v>
      </c>
    </row>
    <row r="13" spans="1:19" x14ac:dyDescent="0.2">
      <c r="A13" s="199"/>
      <c r="B13" s="128" t="s">
        <v>1</v>
      </c>
      <c r="C13" s="128"/>
      <c r="D13" s="128"/>
      <c r="E13" s="128"/>
      <c r="F13" s="128"/>
      <c r="G13" s="128"/>
      <c r="H13" s="128"/>
      <c r="I13" s="128"/>
      <c r="J13" s="198"/>
    </row>
    <row r="14" spans="1:19" ht="15.75" customHeight="1" x14ac:dyDescent="0.2">
      <c r="A14" s="199"/>
      <c r="B14" s="412" t="s">
        <v>453</v>
      </c>
      <c r="C14" s="412"/>
      <c r="D14" s="412"/>
      <c r="E14" s="412"/>
      <c r="F14" s="412"/>
      <c r="G14" s="412"/>
      <c r="H14" s="412"/>
      <c r="I14" s="128"/>
      <c r="J14" s="198"/>
      <c r="M14" s="202" t="s">
        <v>360</v>
      </c>
    </row>
    <row r="15" spans="1:19" x14ac:dyDescent="0.2">
      <c r="A15" s="199"/>
      <c r="B15" s="412"/>
      <c r="C15" s="412"/>
      <c r="D15" s="412"/>
      <c r="E15" s="412"/>
      <c r="F15" s="412"/>
      <c r="G15" s="412"/>
      <c r="H15" s="412"/>
      <c r="I15" s="128"/>
      <c r="J15" s="198"/>
      <c r="M15" s="202"/>
    </row>
    <row r="16" spans="1:19" x14ac:dyDescent="0.2">
      <c r="A16" s="199"/>
      <c r="B16" s="412"/>
      <c r="C16" s="412"/>
      <c r="D16" s="412"/>
      <c r="E16" s="412"/>
      <c r="F16" s="412"/>
      <c r="G16" s="412"/>
      <c r="H16" s="412"/>
      <c r="I16" s="128"/>
      <c r="J16" s="198"/>
      <c r="M16" s="454" t="s">
        <v>359</v>
      </c>
      <c r="N16" s="454"/>
      <c r="O16" s="454"/>
      <c r="P16" s="454"/>
      <c r="Q16" s="454"/>
      <c r="R16" s="454"/>
      <c r="S16" s="454"/>
    </row>
    <row r="17" spans="1:19" x14ac:dyDescent="0.2">
      <c r="A17" s="199"/>
      <c r="B17" s="128"/>
      <c r="C17" s="128"/>
      <c r="D17" s="128"/>
      <c r="E17" s="128"/>
      <c r="F17" s="128"/>
      <c r="G17" s="128"/>
      <c r="H17" s="128"/>
      <c r="I17" s="128"/>
      <c r="J17" s="198"/>
      <c r="M17" s="454"/>
      <c r="N17" s="454"/>
      <c r="O17" s="454"/>
      <c r="P17" s="454"/>
      <c r="Q17" s="454"/>
      <c r="R17" s="454"/>
      <c r="S17" s="454"/>
    </row>
    <row r="18" spans="1:19" x14ac:dyDescent="0.2">
      <c r="A18" s="199"/>
      <c r="B18" s="200" t="s">
        <v>355</v>
      </c>
      <c r="C18" s="128"/>
      <c r="D18" s="128"/>
      <c r="E18" s="128"/>
      <c r="F18" s="128"/>
      <c r="G18" s="128"/>
      <c r="H18" s="128"/>
      <c r="I18" s="128"/>
      <c r="J18" s="198"/>
      <c r="M18" s="454"/>
      <c r="N18" s="454"/>
      <c r="O18" s="454"/>
      <c r="P18" s="454"/>
      <c r="Q18" s="454"/>
      <c r="R18" s="454"/>
      <c r="S18" s="454"/>
    </row>
    <row r="19" spans="1:19" x14ac:dyDescent="0.2">
      <c r="A19" s="199"/>
      <c r="B19" s="128"/>
      <c r="C19" s="128"/>
      <c r="D19" s="128"/>
      <c r="E19" s="128"/>
      <c r="F19" s="128"/>
      <c r="G19" s="128"/>
      <c r="H19" s="128"/>
      <c r="I19" s="128"/>
      <c r="J19" s="198"/>
      <c r="M19" s="202"/>
    </row>
    <row r="20" spans="1:19" x14ac:dyDescent="0.2">
      <c r="A20" s="199"/>
      <c r="B20" s="128" t="s">
        <v>358</v>
      </c>
      <c r="C20" s="128"/>
      <c r="D20" s="128"/>
      <c r="E20" s="128"/>
      <c r="F20" s="128"/>
      <c r="G20" s="128"/>
      <c r="H20" s="128"/>
      <c r="I20" s="128"/>
      <c r="J20" s="198"/>
      <c r="M20" s="203" t="s">
        <v>197</v>
      </c>
    </row>
    <row r="21" spans="1:19" x14ac:dyDescent="0.2">
      <c r="A21" s="199"/>
      <c r="B21" s="128"/>
      <c r="C21" s="128"/>
      <c r="D21" s="128"/>
      <c r="E21" s="128"/>
      <c r="F21" s="128"/>
      <c r="G21" s="128"/>
      <c r="H21" s="128"/>
      <c r="I21" s="128"/>
      <c r="J21" s="198"/>
      <c r="M21" s="202"/>
    </row>
    <row r="22" spans="1:19" x14ac:dyDescent="0.2">
      <c r="A22" s="199"/>
      <c r="B22" s="200" t="s">
        <v>352</v>
      </c>
      <c r="C22" s="128"/>
      <c r="D22" s="128"/>
      <c r="E22" s="128"/>
      <c r="F22" s="128"/>
      <c r="G22" s="128"/>
      <c r="H22" s="128"/>
      <c r="I22" s="128"/>
      <c r="J22" s="198"/>
      <c r="M22" s="455" t="s">
        <v>357</v>
      </c>
      <c r="N22" s="455"/>
      <c r="O22" s="455"/>
      <c r="P22" s="455"/>
      <c r="Q22" s="455"/>
      <c r="R22" s="455"/>
      <c r="S22" s="455"/>
    </row>
    <row r="23" spans="1:19" x14ac:dyDescent="0.2">
      <c r="A23" s="199"/>
      <c r="B23" s="128"/>
      <c r="C23" s="128"/>
      <c r="D23" s="128"/>
      <c r="E23" s="128"/>
      <c r="F23" s="128"/>
      <c r="G23" s="128"/>
      <c r="H23" s="128"/>
      <c r="I23" s="128"/>
      <c r="J23" s="198"/>
      <c r="M23" s="455"/>
      <c r="N23" s="455"/>
      <c r="O23" s="455"/>
      <c r="P23" s="455"/>
      <c r="Q23" s="455"/>
      <c r="R23" s="455"/>
      <c r="S23" s="455"/>
    </row>
    <row r="24" spans="1:19" x14ac:dyDescent="0.2">
      <c r="A24" s="199"/>
      <c r="B24" s="128" t="s">
        <v>356</v>
      </c>
      <c r="C24" s="128"/>
      <c r="D24" s="128"/>
      <c r="E24" s="128"/>
      <c r="F24" s="128"/>
      <c r="G24" s="128"/>
      <c r="H24" s="128"/>
      <c r="I24" s="128"/>
      <c r="J24" s="198"/>
    </row>
    <row r="25" spans="1:19" x14ac:dyDescent="0.2">
      <c r="A25" s="199"/>
      <c r="B25" s="128"/>
      <c r="C25" s="128"/>
      <c r="D25" s="128"/>
      <c r="E25" s="128"/>
      <c r="F25" s="128"/>
      <c r="G25" s="128"/>
      <c r="H25" s="128"/>
      <c r="I25" s="128"/>
      <c r="J25" s="198"/>
      <c r="M25" s="108" t="s">
        <v>355</v>
      </c>
    </row>
    <row r="26" spans="1:19" x14ac:dyDescent="0.2">
      <c r="A26" s="199"/>
      <c r="B26" s="200" t="s">
        <v>343</v>
      </c>
      <c r="C26" s="128"/>
      <c r="D26" s="128"/>
      <c r="E26" s="128"/>
      <c r="F26" s="128"/>
      <c r="G26" s="128"/>
      <c r="H26" s="128"/>
      <c r="I26" s="128"/>
      <c r="J26" s="198"/>
    </row>
    <row r="27" spans="1:19" x14ac:dyDescent="0.2">
      <c r="A27" s="199"/>
      <c r="B27" s="128"/>
      <c r="C27" s="128"/>
      <c r="D27" s="128"/>
      <c r="E27" s="128"/>
      <c r="F27" s="128"/>
      <c r="G27" s="128"/>
      <c r="H27" s="128"/>
      <c r="I27" s="128"/>
      <c r="J27" s="198"/>
      <c r="M27" s="410" t="s">
        <v>354</v>
      </c>
      <c r="N27" s="410"/>
      <c r="O27" s="410"/>
      <c r="P27" s="410"/>
      <c r="Q27" s="410"/>
      <c r="R27" s="410"/>
      <c r="S27" s="410"/>
    </row>
    <row r="28" spans="1:19" x14ac:dyDescent="0.2">
      <c r="A28" s="199"/>
      <c r="B28" s="128" t="s">
        <v>0</v>
      </c>
      <c r="C28" s="128"/>
      <c r="D28" s="128"/>
      <c r="E28" s="128"/>
      <c r="F28" s="128"/>
      <c r="G28" s="128"/>
      <c r="H28" s="128"/>
      <c r="I28" s="128"/>
      <c r="J28" s="198"/>
      <c r="M28" s="410"/>
      <c r="N28" s="410"/>
      <c r="O28" s="410"/>
      <c r="P28" s="410"/>
      <c r="Q28" s="410"/>
      <c r="R28" s="410"/>
      <c r="S28" s="410"/>
    </row>
    <row r="29" spans="1:19" x14ac:dyDescent="0.2">
      <c r="A29" s="199"/>
      <c r="B29" s="128" t="s">
        <v>353</v>
      </c>
      <c r="C29" s="128"/>
      <c r="D29" s="128"/>
      <c r="E29" s="128"/>
      <c r="F29" s="128"/>
      <c r="G29" s="128"/>
      <c r="H29" s="128"/>
      <c r="I29" s="128"/>
      <c r="J29" s="198"/>
    </row>
    <row r="30" spans="1:19" x14ac:dyDescent="0.2">
      <c r="A30" s="199"/>
      <c r="B30" s="126"/>
      <c r="C30" s="128"/>
      <c r="D30" s="128"/>
      <c r="E30" s="128"/>
      <c r="F30" s="128"/>
      <c r="G30" s="128"/>
      <c r="H30" s="128"/>
      <c r="I30" s="128"/>
      <c r="J30" s="198"/>
      <c r="M30" s="108" t="s">
        <v>352</v>
      </c>
    </row>
    <row r="31" spans="1:19" x14ac:dyDescent="0.2">
      <c r="A31" s="199"/>
      <c r="B31" s="128" t="s">
        <v>1</v>
      </c>
      <c r="C31" s="128"/>
      <c r="D31" s="128"/>
      <c r="E31" s="128"/>
      <c r="F31" s="128"/>
      <c r="G31" s="128"/>
      <c r="H31" s="128"/>
      <c r="I31" s="128"/>
      <c r="J31" s="198"/>
      <c r="M31" s="202"/>
    </row>
    <row r="32" spans="1:19" x14ac:dyDescent="0.2">
      <c r="A32" s="199"/>
      <c r="B32" s="128" t="s">
        <v>351</v>
      </c>
      <c r="C32" s="128"/>
      <c r="D32" s="128"/>
      <c r="E32" s="128"/>
      <c r="F32" s="128"/>
      <c r="G32" s="128"/>
      <c r="H32" s="128"/>
      <c r="I32" s="128"/>
      <c r="J32" s="198"/>
      <c r="M32" s="202" t="s">
        <v>350</v>
      </c>
    </row>
    <row r="33" spans="1:19" x14ac:dyDescent="0.2">
      <c r="A33" s="199"/>
      <c r="B33" s="128"/>
      <c r="C33" s="128"/>
      <c r="D33" s="128"/>
      <c r="E33" s="128"/>
      <c r="F33" s="128"/>
      <c r="G33" s="128"/>
      <c r="H33" s="128"/>
      <c r="I33" s="128"/>
      <c r="J33" s="198"/>
      <c r="M33" s="202"/>
    </row>
    <row r="34" spans="1:19" x14ac:dyDescent="0.2">
      <c r="A34" s="199"/>
      <c r="B34" s="200" t="s">
        <v>336</v>
      </c>
      <c r="C34" s="128"/>
      <c r="D34" s="128"/>
      <c r="E34" s="128"/>
      <c r="F34" s="128"/>
      <c r="G34" s="128"/>
      <c r="H34" s="128"/>
      <c r="I34" s="128"/>
      <c r="J34" s="198"/>
      <c r="M34" s="202" t="s">
        <v>349</v>
      </c>
    </row>
    <row r="35" spans="1:19" x14ac:dyDescent="0.2">
      <c r="A35" s="199"/>
      <c r="B35" s="126"/>
      <c r="C35" s="128"/>
      <c r="D35" s="128"/>
      <c r="E35" s="128"/>
      <c r="F35" s="128"/>
      <c r="G35" s="128"/>
      <c r="H35" s="128"/>
      <c r="I35" s="128"/>
      <c r="J35" s="198"/>
      <c r="M35" s="455" t="s">
        <v>348</v>
      </c>
      <c r="N35" s="455"/>
      <c r="O35" s="455"/>
      <c r="P35" s="455"/>
      <c r="Q35" s="455"/>
      <c r="R35" s="455"/>
      <c r="S35" s="455"/>
    </row>
    <row r="36" spans="1:19" x14ac:dyDescent="0.2">
      <c r="A36" s="199"/>
      <c r="B36" s="128" t="s">
        <v>0</v>
      </c>
      <c r="C36" s="128"/>
      <c r="D36" s="128"/>
      <c r="E36" s="128"/>
      <c r="F36" s="128"/>
      <c r="G36" s="128"/>
      <c r="H36" s="128"/>
      <c r="I36" s="128"/>
      <c r="J36" s="198"/>
      <c r="M36" s="455"/>
      <c r="N36" s="455"/>
      <c r="O36" s="455"/>
      <c r="P36" s="455"/>
      <c r="Q36" s="455"/>
      <c r="R36" s="455"/>
      <c r="S36" s="455"/>
    </row>
    <row r="37" spans="1:19" x14ac:dyDescent="0.2">
      <c r="A37" s="199"/>
      <c r="B37" s="128" t="s">
        <v>347</v>
      </c>
      <c r="C37" s="128"/>
      <c r="D37" s="128"/>
      <c r="E37" s="128"/>
      <c r="F37" s="128"/>
      <c r="G37" s="128"/>
      <c r="H37" s="128"/>
      <c r="I37" s="128"/>
      <c r="J37" s="198"/>
      <c r="M37" s="202" t="s">
        <v>346</v>
      </c>
    </row>
    <row r="38" spans="1:19" x14ac:dyDescent="0.2">
      <c r="A38" s="199"/>
      <c r="B38" s="126"/>
      <c r="C38" s="128"/>
      <c r="D38" s="128"/>
      <c r="E38" s="128"/>
      <c r="F38" s="128"/>
      <c r="G38" s="128"/>
      <c r="H38" s="128"/>
      <c r="I38" s="128"/>
      <c r="J38" s="198"/>
      <c r="M38" s="410" t="s">
        <v>345</v>
      </c>
      <c r="N38" s="410"/>
      <c r="O38" s="410"/>
      <c r="P38" s="410"/>
      <c r="Q38" s="410"/>
      <c r="R38" s="410"/>
      <c r="S38" s="410"/>
    </row>
    <row r="39" spans="1:19" x14ac:dyDescent="0.2">
      <c r="A39" s="199"/>
      <c r="B39" s="128" t="s">
        <v>1</v>
      </c>
      <c r="C39" s="128"/>
      <c r="D39" s="128"/>
      <c r="E39" s="128"/>
      <c r="F39" s="128"/>
      <c r="G39" s="128"/>
      <c r="H39" s="128"/>
      <c r="I39" s="128"/>
      <c r="J39" s="198"/>
      <c r="M39" s="410"/>
      <c r="N39" s="410"/>
      <c r="O39" s="410"/>
      <c r="P39" s="410"/>
      <c r="Q39" s="410"/>
      <c r="R39" s="410"/>
      <c r="S39" s="410"/>
    </row>
    <row r="40" spans="1:19" x14ac:dyDescent="0.2">
      <c r="A40" s="199"/>
      <c r="B40" s="128" t="s">
        <v>344</v>
      </c>
      <c r="C40" s="128"/>
      <c r="D40" s="128"/>
      <c r="E40" s="128"/>
      <c r="F40" s="128"/>
      <c r="G40" s="128"/>
      <c r="H40" s="128"/>
      <c r="I40" s="128"/>
      <c r="J40" s="198"/>
    </row>
    <row r="41" spans="1:19" x14ac:dyDescent="0.2">
      <c r="A41" s="199"/>
      <c r="B41" s="126"/>
      <c r="C41" s="128"/>
      <c r="D41" s="128"/>
      <c r="E41" s="128"/>
      <c r="F41" s="128"/>
      <c r="G41" s="128"/>
      <c r="H41" s="128"/>
      <c r="I41" s="128"/>
      <c r="J41" s="198"/>
      <c r="M41" s="108" t="s">
        <v>343</v>
      </c>
    </row>
    <row r="42" spans="1:19" x14ac:dyDescent="0.2">
      <c r="A42" s="199"/>
      <c r="B42" s="128" t="s">
        <v>2</v>
      </c>
      <c r="C42" s="128"/>
      <c r="D42" s="128"/>
      <c r="E42" s="128"/>
      <c r="F42" s="128"/>
      <c r="G42" s="128"/>
      <c r="H42" s="128"/>
      <c r="I42" s="128"/>
      <c r="J42" s="198"/>
    </row>
    <row r="43" spans="1:19" x14ac:dyDescent="0.2">
      <c r="A43" s="199"/>
      <c r="B43" s="412" t="s">
        <v>342</v>
      </c>
      <c r="C43" s="412"/>
      <c r="D43" s="412"/>
      <c r="E43" s="412"/>
      <c r="F43" s="412"/>
      <c r="G43" s="412"/>
      <c r="H43" s="412"/>
      <c r="I43" s="128"/>
      <c r="J43" s="198"/>
      <c r="M43" s="144" t="s">
        <v>208</v>
      </c>
    </row>
    <row r="44" spans="1:19" x14ac:dyDescent="0.2">
      <c r="A44" s="199"/>
      <c r="B44" s="412"/>
      <c r="C44" s="412"/>
      <c r="D44" s="412"/>
      <c r="E44" s="412"/>
      <c r="F44" s="412"/>
      <c r="G44" s="412"/>
      <c r="H44" s="412"/>
      <c r="I44" s="128"/>
      <c r="J44" s="198"/>
    </row>
    <row r="45" spans="1:19" x14ac:dyDescent="0.2">
      <c r="A45" s="199"/>
      <c r="B45" s="128"/>
      <c r="C45" s="128"/>
      <c r="D45" s="128"/>
      <c r="E45" s="128"/>
      <c r="F45" s="128"/>
      <c r="G45" s="128"/>
      <c r="H45" s="128"/>
      <c r="I45" s="128"/>
      <c r="J45" s="198"/>
      <c r="M45" s="410" t="s">
        <v>341</v>
      </c>
      <c r="N45" s="410"/>
      <c r="O45" s="410"/>
      <c r="P45" s="410"/>
      <c r="Q45" s="410"/>
      <c r="R45" s="410"/>
      <c r="S45" s="410"/>
    </row>
    <row r="46" spans="1:19" x14ac:dyDescent="0.2">
      <c r="A46" s="199"/>
      <c r="B46" s="200" t="s">
        <v>328</v>
      </c>
      <c r="C46" s="128"/>
      <c r="D46" s="128"/>
      <c r="E46" s="128"/>
      <c r="F46" s="128"/>
      <c r="G46" s="128"/>
      <c r="H46" s="128"/>
      <c r="I46" s="128"/>
      <c r="J46" s="198"/>
      <c r="M46" s="410"/>
      <c r="N46" s="410"/>
      <c r="O46" s="410"/>
      <c r="P46" s="410"/>
      <c r="Q46" s="410"/>
      <c r="R46" s="410"/>
      <c r="S46" s="410"/>
    </row>
    <row r="47" spans="1:19" x14ac:dyDescent="0.2">
      <c r="A47" s="199"/>
      <c r="B47" s="126"/>
      <c r="C47" s="128"/>
      <c r="D47" s="128"/>
      <c r="E47" s="128"/>
      <c r="F47" s="128"/>
      <c r="G47" s="128"/>
      <c r="H47" s="128"/>
      <c r="I47" s="128"/>
      <c r="J47" s="198"/>
      <c r="M47" s="410"/>
      <c r="N47" s="410"/>
      <c r="O47" s="410"/>
      <c r="P47" s="410"/>
      <c r="Q47" s="410"/>
      <c r="R47" s="410"/>
      <c r="S47" s="410"/>
    </row>
    <row r="48" spans="1:19" x14ac:dyDescent="0.2">
      <c r="A48" s="199"/>
      <c r="B48" s="128" t="s">
        <v>0</v>
      </c>
      <c r="C48" s="128"/>
      <c r="D48" s="128"/>
      <c r="E48" s="128"/>
      <c r="F48" s="128"/>
      <c r="G48" s="128"/>
      <c r="H48" s="128"/>
      <c r="I48" s="128"/>
      <c r="J48" s="198"/>
      <c r="M48" s="410"/>
      <c r="N48" s="410"/>
      <c r="O48" s="410"/>
      <c r="P48" s="410"/>
      <c r="Q48" s="410"/>
      <c r="R48" s="410"/>
      <c r="S48" s="410"/>
    </row>
    <row r="49" spans="1:19" x14ac:dyDescent="0.2">
      <c r="A49" s="199"/>
      <c r="B49" s="128" t="s">
        <v>340</v>
      </c>
      <c r="C49" s="128"/>
      <c r="D49" s="128"/>
      <c r="E49" s="128"/>
      <c r="F49" s="128"/>
      <c r="G49" s="128"/>
      <c r="H49" s="128"/>
      <c r="I49" s="128"/>
      <c r="J49" s="198"/>
    </row>
    <row r="50" spans="1:19" x14ac:dyDescent="0.2">
      <c r="A50" s="199"/>
      <c r="B50" s="126"/>
      <c r="C50" s="128"/>
      <c r="D50" s="128"/>
      <c r="E50" s="128"/>
      <c r="F50" s="128"/>
      <c r="G50" s="128"/>
      <c r="H50" s="128"/>
      <c r="I50" s="128"/>
      <c r="J50" s="198"/>
      <c r="M50" s="144" t="s">
        <v>197</v>
      </c>
    </row>
    <row r="51" spans="1:19" x14ac:dyDescent="0.2">
      <c r="A51" s="199"/>
      <c r="B51" s="128" t="s">
        <v>1</v>
      </c>
      <c r="C51" s="128"/>
      <c r="D51" s="128"/>
      <c r="E51" s="128"/>
      <c r="F51" s="128"/>
      <c r="G51" s="128"/>
      <c r="H51" s="128"/>
      <c r="I51" s="128"/>
      <c r="J51" s="198"/>
    </row>
    <row r="52" spans="1:19" x14ac:dyDescent="0.2">
      <c r="A52" s="199"/>
      <c r="B52" s="128" t="s">
        <v>339</v>
      </c>
      <c r="C52" s="128"/>
      <c r="D52" s="128"/>
      <c r="E52" s="128"/>
      <c r="F52" s="128"/>
      <c r="G52" s="128"/>
      <c r="H52" s="128"/>
      <c r="I52" s="128"/>
      <c r="J52" s="198"/>
      <c r="M52" s="410" t="s">
        <v>338</v>
      </c>
      <c r="N52" s="410"/>
      <c r="O52" s="410"/>
      <c r="P52" s="410"/>
      <c r="Q52" s="410"/>
      <c r="R52" s="410"/>
      <c r="S52" s="410"/>
    </row>
    <row r="53" spans="1:19" x14ac:dyDescent="0.2">
      <c r="A53" s="199"/>
      <c r="B53" s="126"/>
      <c r="C53" s="128"/>
      <c r="D53" s="128"/>
      <c r="E53" s="128"/>
      <c r="F53" s="128"/>
      <c r="G53" s="128"/>
      <c r="H53" s="128"/>
      <c r="I53" s="128"/>
      <c r="J53" s="198"/>
      <c r="M53" s="410"/>
      <c r="N53" s="410"/>
      <c r="O53" s="410"/>
      <c r="P53" s="410"/>
      <c r="Q53" s="410"/>
      <c r="R53" s="410"/>
      <c r="S53" s="410"/>
    </row>
    <row r="54" spans="1:19" x14ac:dyDescent="0.2">
      <c r="A54" s="199"/>
      <c r="B54" s="128" t="s">
        <v>2</v>
      </c>
      <c r="C54" s="128"/>
      <c r="D54" s="128"/>
      <c r="E54" s="128"/>
      <c r="F54" s="128"/>
      <c r="G54" s="128"/>
      <c r="H54" s="128"/>
      <c r="I54" s="128"/>
      <c r="J54" s="198"/>
    </row>
    <row r="55" spans="1:19" x14ac:dyDescent="0.2">
      <c r="A55" s="199"/>
      <c r="B55" s="128" t="s">
        <v>337</v>
      </c>
      <c r="C55" s="128"/>
      <c r="D55" s="128"/>
      <c r="E55" s="128"/>
      <c r="F55" s="128"/>
      <c r="G55" s="128"/>
      <c r="H55" s="128"/>
      <c r="I55" s="128"/>
      <c r="J55" s="198"/>
      <c r="M55" s="108" t="s">
        <v>336</v>
      </c>
    </row>
    <row r="56" spans="1:19" x14ac:dyDescent="0.2">
      <c r="A56" s="199"/>
      <c r="B56" s="128"/>
      <c r="C56" s="128"/>
      <c r="D56" s="128"/>
      <c r="E56" s="128"/>
      <c r="F56" s="128"/>
      <c r="G56" s="128"/>
      <c r="H56" s="128"/>
      <c r="I56" s="128"/>
      <c r="J56" s="198"/>
    </row>
    <row r="57" spans="1:19" x14ac:dyDescent="0.2">
      <c r="A57" s="199"/>
      <c r="B57" s="128" t="s">
        <v>221</v>
      </c>
      <c r="C57" s="128"/>
      <c r="D57" s="128"/>
      <c r="E57" s="128"/>
      <c r="F57" s="128"/>
      <c r="G57" s="128"/>
      <c r="H57" s="128"/>
      <c r="I57" s="128"/>
      <c r="J57" s="198"/>
      <c r="M57" s="144" t="s">
        <v>208</v>
      </c>
    </row>
    <row r="58" spans="1:19" x14ac:dyDescent="0.2">
      <c r="A58" s="199"/>
      <c r="B58" s="128" t="s">
        <v>335</v>
      </c>
      <c r="C58" s="128"/>
      <c r="D58" s="128"/>
      <c r="E58" s="128"/>
      <c r="F58" s="128"/>
      <c r="G58" s="128"/>
      <c r="H58" s="128"/>
      <c r="I58" s="128"/>
      <c r="J58" s="198"/>
      <c r="M58" s="201"/>
    </row>
    <row r="59" spans="1:19" x14ac:dyDescent="0.2">
      <c r="A59" s="199"/>
      <c r="B59" s="128"/>
      <c r="C59" s="128"/>
      <c r="D59" s="128"/>
      <c r="E59" s="128"/>
      <c r="F59" s="128"/>
      <c r="G59" s="128"/>
      <c r="H59" s="128"/>
      <c r="I59" s="128"/>
      <c r="J59" s="198"/>
      <c r="M59" s="104" t="s">
        <v>334</v>
      </c>
    </row>
    <row r="60" spans="1:19" x14ac:dyDescent="0.2">
      <c r="A60" s="199"/>
      <c r="B60" s="200" t="s">
        <v>314</v>
      </c>
      <c r="C60" s="128"/>
      <c r="D60" s="128"/>
      <c r="E60" s="128"/>
      <c r="F60" s="128"/>
      <c r="G60" s="128"/>
      <c r="H60" s="128"/>
      <c r="I60" s="128"/>
      <c r="J60" s="198"/>
    </row>
    <row r="61" spans="1:19" x14ac:dyDescent="0.2">
      <c r="A61" s="199"/>
      <c r="B61" s="128"/>
      <c r="C61" s="128"/>
      <c r="D61" s="128"/>
      <c r="E61" s="128"/>
      <c r="F61" s="128"/>
      <c r="G61" s="128"/>
      <c r="H61" s="128"/>
      <c r="I61" s="128"/>
      <c r="J61" s="198"/>
      <c r="M61" s="144" t="s">
        <v>197</v>
      </c>
    </row>
    <row r="62" spans="1:19" x14ac:dyDescent="0.2">
      <c r="A62" s="199"/>
      <c r="B62" s="128" t="s">
        <v>0</v>
      </c>
      <c r="C62" s="128"/>
      <c r="D62" s="128"/>
      <c r="E62" s="128"/>
      <c r="F62" s="128"/>
      <c r="G62" s="128"/>
      <c r="H62" s="128"/>
      <c r="I62" s="128"/>
      <c r="J62" s="198"/>
    </row>
    <row r="63" spans="1:19" x14ac:dyDescent="0.2">
      <c r="A63" s="199"/>
      <c r="B63" s="128" t="s">
        <v>333</v>
      </c>
      <c r="C63" s="128"/>
      <c r="D63" s="128"/>
      <c r="E63" s="128"/>
      <c r="F63" s="128"/>
      <c r="G63" s="128"/>
      <c r="H63" s="128"/>
      <c r="I63" s="128"/>
      <c r="J63" s="198"/>
      <c r="M63" s="104" t="s">
        <v>332</v>
      </c>
    </row>
    <row r="64" spans="1:19" x14ac:dyDescent="0.2">
      <c r="A64" s="199"/>
      <c r="B64" s="126"/>
      <c r="C64" s="128"/>
      <c r="D64" s="128"/>
      <c r="E64" s="128"/>
      <c r="F64" s="128"/>
      <c r="G64" s="128"/>
      <c r="H64" s="128"/>
      <c r="I64" s="128"/>
      <c r="J64" s="198"/>
    </row>
    <row r="65" spans="1:19" x14ac:dyDescent="0.2">
      <c r="A65" s="199"/>
      <c r="B65" s="128" t="s">
        <v>1</v>
      </c>
      <c r="C65" s="128"/>
      <c r="D65" s="128"/>
      <c r="E65" s="128"/>
      <c r="F65" s="128"/>
      <c r="G65" s="128"/>
      <c r="H65" s="128"/>
      <c r="I65" s="128"/>
      <c r="J65" s="198"/>
      <c r="M65" s="144" t="s">
        <v>194</v>
      </c>
    </row>
    <row r="66" spans="1:19" x14ac:dyDescent="0.2">
      <c r="A66" s="199"/>
      <c r="B66" s="128" t="s">
        <v>331</v>
      </c>
      <c r="C66" s="128"/>
      <c r="D66" s="128"/>
      <c r="E66" s="128"/>
      <c r="F66" s="128"/>
      <c r="G66" s="128"/>
      <c r="H66" s="128"/>
      <c r="I66" s="128"/>
      <c r="J66" s="198"/>
    </row>
    <row r="67" spans="1:19" x14ac:dyDescent="0.2">
      <c r="A67" s="199"/>
      <c r="B67" s="126"/>
      <c r="C67" s="128"/>
      <c r="D67" s="128"/>
      <c r="E67" s="128"/>
      <c r="F67" s="128"/>
      <c r="G67" s="128"/>
      <c r="H67" s="128"/>
      <c r="I67" s="128"/>
      <c r="J67" s="198"/>
      <c r="M67" s="410" t="s">
        <v>330</v>
      </c>
      <c r="N67" s="410"/>
      <c r="O67" s="410"/>
      <c r="P67" s="410"/>
      <c r="Q67" s="410"/>
      <c r="R67" s="410"/>
      <c r="S67" s="410"/>
    </row>
    <row r="68" spans="1:19" x14ac:dyDescent="0.2">
      <c r="A68" s="199"/>
      <c r="B68" s="128" t="s">
        <v>2</v>
      </c>
      <c r="C68" s="128"/>
      <c r="D68" s="128"/>
      <c r="E68" s="128"/>
      <c r="F68" s="128"/>
      <c r="G68" s="128"/>
      <c r="H68" s="128"/>
      <c r="I68" s="128"/>
      <c r="J68" s="198"/>
      <c r="M68" s="410"/>
      <c r="N68" s="410"/>
      <c r="O68" s="410"/>
      <c r="P68" s="410"/>
      <c r="Q68" s="410"/>
      <c r="R68" s="410"/>
      <c r="S68" s="410"/>
    </row>
    <row r="69" spans="1:19" x14ac:dyDescent="0.2">
      <c r="A69" s="199"/>
      <c r="B69" s="128" t="s">
        <v>329</v>
      </c>
      <c r="C69" s="128"/>
      <c r="D69" s="128"/>
      <c r="E69" s="128"/>
      <c r="F69" s="128"/>
      <c r="G69" s="128"/>
      <c r="H69" s="128"/>
      <c r="I69" s="128"/>
      <c r="J69" s="198"/>
    </row>
    <row r="70" spans="1:19" x14ac:dyDescent="0.2">
      <c r="A70" s="199"/>
      <c r="B70" s="128"/>
      <c r="C70" s="128"/>
      <c r="D70" s="128"/>
      <c r="E70" s="128"/>
      <c r="F70" s="128"/>
      <c r="G70" s="128"/>
      <c r="H70" s="128"/>
      <c r="I70" s="128"/>
      <c r="J70" s="198"/>
      <c r="M70" s="108" t="s">
        <v>328</v>
      </c>
    </row>
    <row r="71" spans="1:19" x14ac:dyDescent="0.2">
      <c r="A71" s="199"/>
      <c r="B71" s="200" t="s">
        <v>300</v>
      </c>
      <c r="C71" s="128"/>
      <c r="D71" s="128"/>
      <c r="E71" s="128"/>
      <c r="F71" s="128"/>
      <c r="G71" s="128"/>
      <c r="H71" s="128"/>
      <c r="I71" s="128"/>
      <c r="J71" s="198"/>
    </row>
    <row r="72" spans="1:19" x14ac:dyDescent="0.2">
      <c r="A72" s="199"/>
      <c r="B72" s="128"/>
      <c r="C72" s="128"/>
      <c r="D72" s="128"/>
      <c r="E72" s="128"/>
      <c r="F72" s="128"/>
      <c r="G72" s="128"/>
      <c r="H72" s="128"/>
      <c r="I72" s="128"/>
      <c r="J72" s="198"/>
      <c r="M72" s="144" t="s">
        <v>208</v>
      </c>
    </row>
    <row r="73" spans="1:19" x14ac:dyDescent="0.2">
      <c r="A73" s="199"/>
      <c r="B73" s="412" t="s">
        <v>454</v>
      </c>
      <c r="C73" s="412"/>
      <c r="D73" s="412"/>
      <c r="E73" s="412"/>
      <c r="F73" s="412"/>
      <c r="G73" s="412"/>
      <c r="H73" s="412"/>
      <c r="I73" s="128"/>
      <c r="J73" s="198"/>
    </row>
    <row r="74" spans="1:19" x14ac:dyDescent="0.2">
      <c r="A74" s="199"/>
      <c r="B74" s="412"/>
      <c r="C74" s="412"/>
      <c r="D74" s="412"/>
      <c r="E74" s="412"/>
      <c r="F74" s="412"/>
      <c r="G74" s="412"/>
      <c r="H74" s="412"/>
      <c r="I74" s="128"/>
      <c r="J74" s="198"/>
      <c r="M74" s="104" t="s">
        <v>327</v>
      </c>
    </row>
    <row r="75" spans="1:19" x14ac:dyDescent="0.2">
      <c r="A75" s="199"/>
      <c r="B75" s="412"/>
      <c r="C75" s="412"/>
      <c r="D75" s="412"/>
      <c r="E75" s="412"/>
      <c r="F75" s="412"/>
      <c r="G75" s="412"/>
      <c r="H75" s="412"/>
      <c r="I75" s="128"/>
      <c r="J75" s="198"/>
    </row>
    <row r="76" spans="1:19" ht="17" thickBot="1" x14ac:dyDescent="0.25">
      <c r="A76" s="197"/>
      <c r="B76" s="196"/>
      <c r="C76" s="196"/>
      <c r="D76" s="196"/>
      <c r="E76" s="196"/>
      <c r="F76" s="196"/>
      <c r="G76" s="196"/>
      <c r="H76" s="196"/>
      <c r="I76" s="196"/>
      <c r="J76" s="195"/>
      <c r="N76" s="104" t="s">
        <v>326</v>
      </c>
    </row>
    <row r="77" spans="1:19" x14ac:dyDescent="0.2">
      <c r="N77" s="104" t="s">
        <v>325</v>
      </c>
    </row>
    <row r="78" spans="1:19" x14ac:dyDescent="0.2">
      <c r="N78" s="104" t="s">
        <v>324</v>
      </c>
    </row>
    <row r="79" spans="1:19" x14ac:dyDescent="0.2">
      <c r="N79" s="104" t="s">
        <v>323</v>
      </c>
    </row>
    <row r="80" spans="1:19" x14ac:dyDescent="0.2">
      <c r="N80" s="410" t="s">
        <v>322</v>
      </c>
      <c r="O80" s="410"/>
      <c r="P80" s="410"/>
      <c r="Q80" s="410"/>
      <c r="R80" s="410"/>
      <c r="S80" s="410"/>
    </row>
    <row r="81" spans="13:19" x14ac:dyDescent="0.2">
      <c r="N81" s="410"/>
      <c r="O81" s="410"/>
      <c r="P81" s="410"/>
      <c r="Q81" s="410"/>
      <c r="R81" s="410"/>
      <c r="S81" s="410"/>
    </row>
    <row r="83" spans="13:19" x14ac:dyDescent="0.2">
      <c r="M83" s="144" t="s">
        <v>197</v>
      </c>
    </row>
    <row r="85" spans="13:19" x14ac:dyDescent="0.2">
      <c r="M85" s="410" t="s">
        <v>321</v>
      </c>
      <c r="N85" s="410"/>
      <c r="O85" s="410"/>
      <c r="P85" s="410"/>
      <c r="Q85" s="410"/>
      <c r="R85" s="410"/>
      <c r="S85" s="410"/>
    </row>
    <row r="86" spans="13:19" x14ac:dyDescent="0.2">
      <c r="M86" s="410"/>
      <c r="N86" s="410"/>
      <c r="O86" s="410"/>
      <c r="P86" s="410"/>
      <c r="Q86" s="410"/>
      <c r="R86" s="410"/>
      <c r="S86" s="410"/>
    </row>
    <row r="87" spans="13:19" x14ac:dyDescent="0.2">
      <c r="M87" s="104" t="s">
        <v>320</v>
      </c>
    </row>
    <row r="89" spans="13:19" x14ac:dyDescent="0.2">
      <c r="M89" s="144" t="s">
        <v>194</v>
      </c>
    </row>
    <row r="91" spans="13:19" x14ac:dyDescent="0.2">
      <c r="M91" s="410" t="s">
        <v>319</v>
      </c>
      <c r="N91" s="410"/>
      <c r="O91" s="410"/>
      <c r="P91" s="410"/>
      <c r="Q91" s="410"/>
      <c r="R91" s="410"/>
      <c r="S91" s="410"/>
    </row>
    <row r="92" spans="13:19" x14ac:dyDescent="0.2">
      <c r="M92" s="410"/>
      <c r="N92" s="410"/>
      <c r="O92" s="410"/>
      <c r="P92" s="410"/>
      <c r="Q92" s="410"/>
      <c r="R92" s="410"/>
      <c r="S92" s="410"/>
    </row>
    <row r="94" spans="13:19" x14ac:dyDescent="0.2">
      <c r="M94" s="144" t="s">
        <v>219</v>
      </c>
    </row>
    <row r="96" spans="13:19" x14ac:dyDescent="0.2">
      <c r="M96" s="104" t="s">
        <v>318</v>
      </c>
    </row>
    <row r="97" spans="13:19" ht="15.75" customHeight="1" x14ac:dyDescent="0.2"/>
    <row r="98" spans="13:19" x14ac:dyDescent="0.2">
      <c r="N98" s="410" t="s">
        <v>317</v>
      </c>
      <c r="O98" s="410"/>
      <c r="P98" s="410"/>
      <c r="Q98" s="410"/>
      <c r="R98" s="410"/>
      <c r="S98" s="410"/>
    </row>
    <row r="99" spans="13:19" x14ac:dyDescent="0.2">
      <c r="N99" s="410"/>
      <c r="O99" s="410"/>
      <c r="P99" s="410"/>
      <c r="Q99" s="410"/>
      <c r="R99" s="410"/>
      <c r="S99" s="410"/>
    </row>
    <row r="100" spans="13:19" x14ac:dyDescent="0.2">
      <c r="N100" s="410"/>
      <c r="O100" s="410"/>
      <c r="P100" s="410"/>
      <c r="Q100" s="410"/>
      <c r="R100" s="410"/>
      <c r="S100" s="410"/>
    </row>
    <row r="101" spans="13:19" x14ac:dyDescent="0.2">
      <c r="N101" s="410" t="s">
        <v>316</v>
      </c>
      <c r="O101" s="410"/>
      <c r="P101" s="410"/>
      <c r="Q101" s="410"/>
      <c r="R101" s="410"/>
      <c r="S101" s="410"/>
    </row>
    <row r="102" spans="13:19" x14ac:dyDescent="0.2">
      <c r="N102" s="410"/>
      <c r="O102" s="410"/>
      <c r="P102" s="410"/>
      <c r="Q102" s="410"/>
      <c r="R102" s="410"/>
      <c r="S102" s="410"/>
    </row>
    <row r="103" spans="13:19" x14ac:dyDescent="0.2">
      <c r="N103" s="410"/>
      <c r="O103" s="410"/>
      <c r="P103" s="410"/>
      <c r="Q103" s="410"/>
      <c r="R103" s="410"/>
      <c r="S103" s="410"/>
    </row>
    <row r="104" spans="13:19" x14ac:dyDescent="0.2">
      <c r="N104" s="410"/>
      <c r="O104" s="410"/>
      <c r="P104" s="410"/>
      <c r="Q104" s="410"/>
      <c r="R104" s="410"/>
      <c r="S104" s="410"/>
    </row>
    <row r="105" spans="13:19" x14ac:dyDescent="0.2">
      <c r="N105" s="410"/>
      <c r="O105" s="410"/>
      <c r="P105" s="410"/>
      <c r="Q105" s="410"/>
      <c r="R105" s="410"/>
      <c r="S105" s="410"/>
    </row>
    <row r="106" spans="13:19" x14ac:dyDescent="0.2">
      <c r="N106" s="410" t="s">
        <v>315</v>
      </c>
      <c r="O106" s="410"/>
      <c r="P106" s="410"/>
      <c r="Q106" s="410"/>
      <c r="R106" s="410"/>
      <c r="S106" s="410"/>
    </row>
    <row r="107" spans="13:19" x14ac:dyDescent="0.2">
      <c r="N107" s="410"/>
      <c r="O107" s="410"/>
      <c r="P107" s="410"/>
      <c r="Q107" s="410"/>
      <c r="R107" s="410"/>
      <c r="S107" s="410"/>
    </row>
    <row r="108" spans="13:19" x14ac:dyDescent="0.2">
      <c r="N108" s="410"/>
      <c r="O108" s="410"/>
      <c r="P108" s="410"/>
      <c r="Q108" s="410"/>
      <c r="R108" s="410"/>
      <c r="S108" s="410"/>
    </row>
    <row r="110" spans="13:19" x14ac:dyDescent="0.2">
      <c r="M110" s="108" t="s">
        <v>314</v>
      </c>
    </row>
    <row r="112" spans="13:19" x14ac:dyDescent="0.2">
      <c r="M112" s="144" t="s">
        <v>208</v>
      </c>
    </row>
    <row r="114" spans="13:19" x14ac:dyDescent="0.2">
      <c r="M114" s="104" t="s">
        <v>313</v>
      </c>
    </row>
    <row r="116" spans="13:19" x14ac:dyDescent="0.2">
      <c r="N116" s="104" t="s">
        <v>312</v>
      </c>
    </row>
    <row r="117" spans="13:19" x14ac:dyDescent="0.2">
      <c r="N117" s="104" t="s">
        <v>311</v>
      </c>
    </row>
    <row r="118" spans="13:19" x14ac:dyDescent="0.2">
      <c r="O118" s="104" t="s">
        <v>310</v>
      </c>
    </row>
    <row r="119" spans="13:19" x14ac:dyDescent="0.2">
      <c r="O119" s="104" t="s">
        <v>309</v>
      </c>
    </row>
    <row r="120" spans="13:19" x14ac:dyDescent="0.2">
      <c r="O120" s="104" t="s">
        <v>308</v>
      </c>
    </row>
    <row r="122" spans="13:19" x14ac:dyDescent="0.2">
      <c r="M122" s="144" t="s">
        <v>197</v>
      </c>
    </row>
    <row r="124" spans="13:19" x14ac:dyDescent="0.2">
      <c r="M124" s="410" t="s">
        <v>307</v>
      </c>
      <c r="N124" s="410"/>
      <c r="O124" s="410"/>
      <c r="P124" s="410"/>
      <c r="Q124" s="410"/>
      <c r="R124" s="410"/>
      <c r="S124" s="410"/>
    </row>
    <row r="125" spans="13:19" x14ac:dyDescent="0.2">
      <c r="M125" s="410"/>
      <c r="N125" s="410"/>
      <c r="O125" s="410"/>
      <c r="P125" s="410"/>
      <c r="Q125" s="410"/>
      <c r="R125" s="410"/>
      <c r="S125" s="410"/>
    </row>
    <row r="127" spans="13:19" x14ac:dyDescent="0.2">
      <c r="N127" s="104" t="s">
        <v>306</v>
      </c>
    </row>
    <row r="128" spans="13:19" x14ac:dyDescent="0.2">
      <c r="N128" s="104" t="s">
        <v>305</v>
      </c>
    </row>
    <row r="130" spans="13:19" x14ac:dyDescent="0.2">
      <c r="M130" s="410" t="s">
        <v>304</v>
      </c>
      <c r="N130" s="410"/>
      <c r="O130" s="410"/>
      <c r="P130" s="410"/>
      <c r="Q130" s="410"/>
      <c r="R130" s="410"/>
      <c r="S130" s="410"/>
    </row>
    <row r="131" spans="13:19" x14ac:dyDescent="0.2">
      <c r="M131" s="410"/>
      <c r="N131" s="410"/>
      <c r="O131" s="410"/>
      <c r="P131" s="410"/>
      <c r="Q131" s="410"/>
      <c r="R131" s="410"/>
      <c r="S131" s="410"/>
    </row>
    <row r="133" spans="13:19" x14ac:dyDescent="0.2">
      <c r="M133" s="410" t="s">
        <v>303</v>
      </c>
      <c r="N133" s="410"/>
      <c r="O133" s="410"/>
      <c r="P133" s="410"/>
      <c r="Q133" s="410"/>
      <c r="R133" s="410"/>
      <c r="S133" s="410"/>
    </row>
    <row r="134" spans="13:19" x14ac:dyDescent="0.2">
      <c r="M134" s="410"/>
      <c r="N134" s="410"/>
      <c r="O134" s="410"/>
      <c r="P134" s="410"/>
      <c r="Q134" s="410"/>
      <c r="R134" s="410"/>
      <c r="S134" s="410"/>
    </row>
    <row r="135" spans="13:19" ht="15.75" customHeight="1" x14ac:dyDescent="0.2">
      <c r="M135" s="410"/>
      <c r="N135" s="410"/>
      <c r="O135" s="410"/>
      <c r="P135" s="410"/>
      <c r="Q135" s="410"/>
      <c r="R135" s="410"/>
      <c r="S135" s="410"/>
    </row>
    <row r="137" spans="13:19" x14ac:dyDescent="0.2">
      <c r="M137" s="144" t="s">
        <v>194</v>
      </c>
    </row>
    <row r="139" spans="13:19" x14ac:dyDescent="0.2">
      <c r="M139" s="410" t="s">
        <v>302</v>
      </c>
      <c r="N139" s="410"/>
      <c r="O139" s="410"/>
      <c r="P139" s="410"/>
      <c r="Q139" s="410"/>
      <c r="R139" s="410"/>
      <c r="S139" s="410"/>
    </row>
    <row r="140" spans="13:19" x14ac:dyDescent="0.2">
      <c r="M140" s="410"/>
      <c r="N140" s="410"/>
      <c r="O140" s="410"/>
      <c r="P140" s="410"/>
      <c r="Q140" s="410"/>
      <c r="R140" s="410"/>
      <c r="S140" s="410"/>
    </row>
    <row r="141" spans="13:19" x14ac:dyDescent="0.2">
      <c r="M141" s="410"/>
      <c r="N141" s="410"/>
      <c r="O141" s="410"/>
      <c r="P141" s="410"/>
      <c r="Q141" s="410"/>
      <c r="R141" s="410"/>
      <c r="S141" s="410"/>
    </row>
    <row r="143" spans="13:19" x14ac:dyDescent="0.2">
      <c r="M143" s="410" t="s">
        <v>301</v>
      </c>
      <c r="N143" s="410"/>
      <c r="O143" s="410"/>
      <c r="P143" s="410"/>
      <c r="Q143" s="410"/>
      <c r="R143" s="410"/>
      <c r="S143" s="410"/>
    </row>
    <row r="144" spans="13:19" x14ac:dyDescent="0.2">
      <c r="M144" s="410"/>
      <c r="N144" s="410"/>
      <c r="O144" s="410"/>
      <c r="P144" s="410"/>
      <c r="Q144" s="410"/>
      <c r="R144" s="410"/>
      <c r="S144" s="410"/>
    </row>
    <row r="146" spans="13:13" x14ac:dyDescent="0.2">
      <c r="M146" s="108" t="s">
        <v>300</v>
      </c>
    </row>
    <row r="148" spans="13:13" x14ac:dyDescent="0.2">
      <c r="M148" s="104" t="s">
        <v>299</v>
      </c>
    </row>
  </sheetData>
  <mergeCells count="23">
    <mergeCell ref="M16:S18"/>
    <mergeCell ref="N98:S100"/>
    <mergeCell ref="B10:H11"/>
    <mergeCell ref="B14:H16"/>
    <mergeCell ref="B43:H44"/>
    <mergeCell ref="B73:H75"/>
    <mergeCell ref="M22:S23"/>
    <mergeCell ref="M27:S28"/>
    <mergeCell ref="M35:S36"/>
    <mergeCell ref="M38:S39"/>
    <mergeCell ref="M45:S48"/>
    <mergeCell ref="M52:S53"/>
    <mergeCell ref="M67:S68"/>
    <mergeCell ref="N80:S81"/>
    <mergeCell ref="M85:S86"/>
    <mergeCell ref="M91:S92"/>
    <mergeCell ref="M139:S141"/>
    <mergeCell ref="M143:S144"/>
    <mergeCell ref="N101:S105"/>
    <mergeCell ref="N106:S108"/>
    <mergeCell ref="M124:S125"/>
    <mergeCell ref="M130:S131"/>
    <mergeCell ref="M133:S1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Q #16</vt:lpstr>
      <vt:lpstr>Q #17</vt:lpstr>
      <vt:lpstr>Q #18</vt:lpstr>
      <vt:lpstr>Q #19</vt:lpstr>
      <vt:lpstr>Q #20</vt:lpstr>
      <vt:lpstr>2019 #12</vt:lpstr>
      <vt:lpstr>Essay Problems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2026-07-09T01:19:29Z</dcterms:modified>
</cp:coreProperties>
</file>